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0730" windowHeight="11760" tabRatio="930" activeTab="4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46" r:id="rId5"/>
    <sheet name="Efficiency2" sheetId="57" r:id="rId6"/>
    <sheet name="Chem" sheetId="1" r:id="rId7"/>
    <sheet name="RBP" sheetId="54" r:id="rId8"/>
    <sheet name="BB" sheetId="2" r:id="rId9"/>
    <sheet name="Sheet1" sheetId="56" r:id="rId10"/>
    <sheet name="summary" sheetId="55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  <externalReference r:id="rId44"/>
    <externalReference r:id="rId45"/>
  </externalReferences>
  <definedNames>
    <definedName name="_xlnm._FilterDatabase" localSheetId="9" hidden="1">Sheet1!$B$1:$F$121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Chem!$CE$6:$CQ$15</definedName>
    <definedName name="_xlnm.Print_Area" localSheetId="4">Efficiency1!$A$1:$AD$164</definedName>
    <definedName name="_xlnm.Print_Area" localSheetId="5">Efficiency2!$A$1:$AD$167</definedName>
    <definedName name="_xlnm.Print_Area" localSheetId="2">Listrik!$A$2:$AT$40</definedName>
    <definedName name="_xlnm.Print_Area" localSheetId="0">Report1!$A$3:$AK$41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2" i="2" l="1"/>
  <c r="AE4" i="54" l="1"/>
  <c r="AE3" i="54"/>
  <c r="N159" i="57" l="1"/>
  <c r="J159" i="57"/>
  <c r="N158" i="57"/>
  <c r="J158" i="57"/>
  <c r="N157" i="57"/>
  <c r="H157" i="57" s="1"/>
  <c r="N153" i="57"/>
  <c r="H153" i="57" s="1"/>
  <c r="N152" i="57"/>
  <c r="J152" i="57"/>
  <c r="N148" i="57"/>
  <c r="J148" i="57"/>
  <c r="N147" i="57"/>
  <c r="H147" i="57" s="1"/>
  <c r="N142" i="57"/>
  <c r="H142" i="57" s="1"/>
  <c r="N137" i="57"/>
  <c r="H137" i="57" s="1"/>
  <c r="N133" i="57"/>
  <c r="H133" i="57" s="1"/>
  <c r="N132" i="57"/>
  <c r="H132" i="57" s="1"/>
  <c r="N127" i="57"/>
  <c r="H127" i="57" s="1"/>
  <c r="N122" i="57"/>
  <c r="J122" i="57"/>
  <c r="N117" i="57"/>
  <c r="H117" i="57" s="1"/>
  <c r="N114" i="57"/>
  <c r="J114" i="57"/>
  <c r="N113" i="57"/>
  <c r="J113" i="57"/>
  <c r="N110" i="57"/>
  <c r="J110" i="57"/>
  <c r="N109" i="57"/>
  <c r="J109" i="57"/>
  <c r="N106" i="57"/>
  <c r="J106" i="57"/>
  <c r="N105" i="57"/>
  <c r="J105" i="57"/>
  <c r="N99" i="57"/>
  <c r="J99" i="57"/>
  <c r="N95" i="57"/>
  <c r="J95" i="57"/>
  <c r="N94" i="57"/>
  <c r="J94" i="57"/>
  <c r="N90" i="57"/>
  <c r="J90" i="57"/>
  <c r="N89" i="57"/>
  <c r="J89" i="57"/>
  <c r="N84" i="57"/>
  <c r="J84" i="57"/>
  <c r="N79" i="57"/>
  <c r="J79" i="57"/>
  <c r="N75" i="57"/>
  <c r="J75" i="57"/>
  <c r="N74" i="57"/>
  <c r="J74" i="57"/>
  <c r="N70" i="57"/>
  <c r="J70" i="57"/>
  <c r="N69" i="57"/>
  <c r="J69" i="57"/>
  <c r="N66" i="57"/>
  <c r="J66" i="57"/>
  <c r="N65" i="57"/>
  <c r="H65" i="57" s="1"/>
  <c r="N64" i="57"/>
  <c r="J64" i="57"/>
  <c r="N60" i="57"/>
  <c r="J60" i="57"/>
  <c r="N59" i="57"/>
  <c r="J59" i="57"/>
  <c r="N54" i="57"/>
  <c r="J54" i="57"/>
  <c r="N51" i="57"/>
  <c r="J51" i="57"/>
  <c r="N50" i="57"/>
  <c r="J50" i="57"/>
  <c r="N49" i="57"/>
  <c r="J49" i="57"/>
  <c r="N48" i="57"/>
  <c r="J48" i="57"/>
  <c r="N45" i="57"/>
  <c r="J45" i="57"/>
  <c r="N44" i="57"/>
  <c r="J44" i="57"/>
  <c r="N43" i="57"/>
  <c r="J43" i="57"/>
  <c r="N38" i="57"/>
  <c r="J38" i="57"/>
  <c r="N34" i="57"/>
  <c r="J34" i="57"/>
  <c r="N33" i="57"/>
  <c r="J33" i="57"/>
  <c r="N28" i="57"/>
  <c r="J28" i="57"/>
  <c r="N23" i="57"/>
  <c r="J23" i="57"/>
  <c r="N16" i="57"/>
  <c r="J16" i="57"/>
  <c r="N11" i="57"/>
  <c r="J11" i="57"/>
  <c r="N6" i="57"/>
  <c r="J6" i="57"/>
  <c r="A6" i="57"/>
  <c r="J133" i="57" l="1"/>
  <c r="J157" i="57"/>
  <c r="J65" i="57"/>
  <c r="J117" i="57"/>
  <c r="J132" i="57"/>
  <c r="J137" i="57"/>
  <c r="J153" i="57"/>
  <c r="J142" i="57"/>
  <c r="J127" i="57"/>
  <c r="J147" i="57"/>
  <c r="AR160" i="57" l="1"/>
  <c r="BA160" i="57" s="1"/>
  <c r="AM160" i="57"/>
  <c r="AR159" i="57"/>
  <c r="BA159" i="57" s="1"/>
  <c r="AM159" i="57"/>
  <c r="AR158" i="57"/>
  <c r="BA158" i="57" s="1"/>
  <c r="AM158" i="57"/>
  <c r="AR157" i="57"/>
  <c r="BA157" i="57" s="1"/>
  <c r="AM157" i="57"/>
  <c r="AR155" i="57"/>
  <c r="BA155" i="57" s="1"/>
  <c r="AM155" i="57"/>
  <c r="AR154" i="57"/>
  <c r="BA154" i="57" s="1"/>
  <c r="AM154" i="57"/>
  <c r="AR153" i="57"/>
  <c r="BA153" i="57" s="1"/>
  <c r="AM153" i="57"/>
  <c r="AR152" i="57"/>
  <c r="BA152" i="57" s="1"/>
  <c r="AM152" i="57"/>
  <c r="AR150" i="57"/>
  <c r="BA150" i="57" s="1"/>
  <c r="AM150" i="57"/>
  <c r="AR149" i="57"/>
  <c r="BA149" i="57" s="1"/>
  <c r="AM149" i="57"/>
  <c r="AR148" i="57"/>
  <c r="BA148" i="57" s="1"/>
  <c r="AM148" i="57"/>
  <c r="Z148" i="57"/>
  <c r="S148" i="57"/>
  <c r="AR147" i="57"/>
  <c r="BA147" i="57" s="1"/>
  <c r="AM147" i="57"/>
  <c r="AR145" i="57"/>
  <c r="BA145" i="57" s="1"/>
  <c r="AM145" i="57"/>
  <c r="AR144" i="57"/>
  <c r="BA144" i="57" s="1"/>
  <c r="AM144" i="57"/>
  <c r="AR143" i="57"/>
  <c r="BA143" i="57" s="1"/>
  <c r="AD143" i="57" s="1"/>
  <c r="AM143" i="57"/>
  <c r="AR142" i="57"/>
  <c r="BA142" i="57" s="1"/>
  <c r="AM142" i="57"/>
  <c r="AR140" i="57"/>
  <c r="BA140" i="57" s="1"/>
  <c r="AM140" i="57"/>
  <c r="AR139" i="57"/>
  <c r="BA139" i="57" s="1"/>
  <c r="AM139" i="57"/>
  <c r="AR138" i="57"/>
  <c r="BA138" i="57" s="1"/>
  <c r="AM138" i="57"/>
  <c r="AR137" i="57"/>
  <c r="BA137" i="57" s="1"/>
  <c r="AM137" i="57"/>
  <c r="Z137" i="57"/>
  <c r="AR135" i="57"/>
  <c r="BA135" i="57" s="1"/>
  <c r="AM135" i="57"/>
  <c r="AR134" i="57"/>
  <c r="BA134" i="57" s="1"/>
  <c r="AM134" i="57"/>
  <c r="AR133" i="57"/>
  <c r="BA133" i="57" s="1"/>
  <c r="AD133" i="57" s="1"/>
  <c r="AM133" i="57"/>
  <c r="AR132" i="57"/>
  <c r="BA132" i="57" s="1"/>
  <c r="AM132" i="57"/>
  <c r="Z132" i="57"/>
  <c r="AR130" i="57"/>
  <c r="BA130" i="57" s="1"/>
  <c r="AM130" i="57"/>
  <c r="AR129" i="57"/>
  <c r="BA129" i="57" s="1"/>
  <c r="AM129" i="57"/>
  <c r="AR128" i="57"/>
  <c r="BA128" i="57" s="1"/>
  <c r="AM128" i="57"/>
  <c r="AR127" i="57"/>
  <c r="BA127" i="57" s="1"/>
  <c r="AM127" i="57"/>
  <c r="AR125" i="57"/>
  <c r="BA125" i="57" s="1"/>
  <c r="AM125" i="57"/>
  <c r="AR124" i="57"/>
  <c r="BA124" i="57" s="1"/>
  <c r="AM124" i="57"/>
  <c r="AR123" i="57"/>
  <c r="BA123" i="57" s="1"/>
  <c r="AM123" i="57"/>
  <c r="AR122" i="57"/>
  <c r="BA122" i="57" s="1"/>
  <c r="AM122" i="57"/>
  <c r="AR120" i="57"/>
  <c r="BA120" i="57" s="1"/>
  <c r="AM120" i="57"/>
  <c r="AR119" i="57"/>
  <c r="BA119" i="57" s="1"/>
  <c r="AM119" i="57"/>
  <c r="AR118" i="57"/>
  <c r="BA118" i="57" s="1"/>
  <c r="AM118" i="57"/>
  <c r="AR117" i="57"/>
  <c r="BA117" i="57" s="1"/>
  <c r="AD117" i="57" s="1"/>
  <c r="AM117" i="57"/>
  <c r="AR115" i="57"/>
  <c r="BA115" i="57" s="1"/>
  <c r="AM115" i="57"/>
  <c r="AR114" i="57"/>
  <c r="BA114" i="57" s="1"/>
  <c r="AM114" i="57"/>
  <c r="S114" i="57"/>
  <c r="AR113" i="57"/>
  <c r="BA113" i="57" s="1"/>
  <c r="AM113" i="57"/>
  <c r="Z113" i="57"/>
  <c r="AR111" i="57"/>
  <c r="BA111" i="57" s="1"/>
  <c r="AM111" i="57"/>
  <c r="AR110" i="57"/>
  <c r="BA110" i="57" s="1"/>
  <c r="AM110" i="57"/>
  <c r="Z110" i="57"/>
  <c r="AR109" i="57"/>
  <c r="BA109" i="57" s="1"/>
  <c r="AM109" i="57"/>
  <c r="Z109" i="57"/>
  <c r="AR107" i="57"/>
  <c r="BA107" i="57" s="1"/>
  <c r="AM107" i="57"/>
  <c r="AD107" i="57" s="1"/>
  <c r="AR106" i="57"/>
  <c r="BA106" i="57" s="1"/>
  <c r="AM106" i="57"/>
  <c r="Z106" i="57"/>
  <c r="AR105" i="57"/>
  <c r="BA105" i="57" s="1"/>
  <c r="AD105" i="57" s="1"/>
  <c r="AM105" i="57"/>
  <c r="AR103" i="57"/>
  <c r="BA103" i="57" s="1"/>
  <c r="AM103" i="57"/>
  <c r="AN102" i="57"/>
  <c r="AR102" i="57" s="1"/>
  <c r="BA102" i="57" s="1"/>
  <c r="AM102" i="57"/>
  <c r="AR101" i="57"/>
  <c r="BA101" i="57" s="1"/>
  <c r="AM101" i="57"/>
  <c r="AR100" i="57"/>
  <c r="BA100" i="57" s="1"/>
  <c r="AM100" i="57"/>
  <c r="AR99" i="57"/>
  <c r="BA99" i="57" s="1"/>
  <c r="AM99" i="57"/>
  <c r="R99" i="57"/>
  <c r="AR97" i="57"/>
  <c r="BA97" i="57" s="1"/>
  <c r="AM97" i="57"/>
  <c r="AR96" i="57"/>
  <c r="BA96" i="57" s="1"/>
  <c r="AD96" i="57" s="1"/>
  <c r="AM96" i="57"/>
  <c r="AR95" i="57"/>
  <c r="BA95" i="57" s="1"/>
  <c r="AM95" i="57"/>
  <c r="AR94" i="57"/>
  <c r="BA94" i="57" s="1"/>
  <c r="AM94" i="57"/>
  <c r="AR92" i="57"/>
  <c r="BA92" i="57" s="1"/>
  <c r="AM92" i="57"/>
  <c r="AR91" i="57"/>
  <c r="BA91" i="57" s="1"/>
  <c r="AM91" i="57"/>
  <c r="AR90" i="57"/>
  <c r="BA90" i="57" s="1"/>
  <c r="AM90" i="57"/>
  <c r="AR89" i="57"/>
  <c r="BA89" i="57" s="1"/>
  <c r="AM89" i="57"/>
  <c r="AR87" i="57"/>
  <c r="BA87" i="57" s="1"/>
  <c r="AM87" i="57"/>
  <c r="AR86" i="57"/>
  <c r="BA86" i="57" s="1"/>
  <c r="AM86" i="57"/>
  <c r="AR85" i="57"/>
  <c r="BA85" i="57" s="1"/>
  <c r="AM85" i="57"/>
  <c r="AR84" i="57"/>
  <c r="BA84" i="57" s="1"/>
  <c r="AM84" i="57"/>
  <c r="Z84" i="57"/>
  <c r="AR82" i="57"/>
  <c r="BA82" i="57" s="1"/>
  <c r="AM82" i="57"/>
  <c r="AR81" i="57"/>
  <c r="BA81" i="57" s="1"/>
  <c r="AM81" i="57"/>
  <c r="AR80" i="57"/>
  <c r="BA80" i="57" s="1"/>
  <c r="AM80" i="57"/>
  <c r="AR79" i="57"/>
  <c r="BA79" i="57" s="1"/>
  <c r="AM79" i="57"/>
  <c r="Z79" i="57"/>
  <c r="AR77" i="57"/>
  <c r="BA77" i="57" s="1"/>
  <c r="AM77" i="57"/>
  <c r="AR76" i="57"/>
  <c r="BA76" i="57" s="1"/>
  <c r="AM76" i="57"/>
  <c r="AR75" i="57"/>
  <c r="BA75" i="57" s="1"/>
  <c r="AM75" i="57"/>
  <c r="AR74" i="57"/>
  <c r="BA74" i="57" s="1"/>
  <c r="AM74" i="57"/>
  <c r="AD74" i="57"/>
  <c r="Z74" i="57"/>
  <c r="AR72" i="57"/>
  <c r="BA72" i="57" s="1"/>
  <c r="AM72" i="57"/>
  <c r="AR71" i="57"/>
  <c r="BA71" i="57" s="1"/>
  <c r="AM71" i="57"/>
  <c r="AR70" i="57"/>
  <c r="BA70" i="57" s="1"/>
  <c r="AM70" i="57"/>
  <c r="AR69" i="57"/>
  <c r="BA69" i="57" s="1"/>
  <c r="AM69" i="57"/>
  <c r="Z69" i="57"/>
  <c r="AR67" i="57"/>
  <c r="BA67" i="57" s="1"/>
  <c r="AM67" i="57"/>
  <c r="AR66" i="57"/>
  <c r="BA66" i="57" s="1"/>
  <c r="AM66" i="57"/>
  <c r="W66" i="57"/>
  <c r="AR65" i="57"/>
  <c r="BA65" i="57" s="1"/>
  <c r="AM65" i="57"/>
  <c r="AR64" i="57"/>
  <c r="BA64" i="57" s="1"/>
  <c r="AM64" i="57"/>
  <c r="Z64" i="57"/>
  <c r="AR62" i="57"/>
  <c r="BA62" i="57" s="1"/>
  <c r="AM62" i="57"/>
  <c r="AR61" i="57"/>
  <c r="BA61" i="57" s="1"/>
  <c r="AM61" i="57"/>
  <c r="AD61" i="57" s="1"/>
  <c r="AR60" i="57"/>
  <c r="BA60" i="57" s="1"/>
  <c r="AM60" i="57"/>
  <c r="AR59" i="57"/>
  <c r="BA59" i="57" s="1"/>
  <c r="AM59" i="57"/>
  <c r="Z59" i="57"/>
  <c r="AR57" i="57"/>
  <c r="BA57" i="57" s="1"/>
  <c r="AM57" i="57"/>
  <c r="AR56" i="57"/>
  <c r="BA56" i="57" s="1"/>
  <c r="AM56" i="57"/>
  <c r="AR55" i="57"/>
  <c r="BA55" i="57" s="1"/>
  <c r="AM55" i="57"/>
  <c r="AR54" i="57"/>
  <c r="BA54" i="57" s="1"/>
  <c r="AM54" i="57"/>
  <c r="Z54" i="57"/>
  <c r="Z52" i="57"/>
  <c r="AR51" i="57"/>
  <c r="BA51" i="57" s="1"/>
  <c r="AM51" i="57"/>
  <c r="AR50" i="57"/>
  <c r="BA50" i="57" s="1"/>
  <c r="AM50" i="57"/>
  <c r="AD50" i="57" s="1"/>
  <c r="AR49" i="57"/>
  <c r="BA49" i="57" s="1"/>
  <c r="AM49" i="57"/>
  <c r="Z49" i="57"/>
  <c r="AR48" i="57"/>
  <c r="BA48" i="57" s="1"/>
  <c r="AM48" i="57"/>
  <c r="Z48" i="57"/>
  <c r="AR46" i="57"/>
  <c r="BA46" i="57" s="1"/>
  <c r="AM46" i="57"/>
  <c r="AR45" i="57"/>
  <c r="BA45" i="57" s="1"/>
  <c r="AM45" i="57"/>
  <c r="AR44" i="57"/>
  <c r="BA44" i="57" s="1"/>
  <c r="AM44" i="57"/>
  <c r="Z44" i="57"/>
  <c r="AR43" i="57"/>
  <c r="BA43" i="57" s="1"/>
  <c r="AM43" i="57"/>
  <c r="AD43" i="57" s="1"/>
  <c r="AR41" i="57"/>
  <c r="BA41" i="57" s="1"/>
  <c r="AD41" i="57" s="1"/>
  <c r="AM41" i="57"/>
  <c r="AR40" i="57"/>
  <c r="BA40" i="57" s="1"/>
  <c r="AM40" i="57"/>
  <c r="BA39" i="57"/>
  <c r="AD39" i="57" s="1"/>
  <c r="AR39" i="57"/>
  <c r="AM39" i="57"/>
  <c r="AR38" i="57"/>
  <c r="BA38" i="57" s="1"/>
  <c r="AM38" i="57"/>
  <c r="AR36" i="57"/>
  <c r="BA36" i="57" s="1"/>
  <c r="AM36" i="57"/>
  <c r="AR35" i="57"/>
  <c r="BA35" i="57" s="1"/>
  <c r="AM35" i="57"/>
  <c r="AD35" i="57" s="1"/>
  <c r="AR34" i="57"/>
  <c r="BA34" i="57" s="1"/>
  <c r="AM34" i="57"/>
  <c r="AD34" i="57" s="1"/>
  <c r="W34" i="57"/>
  <c r="AR33" i="57"/>
  <c r="BA33" i="57" s="1"/>
  <c r="AM33" i="57"/>
  <c r="Z33" i="57"/>
  <c r="AR31" i="57"/>
  <c r="BA31" i="57" s="1"/>
  <c r="AM31" i="57"/>
  <c r="AR30" i="57"/>
  <c r="BA30" i="57" s="1"/>
  <c r="AM30" i="57"/>
  <c r="AD30" i="57" s="1"/>
  <c r="AR29" i="57"/>
  <c r="BA29" i="57" s="1"/>
  <c r="AM29" i="57"/>
  <c r="AR28" i="57"/>
  <c r="BA28" i="57" s="1"/>
  <c r="AM28" i="57"/>
  <c r="AR26" i="57"/>
  <c r="BA26" i="57" s="1"/>
  <c r="AM26" i="57"/>
  <c r="AR25" i="57"/>
  <c r="BA25" i="57" s="1"/>
  <c r="AD25" i="57" s="1"/>
  <c r="AM25" i="57"/>
  <c r="AR24" i="57"/>
  <c r="BA24" i="57" s="1"/>
  <c r="AM24" i="57"/>
  <c r="AR23" i="57"/>
  <c r="BA23" i="57" s="1"/>
  <c r="AM23" i="57"/>
  <c r="Z23" i="57"/>
  <c r="BA21" i="57"/>
  <c r="AD21" i="57" s="1"/>
  <c r="AR21" i="57"/>
  <c r="AR20" i="57"/>
  <c r="BA20" i="57" s="1"/>
  <c r="AD20" i="57" s="1"/>
  <c r="AR19" i="57"/>
  <c r="BA19" i="57" s="1"/>
  <c r="AM19" i="57"/>
  <c r="AR18" i="57"/>
  <c r="BA18" i="57" s="1"/>
  <c r="AM18" i="57"/>
  <c r="AR17" i="57"/>
  <c r="BA17" i="57" s="1"/>
  <c r="AM17" i="57"/>
  <c r="AR16" i="57"/>
  <c r="BA16" i="57" s="1"/>
  <c r="AM16" i="57"/>
  <c r="AD16" i="57" s="1"/>
  <c r="Z16" i="57"/>
  <c r="R16" i="57"/>
  <c r="AR14" i="57"/>
  <c r="BA14" i="57" s="1"/>
  <c r="AM14" i="57"/>
  <c r="AR13" i="57"/>
  <c r="BA13" i="57" s="1"/>
  <c r="AM13" i="57"/>
  <c r="AR12" i="57"/>
  <c r="BA12" i="57" s="1"/>
  <c r="AM12" i="57"/>
  <c r="AR11" i="57"/>
  <c r="BA11" i="57" s="1"/>
  <c r="AM11" i="57"/>
  <c r="Z11" i="57"/>
  <c r="AR9" i="57"/>
  <c r="BA9" i="57" s="1"/>
  <c r="AM9" i="57"/>
  <c r="AD9" i="57" s="1"/>
  <c r="AR8" i="57"/>
  <c r="BA8" i="57" s="1"/>
  <c r="AM8" i="57"/>
  <c r="AR7" i="57"/>
  <c r="BA7" i="57" s="1"/>
  <c r="AM7" i="57"/>
  <c r="AR6" i="57"/>
  <c r="BA6" i="57" s="1"/>
  <c r="AM6" i="57"/>
  <c r="Z6" i="57"/>
  <c r="AF4" i="54"/>
  <c r="AF3" i="54"/>
  <c r="C26" i="43"/>
  <c r="K12" i="43" s="1"/>
  <c r="W159" i="46" s="1"/>
  <c r="C25" i="43"/>
  <c r="C16" i="43"/>
  <c r="C8" i="43"/>
  <c r="C7" i="43"/>
  <c r="K13" i="43" s="1"/>
  <c r="C26" i="4"/>
  <c r="K13" i="4" s="1"/>
  <c r="W153" i="57" s="1"/>
  <c r="K12" i="4"/>
  <c r="W152" i="57" s="1"/>
  <c r="AD7" i="57" l="1"/>
  <c r="AD11" i="57"/>
  <c r="AD19" i="57"/>
  <c r="AD29" i="57"/>
  <c r="AD75" i="57"/>
  <c r="AD94" i="57"/>
  <c r="AD124" i="57"/>
  <c r="AD152" i="57"/>
  <c r="AD115" i="57"/>
  <c r="AD85" i="57"/>
  <c r="AD134" i="57"/>
  <c r="AD51" i="57"/>
  <c r="K14" i="43"/>
  <c r="AD14" i="57"/>
  <c r="AD36" i="57"/>
  <c r="AD118" i="57"/>
  <c r="AD101" i="57"/>
  <c r="AD40" i="57"/>
  <c r="AD140" i="57"/>
  <c r="W153" i="46"/>
  <c r="AD23" i="57"/>
  <c r="AD57" i="57"/>
  <c r="AD76" i="57"/>
  <c r="AD110" i="57"/>
  <c r="AD145" i="57"/>
  <c r="AD149" i="57"/>
  <c r="AD158" i="57"/>
  <c r="AD26" i="57"/>
  <c r="AD24" i="57"/>
  <c r="AD62" i="57"/>
  <c r="AD86" i="57"/>
  <c r="AD99" i="57"/>
  <c r="AD111" i="57"/>
  <c r="AD120" i="57"/>
  <c r="AD135" i="57"/>
  <c r="W152" i="46"/>
  <c r="AD80" i="57"/>
  <c r="AD8" i="57"/>
  <c r="AD55" i="57"/>
  <c r="AD67" i="57"/>
  <c r="AD138" i="57"/>
  <c r="AD69" i="57"/>
  <c r="AD65" i="57"/>
  <c r="AD125" i="57"/>
  <c r="W157" i="57"/>
  <c r="W157" i="46"/>
  <c r="W158" i="57"/>
  <c r="W158" i="46"/>
  <c r="AD6" i="57"/>
  <c r="AD106" i="57"/>
  <c r="AD60" i="57"/>
  <c r="AD102" i="57"/>
  <c r="AD59" i="57"/>
  <c r="AD84" i="57"/>
  <c r="AD109" i="57"/>
  <c r="AD114" i="57"/>
  <c r="AD119" i="57"/>
  <c r="AD129" i="57"/>
  <c r="AD147" i="57"/>
  <c r="AD157" i="57"/>
  <c r="W159" i="57"/>
  <c r="AD97" i="57"/>
  <c r="AD82" i="57"/>
  <c r="AD95" i="57"/>
  <c r="AD45" i="57"/>
  <c r="AD92" i="57"/>
  <c r="AD100" i="57"/>
  <c r="AD113" i="57"/>
  <c r="AD123" i="57"/>
  <c r="AD128" i="57"/>
  <c r="AD49" i="57"/>
  <c r="AD87" i="57"/>
  <c r="AD154" i="57"/>
  <c r="AD72" i="57"/>
  <c r="AD130" i="57"/>
  <c r="AD132" i="57"/>
  <c r="AD159" i="57"/>
  <c r="AD46" i="57"/>
  <c r="AD66" i="57"/>
  <c r="AD89" i="57"/>
  <c r="AD103" i="57"/>
  <c r="AD144" i="57"/>
  <c r="AD79" i="57"/>
  <c r="AD137" i="57"/>
  <c r="AD77" i="57"/>
  <c r="AD150" i="57"/>
  <c r="AD70" i="57"/>
  <c r="AD81" i="57"/>
  <c r="AD139" i="57"/>
  <c r="AD160" i="57"/>
  <c r="AD18" i="57"/>
  <c r="AD44" i="57"/>
  <c r="AD48" i="57"/>
  <c r="AD54" i="57"/>
  <c r="AD122" i="57"/>
  <c r="AD71" i="57"/>
  <c r="AD90" i="57"/>
  <c r="AD12" i="57"/>
  <c r="AD31" i="57"/>
  <c r="AD155" i="57"/>
  <c r="AD142" i="57"/>
  <c r="AD148" i="57"/>
  <c r="AD13" i="57"/>
  <c r="AD28" i="57"/>
  <c r="AD38" i="57"/>
  <c r="AD56" i="57"/>
  <c r="AD64" i="57"/>
  <c r="AD91" i="57"/>
  <c r="AD17" i="57"/>
  <c r="AD33" i="57"/>
  <c r="AD127" i="57"/>
  <c r="AD153" i="57"/>
  <c r="F98" i="47"/>
  <c r="F96" i="47"/>
  <c r="E99" i="47"/>
  <c r="G99" i="47" s="1"/>
  <c r="H99" i="47" s="1"/>
  <c r="O159" i="57" s="1"/>
  <c r="U159" i="57" s="1"/>
  <c r="E97" i="47"/>
  <c r="E98" i="47"/>
  <c r="G98" i="47" s="1"/>
  <c r="H98" i="47" s="1"/>
  <c r="O158" i="57" s="1"/>
  <c r="P158" i="57" s="1"/>
  <c r="E96" i="47"/>
  <c r="G96" i="47" s="1"/>
  <c r="F93" i="47"/>
  <c r="E94" i="47"/>
  <c r="G94" i="47" s="1"/>
  <c r="H94" i="47" s="1"/>
  <c r="E93" i="47"/>
  <c r="H96" i="47" l="1"/>
  <c r="O153" i="57"/>
  <c r="O153" i="46"/>
  <c r="O157" i="57"/>
  <c r="O157" i="46"/>
  <c r="T158" i="57"/>
  <c r="O158" i="46"/>
  <c r="C159" i="57"/>
  <c r="K159" i="57"/>
  <c r="V159" i="57"/>
  <c r="T159" i="57"/>
  <c r="P159" i="57"/>
  <c r="K158" i="57"/>
  <c r="C158" i="57"/>
  <c r="V158" i="57"/>
  <c r="U158" i="57"/>
  <c r="O159" i="46"/>
  <c r="G93" i="47"/>
  <c r="H93" i="47" s="1"/>
  <c r="G7" i="54"/>
  <c r="AG4" i="54"/>
  <c r="AG3" i="54"/>
  <c r="O152" i="57" l="1"/>
  <c r="O152" i="46"/>
  <c r="C157" i="57"/>
  <c r="K157" i="57"/>
  <c r="P157" i="57"/>
  <c r="V157" i="57"/>
  <c r="U157" i="57"/>
  <c r="T157" i="57"/>
  <c r="Y157" i="46"/>
  <c r="Y157" i="57"/>
  <c r="C153" i="57"/>
  <c r="K153" i="57"/>
  <c r="U153" i="57"/>
  <c r="T153" i="57"/>
  <c r="P153" i="57"/>
  <c r="V153" i="57"/>
  <c r="X157" i="57" l="1"/>
  <c r="BA39" i="48"/>
  <c r="AC157" i="57"/>
  <c r="C152" i="57"/>
  <c r="K152" i="57"/>
  <c r="U152" i="57"/>
  <c r="T152" i="57"/>
  <c r="P152" i="57"/>
  <c r="V152" i="57"/>
  <c r="AQ40" i="2"/>
  <c r="AQ39" i="2"/>
  <c r="G40" i="2"/>
  <c r="G39" i="2"/>
  <c r="AC152" i="57" l="1"/>
  <c r="X152" i="57"/>
  <c r="BA38" i="48"/>
  <c r="BF164" i="57"/>
  <c r="BE164" i="57"/>
  <c r="BD164" i="57"/>
  <c r="BC164" i="57"/>
  <c r="BB164" i="57"/>
  <c r="AZ164" i="57"/>
  <c r="AY164" i="57"/>
  <c r="AX164" i="57"/>
  <c r="AW164" i="57"/>
  <c r="AV164" i="57"/>
  <c r="AU164" i="57"/>
  <c r="AT164" i="57"/>
  <c r="AS164" i="57"/>
  <c r="AQ164" i="57"/>
  <c r="AP164" i="57"/>
  <c r="AO164" i="57"/>
  <c r="AN164" i="57"/>
  <c r="AL164" i="57"/>
  <c r="AK164" i="57"/>
  <c r="AJ164" i="57"/>
  <c r="AI164" i="57"/>
  <c r="AH164" i="57"/>
  <c r="AG164" i="57"/>
  <c r="AF164" i="57"/>
  <c r="Y164" i="57"/>
  <c r="Y166" i="57" s="1"/>
  <c r="R164" i="57"/>
  <c r="Q164" i="57"/>
  <c r="Q165" i="57" s="1"/>
  <c r="AR163" i="57"/>
  <c r="AM163" i="57"/>
  <c r="AC163" i="57"/>
  <c r="AA163" i="57"/>
  <c r="AR162" i="57"/>
  <c r="AM162" i="57"/>
  <c r="AC162" i="57"/>
  <c r="AA162" i="57"/>
  <c r="S164" i="57"/>
  <c r="AR164" i="57" l="1"/>
  <c r="BB166" i="57"/>
  <c r="BC166" i="57"/>
  <c r="BD166" i="57"/>
  <c r="R165" i="57"/>
  <c r="BE166" i="57"/>
  <c r="BF166" i="57"/>
  <c r="S166" i="57"/>
  <c r="S165" i="57"/>
  <c r="AM164" i="57"/>
  <c r="BA164" i="57"/>
  <c r="R166" i="57" s="1"/>
  <c r="AP39" i="48"/>
  <c r="AP38" i="48"/>
  <c r="AD164" i="57" l="1"/>
  <c r="T9" i="56" s="1"/>
  <c r="N159" i="46"/>
  <c r="C159" i="46"/>
  <c r="U157" i="46"/>
  <c r="N157" i="46"/>
  <c r="AM157" i="46"/>
  <c r="AR157" i="46"/>
  <c r="BA157" i="46" s="1"/>
  <c r="N158" i="46"/>
  <c r="P158" i="46"/>
  <c r="AM158" i="46"/>
  <c r="AR158" i="46"/>
  <c r="BA158" i="46" s="1"/>
  <c r="AM159" i="46"/>
  <c r="AR159" i="46"/>
  <c r="BA159" i="46" s="1"/>
  <c r="AM160" i="46"/>
  <c r="AR160" i="46"/>
  <c r="BA160" i="46" s="1"/>
  <c r="U153" i="46"/>
  <c r="N153" i="46"/>
  <c r="U152" i="46"/>
  <c r="N152" i="46"/>
  <c r="AR155" i="46"/>
  <c r="BA155" i="46" s="1"/>
  <c r="AM155" i="46"/>
  <c r="AR154" i="46"/>
  <c r="BA154" i="46" s="1"/>
  <c r="AM154" i="46"/>
  <c r="AR153" i="46"/>
  <c r="BA153" i="46" s="1"/>
  <c r="AM153" i="46"/>
  <c r="AR152" i="46"/>
  <c r="BA152" i="46" s="1"/>
  <c r="AM152" i="46"/>
  <c r="F26" i="43"/>
  <c r="F17" i="43"/>
  <c r="F9" i="43"/>
  <c r="I38" i="43"/>
  <c r="I96" i="47" s="1"/>
  <c r="G42" i="43"/>
  <c r="I37" i="43" s="1"/>
  <c r="F42" i="43"/>
  <c r="AB31" i="43"/>
  <c r="AB32" i="43"/>
  <c r="AB26" i="43"/>
  <c r="AB25" i="43" s="1"/>
  <c r="AC25" i="43" s="1"/>
  <c r="AA25" i="43"/>
  <c r="AA26" i="43"/>
  <c r="AC29" i="43"/>
  <c r="AB29" i="43"/>
  <c r="AA24" i="43"/>
  <c r="AD24" i="43" s="1"/>
  <c r="AC20" i="43"/>
  <c r="AB20" i="43"/>
  <c r="AC17" i="43"/>
  <c r="AA17" i="43"/>
  <c r="AD17" i="43" s="1"/>
  <c r="AC16" i="43"/>
  <c r="AA16" i="43"/>
  <c r="AD16" i="43" s="1"/>
  <c r="AB15" i="43"/>
  <c r="AC15" i="43" s="1"/>
  <c r="AA15" i="43"/>
  <c r="AC14" i="43"/>
  <c r="AA14" i="43"/>
  <c r="AD14" i="43" s="1"/>
  <c r="AA7" i="43"/>
  <c r="AC12" i="43"/>
  <c r="AB12" i="43"/>
  <c r="AC9" i="43"/>
  <c r="AA9" i="43"/>
  <c r="AD9" i="43" s="1"/>
  <c r="AC8" i="43"/>
  <c r="AA8" i="43"/>
  <c r="AD8" i="43" s="1"/>
  <c r="AB7" i="43"/>
  <c r="AC7" i="43" s="1"/>
  <c r="AC6" i="43"/>
  <c r="AA6" i="43"/>
  <c r="AD6" i="43" s="1"/>
  <c r="J4" i="43"/>
  <c r="F26" i="4"/>
  <c r="I38" i="4"/>
  <c r="I93" i="47" s="1"/>
  <c r="AA33" i="4"/>
  <c r="AA34" i="4" s="1"/>
  <c r="AB30" i="4"/>
  <c r="AA30" i="4"/>
  <c r="AB27" i="4"/>
  <c r="Z27" i="4"/>
  <c r="AC27" i="4" s="1"/>
  <c r="AB26" i="4"/>
  <c r="Z26" i="4"/>
  <c r="AC26" i="4" s="1"/>
  <c r="AA25" i="4"/>
  <c r="Z25" i="4"/>
  <c r="AB24" i="4"/>
  <c r="Z24" i="4"/>
  <c r="AC24" i="4" s="1"/>
  <c r="AA15" i="4"/>
  <c r="AB15" i="4" s="1"/>
  <c r="Z16" i="4"/>
  <c r="AB21" i="4"/>
  <c r="AA21" i="4"/>
  <c r="AB18" i="4"/>
  <c r="Z18" i="4"/>
  <c r="AC18" i="4" s="1"/>
  <c r="AB17" i="4"/>
  <c r="Z17" i="4"/>
  <c r="AC17" i="4" s="1"/>
  <c r="Z15" i="4"/>
  <c r="AB12" i="4"/>
  <c r="AA12" i="4"/>
  <c r="AB9" i="4"/>
  <c r="Z9" i="4"/>
  <c r="AC9" i="4" s="1"/>
  <c r="AB8" i="4"/>
  <c r="Z8" i="4"/>
  <c r="AC8" i="4" s="1"/>
  <c r="AA10" i="4"/>
  <c r="Z7" i="4"/>
  <c r="AC7" i="4" s="1"/>
  <c r="AB6" i="4"/>
  <c r="Z6" i="4"/>
  <c r="AC6" i="4" s="1"/>
  <c r="J4" i="4"/>
  <c r="AB34" i="43" l="1"/>
  <c r="AA16" i="4"/>
  <c r="AB16" i="4" s="1"/>
  <c r="C158" i="46"/>
  <c r="AD152" i="46"/>
  <c r="AD158" i="46"/>
  <c r="AD157" i="46"/>
  <c r="AD155" i="46"/>
  <c r="T159" i="46"/>
  <c r="AC10" i="43"/>
  <c r="V152" i="46"/>
  <c r="AD160" i="46"/>
  <c r="P159" i="46"/>
  <c r="U158" i="46"/>
  <c r="AD26" i="43"/>
  <c r="T158" i="46"/>
  <c r="AD15" i="43"/>
  <c r="AD18" i="43" s="1"/>
  <c r="AD19" i="43" s="1"/>
  <c r="V153" i="46"/>
  <c r="AD159" i="46"/>
  <c r="V157" i="46"/>
  <c r="J158" i="46"/>
  <c r="K158" i="46"/>
  <c r="V158" i="46"/>
  <c r="J159" i="46"/>
  <c r="K159" i="46"/>
  <c r="V159" i="46"/>
  <c r="U159" i="46"/>
  <c r="P157" i="46"/>
  <c r="T157" i="46"/>
  <c r="C157" i="46"/>
  <c r="N39" i="48" s="1"/>
  <c r="H157" i="46"/>
  <c r="AD154" i="46"/>
  <c r="AD153" i="46"/>
  <c r="P153" i="46"/>
  <c r="T153" i="46"/>
  <c r="C153" i="46"/>
  <c r="H153" i="46"/>
  <c r="C152" i="46"/>
  <c r="T152" i="46"/>
  <c r="P152" i="46"/>
  <c r="AD25" i="43"/>
  <c r="AC26" i="43"/>
  <c r="AC24" i="43"/>
  <c r="AB27" i="43"/>
  <c r="AC18" i="43"/>
  <c r="AB18" i="43"/>
  <c r="AB10" i="43"/>
  <c r="AD7" i="43"/>
  <c r="AD10" i="43" s="1"/>
  <c r="AD11" i="43" s="1"/>
  <c r="AC25" i="4"/>
  <c r="AC28" i="4" s="1"/>
  <c r="AB25" i="4"/>
  <c r="AB28" i="4" s="1"/>
  <c r="AA28" i="4"/>
  <c r="AC16" i="4"/>
  <c r="AC15" i="4"/>
  <c r="AB19" i="4"/>
  <c r="AA19" i="4"/>
  <c r="AC10" i="4"/>
  <c r="AC11" i="4" s="1"/>
  <c r="AB7" i="4"/>
  <c r="AB10" i="4" s="1"/>
  <c r="AB11" i="4" s="1"/>
  <c r="AC11" i="43" l="1"/>
  <c r="AD27" i="43"/>
  <c r="N38" i="48"/>
  <c r="AC19" i="4"/>
  <c r="AC20" i="4" s="1"/>
  <c r="J157" i="46"/>
  <c r="K157" i="46"/>
  <c r="J153" i="46"/>
  <c r="K153" i="46"/>
  <c r="K152" i="46"/>
  <c r="J152" i="46"/>
  <c r="AC27" i="43"/>
  <c r="AC28" i="43" s="1"/>
  <c r="AD28" i="43"/>
  <c r="AC19" i="43"/>
  <c r="AB29" i="4"/>
  <c r="AC29" i="4"/>
  <c r="AB20" i="4"/>
  <c r="X152" i="46" l="1"/>
  <c r="AC152" i="46"/>
  <c r="L38" i="48"/>
  <c r="AC157" i="46"/>
  <c r="L39" i="48"/>
  <c r="X157" i="46"/>
  <c r="X4" i="54" l="1"/>
  <c r="X3" i="54"/>
  <c r="Y4" i="54"/>
  <c r="Y3" i="54"/>
  <c r="Z4" i="54"/>
  <c r="Z3" i="54"/>
  <c r="AA4" i="54"/>
  <c r="AA3" i="54"/>
  <c r="AB4" i="54"/>
  <c r="AB3" i="54"/>
  <c r="AC3" i="54"/>
  <c r="AC4" i="54"/>
  <c r="AD4" i="54" l="1"/>
  <c r="AD3" i="54"/>
  <c r="I38" i="37" l="1"/>
  <c r="AQ38" i="2" l="1"/>
  <c r="G38" i="2"/>
  <c r="Z148" i="46"/>
  <c r="K13" i="37"/>
  <c r="W147" i="57" s="1"/>
  <c r="K12" i="37"/>
  <c r="W148" i="57" s="1"/>
  <c r="W147" i="46"/>
  <c r="I88" i="47"/>
  <c r="G90" i="47"/>
  <c r="F89" i="47"/>
  <c r="E91" i="47"/>
  <c r="G91" i="47" s="1"/>
  <c r="E90" i="47"/>
  <c r="E89" i="47"/>
  <c r="E88" i="47"/>
  <c r="G88" i="47" s="1"/>
  <c r="H88" i="47" l="1"/>
  <c r="O147" i="57" s="1"/>
  <c r="H90" i="47"/>
  <c r="O148" i="57" s="1"/>
  <c r="W148" i="46"/>
  <c r="G89" i="47"/>
  <c r="O147" i="46" l="1"/>
  <c r="K148" i="57"/>
  <c r="C148" i="57"/>
  <c r="U148" i="57"/>
  <c r="P148" i="57"/>
  <c r="T148" i="57"/>
  <c r="V148" i="57"/>
  <c r="C147" i="57"/>
  <c r="K147" i="57"/>
  <c r="U147" i="57"/>
  <c r="V147" i="57"/>
  <c r="T147" i="57"/>
  <c r="P147" i="57"/>
  <c r="O148" i="46"/>
  <c r="AP37" i="48"/>
  <c r="AC147" i="57" l="1"/>
  <c r="X147" i="57"/>
  <c r="BA37" i="48"/>
  <c r="S148" i="46"/>
  <c r="N148" i="46"/>
  <c r="AR150" i="46"/>
  <c r="BA150" i="46" s="1"/>
  <c r="AM150" i="46"/>
  <c r="AR149" i="46"/>
  <c r="BA149" i="46" s="1"/>
  <c r="AM149" i="46"/>
  <c r="AR148" i="46"/>
  <c r="BA148" i="46" s="1"/>
  <c r="AM148" i="46"/>
  <c r="AR147" i="46"/>
  <c r="BA147" i="46" s="1"/>
  <c r="AM147" i="46"/>
  <c r="T147" i="46"/>
  <c r="N147" i="46"/>
  <c r="AA33" i="37"/>
  <c r="AA35" i="37" s="1"/>
  <c r="AA24" i="37"/>
  <c r="AB24" i="37" s="1"/>
  <c r="AA7" i="37"/>
  <c r="AB7" i="37" s="1"/>
  <c r="AB30" i="37"/>
  <c r="AA30" i="37"/>
  <c r="AB27" i="37"/>
  <c r="Z27" i="37"/>
  <c r="AC27" i="37" s="1"/>
  <c r="AB26" i="37"/>
  <c r="Z26" i="37"/>
  <c r="AC26" i="37" s="1"/>
  <c r="Z25" i="37"/>
  <c r="Z24" i="37"/>
  <c r="AB12" i="37"/>
  <c r="AA12" i="37"/>
  <c r="AB9" i="37"/>
  <c r="Z9" i="37"/>
  <c r="AC9" i="37" s="1"/>
  <c r="AB8" i="37"/>
  <c r="Z8" i="37"/>
  <c r="AC8" i="37" s="1"/>
  <c r="Z7" i="37"/>
  <c r="Z6" i="37"/>
  <c r="AC6" i="37" s="1"/>
  <c r="J4" i="37"/>
  <c r="U147" i="46" l="1"/>
  <c r="AD149" i="46"/>
  <c r="AD147" i="46"/>
  <c r="C147" i="46"/>
  <c r="AD150" i="46"/>
  <c r="V147" i="46"/>
  <c r="AD148" i="46"/>
  <c r="P148" i="46"/>
  <c r="H147" i="46"/>
  <c r="K147" i="46" s="1"/>
  <c r="K148" i="46"/>
  <c r="J148" i="46"/>
  <c r="V148" i="46"/>
  <c r="U148" i="46"/>
  <c r="C148" i="46"/>
  <c r="T148" i="46"/>
  <c r="P147" i="46"/>
  <c r="AC25" i="37"/>
  <c r="AC24" i="37"/>
  <c r="AA28" i="37"/>
  <c r="AB25" i="37"/>
  <c r="AB28" i="37" s="1"/>
  <c r="AB29" i="37" s="1"/>
  <c r="AA10" i="37"/>
  <c r="AC7" i="37"/>
  <c r="AC10" i="37" s="1"/>
  <c r="AB6" i="37"/>
  <c r="AB10" i="37" s="1"/>
  <c r="N37" i="48" l="1"/>
  <c r="AB11" i="37"/>
  <c r="J147" i="46"/>
  <c r="AC11" i="37"/>
  <c r="AC147" i="46"/>
  <c r="L37" i="48"/>
  <c r="X147" i="46"/>
  <c r="AC28" i="37"/>
  <c r="AC29" i="37" s="1"/>
  <c r="E85" i="47" l="1"/>
  <c r="F85" i="47"/>
  <c r="G85" i="47" s="1"/>
  <c r="E86" i="47" l="1"/>
  <c r="G86" i="47" s="1"/>
  <c r="H85" i="47" l="1"/>
  <c r="O142" i="57" s="1"/>
  <c r="AQ37" i="2"/>
  <c r="G37" i="2"/>
  <c r="O142" i="46" l="1"/>
  <c r="C142" i="57"/>
  <c r="K142" i="57"/>
  <c r="T142" i="57"/>
  <c r="U142" i="57"/>
  <c r="V142" i="57"/>
  <c r="P142" i="57"/>
  <c r="BA36" i="48"/>
  <c r="AP36" i="48"/>
  <c r="AC142" i="57" l="1"/>
  <c r="AR145" i="46"/>
  <c r="BA145" i="46" s="1"/>
  <c r="AM145" i="46"/>
  <c r="AR144" i="46"/>
  <c r="BA144" i="46" s="1"/>
  <c r="AM144" i="46"/>
  <c r="AR143" i="46"/>
  <c r="BA143" i="46" s="1"/>
  <c r="AM143" i="46"/>
  <c r="AD143" i="46" s="1"/>
  <c r="AR142" i="46"/>
  <c r="BA142" i="46" s="1"/>
  <c r="AM142" i="46"/>
  <c r="U142" i="46"/>
  <c r="T142" i="46"/>
  <c r="P142" i="46"/>
  <c r="N142" i="46"/>
  <c r="V142" i="46" s="1"/>
  <c r="C142" i="46"/>
  <c r="N36" i="48" s="1"/>
  <c r="F26" i="6"/>
  <c r="F9" i="6"/>
  <c r="I38" i="6"/>
  <c r="I85" i="47" s="1"/>
  <c r="AA24" i="6"/>
  <c r="AB24" i="6" s="1"/>
  <c r="AB30" i="6"/>
  <c r="AA30" i="6"/>
  <c r="AB27" i="6"/>
  <c r="Z27" i="6"/>
  <c r="AC27" i="6" s="1"/>
  <c r="AB26" i="6"/>
  <c r="Z26" i="6"/>
  <c r="AC26" i="6" s="1"/>
  <c r="AA25" i="6"/>
  <c r="AB25" i="6" s="1"/>
  <c r="Z25" i="6"/>
  <c r="Z24" i="6"/>
  <c r="AA15" i="6"/>
  <c r="AA16" i="6" s="1"/>
  <c r="AB16" i="6" s="1"/>
  <c r="AB21" i="6"/>
  <c r="AA21" i="6"/>
  <c r="AB18" i="6"/>
  <c r="Z18" i="6"/>
  <c r="AC18" i="6" s="1"/>
  <c r="AB17" i="6"/>
  <c r="Z17" i="6"/>
  <c r="AC17" i="6" s="1"/>
  <c r="Z16" i="6"/>
  <c r="Z15" i="6"/>
  <c r="AA8" i="6"/>
  <c r="AB8" i="6" s="1"/>
  <c r="AA7" i="6"/>
  <c r="AB7" i="6" s="1"/>
  <c r="AA6" i="6"/>
  <c r="AB6" i="6" s="1"/>
  <c r="Z7" i="6"/>
  <c r="Z8" i="6"/>
  <c r="AB12" i="6"/>
  <c r="AA12" i="6"/>
  <c r="AB9" i="6"/>
  <c r="Z9" i="6"/>
  <c r="AC9" i="6" s="1"/>
  <c r="Z6" i="6"/>
  <c r="J4" i="6"/>
  <c r="AB15" i="6" l="1"/>
  <c r="AC8" i="6"/>
  <c r="AC7" i="6"/>
  <c r="AC15" i="6"/>
  <c r="AB10" i="6"/>
  <c r="AD144" i="46"/>
  <c r="AD142" i="46"/>
  <c r="H142" i="46"/>
  <c r="AD145" i="46"/>
  <c r="AC24" i="6"/>
  <c r="AB28" i="6"/>
  <c r="AC25" i="6"/>
  <c r="AA28" i="6"/>
  <c r="AC16" i="6"/>
  <c r="AC19" i="6" s="1"/>
  <c r="AB19" i="6"/>
  <c r="AA19" i="6"/>
  <c r="AC6" i="6"/>
  <c r="AA10" i="6"/>
  <c r="Z137" i="46"/>
  <c r="F83" i="47"/>
  <c r="AC10" i="6" l="1"/>
  <c r="AB11" i="6"/>
  <c r="AC28" i="6"/>
  <c r="AC29" i="6" s="1"/>
  <c r="J142" i="46"/>
  <c r="K142" i="46"/>
  <c r="L36" i="48" s="1"/>
  <c r="AB29" i="6"/>
  <c r="AC20" i="6"/>
  <c r="AB20" i="6"/>
  <c r="AC11" i="6"/>
  <c r="AC142" i="46" l="1"/>
  <c r="E83" i="47" l="1"/>
  <c r="G83" i="47" s="1"/>
  <c r="H83" i="47" s="1"/>
  <c r="O137" i="57" s="1"/>
  <c r="C137" i="57" l="1"/>
  <c r="K137" i="57"/>
  <c r="T137" i="57"/>
  <c r="U137" i="57"/>
  <c r="V137" i="57"/>
  <c r="P137" i="57"/>
  <c r="O137" i="46"/>
  <c r="AQ36" i="2"/>
  <c r="G36" i="2"/>
  <c r="AC137" i="57" l="1"/>
  <c r="U137" i="46"/>
  <c r="N137" i="46"/>
  <c r="V137" i="46" s="1"/>
  <c r="AR140" i="46"/>
  <c r="BA140" i="46" s="1"/>
  <c r="AM140" i="46"/>
  <c r="AR139" i="46"/>
  <c r="BA139" i="46" s="1"/>
  <c r="AM139" i="46"/>
  <c r="AR138" i="46"/>
  <c r="BA138" i="46" s="1"/>
  <c r="AM138" i="46"/>
  <c r="AR137" i="46"/>
  <c r="BA137" i="46" s="1"/>
  <c r="AM137" i="46"/>
  <c r="F26" i="7"/>
  <c r="I38" i="7"/>
  <c r="I83" i="47" s="1"/>
  <c r="G42" i="7"/>
  <c r="I37" i="7" s="1"/>
  <c r="F42" i="7"/>
  <c r="R30" i="7"/>
  <c r="Q30" i="7"/>
  <c r="Q28" i="7"/>
  <c r="R27" i="7"/>
  <c r="P27" i="7"/>
  <c r="S27" i="7" s="1"/>
  <c r="R24" i="7"/>
  <c r="R28" i="7" s="1"/>
  <c r="P24" i="7"/>
  <c r="S24" i="7" s="1"/>
  <c r="P15" i="7"/>
  <c r="S15" i="7" s="1"/>
  <c r="R21" i="7"/>
  <c r="Q21" i="7"/>
  <c r="R18" i="7"/>
  <c r="P18" i="7"/>
  <c r="S18" i="7" s="1"/>
  <c r="R15" i="7"/>
  <c r="Q7" i="7"/>
  <c r="R7" i="7" s="1"/>
  <c r="Q6" i="7"/>
  <c r="R6" i="7" s="1"/>
  <c r="R12" i="7"/>
  <c r="Q12" i="7"/>
  <c r="R9" i="7"/>
  <c r="P9" i="7"/>
  <c r="S9" i="7" s="1"/>
  <c r="P8" i="7"/>
  <c r="P7" i="7"/>
  <c r="P6" i="7"/>
  <c r="J4" i="7"/>
  <c r="R29" i="7" l="1"/>
  <c r="Q8" i="7"/>
  <c r="BA35" i="48"/>
  <c r="S28" i="7"/>
  <c r="S29" i="7" s="1"/>
  <c r="AD138" i="46"/>
  <c r="S8" i="7"/>
  <c r="S6" i="7"/>
  <c r="AD140" i="46"/>
  <c r="AD139" i="46"/>
  <c r="AD137" i="46"/>
  <c r="P137" i="46"/>
  <c r="T137" i="46"/>
  <c r="C137" i="46"/>
  <c r="N35" i="48" s="1"/>
  <c r="H137" i="46"/>
  <c r="Q19" i="7"/>
  <c r="R19" i="7"/>
  <c r="S7" i="7"/>
  <c r="AP35" i="48"/>
  <c r="S10" i="7" l="1"/>
  <c r="R20" i="7"/>
  <c r="Q10" i="7"/>
  <c r="S11" i="7" s="1"/>
  <c r="R8" i="7"/>
  <c r="R10" i="7" s="1"/>
  <c r="J137" i="46"/>
  <c r="K137" i="46"/>
  <c r="L35" i="48" s="1"/>
  <c r="S19" i="7"/>
  <c r="S20" i="7" s="1"/>
  <c r="N114" i="46"/>
  <c r="P23" i="12"/>
  <c r="Z132" i="46"/>
  <c r="R11" i="7" l="1"/>
  <c r="AC137" i="46"/>
  <c r="AQ35" i="2" l="1"/>
  <c r="AI35" i="2"/>
  <c r="G35" i="2"/>
  <c r="AP34" i="48" l="1"/>
  <c r="E81" i="47" l="1"/>
  <c r="G81" i="47" s="1"/>
  <c r="H81" i="47" s="1"/>
  <c r="O133" i="57" s="1"/>
  <c r="E80" i="47"/>
  <c r="K13" i="8"/>
  <c r="W133" i="57" s="1"/>
  <c r="K7" i="8"/>
  <c r="W132" i="57" s="1"/>
  <c r="C133" i="57" l="1"/>
  <c r="K133" i="57"/>
  <c r="P133" i="57"/>
  <c r="T133" i="57"/>
  <c r="V133" i="57"/>
  <c r="U133" i="57"/>
  <c r="W132" i="46"/>
  <c r="W133" i="46"/>
  <c r="O133" i="46"/>
  <c r="G80" i="47"/>
  <c r="H80" i="47" s="1"/>
  <c r="O132" i="57" s="1"/>
  <c r="C132" i="57" l="1"/>
  <c r="K132" i="57"/>
  <c r="P132" i="57"/>
  <c r="V132" i="57"/>
  <c r="U132" i="57"/>
  <c r="AA132" i="57" s="1"/>
  <c r="T132" i="57"/>
  <c r="O132" i="46"/>
  <c r="T132" i="46" s="1"/>
  <c r="N133" i="46"/>
  <c r="H133" i="46" s="1"/>
  <c r="J133" i="46" s="1"/>
  <c r="P133" i="46"/>
  <c r="AR135" i="46"/>
  <c r="BA135" i="46" s="1"/>
  <c r="AM135" i="46"/>
  <c r="AR134" i="46"/>
  <c r="BA134" i="46" s="1"/>
  <c r="AM134" i="46"/>
  <c r="AR133" i="46"/>
  <c r="BA133" i="46" s="1"/>
  <c r="AM133" i="46"/>
  <c r="AR132" i="46"/>
  <c r="BA132" i="46" s="1"/>
  <c r="AM132" i="46"/>
  <c r="N132" i="46"/>
  <c r="H132" i="46" s="1"/>
  <c r="F26" i="8"/>
  <c r="I38" i="8"/>
  <c r="I80" i="47" s="1"/>
  <c r="Q35" i="8"/>
  <c r="Y12" i="8"/>
  <c r="X12" i="8"/>
  <c r="Y9" i="8"/>
  <c r="W9" i="8"/>
  <c r="Z9" i="8" s="1"/>
  <c r="Y8" i="8"/>
  <c r="Z8" i="8"/>
  <c r="Y7" i="8"/>
  <c r="W7" i="8"/>
  <c r="Z7" i="8" s="1"/>
  <c r="X6" i="8"/>
  <c r="Y6" i="8" s="1"/>
  <c r="W6" i="8"/>
  <c r="G42" i="8"/>
  <c r="I37" i="8" s="1"/>
  <c r="F42" i="8"/>
  <c r="Q24" i="8"/>
  <c r="R24" i="8" s="1"/>
  <c r="R30" i="8"/>
  <c r="Q30" i="8"/>
  <c r="R27" i="8"/>
  <c r="P27" i="8"/>
  <c r="S27" i="8" s="1"/>
  <c r="R26" i="8"/>
  <c r="P26" i="8"/>
  <c r="S26" i="8" s="1"/>
  <c r="P25" i="8"/>
  <c r="P24" i="8"/>
  <c r="P6" i="8"/>
  <c r="R9" i="8"/>
  <c r="P9" i="8"/>
  <c r="S9" i="8" s="1"/>
  <c r="R8" i="8"/>
  <c r="P8" i="8"/>
  <c r="S8" i="8" s="1"/>
  <c r="R7" i="8"/>
  <c r="P7" i="8"/>
  <c r="S7" i="8" s="1"/>
  <c r="Q6" i="8"/>
  <c r="Q10" i="8" s="1"/>
  <c r="J4" i="8"/>
  <c r="K132" i="46" l="1"/>
  <c r="C132" i="46"/>
  <c r="V132" i="46"/>
  <c r="V133" i="46"/>
  <c r="AC132" i="57"/>
  <c r="AB132" i="57" s="1"/>
  <c r="X132" i="57"/>
  <c r="AC132" i="46"/>
  <c r="Z6" i="8"/>
  <c r="R6" i="8"/>
  <c r="R10" i="8" s="1"/>
  <c r="R11" i="8" s="1"/>
  <c r="Q25" i="8"/>
  <c r="R25" i="8" s="1"/>
  <c r="S6" i="8"/>
  <c r="S10" i="8" s="1"/>
  <c r="S11" i="8" s="1"/>
  <c r="U132" i="46"/>
  <c r="AD134" i="46"/>
  <c r="U133" i="46"/>
  <c r="C133" i="46"/>
  <c r="N34" i="48" s="1"/>
  <c r="T133" i="46"/>
  <c r="K133" i="46"/>
  <c r="X132" i="46" s="1"/>
  <c r="AD132" i="46"/>
  <c r="AD133" i="46"/>
  <c r="AD135" i="46"/>
  <c r="J132" i="46"/>
  <c r="P132" i="46"/>
  <c r="Y10" i="8"/>
  <c r="Z10" i="8"/>
  <c r="X10" i="8"/>
  <c r="R28" i="8"/>
  <c r="S24" i="8"/>
  <c r="Q28" i="8"/>
  <c r="Y11" i="8" l="1"/>
  <c r="R29" i="8"/>
  <c r="BA34" i="48"/>
  <c r="S25" i="8"/>
  <c r="S28" i="8" s="1"/>
  <c r="L34" i="48"/>
  <c r="Z11" i="8"/>
  <c r="S29" i="8"/>
  <c r="E78" i="47" l="1"/>
  <c r="G78" i="47" l="1"/>
  <c r="H78" i="47" s="1"/>
  <c r="O127" i="57" s="1"/>
  <c r="C127" i="57" l="1"/>
  <c r="K127" i="57"/>
  <c r="U127" i="57"/>
  <c r="V127" i="57"/>
  <c r="P127" i="57"/>
  <c r="T127" i="57"/>
  <c r="O127" i="46"/>
  <c r="AP33" i="48"/>
  <c r="AC127" i="57" l="1"/>
  <c r="AQ34" i="2"/>
  <c r="AI34" i="2"/>
  <c r="G34" i="2"/>
  <c r="BA33" i="48" l="1"/>
  <c r="AR130" i="46"/>
  <c r="BA130" i="46" s="1"/>
  <c r="AM130" i="46"/>
  <c r="AR129" i="46"/>
  <c r="BA129" i="46" s="1"/>
  <c r="AM129" i="46"/>
  <c r="AR128" i="46"/>
  <c r="BA128" i="46" s="1"/>
  <c r="AM128" i="46"/>
  <c r="AR127" i="46"/>
  <c r="BA127" i="46" s="1"/>
  <c r="AM127" i="46"/>
  <c r="P127" i="46"/>
  <c r="N127" i="46"/>
  <c r="H127" i="46" s="1"/>
  <c r="K127" i="46" s="1"/>
  <c r="L33" i="48" s="1"/>
  <c r="F17" i="9"/>
  <c r="I38" i="9"/>
  <c r="I78" i="47" s="1"/>
  <c r="G42" i="9"/>
  <c r="I37" i="9" s="1"/>
  <c r="F42" i="9"/>
  <c r="Q18" i="9"/>
  <c r="Q17" i="9"/>
  <c r="Q16" i="9"/>
  <c r="P16" i="9"/>
  <c r="S16" i="9" s="1"/>
  <c r="O17" i="9"/>
  <c r="O18" i="9" s="1"/>
  <c r="R19" i="9"/>
  <c r="P19" i="9"/>
  <c r="S19" i="9" s="1"/>
  <c r="P8" i="9"/>
  <c r="S8" i="9" s="1"/>
  <c r="R9" i="9"/>
  <c r="P9" i="9"/>
  <c r="S9" i="9" s="1"/>
  <c r="R8" i="9"/>
  <c r="R7" i="9"/>
  <c r="P7" i="9"/>
  <c r="S7" i="9" s="1"/>
  <c r="Q6" i="9"/>
  <c r="Q10" i="9" s="1"/>
  <c r="P6" i="9"/>
  <c r="J4" i="9"/>
  <c r="AD130" i="46" l="1"/>
  <c r="R18" i="9"/>
  <c r="AD127" i="46"/>
  <c r="S6" i="9"/>
  <c r="S10" i="9" s="1"/>
  <c r="S11" i="9" s="1"/>
  <c r="P18" i="9"/>
  <c r="P17" i="9"/>
  <c r="S17" i="9" s="1"/>
  <c r="AD129" i="46"/>
  <c r="AD128" i="46"/>
  <c r="T127" i="46"/>
  <c r="AC127" i="46" s="1"/>
  <c r="C127" i="46"/>
  <c r="N33" i="48" s="1"/>
  <c r="U127" i="46"/>
  <c r="V127" i="46"/>
  <c r="J127" i="46"/>
  <c r="Q20" i="9"/>
  <c r="S18" i="9"/>
  <c r="R17" i="9"/>
  <c r="R16" i="9"/>
  <c r="R6" i="9"/>
  <c r="R10" i="9" s="1"/>
  <c r="R11" i="9" s="1"/>
  <c r="C23" i="10"/>
  <c r="C14" i="10"/>
  <c r="Z113" i="46"/>
  <c r="F76" i="47"/>
  <c r="E76" i="47"/>
  <c r="F74" i="47"/>
  <c r="E74" i="47"/>
  <c r="G76" i="47" l="1"/>
  <c r="H76" i="47" s="1"/>
  <c r="O122" i="57" s="1"/>
  <c r="S20" i="9"/>
  <c r="S21" i="9" s="1"/>
  <c r="R20" i="9"/>
  <c r="R21" i="9" s="1"/>
  <c r="G74" i="47"/>
  <c r="H74" i="47" s="1"/>
  <c r="O117" i="57" s="1"/>
  <c r="C117" i="57" l="1"/>
  <c r="K117" i="57"/>
  <c r="T117" i="57"/>
  <c r="U117" i="57"/>
  <c r="V117" i="57"/>
  <c r="P117" i="57"/>
  <c r="C122" i="57"/>
  <c r="K122" i="57"/>
  <c r="AC122" i="57" s="1"/>
  <c r="P122" i="57"/>
  <c r="V122" i="57"/>
  <c r="T122" i="57"/>
  <c r="U122" i="57"/>
  <c r="O122" i="46"/>
  <c r="O117" i="46"/>
  <c r="AC117" i="57" l="1"/>
  <c r="BA32" i="48"/>
  <c r="BA31" i="48"/>
  <c r="AP31" i="48" l="1"/>
  <c r="AP32" i="48"/>
  <c r="AP30" i="48"/>
  <c r="AQ33" i="2" l="1"/>
  <c r="AQ32" i="2"/>
  <c r="AI33" i="2"/>
  <c r="AI32" i="2"/>
  <c r="AI31" i="2"/>
  <c r="G33" i="2" l="1"/>
  <c r="G32" i="2"/>
  <c r="AR125" i="46" l="1"/>
  <c r="BA125" i="46" s="1"/>
  <c r="AM125" i="46"/>
  <c r="AR124" i="46"/>
  <c r="BA124" i="46" s="1"/>
  <c r="AM124" i="46"/>
  <c r="AR123" i="46"/>
  <c r="BA123" i="46" s="1"/>
  <c r="AM123" i="46"/>
  <c r="AR122" i="46"/>
  <c r="BA122" i="46" s="1"/>
  <c r="AM122" i="46"/>
  <c r="U122" i="46"/>
  <c r="T122" i="46"/>
  <c r="N122" i="46"/>
  <c r="C122" i="46"/>
  <c r="N32" i="48" s="1"/>
  <c r="P117" i="46"/>
  <c r="N117" i="46"/>
  <c r="AR120" i="46"/>
  <c r="BA120" i="46" s="1"/>
  <c r="AM120" i="46"/>
  <c r="AR119" i="46"/>
  <c r="BA119" i="46" s="1"/>
  <c r="AM119" i="46"/>
  <c r="AR118" i="46"/>
  <c r="BA118" i="46" s="1"/>
  <c r="AM118" i="46"/>
  <c r="AR117" i="46"/>
  <c r="BA117" i="46" s="1"/>
  <c r="AM117" i="46"/>
  <c r="I38" i="10"/>
  <c r="I76" i="47" s="1"/>
  <c r="F17" i="11"/>
  <c r="I38" i="11"/>
  <c r="I74" i="47" s="1"/>
  <c r="G42" i="11"/>
  <c r="I37" i="11" s="1"/>
  <c r="F42" i="11"/>
  <c r="J4" i="10"/>
  <c r="J4" i="11"/>
  <c r="AD125" i="46" l="1"/>
  <c r="AD118" i="46"/>
  <c r="AD120" i="46"/>
  <c r="V117" i="46"/>
  <c r="AD124" i="46"/>
  <c r="AD123" i="46"/>
  <c r="AD122" i="46"/>
  <c r="V122" i="46"/>
  <c r="K122" i="46"/>
  <c r="J122" i="46"/>
  <c r="P122" i="46"/>
  <c r="AD119" i="46"/>
  <c r="T117" i="46"/>
  <c r="H117" i="46"/>
  <c r="U117" i="46"/>
  <c r="C117" i="46"/>
  <c r="N31" i="48" s="1"/>
  <c r="AD117" i="46"/>
  <c r="AC122" i="46" l="1"/>
  <c r="L32" i="48"/>
  <c r="K117" i="46"/>
  <c r="L31" i="48" s="1"/>
  <c r="J117" i="46"/>
  <c r="AC117" i="46" l="1"/>
  <c r="K7" i="12" l="1"/>
  <c r="W114" i="57" s="1"/>
  <c r="K13" i="12"/>
  <c r="W113" i="57" s="1"/>
  <c r="F72" i="47"/>
  <c r="F71" i="47"/>
  <c r="E70" i="47"/>
  <c r="G70" i="47" s="1"/>
  <c r="E71" i="47"/>
  <c r="E72" i="47"/>
  <c r="G71" i="47" l="1"/>
  <c r="G72" i="47"/>
  <c r="H72" i="47" s="1"/>
  <c r="O114" i="57" s="1"/>
  <c r="O114" i="46"/>
  <c r="W113" i="46"/>
  <c r="W114" i="46"/>
  <c r="H70" i="47"/>
  <c r="O113" i="57" s="1"/>
  <c r="C113" i="57" l="1"/>
  <c r="K113" i="57"/>
  <c r="T113" i="57"/>
  <c r="U113" i="57"/>
  <c r="P113" i="57"/>
  <c r="V113" i="57"/>
  <c r="K114" i="57"/>
  <c r="C114" i="57"/>
  <c r="U114" i="57"/>
  <c r="T114" i="57"/>
  <c r="V114" i="57"/>
  <c r="P114" i="57"/>
  <c r="O113" i="46"/>
  <c r="AC113" i="57" l="1"/>
  <c r="X113" i="57"/>
  <c r="KV30" i="1"/>
  <c r="BA30" i="48" l="1"/>
  <c r="AQ31" i="2"/>
  <c r="G31" i="2"/>
  <c r="Q4" i="54" l="1"/>
  <c r="Q3" i="54"/>
  <c r="R4" i="54"/>
  <c r="R3" i="54"/>
  <c r="S4" i="54"/>
  <c r="S3" i="54"/>
  <c r="T4" i="54"/>
  <c r="T3" i="54"/>
  <c r="U4" i="54"/>
  <c r="U3" i="54"/>
  <c r="V4" i="54"/>
  <c r="V3" i="54"/>
  <c r="W4" i="54"/>
  <c r="W3" i="54"/>
  <c r="S114" i="46" l="1"/>
  <c r="C113" i="46"/>
  <c r="N113" i="46"/>
  <c r="J113" i="46"/>
  <c r="AR115" i="46"/>
  <c r="BA115" i="46" s="1"/>
  <c r="AM115" i="46"/>
  <c r="AD115" i="46" s="1"/>
  <c r="AR114" i="46"/>
  <c r="BA114" i="46" s="1"/>
  <c r="AM114" i="46"/>
  <c r="C114" i="46"/>
  <c r="AR113" i="46"/>
  <c r="BA113" i="46" s="1"/>
  <c r="AM113" i="46"/>
  <c r="F17" i="12"/>
  <c r="I38" i="12"/>
  <c r="I70" i="47" s="1"/>
  <c r="X26" i="12"/>
  <c r="V26" i="12"/>
  <c r="Y26" i="12" s="1"/>
  <c r="X25" i="12"/>
  <c r="Y25" i="12"/>
  <c r="X24" i="12"/>
  <c r="Y24" i="12"/>
  <c r="W23" i="12"/>
  <c r="W27" i="12" s="1"/>
  <c r="V23" i="12"/>
  <c r="Q32" i="12"/>
  <c r="Q34" i="12" s="1"/>
  <c r="G42" i="12"/>
  <c r="I37" i="12" s="1"/>
  <c r="F42" i="12"/>
  <c r="Q16" i="12"/>
  <c r="R16" i="12" s="1"/>
  <c r="P16" i="12"/>
  <c r="R18" i="12"/>
  <c r="P18" i="12"/>
  <c r="S18" i="12" s="1"/>
  <c r="R17" i="12"/>
  <c r="P17" i="12"/>
  <c r="S17" i="12" s="1"/>
  <c r="P15" i="12"/>
  <c r="S15" i="12" s="1"/>
  <c r="Q7" i="12"/>
  <c r="R26" i="12"/>
  <c r="P26" i="12"/>
  <c r="S26" i="12" s="1"/>
  <c r="R25" i="12"/>
  <c r="P25" i="12"/>
  <c r="S25" i="12" s="1"/>
  <c r="R24" i="12"/>
  <c r="P24" i="12"/>
  <c r="S24" i="12" s="1"/>
  <c r="Q23" i="12"/>
  <c r="Q27" i="12" s="1"/>
  <c r="P7" i="12"/>
  <c r="R9" i="12"/>
  <c r="P9" i="12"/>
  <c r="S9" i="12" s="1"/>
  <c r="R8" i="12"/>
  <c r="P8" i="12"/>
  <c r="S8" i="12" s="1"/>
  <c r="Q6" i="12"/>
  <c r="P6" i="12"/>
  <c r="S6" i="12" s="1"/>
  <c r="J4" i="12"/>
  <c r="AD113" i="46" l="1"/>
  <c r="Y23" i="12"/>
  <c r="Y27" i="12" s="1"/>
  <c r="Y28" i="12" s="1"/>
  <c r="S23" i="12"/>
  <c r="S27" i="12" s="1"/>
  <c r="S28" i="12" s="1"/>
  <c r="AD114" i="46"/>
  <c r="J114" i="46"/>
  <c r="N30" i="48"/>
  <c r="X23" i="12"/>
  <c r="X27" i="12" s="1"/>
  <c r="X28" i="12" s="1"/>
  <c r="V113" i="46"/>
  <c r="P113" i="46"/>
  <c r="K113" i="46"/>
  <c r="T113" i="46"/>
  <c r="U113" i="46"/>
  <c r="P114" i="46"/>
  <c r="T114" i="46"/>
  <c r="U114" i="46"/>
  <c r="V114" i="46"/>
  <c r="S16" i="12"/>
  <c r="S19" i="12" s="1"/>
  <c r="R15" i="12"/>
  <c r="R19" i="12" s="1"/>
  <c r="Q19" i="12"/>
  <c r="R23" i="12"/>
  <c r="R27" i="12" s="1"/>
  <c r="R28" i="12" s="1"/>
  <c r="R6" i="12"/>
  <c r="AC113" i="46" l="1"/>
  <c r="K114" i="46"/>
  <c r="X113" i="46" s="1"/>
  <c r="S20" i="12"/>
  <c r="R20" i="12"/>
  <c r="S7" i="12"/>
  <c r="S10" i="12" s="1"/>
  <c r="R7" i="12"/>
  <c r="R10" i="12" s="1"/>
  <c r="Q10" i="12"/>
  <c r="L30" i="48" l="1"/>
  <c r="R11" i="12"/>
  <c r="S11" i="12"/>
  <c r="AP29" i="48" l="1"/>
  <c r="AQ30" i="2"/>
  <c r="AI30" i="2"/>
  <c r="G30" i="2"/>
  <c r="Z33" i="46"/>
  <c r="C25" i="13" l="1"/>
  <c r="C17" i="13"/>
  <c r="C16" i="13"/>
  <c r="K12" i="13" s="1"/>
  <c r="W109" i="57" s="1"/>
  <c r="E67" i="47"/>
  <c r="E68" i="47"/>
  <c r="G68" i="47" s="1"/>
  <c r="H68" i="47" s="1"/>
  <c r="O110" i="57" s="1"/>
  <c r="G67" i="47"/>
  <c r="H67" i="47" s="1"/>
  <c r="O109" i="57" s="1"/>
  <c r="C110" i="57" l="1"/>
  <c r="K110" i="57"/>
  <c r="T110" i="57"/>
  <c r="P110" i="57"/>
  <c r="V110" i="57"/>
  <c r="U110" i="57"/>
  <c r="C109" i="57"/>
  <c r="K109" i="57"/>
  <c r="AC109" i="57" s="1"/>
  <c r="T109" i="57"/>
  <c r="P109" i="57"/>
  <c r="V109" i="57"/>
  <c r="U109" i="57"/>
  <c r="O109" i="46"/>
  <c r="K13" i="13"/>
  <c r="W110" i="57" s="1"/>
  <c r="O110" i="46"/>
  <c r="W109" i="46"/>
  <c r="X109" i="57" l="1"/>
  <c r="AA109" i="57"/>
  <c r="AB109" i="57" s="1"/>
  <c r="W110" i="46"/>
  <c r="BA29" i="48"/>
  <c r="AR111" i="46"/>
  <c r="BA111" i="46" s="1"/>
  <c r="AM111" i="46"/>
  <c r="AR110" i="46"/>
  <c r="BA110" i="46" s="1"/>
  <c r="AM110" i="46"/>
  <c r="Z110" i="46"/>
  <c r="U110" i="46"/>
  <c r="N110" i="46"/>
  <c r="K110" i="46" s="1"/>
  <c r="J110" i="46"/>
  <c r="C110" i="46"/>
  <c r="AR109" i="46"/>
  <c r="BA109" i="46" s="1"/>
  <c r="AM109" i="46"/>
  <c r="Z109" i="46"/>
  <c r="C109" i="46"/>
  <c r="N109" i="46"/>
  <c r="K109" i="46" s="1"/>
  <c r="J109" i="46"/>
  <c r="I38" i="13"/>
  <c r="I67" i="47" s="1"/>
  <c r="I37" i="13"/>
  <c r="AA34" i="13"/>
  <c r="AA14" i="13"/>
  <c r="AB14" i="13" s="1"/>
  <c r="Z14" i="13"/>
  <c r="AB17" i="13"/>
  <c r="Z17" i="13"/>
  <c r="AC17" i="13" s="1"/>
  <c r="AB16" i="13"/>
  <c r="Z16" i="13"/>
  <c r="AC16" i="13" s="1"/>
  <c r="AA6" i="13"/>
  <c r="AB9" i="13"/>
  <c r="Z9" i="13"/>
  <c r="AC9" i="13" s="1"/>
  <c r="AB8" i="13"/>
  <c r="Z8" i="13"/>
  <c r="AC8" i="13" s="1"/>
  <c r="Z7" i="13"/>
  <c r="Z6" i="13"/>
  <c r="J4" i="13"/>
  <c r="X109" i="46" l="1"/>
  <c r="AD110" i="46"/>
  <c r="N29" i="48"/>
  <c r="L29" i="48"/>
  <c r="V110" i="46"/>
  <c r="AD109" i="46"/>
  <c r="AD111" i="46"/>
  <c r="T109" i="46"/>
  <c r="AC109" i="46" s="1"/>
  <c r="P109" i="46"/>
  <c r="U109" i="46"/>
  <c r="AA109" i="46" s="1"/>
  <c r="V109" i="46"/>
  <c r="P110" i="46"/>
  <c r="T110" i="46"/>
  <c r="AC14" i="13"/>
  <c r="AA15" i="13"/>
  <c r="AB15" i="13" s="1"/>
  <c r="AB18" i="13" s="1"/>
  <c r="AC6" i="13"/>
  <c r="AB6" i="13"/>
  <c r="AA7" i="13"/>
  <c r="Z106" i="46"/>
  <c r="C25" i="14"/>
  <c r="C7" i="14"/>
  <c r="C26" i="14"/>
  <c r="K12" i="14" s="1"/>
  <c r="W105" i="57" s="1"/>
  <c r="C8" i="14"/>
  <c r="K13" i="14" s="1"/>
  <c r="W106" i="57" s="1"/>
  <c r="F64" i="47"/>
  <c r="E63" i="47"/>
  <c r="E65" i="47"/>
  <c r="E64" i="47"/>
  <c r="G64" i="47" l="1"/>
  <c r="AB109" i="46"/>
  <c r="W106" i="46"/>
  <c r="H64" i="47"/>
  <c r="O106" i="57" s="1"/>
  <c r="AA18" i="13"/>
  <c r="AB19" i="13" s="1"/>
  <c r="AC15" i="13"/>
  <c r="AC18" i="13" s="1"/>
  <c r="AC19" i="13" s="1"/>
  <c r="AC7" i="13"/>
  <c r="AC10" i="13" s="1"/>
  <c r="AC11" i="13" s="1"/>
  <c r="AB7" i="13"/>
  <c r="AB10" i="13" s="1"/>
  <c r="AA10" i="13"/>
  <c r="W105" i="46"/>
  <c r="AP28" i="48"/>
  <c r="C106" i="57" l="1"/>
  <c r="K106" i="57"/>
  <c r="V106" i="57"/>
  <c r="U106" i="57"/>
  <c r="T106" i="57"/>
  <c r="P106" i="57"/>
  <c r="O106" i="46"/>
  <c r="AB11" i="13"/>
  <c r="E62" i="47"/>
  <c r="H62" i="47" l="1"/>
  <c r="O105" i="57" s="1"/>
  <c r="G62" i="47"/>
  <c r="AQ29" i="2"/>
  <c r="AI29" i="2"/>
  <c r="G29" i="2"/>
  <c r="C105" i="57" l="1"/>
  <c r="K105" i="57"/>
  <c r="X105" i="57" s="1"/>
  <c r="V105" i="57"/>
  <c r="P105" i="57"/>
  <c r="T105" i="57"/>
  <c r="AC105" i="57" s="1"/>
  <c r="U105" i="57"/>
  <c r="AA105" i="57" s="1"/>
  <c r="AB105" i="57" s="1"/>
  <c r="O105" i="46"/>
  <c r="K105" i="46" s="1"/>
  <c r="J106" i="46"/>
  <c r="N106" i="46"/>
  <c r="K106" i="46" s="1"/>
  <c r="T106" i="46"/>
  <c r="AR107" i="46"/>
  <c r="BA107" i="46" s="1"/>
  <c r="AM107" i="46"/>
  <c r="AR106" i="46"/>
  <c r="BA106" i="46" s="1"/>
  <c r="AM106" i="46"/>
  <c r="AR105" i="46"/>
  <c r="BA105" i="46" s="1"/>
  <c r="AM105" i="46"/>
  <c r="N105" i="46"/>
  <c r="J105" i="46"/>
  <c r="F26" i="14"/>
  <c r="F17" i="14"/>
  <c r="F9" i="14"/>
  <c r="I38" i="14"/>
  <c r="I62" i="47" s="1"/>
  <c r="I37" i="14"/>
  <c r="Q33" i="14"/>
  <c r="Q32" i="14"/>
  <c r="Q25" i="14"/>
  <c r="R18" i="14"/>
  <c r="P18" i="14"/>
  <c r="S18" i="14" s="1"/>
  <c r="R17" i="14"/>
  <c r="P17" i="14"/>
  <c r="S17" i="14" s="1"/>
  <c r="Q16" i="14"/>
  <c r="R16" i="14" s="1"/>
  <c r="P16" i="14"/>
  <c r="R27" i="14"/>
  <c r="P27" i="14"/>
  <c r="S27" i="14" s="1"/>
  <c r="R26" i="14"/>
  <c r="P26" i="14"/>
  <c r="S26" i="14" s="1"/>
  <c r="P25" i="14"/>
  <c r="R24" i="14"/>
  <c r="P24" i="14"/>
  <c r="Q7" i="14"/>
  <c r="R7" i="14" s="1"/>
  <c r="Q6" i="14"/>
  <c r="R6" i="14" s="1"/>
  <c r="P7" i="14"/>
  <c r="R9" i="14"/>
  <c r="P9" i="14"/>
  <c r="S9" i="14" s="1"/>
  <c r="R8" i="14"/>
  <c r="P8" i="14"/>
  <c r="S8" i="14" s="1"/>
  <c r="P6" i="14"/>
  <c r="J4" i="14"/>
  <c r="U105" i="46" l="1"/>
  <c r="L28" i="48"/>
  <c r="X105" i="46"/>
  <c r="AD107" i="46"/>
  <c r="Q34" i="14"/>
  <c r="AD105" i="46"/>
  <c r="R19" i="14"/>
  <c r="AD106" i="46"/>
  <c r="V106" i="46"/>
  <c r="P106" i="46"/>
  <c r="V105" i="46"/>
  <c r="U106" i="46"/>
  <c r="AA105" i="46" s="1"/>
  <c r="C106" i="46"/>
  <c r="P105" i="46"/>
  <c r="T105" i="46"/>
  <c r="AC105" i="46" s="1"/>
  <c r="C105" i="46"/>
  <c r="S16" i="14"/>
  <c r="S19" i="14" s="1"/>
  <c r="Q19" i="14"/>
  <c r="R25" i="14"/>
  <c r="R28" i="14" s="1"/>
  <c r="Q28" i="14"/>
  <c r="S24" i="14"/>
  <c r="S7" i="14"/>
  <c r="Q10" i="14"/>
  <c r="S6" i="14"/>
  <c r="R10" i="14"/>
  <c r="S10" i="14" l="1"/>
  <c r="S11" i="14"/>
  <c r="R20" i="14"/>
  <c r="AB105" i="46"/>
  <c r="R29" i="14"/>
  <c r="R11" i="14"/>
  <c r="S20" i="14"/>
  <c r="BA28" i="48"/>
  <c r="N28" i="48"/>
  <c r="S25" i="14"/>
  <c r="S28" i="14" s="1"/>
  <c r="S29" i="14" s="1"/>
  <c r="F60" i="47" l="1"/>
  <c r="E60" i="47"/>
  <c r="G60" i="47" s="1"/>
  <c r="H60" i="47" s="1"/>
  <c r="O99" i="57" s="1"/>
  <c r="C99" i="57" l="1"/>
  <c r="K99" i="57"/>
  <c r="U99" i="57"/>
  <c r="T99" i="57"/>
  <c r="P99" i="57"/>
  <c r="V99" i="57"/>
  <c r="O99" i="46"/>
  <c r="AC99" i="57" l="1"/>
  <c r="BA27" i="48"/>
  <c r="AQ28" i="2"/>
  <c r="AI28" i="2"/>
  <c r="G28" i="2"/>
  <c r="AP27" i="48" l="1"/>
  <c r="AR103" i="46" l="1"/>
  <c r="BA103" i="46" s="1"/>
  <c r="AM103" i="46"/>
  <c r="AN102" i="46"/>
  <c r="AR102" i="46" s="1"/>
  <c r="BA102" i="46" s="1"/>
  <c r="R99" i="46"/>
  <c r="G42" i="15"/>
  <c r="I37" i="15" s="1"/>
  <c r="F42" i="15"/>
  <c r="N99" i="46"/>
  <c r="K99" i="46" s="1"/>
  <c r="L27" i="48" s="1"/>
  <c r="J99" i="46"/>
  <c r="C99" i="46"/>
  <c r="N27" i="48" s="1"/>
  <c r="AM102" i="46"/>
  <c r="AR101" i="46"/>
  <c r="BA101" i="46" s="1"/>
  <c r="AM101" i="46"/>
  <c r="AR100" i="46"/>
  <c r="BA100" i="46" s="1"/>
  <c r="AM100" i="46"/>
  <c r="AR99" i="46"/>
  <c r="BA99" i="46" s="1"/>
  <c r="AM99" i="46"/>
  <c r="I38" i="15"/>
  <c r="I60" i="47" s="1"/>
  <c r="N33" i="15"/>
  <c r="Q26" i="15"/>
  <c r="R25" i="15"/>
  <c r="P25" i="15"/>
  <c r="S25" i="15" s="1"/>
  <c r="R24" i="15"/>
  <c r="P24" i="15"/>
  <c r="S24" i="15" s="1"/>
  <c r="R23" i="15"/>
  <c r="P23" i="15"/>
  <c r="S23" i="15" s="1"/>
  <c r="R22" i="15"/>
  <c r="P22" i="15"/>
  <c r="S22" i="15" s="1"/>
  <c r="Q14" i="15"/>
  <c r="R14" i="15" s="1"/>
  <c r="R17" i="15"/>
  <c r="P17" i="15"/>
  <c r="S17" i="15" s="1"/>
  <c r="R16" i="15"/>
  <c r="P16" i="15"/>
  <c r="S16" i="15" s="1"/>
  <c r="P15" i="15"/>
  <c r="P14" i="15"/>
  <c r="R9" i="15"/>
  <c r="P9" i="15"/>
  <c r="S9" i="15" s="1"/>
  <c r="R8" i="15"/>
  <c r="P8" i="15"/>
  <c r="S8" i="15" s="1"/>
  <c r="P7" i="15"/>
  <c r="R6" i="15"/>
  <c r="P6" i="15"/>
  <c r="J4" i="15"/>
  <c r="AD100" i="46" l="1"/>
  <c r="R26" i="15"/>
  <c r="R27" i="15" s="1"/>
  <c r="AD103" i="46"/>
  <c r="S26" i="15"/>
  <c r="S27" i="15" s="1"/>
  <c r="AD102" i="46"/>
  <c r="AD101" i="46"/>
  <c r="AD99" i="46"/>
  <c r="U99" i="46"/>
  <c r="V99" i="46"/>
  <c r="P99" i="46"/>
  <c r="T99" i="46"/>
  <c r="AC99" i="46" s="1"/>
  <c r="S14" i="15"/>
  <c r="R15" i="15"/>
  <c r="S15" i="15"/>
  <c r="R18" i="15"/>
  <c r="Q18" i="15"/>
  <c r="S6" i="15"/>
  <c r="R7" i="15"/>
  <c r="R10" i="15" s="1"/>
  <c r="Q10" i="15"/>
  <c r="S18" i="15" l="1"/>
  <c r="R19" i="15"/>
  <c r="S19" i="15"/>
  <c r="R11" i="15"/>
  <c r="S7" i="15"/>
  <c r="S10" i="15" s="1"/>
  <c r="S11" i="15" s="1"/>
  <c r="C26" i="16" l="1"/>
  <c r="K12" i="16" s="1"/>
  <c r="W95" i="57" s="1"/>
  <c r="C25" i="16"/>
  <c r="K13" i="16" s="1"/>
  <c r="W94" i="57" s="1"/>
  <c r="E57" i="47"/>
  <c r="G57" i="47" s="1"/>
  <c r="H57" i="47" s="1"/>
  <c r="O95" i="57" s="1"/>
  <c r="F58" i="47"/>
  <c r="E58" i="47"/>
  <c r="AP26" i="48"/>
  <c r="C95" i="57" l="1"/>
  <c r="K95" i="57"/>
  <c r="T95" i="57"/>
  <c r="P95" i="57"/>
  <c r="U95" i="57"/>
  <c r="V95" i="57"/>
  <c r="W94" i="46"/>
  <c r="W95" i="46"/>
  <c r="O95" i="46"/>
  <c r="G58" i="47"/>
  <c r="H58" i="47" s="1"/>
  <c r="O94" i="57" s="1"/>
  <c r="C94" i="57" l="1"/>
  <c r="K94" i="57"/>
  <c r="P94" i="57"/>
  <c r="T94" i="57"/>
  <c r="U94" i="57"/>
  <c r="AA94" i="57" s="1"/>
  <c r="V94" i="57"/>
  <c r="O94" i="46"/>
  <c r="AQ27" i="2"/>
  <c r="G27" i="2"/>
  <c r="AC94" i="57" l="1"/>
  <c r="X94" i="57"/>
  <c r="AB94" i="57"/>
  <c r="I38" i="16"/>
  <c r="I57" i="47" s="1"/>
  <c r="BA26" i="48" l="1"/>
  <c r="C94" i="46"/>
  <c r="N94" i="46"/>
  <c r="J94" i="46"/>
  <c r="AR97" i="46"/>
  <c r="BA97" i="46" s="1"/>
  <c r="AM97" i="46"/>
  <c r="AR96" i="46"/>
  <c r="BA96" i="46" s="1"/>
  <c r="AM96" i="46"/>
  <c r="AR95" i="46"/>
  <c r="BA95" i="46" s="1"/>
  <c r="AM95" i="46"/>
  <c r="C95" i="46"/>
  <c r="N95" i="46"/>
  <c r="K95" i="46" s="1"/>
  <c r="J95" i="46"/>
  <c r="AR94" i="46"/>
  <c r="BA94" i="46" s="1"/>
  <c r="AM94" i="46"/>
  <c r="Q34" i="16"/>
  <c r="Q36" i="16" s="1"/>
  <c r="P34" i="16"/>
  <c r="P35" i="16"/>
  <c r="P8" i="16"/>
  <c r="S8" i="16" s="1"/>
  <c r="R9" i="16"/>
  <c r="P9" i="16"/>
  <c r="S9" i="16" s="1"/>
  <c r="R8" i="16"/>
  <c r="P7" i="16"/>
  <c r="P6" i="16"/>
  <c r="S6" i="16" s="1"/>
  <c r="Q24" i="16"/>
  <c r="R24" i="16" s="1"/>
  <c r="P25" i="16"/>
  <c r="R27" i="16"/>
  <c r="P27" i="16"/>
  <c r="S27" i="16" s="1"/>
  <c r="R26" i="16"/>
  <c r="P26" i="16"/>
  <c r="S26" i="16" s="1"/>
  <c r="P24" i="16"/>
  <c r="J4" i="16"/>
  <c r="AD97" i="46" l="1"/>
  <c r="AD95" i="46"/>
  <c r="AD94" i="46"/>
  <c r="N26" i="48"/>
  <c r="Q25" i="16"/>
  <c r="R25" i="16" s="1"/>
  <c r="R28" i="16" s="1"/>
  <c r="V94" i="46"/>
  <c r="AD96" i="46"/>
  <c r="K94" i="46"/>
  <c r="P94" i="46"/>
  <c r="T94" i="46"/>
  <c r="U94" i="46"/>
  <c r="T95" i="46"/>
  <c r="P95" i="46"/>
  <c r="U95" i="46"/>
  <c r="V95" i="46"/>
  <c r="R6" i="16"/>
  <c r="R7" i="16"/>
  <c r="S24" i="16"/>
  <c r="AP25" i="48"/>
  <c r="AP24" i="48"/>
  <c r="Z84" i="46"/>
  <c r="K11" i="17"/>
  <c r="W89" i="57" s="1"/>
  <c r="C26" i="17"/>
  <c r="K13" i="17" s="1"/>
  <c r="W90" i="57" s="1"/>
  <c r="F52" i="47"/>
  <c r="E55" i="47"/>
  <c r="G55" i="47" s="1"/>
  <c r="H55" i="47" s="1"/>
  <c r="O90" i="57" s="1"/>
  <c r="F54" i="47"/>
  <c r="E54" i="47"/>
  <c r="G54" i="47" s="1"/>
  <c r="H54" i="47" s="1"/>
  <c r="O89" i="57" s="1"/>
  <c r="E52" i="47"/>
  <c r="S25" i="16" l="1"/>
  <c r="C90" i="57"/>
  <c r="K90" i="57"/>
  <c r="V90" i="57"/>
  <c r="U90" i="57"/>
  <c r="T90" i="57"/>
  <c r="P90" i="57"/>
  <c r="C89" i="57"/>
  <c r="K89" i="57"/>
  <c r="V89" i="57"/>
  <c r="P89" i="57"/>
  <c r="U89" i="57"/>
  <c r="T89" i="57"/>
  <c r="Q28" i="16"/>
  <c r="W90" i="46"/>
  <c r="W89" i="46"/>
  <c r="S28" i="16"/>
  <c r="AC94" i="46"/>
  <c r="L26" i="48"/>
  <c r="X94" i="46"/>
  <c r="Q10" i="16"/>
  <c r="S7" i="16"/>
  <c r="S10" i="16" s="1"/>
  <c r="R10" i="16"/>
  <c r="R29" i="16"/>
  <c r="O90" i="46"/>
  <c r="O89" i="46"/>
  <c r="G52" i="47"/>
  <c r="H52" i="47" s="1"/>
  <c r="O84" i="57" s="1"/>
  <c r="X89" i="57" l="1"/>
  <c r="AC89" i="57"/>
  <c r="C84" i="57"/>
  <c r="K84" i="57"/>
  <c r="U84" i="57"/>
  <c r="P84" i="57"/>
  <c r="T84" i="57"/>
  <c r="V84" i="57"/>
  <c r="S29" i="16"/>
  <c r="BA25" i="48"/>
  <c r="R11" i="16"/>
  <c r="S11" i="16"/>
  <c r="O84" i="46"/>
  <c r="AQ26" i="2"/>
  <c r="AQ25" i="2"/>
  <c r="G26" i="2"/>
  <c r="G25" i="2"/>
  <c r="AC84" i="57" l="1"/>
  <c r="J90" i="46"/>
  <c r="N90" i="46"/>
  <c r="C90" i="46"/>
  <c r="AR92" i="46"/>
  <c r="BA92" i="46" s="1"/>
  <c r="AM92" i="46"/>
  <c r="AR91" i="46"/>
  <c r="BA91" i="46" s="1"/>
  <c r="AM91" i="46"/>
  <c r="AR90" i="46"/>
  <c r="BA90" i="46" s="1"/>
  <c r="AM90" i="46"/>
  <c r="AR89" i="46"/>
  <c r="BA89" i="46" s="1"/>
  <c r="AM89" i="46"/>
  <c r="T89" i="46"/>
  <c r="N89" i="46"/>
  <c r="K89" i="46" s="1"/>
  <c r="J89" i="46"/>
  <c r="AR87" i="46"/>
  <c r="BA87" i="46" s="1"/>
  <c r="AM87" i="46"/>
  <c r="AR86" i="46"/>
  <c r="BA86" i="46" s="1"/>
  <c r="AM86" i="46"/>
  <c r="AR85" i="46"/>
  <c r="BA85" i="46" s="1"/>
  <c r="AM85" i="46"/>
  <c r="AR84" i="46"/>
  <c r="BA84" i="46" s="1"/>
  <c r="AM84" i="46"/>
  <c r="T84" i="46"/>
  <c r="N84" i="46"/>
  <c r="J84" i="46"/>
  <c r="F9" i="17"/>
  <c r="I38" i="17"/>
  <c r="I54" i="47" s="1"/>
  <c r="Q33" i="17"/>
  <c r="Q34" i="17"/>
  <c r="R26" i="17"/>
  <c r="P26" i="17"/>
  <c r="S26" i="17" s="1"/>
  <c r="R25" i="17"/>
  <c r="P25" i="17"/>
  <c r="S25" i="17" s="1"/>
  <c r="Q24" i="17"/>
  <c r="R24" i="17" s="1"/>
  <c r="P24" i="17"/>
  <c r="R23" i="17"/>
  <c r="P23" i="17"/>
  <c r="S23" i="17" s="1"/>
  <c r="Q15" i="17"/>
  <c r="R15" i="17" s="1"/>
  <c r="P16" i="17"/>
  <c r="R18" i="17"/>
  <c r="P18" i="17"/>
  <c r="S18" i="17" s="1"/>
  <c r="R17" i="17"/>
  <c r="P17" i="17"/>
  <c r="S17" i="17" s="1"/>
  <c r="P15" i="17"/>
  <c r="G42" i="17"/>
  <c r="I37" i="17" s="1"/>
  <c r="F42" i="17"/>
  <c r="R9" i="17"/>
  <c r="P9" i="17"/>
  <c r="S9" i="17" s="1"/>
  <c r="R8" i="17"/>
  <c r="P8" i="17"/>
  <c r="S8" i="17" s="1"/>
  <c r="Q10" i="17"/>
  <c r="S7" i="17"/>
  <c r="R6" i="17"/>
  <c r="P6" i="17"/>
  <c r="S6" i="17" s="1"/>
  <c r="J4" i="17"/>
  <c r="F9" i="18"/>
  <c r="I38" i="18"/>
  <c r="I52" i="47" s="1"/>
  <c r="J4" i="18"/>
  <c r="AC89" i="46" l="1"/>
  <c r="Q35" i="17"/>
  <c r="AD84" i="46"/>
  <c r="AD89" i="46"/>
  <c r="S15" i="17"/>
  <c r="AD85" i="46"/>
  <c r="AD92" i="46"/>
  <c r="BA24" i="48"/>
  <c r="Q16" i="17"/>
  <c r="R16" i="17" s="1"/>
  <c r="R19" i="17" s="1"/>
  <c r="AD87" i="46"/>
  <c r="AD90" i="46"/>
  <c r="V90" i="46"/>
  <c r="V89" i="46"/>
  <c r="U89" i="46"/>
  <c r="C89" i="46"/>
  <c r="N25" i="48" s="1"/>
  <c r="U84" i="46"/>
  <c r="C84" i="46"/>
  <c r="N24" i="48" s="1"/>
  <c r="K84" i="46"/>
  <c r="L24" i="48" s="1"/>
  <c r="P84" i="46"/>
  <c r="V84" i="46"/>
  <c r="U90" i="46"/>
  <c r="AD91" i="46"/>
  <c r="AD86" i="46"/>
  <c r="P90" i="46"/>
  <c r="K90" i="46"/>
  <c r="L25" i="48" s="1"/>
  <c r="T90" i="46"/>
  <c r="P89" i="46"/>
  <c r="S24" i="17"/>
  <c r="S27" i="17" s="1"/>
  <c r="R27" i="17"/>
  <c r="Q27" i="17"/>
  <c r="S10" i="17"/>
  <c r="S11" i="17" s="1"/>
  <c r="R7" i="17"/>
  <c r="R10" i="17" s="1"/>
  <c r="R11" i="17" s="1"/>
  <c r="S16" i="17" l="1"/>
  <c r="S19" i="17" s="1"/>
  <c r="S28" i="17"/>
  <c r="Q19" i="17"/>
  <c r="R20" i="17" s="1"/>
  <c r="AC84" i="46"/>
  <c r="X89" i="46"/>
  <c r="R28" i="17"/>
  <c r="Z79" i="46"/>
  <c r="E50" i="47"/>
  <c r="AP23" i="48"/>
  <c r="S20" i="17" l="1"/>
  <c r="G50" i="47"/>
  <c r="H50" i="47" s="1"/>
  <c r="O79" i="57" s="1"/>
  <c r="K79" i="57" l="1"/>
  <c r="C79" i="57"/>
  <c r="U79" i="57"/>
  <c r="T79" i="57"/>
  <c r="P79" i="57"/>
  <c r="V79" i="57"/>
  <c r="O79" i="46"/>
  <c r="AQ24" i="2"/>
  <c r="G24" i="2"/>
  <c r="AC79" i="57" l="1"/>
  <c r="P4" i="54"/>
  <c r="P3" i="54"/>
  <c r="O4" i="54"/>
  <c r="O3" i="54"/>
  <c r="N4" i="54"/>
  <c r="N3" i="54"/>
  <c r="L4" i="54"/>
  <c r="L3" i="54"/>
  <c r="K4" i="54"/>
  <c r="K3" i="54"/>
  <c r="J4" i="54"/>
  <c r="J3" i="54"/>
  <c r="I4" i="54"/>
  <c r="I3" i="54"/>
  <c r="H4" i="54"/>
  <c r="H3" i="54"/>
  <c r="G4" i="54"/>
  <c r="G3" i="54"/>
  <c r="BA23" i="48" l="1"/>
  <c r="AR82" i="46"/>
  <c r="BA82" i="46" s="1"/>
  <c r="AM82" i="46"/>
  <c r="AR81" i="46"/>
  <c r="BA81" i="46" s="1"/>
  <c r="AM81" i="46"/>
  <c r="AR80" i="46"/>
  <c r="BA80" i="46" s="1"/>
  <c r="AM80" i="46"/>
  <c r="AR79" i="46"/>
  <c r="BA79" i="46" s="1"/>
  <c r="AM79" i="46"/>
  <c r="C79" i="46"/>
  <c r="N23" i="48" s="1"/>
  <c r="N79" i="46"/>
  <c r="J79" i="46"/>
  <c r="J4" i="19"/>
  <c r="I38" i="19"/>
  <c r="I50" i="47" s="1"/>
  <c r="I37" i="19"/>
  <c r="AD80" i="46" l="1"/>
  <c r="AD81" i="46"/>
  <c r="K79" i="46"/>
  <c r="L23" i="48" s="1"/>
  <c r="V79" i="46"/>
  <c r="AD79" i="46"/>
  <c r="AD82" i="46"/>
  <c r="P79" i="46"/>
  <c r="T79" i="46"/>
  <c r="U79" i="46"/>
  <c r="AC79" i="46" l="1"/>
  <c r="AP22" i="48" l="1"/>
  <c r="K12" i="20" l="1"/>
  <c r="W74" i="57" s="1"/>
  <c r="C25" i="20"/>
  <c r="K14" i="20" s="1"/>
  <c r="W75" i="57" s="1"/>
  <c r="F48" i="47"/>
  <c r="E48" i="47"/>
  <c r="E47" i="47"/>
  <c r="E46" i="47"/>
  <c r="G46" i="47" s="1"/>
  <c r="W75" i="46" l="1"/>
  <c r="W74" i="46"/>
  <c r="H46" i="47"/>
  <c r="O74" i="57" s="1"/>
  <c r="G48" i="47"/>
  <c r="H48" i="47" s="1"/>
  <c r="O75" i="57" s="1"/>
  <c r="C74" i="57" l="1"/>
  <c r="K74" i="57"/>
  <c r="U74" i="57"/>
  <c r="V74" i="57"/>
  <c r="P74" i="57"/>
  <c r="T74" i="57"/>
  <c r="C75" i="57"/>
  <c r="K75" i="57"/>
  <c r="P75" i="57"/>
  <c r="T75" i="57"/>
  <c r="U75" i="57"/>
  <c r="AA74" i="57" s="1"/>
  <c r="V75" i="57"/>
  <c r="O75" i="46"/>
  <c r="O74" i="46"/>
  <c r="AC74" i="57" l="1"/>
  <c r="AB74" i="57" s="1"/>
  <c r="X74" i="57"/>
  <c r="AQ23" i="2"/>
  <c r="G23" i="2"/>
  <c r="BA22" i="48" l="1"/>
  <c r="AR77" i="46"/>
  <c r="BA77" i="46" s="1"/>
  <c r="AM77" i="46"/>
  <c r="AR76" i="46"/>
  <c r="BA76" i="46" s="1"/>
  <c r="AM76" i="46"/>
  <c r="AR75" i="46"/>
  <c r="BA75" i="46" s="1"/>
  <c r="AM75" i="46"/>
  <c r="N75" i="46"/>
  <c r="K75" i="46" s="1"/>
  <c r="J75" i="46"/>
  <c r="AR74" i="46"/>
  <c r="BA74" i="46" s="1"/>
  <c r="AM74" i="46"/>
  <c r="Z74" i="46"/>
  <c r="T74" i="46"/>
  <c r="N74" i="46"/>
  <c r="K74" i="46" s="1"/>
  <c r="J74" i="46"/>
  <c r="F26" i="20"/>
  <c r="F17" i="20"/>
  <c r="I38" i="20"/>
  <c r="I46" i="47" s="1"/>
  <c r="I37" i="20"/>
  <c r="R32" i="20"/>
  <c r="R31" i="20"/>
  <c r="R23" i="20"/>
  <c r="S23" i="20" s="1"/>
  <c r="S26" i="20"/>
  <c r="Q26" i="20"/>
  <c r="T26" i="20" s="1"/>
  <c r="S25" i="20"/>
  <c r="Q25" i="20"/>
  <c r="T25" i="20" s="1"/>
  <c r="Q24" i="20"/>
  <c r="Q23" i="20"/>
  <c r="S18" i="20"/>
  <c r="Q18" i="20"/>
  <c r="T18" i="20" s="1"/>
  <c r="S17" i="20"/>
  <c r="Q17" i="20"/>
  <c r="T17" i="20" s="1"/>
  <c r="R16" i="20"/>
  <c r="R19" i="20" s="1"/>
  <c r="Q16" i="20"/>
  <c r="S15" i="20"/>
  <c r="Q15" i="20"/>
  <c r="T15" i="20" s="1"/>
  <c r="R6" i="20"/>
  <c r="R7" i="20" s="1"/>
  <c r="S7" i="20" s="1"/>
  <c r="S9" i="20"/>
  <c r="Q9" i="20"/>
  <c r="T9" i="20" s="1"/>
  <c r="S8" i="20"/>
  <c r="Q8" i="20"/>
  <c r="T8" i="20" s="1"/>
  <c r="Q7" i="20"/>
  <c r="Q6" i="20"/>
  <c r="J4" i="20"/>
  <c r="T6" i="20" l="1"/>
  <c r="R33" i="20"/>
  <c r="T23" i="20"/>
  <c r="R24" i="20"/>
  <c r="R27" i="20" s="1"/>
  <c r="S6" i="20"/>
  <c r="T7" i="20"/>
  <c r="T10" i="20" s="1"/>
  <c r="AD77" i="46"/>
  <c r="AD75" i="46"/>
  <c r="AC74" i="46"/>
  <c r="V75" i="46"/>
  <c r="L22" i="48"/>
  <c r="AD76" i="46"/>
  <c r="AD74" i="46"/>
  <c r="X74" i="46"/>
  <c r="U75" i="46"/>
  <c r="U74" i="46"/>
  <c r="C74" i="46"/>
  <c r="V74" i="46"/>
  <c r="P75" i="46"/>
  <c r="T75" i="46"/>
  <c r="C75" i="46"/>
  <c r="P74" i="46"/>
  <c r="T24" i="20"/>
  <c r="T27" i="20"/>
  <c r="T28" i="20" s="1"/>
  <c r="T16" i="20"/>
  <c r="T19" i="20"/>
  <c r="T20" i="20" s="1"/>
  <c r="S16" i="20"/>
  <c r="S19" i="20" s="1"/>
  <c r="S20" i="20" s="1"/>
  <c r="R10" i="20"/>
  <c r="S10" i="20"/>
  <c r="AP21" i="48"/>
  <c r="S24" i="20" l="1"/>
  <c r="S27" i="20" s="1"/>
  <c r="S28" i="20" s="1"/>
  <c r="S11" i="20"/>
  <c r="T11" i="20"/>
  <c r="N22" i="48"/>
  <c r="AA74" i="46"/>
  <c r="AB74" i="46" s="1"/>
  <c r="C16" i="22"/>
  <c r="C8" i="22"/>
  <c r="K12" i="22" s="1"/>
  <c r="W70" i="57" s="1"/>
  <c r="C7" i="22"/>
  <c r="K13" i="22" s="1"/>
  <c r="W69" i="57" s="1"/>
  <c r="I38" i="22"/>
  <c r="I42" i="47" s="1"/>
  <c r="F44" i="47"/>
  <c r="E44" i="47"/>
  <c r="E43" i="47"/>
  <c r="E42" i="47"/>
  <c r="W70" i="46" l="1"/>
  <c r="W69" i="46"/>
  <c r="H42" i="47"/>
  <c r="O69" i="57" s="1"/>
  <c r="G42" i="47"/>
  <c r="G44" i="47"/>
  <c r="H44" i="47" s="1"/>
  <c r="O70" i="57" s="1"/>
  <c r="G43" i="47"/>
  <c r="K70" i="57" l="1"/>
  <c r="C70" i="57"/>
  <c r="T70" i="57"/>
  <c r="P70" i="57"/>
  <c r="V70" i="57"/>
  <c r="U70" i="57"/>
  <c r="C69" i="57"/>
  <c r="K69" i="57"/>
  <c r="V69" i="57"/>
  <c r="U69" i="57"/>
  <c r="T69" i="57"/>
  <c r="P69" i="57"/>
  <c r="O69" i="46"/>
  <c r="O70" i="46"/>
  <c r="AA69" i="57" l="1"/>
  <c r="AC69" i="57"/>
  <c r="AB69" i="57" s="1"/>
  <c r="X69" i="57"/>
  <c r="AQ22" i="2"/>
  <c r="G22" i="2"/>
  <c r="BA21" i="48" l="1"/>
  <c r="AR72" i="46"/>
  <c r="BA72" i="46" s="1"/>
  <c r="AM72" i="46"/>
  <c r="AR71" i="46"/>
  <c r="BA71" i="46" s="1"/>
  <c r="AM71" i="46"/>
  <c r="AR70" i="46"/>
  <c r="BA70" i="46" s="1"/>
  <c r="AM70" i="46"/>
  <c r="P70" i="46"/>
  <c r="N70" i="46"/>
  <c r="V70" i="46" s="1"/>
  <c r="J70" i="46"/>
  <c r="C70" i="46"/>
  <c r="AR69" i="46"/>
  <c r="BA69" i="46" s="1"/>
  <c r="AM69" i="46"/>
  <c r="Z69" i="46"/>
  <c r="C69" i="46"/>
  <c r="N69" i="46"/>
  <c r="K69" i="46" s="1"/>
  <c r="J69" i="46"/>
  <c r="I37" i="22"/>
  <c r="R26" i="22"/>
  <c r="P26" i="22"/>
  <c r="S26" i="22" s="1"/>
  <c r="R25" i="22"/>
  <c r="P25" i="22"/>
  <c r="S25" i="22" s="1"/>
  <c r="Q24" i="22"/>
  <c r="Q27" i="22" s="1"/>
  <c r="P24" i="22"/>
  <c r="R18" i="22"/>
  <c r="P18" i="22"/>
  <c r="S18" i="22" s="1"/>
  <c r="R17" i="22"/>
  <c r="P17" i="22"/>
  <c r="S17" i="22" s="1"/>
  <c r="Q16" i="22"/>
  <c r="R16" i="22" s="1"/>
  <c r="P16" i="22"/>
  <c r="S15" i="22"/>
  <c r="R15" i="22"/>
  <c r="Q6" i="22"/>
  <c r="Q7" i="22" s="1"/>
  <c r="Q10" i="22" s="1"/>
  <c r="P7" i="22"/>
  <c r="J4" i="22"/>
  <c r="R9" i="22"/>
  <c r="P9" i="22"/>
  <c r="S9" i="22" s="1"/>
  <c r="R8" i="22"/>
  <c r="P8" i="22"/>
  <c r="S8" i="22" s="1"/>
  <c r="P6" i="22"/>
  <c r="S6" i="22" l="1"/>
  <c r="R6" i="22"/>
  <c r="AD72" i="46"/>
  <c r="R19" i="22"/>
  <c r="S24" i="22"/>
  <c r="S27" i="22" s="1"/>
  <c r="S28" i="22" s="1"/>
  <c r="N21" i="48"/>
  <c r="V69" i="46"/>
  <c r="T70" i="46"/>
  <c r="U70" i="46"/>
  <c r="AD71" i="46"/>
  <c r="AD70" i="46"/>
  <c r="AD69" i="46"/>
  <c r="K70" i="46"/>
  <c r="P69" i="46"/>
  <c r="T69" i="46"/>
  <c r="AC69" i="46" s="1"/>
  <c r="U69" i="46"/>
  <c r="R24" i="22"/>
  <c r="R27" i="22" s="1"/>
  <c r="R28" i="22" s="1"/>
  <c r="S16" i="22"/>
  <c r="S19" i="22" s="1"/>
  <c r="Q19" i="22"/>
  <c r="R7" i="22"/>
  <c r="S7" i="22"/>
  <c r="S10" i="22"/>
  <c r="S11" i="22" s="1"/>
  <c r="R10" i="22"/>
  <c r="R11" i="22" s="1"/>
  <c r="R20" i="22" l="1"/>
  <c r="X69" i="46"/>
  <c r="L21" i="48"/>
  <c r="AA69" i="46"/>
  <c r="AB69" i="46" s="1"/>
  <c r="S20" i="22"/>
  <c r="I37" i="21" l="1"/>
  <c r="Q38" i="21"/>
  <c r="Q35" i="21"/>
  <c r="Q37" i="21" s="1"/>
  <c r="R30" i="21"/>
  <c r="P30" i="21"/>
  <c r="S30" i="21" s="1"/>
  <c r="R29" i="21"/>
  <c r="P29" i="21"/>
  <c r="S29" i="21" s="1"/>
  <c r="R28" i="21"/>
  <c r="P28" i="21"/>
  <c r="S28" i="21" s="1"/>
  <c r="P27" i="21"/>
  <c r="Q27" i="21"/>
  <c r="S26" i="21"/>
  <c r="Q15" i="21"/>
  <c r="Q16" i="21" s="1"/>
  <c r="P7" i="21"/>
  <c r="S7" i="21" s="1"/>
  <c r="Q6" i="21"/>
  <c r="Q11" i="21" s="1"/>
  <c r="R10" i="21"/>
  <c r="P10" i="21"/>
  <c r="S10" i="21" s="1"/>
  <c r="R9" i="21"/>
  <c r="P9" i="21"/>
  <c r="S9" i="21" s="1"/>
  <c r="R8" i="21"/>
  <c r="P8" i="21"/>
  <c r="S8" i="21" s="1"/>
  <c r="P6" i="21"/>
  <c r="P16" i="21"/>
  <c r="J66" i="46"/>
  <c r="N66" i="46"/>
  <c r="W66" i="46"/>
  <c r="S6" i="21" l="1"/>
  <c r="S11" i="21" s="1"/>
  <c r="S12" i="21" s="1"/>
  <c r="S27" i="21"/>
  <c r="S31" i="21" s="1"/>
  <c r="R27" i="21"/>
  <c r="R26" i="21"/>
  <c r="Q31" i="21"/>
  <c r="R7" i="21"/>
  <c r="R6" i="21"/>
  <c r="R11" i="21" s="1"/>
  <c r="R12" i="21" s="1"/>
  <c r="M4" i="54"/>
  <c r="M3" i="54"/>
  <c r="F40" i="47"/>
  <c r="F37" i="47"/>
  <c r="E40" i="47"/>
  <c r="E39" i="47"/>
  <c r="E38" i="47"/>
  <c r="O65" i="57" s="1"/>
  <c r="E37" i="47"/>
  <c r="O64" i="57" s="1"/>
  <c r="AP20" i="48"/>
  <c r="C65" i="57" l="1"/>
  <c r="K65" i="57"/>
  <c r="U65" i="57"/>
  <c r="V65" i="57"/>
  <c r="T65" i="57"/>
  <c r="P65" i="57"/>
  <c r="C64" i="57"/>
  <c r="K64" i="57"/>
  <c r="V64" i="57"/>
  <c r="P64" i="57"/>
  <c r="U64" i="57"/>
  <c r="T64" i="57"/>
  <c r="H39" i="47"/>
  <c r="O66" i="57" s="1"/>
  <c r="G40" i="47"/>
  <c r="H37" i="47"/>
  <c r="O64" i="46"/>
  <c r="O65" i="46"/>
  <c r="R31" i="21"/>
  <c r="R32" i="21" s="1"/>
  <c r="S32" i="21"/>
  <c r="G37" i="47"/>
  <c r="AC64" i="57" l="1"/>
  <c r="C66" i="57"/>
  <c r="K66" i="57"/>
  <c r="P66" i="57"/>
  <c r="V66" i="57"/>
  <c r="U66" i="57"/>
  <c r="T66" i="57"/>
  <c r="C17" i="21"/>
  <c r="K13" i="21" s="1"/>
  <c r="W65" i="57" s="1"/>
  <c r="C16" i="21"/>
  <c r="K12" i="21" s="1"/>
  <c r="W64" i="57" s="1"/>
  <c r="G39" i="47"/>
  <c r="G38" i="47"/>
  <c r="AA64" i="57" l="1"/>
  <c r="AB64" i="57" s="1"/>
  <c r="X64" i="57"/>
  <c r="W64" i="46"/>
  <c r="W65" i="46"/>
  <c r="O66" i="46"/>
  <c r="AQ21" i="2"/>
  <c r="G21" i="2"/>
  <c r="V66" i="46" l="1"/>
  <c r="T66" i="46"/>
  <c r="K66" i="46"/>
  <c r="P66" i="46"/>
  <c r="U66" i="46"/>
  <c r="C66" i="46"/>
  <c r="BA20" i="48"/>
  <c r="I38" i="21"/>
  <c r="I37" i="47" s="1"/>
  <c r="AR67" i="46" l="1"/>
  <c r="BA67" i="46" s="1"/>
  <c r="AM67" i="46"/>
  <c r="AR66" i="46"/>
  <c r="BA66" i="46" s="1"/>
  <c r="AM66" i="46"/>
  <c r="AR65" i="46"/>
  <c r="BA65" i="46" s="1"/>
  <c r="AM65" i="46"/>
  <c r="AD65" i="46" s="1"/>
  <c r="N65" i="46"/>
  <c r="AR64" i="46"/>
  <c r="BA64" i="46" s="1"/>
  <c r="AM64" i="46"/>
  <c r="Z64" i="46"/>
  <c r="T64" i="46"/>
  <c r="N64" i="46"/>
  <c r="J64" i="46"/>
  <c r="Q20" i="21"/>
  <c r="R19" i="21"/>
  <c r="P19" i="21"/>
  <c r="S19" i="21" s="1"/>
  <c r="R18" i="21"/>
  <c r="P18" i="21"/>
  <c r="S18" i="21" s="1"/>
  <c r="R17" i="21"/>
  <c r="P17" i="21"/>
  <c r="S17" i="21" s="1"/>
  <c r="S16" i="21"/>
  <c r="R16" i="21"/>
  <c r="P15" i="21"/>
  <c r="J4" i="21"/>
  <c r="AD67" i="46" l="1"/>
  <c r="V65" i="46"/>
  <c r="H65" i="46"/>
  <c r="J65" i="46" s="1"/>
  <c r="C64" i="46"/>
  <c r="K64" i="46"/>
  <c r="K65" i="46"/>
  <c r="U64" i="46"/>
  <c r="AD66" i="46"/>
  <c r="AD64" i="46"/>
  <c r="V64" i="46"/>
  <c r="P65" i="46"/>
  <c r="T65" i="46"/>
  <c r="U65" i="46"/>
  <c r="C65" i="46"/>
  <c r="P64" i="46"/>
  <c r="S15" i="21"/>
  <c r="S20" i="21" s="1"/>
  <c r="S21" i="21" s="1"/>
  <c r="R15" i="21"/>
  <c r="R20" i="21" s="1"/>
  <c r="R21" i="21" s="1"/>
  <c r="N20" i="48" l="1"/>
  <c r="L20" i="48"/>
  <c r="X64" i="46"/>
  <c r="AA64" i="46"/>
  <c r="AC64" i="46"/>
  <c r="AB64" i="46" l="1"/>
  <c r="AP19" i="48"/>
  <c r="C26" i="23"/>
  <c r="K12" i="23" s="1"/>
  <c r="W60" i="57" s="1"/>
  <c r="C25" i="23"/>
  <c r="K13" i="23" s="1"/>
  <c r="W59" i="57" s="1"/>
  <c r="W60" i="46" l="1"/>
  <c r="W59" i="46"/>
  <c r="E35" i="47" l="1"/>
  <c r="G35" i="47" s="1"/>
  <c r="H35" i="47" s="1"/>
  <c r="O60" i="57" s="1"/>
  <c r="E34" i="47"/>
  <c r="G34" i="47" s="1"/>
  <c r="E33" i="47"/>
  <c r="G33" i="47" s="1"/>
  <c r="C60" i="57" l="1"/>
  <c r="K60" i="57"/>
  <c r="U60" i="57"/>
  <c r="T60" i="57"/>
  <c r="P60" i="57"/>
  <c r="V60" i="57"/>
  <c r="O60" i="46"/>
  <c r="H33" i="47"/>
  <c r="O59" i="57" s="1"/>
  <c r="AQ20" i="2"/>
  <c r="G20" i="2"/>
  <c r="C59" i="57" l="1"/>
  <c r="K59" i="57"/>
  <c r="X59" i="57" s="1"/>
  <c r="U59" i="57"/>
  <c r="AA59" i="57" s="1"/>
  <c r="T59" i="57"/>
  <c r="AC59" i="57" s="1"/>
  <c r="P59" i="57"/>
  <c r="V59" i="57"/>
  <c r="O59" i="46"/>
  <c r="J60" i="46"/>
  <c r="N60" i="46"/>
  <c r="C60" i="46"/>
  <c r="AR62" i="46"/>
  <c r="BA62" i="46" s="1"/>
  <c r="AM62" i="46"/>
  <c r="AR61" i="46"/>
  <c r="BA61" i="46" s="1"/>
  <c r="AM61" i="46"/>
  <c r="AR60" i="46"/>
  <c r="BA60" i="46" s="1"/>
  <c r="AM60" i="46"/>
  <c r="AR59" i="46"/>
  <c r="BA59" i="46" s="1"/>
  <c r="AM59" i="46"/>
  <c r="Z59" i="46"/>
  <c r="N59" i="46"/>
  <c r="J59" i="46"/>
  <c r="F17" i="23"/>
  <c r="I38" i="23"/>
  <c r="I33" i="47" s="1"/>
  <c r="I37" i="23"/>
  <c r="Q35" i="23"/>
  <c r="Q34" i="23"/>
  <c r="Q30" i="23"/>
  <c r="R29" i="23"/>
  <c r="P29" i="23"/>
  <c r="S29" i="23" s="1"/>
  <c r="R28" i="23"/>
  <c r="P28" i="23"/>
  <c r="S28" i="23" s="1"/>
  <c r="R27" i="23"/>
  <c r="P27" i="23"/>
  <c r="S27" i="23" s="1"/>
  <c r="R26" i="23"/>
  <c r="P26" i="23"/>
  <c r="S26" i="23" s="1"/>
  <c r="R25" i="23"/>
  <c r="P25" i="23"/>
  <c r="S25" i="23" s="1"/>
  <c r="P16" i="23"/>
  <c r="S16" i="23" s="1"/>
  <c r="Q20" i="23"/>
  <c r="R19" i="23"/>
  <c r="P19" i="23"/>
  <c r="S19" i="23" s="1"/>
  <c r="R18" i="23"/>
  <c r="P18" i="23"/>
  <c r="S18" i="23" s="1"/>
  <c r="R17" i="23"/>
  <c r="P17" i="23"/>
  <c r="S17" i="23" s="1"/>
  <c r="R16" i="23"/>
  <c r="R15" i="23"/>
  <c r="P15" i="23"/>
  <c r="S15" i="23" s="1"/>
  <c r="Q11" i="23"/>
  <c r="R10" i="23"/>
  <c r="P10" i="23"/>
  <c r="S10" i="23" s="1"/>
  <c r="R9" i="23"/>
  <c r="P9" i="23"/>
  <c r="S9" i="23" s="1"/>
  <c r="R8" i="23"/>
  <c r="P8" i="23"/>
  <c r="S8" i="23" s="1"/>
  <c r="R7" i="23"/>
  <c r="P7" i="23"/>
  <c r="S7" i="23" s="1"/>
  <c r="R6" i="23"/>
  <c r="P6" i="23"/>
  <c r="S6" i="23" s="1"/>
  <c r="AB59" i="57" l="1"/>
  <c r="V59" i="46"/>
  <c r="AD59" i="46"/>
  <c r="Q36" i="23"/>
  <c r="R30" i="23"/>
  <c r="R31" i="23" s="1"/>
  <c r="AD62" i="46"/>
  <c r="S30" i="23"/>
  <c r="S31" i="23" s="1"/>
  <c r="AD60" i="46"/>
  <c r="U60" i="46"/>
  <c r="P60" i="46"/>
  <c r="V60" i="46"/>
  <c r="K60" i="46"/>
  <c r="T60" i="46"/>
  <c r="C59" i="46"/>
  <c r="N19" i="48" s="1"/>
  <c r="U59" i="46"/>
  <c r="K59" i="46"/>
  <c r="T59" i="46"/>
  <c r="P59" i="46"/>
  <c r="AD61" i="46"/>
  <c r="R20" i="23"/>
  <c r="R21" i="23" s="1"/>
  <c r="S20" i="23"/>
  <c r="S21" i="23" s="1"/>
  <c r="R11" i="23"/>
  <c r="R12" i="23" s="1"/>
  <c r="S11" i="23"/>
  <c r="S12" i="23" s="1"/>
  <c r="AA59" i="46" l="1"/>
  <c r="L19" i="48"/>
  <c r="BA19" i="48"/>
  <c r="X59" i="46"/>
  <c r="AC59" i="46"/>
  <c r="AB59" i="46" s="1"/>
  <c r="Z52" i="46"/>
  <c r="K13" i="25"/>
  <c r="W51" i="57" s="1"/>
  <c r="K11" i="25"/>
  <c r="W49" i="57" s="1"/>
  <c r="K12" i="25"/>
  <c r="W50" i="57" s="1"/>
  <c r="J9" i="25"/>
  <c r="J10" i="25"/>
  <c r="C9" i="25"/>
  <c r="K9" i="25" s="1"/>
  <c r="W52" i="57" s="1"/>
  <c r="C7" i="25"/>
  <c r="K10" i="25" s="1"/>
  <c r="W48" i="57" s="1"/>
  <c r="E31" i="47"/>
  <c r="F31" i="47"/>
  <c r="F30" i="47"/>
  <c r="E30" i="47"/>
  <c r="E28" i="47"/>
  <c r="G28" i="47" s="1"/>
  <c r="H28" i="47" s="1"/>
  <c r="O51" i="57" s="1"/>
  <c r="E27" i="47"/>
  <c r="G27" i="47" s="1"/>
  <c r="H27" i="47" s="1"/>
  <c r="O50" i="57" s="1"/>
  <c r="E26" i="47"/>
  <c r="G26" i="47" s="1"/>
  <c r="H26" i="47" s="1"/>
  <c r="E25" i="47"/>
  <c r="G25" i="47" s="1"/>
  <c r="H25" i="47" s="1"/>
  <c r="O48" i="57" s="1"/>
  <c r="E24" i="47"/>
  <c r="G24" i="47" s="1"/>
  <c r="H24" i="47" s="1"/>
  <c r="O49" i="57" s="1"/>
  <c r="K49" i="57" l="1"/>
  <c r="C49" i="57"/>
  <c r="T49" i="57"/>
  <c r="P49" i="57"/>
  <c r="V49" i="57"/>
  <c r="U49" i="57"/>
  <c r="K48" i="57"/>
  <c r="C48" i="57"/>
  <c r="V48" i="57"/>
  <c r="U48" i="57"/>
  <c r="P48" i="57"/>
  <c r="T48" i="57"/>
  <c r="C50" i="57"/>
  <c r="K50" i="57"/>
  <c r="U50" i="57"/>
  <c r="T50" i="57"/>
  <c r="P50" i="57"/>
  <c r="V50" i="57"/>
  <c r="C51" i="57"/>
  <c r="K51" i="57"/>
  <c r="V51" i="57"/>
  <c r="U51" i="57"/>
  <c r="T51" i="57"/>
  <c r="P51" i="57"/>
  <c r="W51" i="46"/>
  <c r="W52" i="46"/>
  <c r="G31" i="47"/>
  <c r="H30" i="47"/>
  <c r="O54" i="57" s="1"/>
  <c r="W50" i="46"/>
  <c r="O50" i="46"/>
  <c r="W48" i="46"/>
  <c r="O48" i="46"/>
  <c r="O49" i="46"/>
  <c r="W49" i="46"/>
  <c r="O51" i="46"/>
  <c r="G30" i="47"/>
  <c r="X48" i="57" l="1"/>
  <c r="AC48" i="57"/>
  <c r="C54" i="57"/>
  <c r="K54" i="57"/>
  <c r="V54" i="57"/>
  <c r="U54" i="57"/>
  <c r="T54" i="57"/>
  <c r="P54" i="57"/>
  <c r="AA48" i="57"/>
  <c r="AB48" i="57" s="1"/>
  <c r="O54" i="46"/>
  <c r="AC54" i="57" l="1"/>
  <c r="BA17" i="48"/>
  <c r="BA18" i="48"/>
  <c r="AQ19" i="2"/>
  <c r="AQ18" i="2"/>
  <c r="G19" i="2"/>
  <c r="G18" i="2"/>
  <c r="AP18" i="48" l="1"/>
  <c r="AP17" i="48"/>
  <c r="U54" i="46" l="1"/>
  <c r="N54" i="46"/>
  <c r="K54" i="46" s="1"/>
  <c r="L18" i="48" s="1"/>
  <c r="J54" i="46"/>
  <c r="C54" i="46"/>
  <c r="N18" i="48" s="1"/>
  <c r="AR57" i="46"/>
  <c r="BA57" i="46" s="1"/>
  <c r="AM57" i="46"/>
  <c r="AR56" i="46"/>
  <c r="BA56" i="46" s="1"/>
  <c r="AM56" i="46"/>
  <c r="AR55" i="46"/>
  <c r="BA55" i="46" s="1"/>
  <c r="AM55" i="46"/>
  <c r="AR54" i="46"/>
  <c r="BA54" i="46" s="1"/>
  <c r="AM54" i="46"/>
  <c r="Z54" i="46"/>
  <c r="J51" i="46"/>
  <c r="N51" i="46"/>
  <c r="K51" i="46" s="1"/>
  <c r="C51" i="46"/>
  <c r="J49" i="46"/>
  <c r="N49" i="46"/>
  <c r="K49" i="46" s="1"/>
  <c r="P49" i="46"/>
  <c r="J50" i="46"/>
  <c r="N50" i="46"/>
  <c r="C50" i="46"/>
  <c r="U48" i="46"/>
  <c r="N48" i="46"/>
  <c r="J48" i="46"/>
  <c r="AR51" i="46"/>
  <c r="BA51" i="46" s="1"/>
  <c r="AM51" i="46"/>
  <c r="AR50" i="46"/>
  <c r="BA50" i="46" s="1"/>
  <c r="AM50" i="46"/>
  <c r="AR49" i="46"/>
  <c r="BA49" i="46" s="1"/>
  <c r="AM49" i="46"/>
  <c r="Z49" i="46"/>
  <c r="AR48" i="46"/>
  <c r="BA48" i="46" s="1"/>
  <c r="AM48" i="46"/>
  <c r="Z48" i="46"/>
  <c r="I38" i="24"/>
  <c r="I30" i="47" s="1"/>
  <c r="I37" i="24"/>
  <c r="P8" i="24"/>
  <c r="S8" i="24" s="1"/>
  <c r="P7" i="24"/>
  <c r="R10" i="24"/>
  <c r="P10" i="24"/>
  <c r="S10" i="24" s="1"/>
  <c r="R9" i="24"/>
  <c r="P9" i="24"/>
  <c r="S9" i="24" s="1"/>
  <c r="R8" i="24"/>
  <c r="R7" i="24"/>
  <c r="R6" i="24"/>
  <c r="P6" i="24"/>
  <c r="S6" i="24" s="1"/>
  <c r="J4" i="24"/>
  <c r="F17" i="25"/>
  <c r="I38" i="25"/>
  <c r="I24" i="47" s="1"/>
  <c r="Q37" i="25"/>
  <c r="Q38" i="25" s="1"/>
  <c r="X10" i="25"/>
  <c r="V10" i="25"/>
  <c r="Y10" i="25" s="1"/>
  <c r="X9" i="25"/>
  <c r="V9" i="25"/>
  <c r="Y9" i="25" s="1"/>
  <c r="X8" i="25"/>
  <c r="V8" i="25"/>
  <c r="Y8" i="25" s="1"/>
  <c r="Y6" i="25"/>
  <c r="G42" i="25"/>
  <c r="I37" i="25" s="1"/>
  <c r="F42" i="25"/>
  <c r="P25" i="25"/>
  <c r="S25" i="25" s="1"/>
  <c r="R29" i="25"/>
  <c r="P29" i="25"/>
  <c r="S29" i="25" s="1"/>
  <c r="R28" i="25"/>
  <c r="P28" i="25"/>
  <c r="S28" i="25" s="1"/>
  <c r="R27" i="25"/>
  <c r="P27" i="25"/>
  <c r="S27" i="25" s="1"/>
  <c r="P26" i="25"/>
  <c r="Q26" i="25"/>
  <c r="Q17" i="25"/>
  <c r="R17" i="25" s="1"/>
  <c r="Q16" i="25"/>
  <c r="Q15" i="25"/>
  <c r="P17" i="25"/>
  <c r="P16" i="25"/>
  <c r="P15" i="25"/>
  <c r="R19" i="25"/>
  <c r="P19" i="25"/>
  <c r="S19" i="25" s="1"/>
  <c r="R18" i="25"/>
  <c r="P18" i="25"/>
  <c r="S18" i="25" s="1"/>
  <c r="Q6" i="25"/>
  <c r="P7" i="25"/>
  <c r="P6" i="25"/>
  <c r="R10" i="25"/>
  <c r="P10" i="25"/>
  <c r="S10" i="25" s="1"/>
  <c r="R9" i="25"/>
  <c r="P9" i="25"/>
  <c r="S9" i="25" s="1"/>
  <c r="R8" i="25"/>
  <c r="P8" i="25"/>
  <c r="S8" i="25" s="1"/>
  <c r="J4" i="25"/>
  <c r="AD56" i="46" l="1"/>
  <c r="S15" i="25"/>
  <c r="AD57" i="46"/>
  <c r="Q7" i="25"/>
  <c r="R7" i="25" s="1"/>
  <c r="AD48" i="46"/>
  <c r="S17" i="25"/>
  <c r="R6" i="25"/>
  <c r="R11" i="25" s="1"/>
  <c r="S6" i="25"/>
  <c r="AD49" i="46"/>
  <c r="V54" i="46"/>
  <c r="AD51" i="46"/>
  <c r="V51" i="46"/>
  <c r="U50" i="46"/>
  <c r="C48" i="46"/>
  <c r="K48" i="46"/>
  <c r="V48" i="46"/>
  <c r="V50" i="46"/>
  <c r="T50" i="46"/>
  <c r="P50" i="46"/>
  <c r="AD55" i="46"/>
  <c r="AD54" i="46"/>
  <c r="P54" i="46"/>
  <c r="T54" i="46"/>
  <c r="AC54" i="46" s="1"/>
  <c r="AD50" i="46"/>
  <c r="P51" i="46"/>
  <c r="K50" i="46"/>
  <c r="U51" i="46"/>
  <c r="T51" i="46"/>
  <c r="V49" i="46"/>
  <c r="C49" i="46"/>
  <c r="N17" i="48" s="1"/>
  <c r="T49" i="46"/>
  <c r="U49" i="46"/>
  <c r="P48" i="46"/>
  <c r="T48" i="46"/>
  <c r="R11" i="24"/>
  <c r="S7" i="24"/>
  <c r="S11" i="24" s="1"/>
  <c r="Q11" i="24"/>
  <c r="Y7" i="25"/>
  <c r="X7" i="25"/>
  <c r="Y11" i="25"/>
  <c r="W11" i="25"/>
  <c r="X6" i="25"/>
  <c r="S26" i="25"/>
  <c r="S30" i="25" s="1"/>
  <c r="R26" i="25"/>
  <c r="Q30" i="25"/>
  <c r="R25" i="25"/>
  <c r="S16" i="25"/>
  <c r="S20" i="25" s="1"/>
  <c r="R16" i="25"/>
  <c r="Q20" i="25"/>
  <c r="R15" i="25"/>
  <c r="Q11" i="25" l="1"/>
  <c r="R12" i="25" s="1"/>
  <c r="S12" i="24"/>
  <c r="R20" i="25"/>
  <c r="R21" i="25" s="1"/>
  <c r="X11" i="25"/>
  <c r="X12" i="25" s="1"/>
  <c r="S7" i="25"/>
  <c r="S11" i="25" s="1"/>
  <c r="S12" i="25" s="1"/>
  <c r="R30" i="25"/>
  <c r="R31" i="25" s="1"/>
  <c r="L17" i="48"/>
  <c r="AC48" i="46"/>
  <c r="X48" i="46"/>
  <c r="AA48" i="46"/>
  <c r="R12" i="24"/>
  <c r="Y12" i="25"/>
  <c r="S31" i="25"/>
  <c r="S21" i="25"/>
  <c r="AQ17" i="2"/>
  <c r="G17" i="2"/>
  <c r="AB48" i="46" l="1"/>
  <c r="Z44" i="46"/>
  <c r="K8" i="26"/>
  <c r="W43" i="57" s="1"/>
  <c r="J8" i="26"/>
  <c r="J8" i="25" s="1"/>
  <c r="C27" i="26"/>
  <c r="K10" i="26" s="1"/>
  <c r="W45" i="57" s="1"/>
  <c r="C26" i="26"/>
  <c r="K9" i="26" s="1"/>
  <c r="W44" i="57" s="1"/>
  <c r="E22" i="47"/>
  <c r="G22" i="47" s="1"/>
  <c r="H22" i="47" s="1"/>
  <c r="O45" i="57" s="1"/>
  <c r="E21" i="47"/>
  <c r="G21" i="47" s="1"/>
  <c r="H21" i="47" s="1"/>
  <c r="O44" i="57" s="1"/>
  <c r="F20" i="47"/>
  <c r="E20" i="47"/>
  <c r="AP16" i="48"/>
  <c r="C44" i="57" l="1"/>
  <c r="K44" i="57"/>
  <c r="P44" i="57"/>
  <c r="T44" i="57"/>
  <c r="U44" i="57"/>
  <c r="V44" i="57"/>
  <c r="C45" i="57"/>
  <c r="K45" i="57"/>
  <c r="P45" i="57"/>
  <c r="V45" i="57"/>
  <c r="U45" i="57"/>
  <c r="T45" i="57"/>
  <c r="W43" i="46"/>
  <c r="W44" i="46"/>
  <c r="W45" i="46"/>
  <c r="O45" i="46"/>
  <c r="O44" i="46"/>
  <c r="G20" i="47"/>
  <c r="H20" i="47" s="1"/>
  <c r="O43" i="57" s="1"/>
  <c r="C43" i="57" l="1"/>
  <c r="K43" i="57"/>
  <c r="X43" i="57" s="1"/>
  <c r="V43" i="57"/>
  <c r="P43" i="57"/>
  <c r="U43" i="57"/>
  <c r="T43" i="57"/>
  <c r="AC43" i="57" s="1"/>
  <c r="O43" i="46"/>
  <c r="J44" i="46" l="1"/>
  <c r="N44" i="46"/>
  <c r="C44" i="46"/>
  <c r="T44" i="46"/>
  <c r="U44" i="46"/>
  <c r="J45" i="46"/>
  <c r="N45" i="46"/>
  <c r="T45" i="46"/>
  <c r="AR46" i="46"/>
  <c r="BA46" i="46" s="1"/>
  <c r="AM46" i="46"/>
  <c r="AR45" i="46"/>
  <c r="BA45" i="46" s="1"/>
  <c r="AM45" i="46"/>
  <c r="AR44" i="46"/>
  <c r="BA44" i="46" s="1"/>
  <c r="AM44" i="46"/>
  <c r="AR43" i="46"/>
  <c r="BA43" i="46" s="1"/>
  <c r="AM43" i="46"/>
  <c r="U43" i="46"/>
  <c r="N43" i="46"/>
  <c r="K43" i="46" s="1"/>
  <c r="J43" i="46"/>
  <c r="C43" i="46"/>
  <c r="F26" i="26"/>
  <c r="F17" i="26"/>
  <c r="F9" i="26"/>
  <c r="I38" i="26"/>
  <c r="I20" i="47" s="1"/>
  <c r="X22" i="26"/>
  <c r="Y21" i="26"/>
  <c r="W21" i="26"/>
  <c r="Z21" i="26" s="1"/>
  <c r="Y20" i="26"/>
  <c r="W20" i="26"/>
  <c r="Z20" i="26" s="1"/>
  <c r="Y19" i="26"/>
  <c r="W19" i="26"/>
  <c r="Z19" i="26" s="1"/>
  <c r="Z18" i="26"/>
  <c r="Y18" i="26"/>
  <c r="Z17" i="26"/>
  <c r="Y17" i="26"/>
  <c r="X11" i="26"/>
  <c r="Y10" i="26"/>
  <c r="W10" i="26"/>
  <c r="Z10" i="26" s="1"/>
  <c r="Y9" i="26"/>
  <c r="W9" i="26"/>
  <c r="Z9" i="26" s="1"/>
  <c r="Y8" i="26"/>
  <c r="W8" i="26"/>
  <c r="Z8" i="26" s="1"/>
  <c r="Z7" i="26"/>
  <c r="Y7" i="26"/>
  <c r="Y6" i="26"/>
  <c r="Z6" i="26"/>
  <c r="Q32" i="26"/>
  <c r="Q35" i="26" s="1"/>
  <c r="Q25" i="26"/>
  <c r="R25" i="26" s="1"/>
  <c r="Q24" i="26"/>
  <c r="R24" i="26" s="1"/>
  <c r="Q23" i="26"/>
  <c r="R23" i="26" s="1"/>
  <c r="P25" i="26"/>
  <c r="P24" i="26"/>
  <c r="P23" i="26"/>
  <c r="R27" i="26"/>
  <c r="P27" i="26"/>
  <c r="S27" i="26" s="1"/>
  <c r="R26" i="26"/>
  <c r="P26" i="26"/>
  <c r="S26" i="26" s="1"/>
  <c r="Q14" i="26"/>
  <c r="R14" i="26" s="1"/>
  <c r="P15" i="26"/>
  <c r="R18" i="26"/>
  <c r="P18" i="26"/>
  <c r="S18" i="26" s="1"/>
  <c r="R17" i="26"/>
  <c r="P17" i="26"/>
  <c r="S17" i="26" s="1"/>
  <c r="R16" i="26"/>
  <c r="P16" i="26"/>
  <c r="S16" i="26" s="1"/>
  <c r="P14" i="26"/>
  <c r="S14" i="26" s="1"/>
  <c r="P6" i="26"/>
  <c r="S6" i="26" s="1"/>
  <c r="J4" i="26"/>
  <c r="Q11" i="26"/>
  <c r="R10" i="26"/>
  <c r="P10" i="26"/>
  <c r="S10" i="26" s="1"/>
  <c r="R9" i="26"/>
  <c r="P9" i="26"/>
  <c r="S9" i="26" s="1"/>
  <c r="R8" i="26"/>
  <c r="P8" i="26"/>
  <c r="S8" i="26" s="1"/>
  <c r="R7" i="26"/>
  <c r="P7" i="26"/>
  <c r="S7" i="26" s="1"/>
  <c r="R6" i="26"/>
  <c r="V43" i="46" l="1"/>
  <c r="Z22" i="26"/>
  <c r="Z23" i="26" s="1"/>
  <c r="S23" i="26"/>
  <c r="S25" i="26"/>
  <c r="Q15" i="26"/>
  <c r="S15" i="26" s="1"/>
  <c r="S19" i="26" s="1"/>
  <c r="AD44" i="46"/>
  <c r="AD46" i="46"/>
  <c r="Y22" i="26"/>
  <c r="Y23" i="26" s="1"/>
  <c r="BA16" i="48"/>
  <c r="P44" i="46"/>
  <c r="P45" i="46"/>
  <c r="V44" i="46"/>
  <c r="V45" i="46"/>
  <c r="AD45" i="46"/>
  <c r="K45" i="46"/>
  <c r="C45" i="46"/>
  <c r="N16" i="48" s="1"/>
  <c r="K44" i="46"/>
  <c r="U45" i="46"/>
  <c r="AD43" i="46"/>
  <c r="P43" i="46"/>
  <c r="T43" i="46"/>
  <c r="AC43" i="46" s="1"/>
  <c r="Y11" i="26"/>
  <c r="Y12" i="26" s="1"/>
  <c r="Z11" i="26"/>
  <c r="Z12" i="26" s="1"/>
  <c r="R28" i="26"/>
  <c r="S24" i="26"/>
  <c r="Q28" i="26"/>
  <c r="R11" i="26"/>
  <c r="R12" i="26" s="1"/>
  <c r="S11" i="26"/>
  <c r="S12" i="26" s="1"/>
  <c r="AQ16" i="2"/>
  <c r="G16" i="2"/>
  <c r="S28" i="26" l="1"/>
  <c r="Q19" i="26"/>
  <c r="S20" i="26" s="1"/>
  <c r="R15" i="26"/>
  <c r="R19" i="26" s="1"/>
  <c r="R20" i="26" s="1"/>
  <c r="L16" i="48"/>
  <c r="X43" i="46"/>
  <c r="S29" i="26"/>
  <c r="R29" i="26"/>
  <c r="AP15" i="48"/>
  <c r="K8" i="28"/>
  <c r="W38" i="57" s="1"/>
  <c r="C7" i="28"/>
  <c r="K7" i="28" s="1"/>
  <c r="W39" i="57" s="1"/>
  <c r="F18" i="47"/>
  <c r="E18" i="47"/>
  <c r="E17" i="47"/>
  <c r="G17" i="47" s="1"/>
  <c r="H17" i="47" s="1"/>
  <c r="G18" i="47" l="1"/>
  <c r="H18" i="47" s="1"/>
  <c r="O38" i="57" s="1"/>
  <c r="W39" i="46"/>
  <c r="W38" i="46"/>
  <c r="C38" i="57" l="1"/>
  <c r="K38" i="57"/>
  <c r="X38" i="57" s="1"/>
  <c r="V38" i="57"/>
  <c r="P38" i="57"/>
  <c r="U38" i="57"/>
  <c r="T38" i="57"/>
  <c r="AC38" i="57" s="1"/>
  <c r="O38" i="46"/>
  <c r="U38" i="46" s="1"/>
  <c r="N38" i="46"/>
  <c r="J38" i="46"/>
  <c r="AR41" i="46"/>
  <c r="BA41" i="46" s="1"/>
  <c r="AM41" i="46"/>
  <c r="AR40" i="46"/>
  <c r="BA40" i="46" s="1"/>
  <c r="AM40" i="46"/>
  <c r="AR39" i="46"/>
  <c r="BA39" i="46" s="1"/>
  <c r="AM39" i="46"/>
  <c r="AR38" i="46"/>
  <c r="BA38" i="46" s="1"/>
  <c r="AM38" i="46"/>
  <c r="F26" i="28"/>
  <c r="F17" i="28"/>
  <c r="F9" i="28"/>
  <c r="I38" i="28"/>
  <c r="I17" i="47" s="1"/>
  <c r="G42" i="28"/>
  <c r="I37" i="28" s="1"/>
  <c r="F42" i="28"/>
  <c r="Q14" i="28"/>
  <c r="Q19" i="28" s="1"/>
  <c r="R18" i="28"/>
  <c r="P18" i="28"/>
  <c r="S18" i="28" s="1"/>
  <c r="R17" i="28"/>
  <c r="P17" i="28"/>
  <c r="S17" i="28" s="1"/>
  <c r="R16" i="28"/>
  <c r="P16" i="28"/>
  <c r="S16" i="28" s="1"/>
  <c r="R15" i="28"/>
  <c r="P15" i="28"/>
  <c r="S15" i="28" s="1"/>
  <c r="P14" i="28"/>
  <c r="P6" i="28"/>
  <c r="S6" i="28" s="1"/>
  <c r="P5" i="28"/>
  <c r="S5" i="28" s="1"/>
  <c r="Q10" i="28"/>
  <c r="R9" i="28"/>
  <c r="P9" i="28"/>
  <c r="S9" i="28" s="1"/>
  <c r="R8" i="28"/>
  <c r="P8" i="28"/>
  <c r="S8" i="28" s="1"/>
  <c r="R7" i="28"/>
  <c r="P7" i="28"/>
  <c r="S7" i="28" s="1"/>
  <c r="R6" i="28"/>
  <c r="R5" i="28"/>
  <c r="J4" i="28"/>
  <c r="BA15" i="48" l="1"/>
  <c r="K38" i="46"/>
  <c r="L15" i="48" s="1"/>
  <c r="S14" i="28"/>
  <c r="S19" i="28" s="1"/>
  <c r="S20" i="28" s="1"/>
  <c r="R14" i="28"/>
  <c r="AD40" i="46"/>
  <c r="C38" i="46"/>
  <c r="N15" i="48" s="1"/>
  <c r="AD38" i="46"/>
  <c r="V38" i="46"/>
  <c r="P38" i="46"/>
  <c r="T38" i="46"/>
  <c r="AD39" i="46"/>
  <c r="AD41" i="46"/>
  <c r="R19" i="28"/>
  <c r="R20" i="28" s="1"/>
  <c r="S10" i="28"/>
  <c r="S11" i="28" s="1"/>
  <c r="R10" i="28"/>
  <c r="R11" i="28" s="1"/>
  <c r="AC38" i="46" l="1"/>
  <c r="X38" i="46"/>
  <c r="P33" i="27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8" i="45"/>
  <c r="E15" i="47" l="1"/>
  <c r="H15" i="47" s="1"/>
  <c r="O34" i="57" s="1"/>
  <c r="E14" i="47"/>
  <c r="G14" i="47" s="1"/>
  <c r="H14" i="47" s="1"/>
  <c r="O33" i="57" s="1"/>
  <c r="AP14" i="48"/>
  <c r="AP10" i="48"/>
  <c r="AP11" i="48"/>
  <c r="AP12" i="48"/>
  <c r="AP13" i="48"/>
  <c r="AP9" i="48"/>
  <c r="C33" i="57" l="1"/>
  <c r="K33" i="57"/>
  <c r="V33" i="57"/>
  <c r="T33" i="57"/>
  <c r="AC33" i="57" s="1"/>
  <c r="P33" i="57"/>
  <c r="U33" i="57"/>
  <c r="C34" i="57"/>
  <c r="K34" i="57"/>
  <c r="P34" i="57"/>
  <c r="V34" i="57"/>
  <c r="U34" i="57"/>
  <c r="T34" i="57"/>
  <c r="O33" i="46"/>
  <c r="O34" i="46"/>
  <c r="AQ15" i="2"/>
  <c r="G15" i="2"/>
  <c r="J34" i="46" l="1"/>
  <c r="N34" i="46"/>
  <c r="C34" i="46"/>
  <c r="W34" i="46"/>
  <c r="AR36" i="46"/>
  <c r="BA36" i="46" s="1"/>
  <c r="AM36" i="46"/>
  <c r="AR35" i="46"/>
  <c r="BA35" i="46" s="1"/>
  <c r="AM35" i="46"/>
  <c r="AR34" i="46"/>
  <c r="BA34" i="46" s="1"/>
  <c r="AM34" i="46"/>
  <c r="AR33" i="46"/>
  <c r="BA33" i="46" s="1"/>
  <c r="AM33" i="46"/>
  <c r="U33" i="46"/>
  <c r="N33" i="46"/>
  <c r="K33" i="46" s="1"/>
  <c r="J33" i="46"/>
  <c r="C33" i="46"/>
  <c r="I38" i="27"/>
  <c r="I14" i="47" s="1"/>
  <c r="Q32" i="27"/>
  <c r="Q33" i="27"/>
  <c r="P32" i="27"/>
  <c r="Q34" i="27" l="1"/>
  <c r="N14" i="48"/>
  <c r="BA14" i="48"/>
  <c r="AD34" i="46"/>
  <c r="AD36" i="46"/>
  <c r="V34" i="46"/>
  <c r="AD35" i="46"/>
  <c r="AD33" i="46"/>
  <c r="T34" i="46"/>
  <c r="K34" i="46"/>
  <c r="U34" i="46"/>
  <c r="P34" i="46"/>
  <c r="V33" i="46"/>
  <c r="P33" i="46"/>
  <c r="T33" i="46"/>
  <c r="AC33" i="46" s="1"/>
  <c r="L14" i="48" l="1"/>
  <c r="AQ14" i="2" l="1"/>
  <c r="G14" i="2"/>
  <c r="F12" i="47"/>
  <c r="E12" i="47"/>
  <c r="G12" i="47" s="1"/>
  <c r="H12" i="47" s="1"/>
  <c r="O28" i="57" s="1"/>
  <c r="C28" i="57" l="1"/>
  <c r="K28" i="57"/>
  <c r="V28" i="57"/>
  <c r="P28" i="57"/>
  <c r="U28" i="57"/>
  <c r="T28" i="57"/>
  <c r="O28" i="46"/>
  <c r="F4" i="54"/>
  <c r="F3" i="54"/>
  <c r="J4" i="29"/>
  <c r="I38" i="29"/>
  <c r="I12" i="47" s="1"/>
  <c r="AC28" i="57" l="1"/>
  <c r="AR31" i="46"/>
  <c r="BA31" i="46" s="1"/>
  <c r="AM31" i="46"/>
  <c r="AR30" i="46"/>
  <c r="BA30" i="46" s="1"/>
  <c r="AM30" i="46"/>
  <c r="AR29" i="46"/>
  <c r="BA29" i="46" s="1"/>
  <c r="AM29" i="46"/>
  <c r="AR28" i="46"/>
  <c r="BA28" i="46" s="1"/>
  <c r="AM28" i="46"/>
  <c r="U28" i="46"/>
  <c r="N28" i="46"/>
  <c r="K28" i="46" s="1"/>
  <c r="L13" i="48" s="1"/>
  <c r="J28" i="46"/>
  <c r="C28" i="46"/>
  <c r="N13" i="48" s="1"/>
  <c r="BA13" i="48" l="1"/>
  <c r="AD28" i="46"/>
  <c r="AD31" i="46"/>
  <c r="AD30" i="46"/>
  <c r="AD29" i="46"/>
  <c r="V28" i="46"/>
  <c r="P28" i="46"/>
  <c r="T28" i="46"/>
  <c r="AC28" i="46" s="1"/>
  <c r="AQ13" i="2" l="1"/>
  <c r="G13" i="2"/>
  <c r="I38" i="30" l="1"/>
  <c r="I10" i="47" s="1"/>
  <c r="F10" i="47"/>
  <c r="E10" i="47"/>
  <c r="G10" i="47" l="1"/>
  <c r="H10" i="47" s="1"/>
  <c r="O23" i="57" s="1"/>
  <c r="C23" i="57" l="1"/>
  <c r="K23" i="57"/>
  <c r="U23" i="57"/>
  <c r="V23" i="57"/>
  <c r="P23" i="57"/>
  <c r="T23" i="57"/>
  <c r="O23" i="46"/>
  <c r="AC23" i="57" l="1"/>
  <c r="BA12" i="48"/>
  <c r="B4" i="54"/>
  <c r="B3" i="54"/>
  <c r="C4" i="54"/>
  <c r="C3" i="54"/>
  <c r="E4" i="54"/>
  <c r="E3" i="54"/>
  <c r="AR26" i="46" l="1"/>
  <c r="BA26" i="46" s="1"/>
  <c r="AM26" i="46"/>
  <c r="AR25" i="46"/>
  <c r="BA25" i="46" s="1"/>
  <c r="AM25" i="46"/>
  <c r="AR24" i="46"/>
  <c r="BA24" i="46" s="1"/>
  <c r="AM24" i="46"/>
  <c r="AR23" i="46"/>
  <c r="BA23" i="46" s="1"/>
  <c r="AM23" i="46"/>
  <c r="Z23" i="46"/>
  <c r="U23" i="46"/>
  <c r="T23" i="46"/>
  <c r="P23" i="46"/>
  <c r="N23" i="46"/>
  <c r="V23" i="46" s="1"/>
  <c r="J23" i="46"/>
  <c r="C23" i="46"/>
  <c r="N12" i="48" s="1"/>
  <c r="R28" i="30"/>
  <c r="P28" i="30"/>
  <c r="S28" i="30" s="1"/>
  <c r="R27" i="30"/>
  <c r="P27" i="30"/>
  <c r="S27" i="30" s="1"/>
  <c r="P26" i="30"/>
  <c r="R25" i="30"/>
  <c r="P25" i="30"/>
  <c r="S25" i="30" s="1"/>
  <c r="R24" i="30"/>
  <c r="P24" i="30"/>
  <c r="S24" i="30" s="1"/>
  <c r="Q16" i="30"/>
  <c r="R16" i="30" s="1"/>
  <c r="Q15" i="30"/>
  <c r="R19" i="30"/>
  <c r="P19" i="30"/>
  <c r="S19" i="30" s="1"/>
  <c r="R18" i="30"/>
  <c r="P18" i="30"/>
  <c r="S18" i="30" s="1"/>
  <c r="P17" i="30"/>
  <c r="P16" i="30"/>
  <c r="P15" i="30"/>
  <c r="Q7" i="30"/>
  <c r="Q8" i="30" s="1"/>
  <c r="R8" i="30" s="1"/>
  <c r="R10" i="30"/>
  <c r="P10" i="30"/>
  <c r="S10" i="30" s="1"/>
  <c r="R9" i="30"/>
  <c r="P9" i="30"/>
  <c r="S9" i="30" s="1"/>
  <c r="P8" i="30"/>
  <c r="P7" i="30"/>
  <c r="R6" i="30"/>
  <c r="P6" i="30"/>
  <c r="S6" i="30" s="1"/>
  <c r="J4" i="30"/>
  <c r="S7" i="30" l="1"/>
  <c r="AD25" i="46"/>
  <c r="R7" i="30"/>
  <c r="Q11" i="30"/>
  <c r="AD23" i="46"/>
  <c r="S8" i="30"/>
  <c r="S11" i="30" s="1"/>
  <c r="AD26" i="46"/>
  <c r="K23" i="46"/>
  <c r="AD24" i="46"/>
  <c r="Q26" i="30"/>
  <c r="R26" i="30" s="1"/>
  <c r="R29" i="30" s="1"/>
  <c r="S16" i="30"/>
  <c r="Q17" i="30"/>
  <c r="R17" i="30" s="1"/>
  <c r="R15" i="30"/>
  <c r="S15" i="30"/>
  <c r="R11" i="30"/>
  <c r="R12" i="30" s="1"/>
  <c r="KV10" i="1"/>
  <c r="KV11" i="1"/>
  <c r="KV12" i="1"/>
  <c r="KV13" i="1"/>
  <c r="KV14" i="1"/>
  <c r="KV15" i="1"/>
  <c r="KV16" i="1"/>
  <c r="KV17" i="1"/>
  <c r="KV18" i="1"/>
  <c r="KV19" i="1"/>
  <c r="KV20" i="1"/>
  <c r="KV21" i="1"/>
  <c r="KV22" i="1"/>
  <c r="KV23" i="1"/>
  <c r="KV24" i="1"/>
  <c r="KV25" i="1"/>
  <c r="KV26" i="1"/>
  <c r="KV27" i="1"/>
  <c r="KV28" i="1"/>
  <c r="KV29" i="1"/>
  <c r="KV31" i="1"/>
  <c r="KV32" i="1"/>
  <c r="KV33" i="1"/>
  <c r="KV34" i="1"/>
  <c r="KV35" i="1"/>
  <c r="KV36" i="1"/>
  <c r="KV37" i="1"/>
  <c r="KV38" i="1"/>
  <c r="KV39" i="1"/>
  <c r="KV9" i="1"/>
  <c r="S12" i="30" l="1"/>
  <c r="R20" i="30"/>
  <c r="S17" i="30"/>
  <c r="S20" i="30" s="1"/>
  <c r="Q20" i="30"/>
  <c r="R21" i="30" s="1"/>
  <c r="AC23" i="46"/>
  <c r="L12" i="48"/>
  <c r="Q29" i="30"/>
  <c r="R30" i="30" s="1"/>
  <c r="S26" i="30"/>
  <c r="S29" i="30" s="1"/>
  <c r="S30" i="30" l="1"/>
  <c r="S21" i="30"/>
  <c r="D4" i="54" l="1"/>
  <c r="D3" i="54"/>
  <c r="R16" i="46" l="1"/>
  <c r="Z11" i="46"/>
  <c r="F8" i="47" l="1"/>
  <c r="E8" i="47"/>
  <c r="E6" i="47"/>
  <c r="G8" i="47" l="1"/>
  <c r="H8" i="47" s="1"/>
  <c r="O16" i="57" s="1"/>
  <c r="G6" i="47"/>
  <c r="H6" i="47" s="1"/>
  <c r="O11" i="57" s="1"/>
  <c r="AQ12" i="2"/>
  <c r="AQ11" i="2"/>
  <c r="G12" i="2"/>
  <c r="G11" i="2"/>
  <c r="C11" i="57" l="1"/>
  <c r="K11" i="57"/>
  <c r="U11" i="57"/>
  <c r="T11" i="57"/>
  <c r="P11" i="57"/>
  <c r="V11" i="57"/>
  <c r="C16" i="57"/>
  <c r="K16" i="57"/>
  <c r="AC16" i="57" s="1"/>
  <c r="P16" i="57"/>
  <c r="T16" i="57"/>
  <c r="V16" i="57"/>
  <c r="U16" i="57"/>
  <c r="O11" i="46"/>
  <c r="O16" i="46"/>
  <c r="AC11" i="57" l="1"/>
  <c r="BA10" i="48"/>
  <c r="AR21" i="46"/>
  <c r="BA21" i="46" s="1"/>
  <c r="AD21" i="46" s="1"/>
  <c r="AR20" i="46"/>
  <c r="BA20" i="46" s="1"/>
  <c r="AD20" i="46" s="1"/>
  <c r="AR19" i="46"/>
  <c r="BA19" i="46" s="1"/>
  <c r="AM19" i="46"/>
  <c r="AR18" i="46"/>
  <c r="BA18" i="46" s="1"/>
  <c r="AM18" i="46"/>
  <c r="AR17" i="46"/>
  <c r="BA17" i="46" s="1"/>
  <c r="AM17" i="46"/>
  <c r="AR16" i="46"/>
  <c r="BA16" i="46" s="1"/>
  <c r="AM16" i="46"/>
  <c r="Z16" i="46"/>
  <c r="U16" i="46"/>
  <c r="T16" i="46"/>
  <c r="N16" i="46"/>
  <c r="V16" i="46" s="1"/>
  <c r="J16" i="46"/>
  <c r="C16" i="46"/>
  <c r="N11" i="48" s="1"/>
  <c r="AR14" i="46"/>
  <c r="BA14" i="46" s="1"/>
  <c r="AM14" i="46"/>
  <c r="AR13" i="46"/>
  <c r="BA13" i="46" s="1"/>
  <c r="AM13" i="46"/>
  <c r="AR12" i="46"/>
  <c r="BA12" i="46" s="1"/>
  <c r="AM12" i="46"/>
  <c r="AR11" i="46"/>
  <c r="BA11" i="46" s="1"/>
  <c r="AM11" i="46"/>
  <c r="T11" i="46"/>
  <c r="N11" i="46"/>
  <c r="J11" i="46"/>
  <c r="F9" i="31"/>
  <c r="I38" i="31"/>
  <c r="I8" i="47" s="1"/>
  <c r="G42" i="31"/>
  <c r="I37" i="31" s="1"/>
  <c r="F42" i="31"/>
  <c r="N38" i="31"/>
  <c r="N39" i="31" s="1"/>
  <c r="Q26" i="31"/>
  <c r="R26" i="31" s="1"/>
  <c r="Q25" i="31"/>
  <c r="Q24" i="31"/>
  <c r="R24" i="31" s="1"/>
  <c r="P25" i="31"/>
  <c r="P26" i="31"/>
  <c r="P27" i="31"/>
  <c r="S27" i="31" s="1"/>
  <c r="R28" i="31"/>
  <c r="P28" i="31"/>
  <c r="S28" i="31" s="1"/>
  <c r="R27" i="31"/>
  <c r="P24" i="31"/>
  <c r="Q20" i="31"/>
  <c r="Q14" i="31"/>
  <c r="R14" i="31" s="1"/>
  <c r="R18" i="31"/>
  <c r="P18" i="31"/>
  <c r="S18" i="31" s="1"/>
  <c r="R17" i="31"/>
  <c r="P17" i="31"/>
  <c r="S17" i="31" s="1"/>
  <c r="R16" i="31"/>
  <c r="P16" i="31"/>
  <c r="S16" i="31" s="1"/>
  <c r="R15" i="31"/>
  <c r="P15" i="31"/>
  <c r="S15" i="31" s="1"/>
  <c r="P14" i="31"/>
  <c r="Q11" i="31"/>
  <c r="R10" i="31"/>
  <c r="P10" i="31"/>
  <c r="S10" i="31" s="1"/>
  <c r="R9" i="31"/>
  <c r="P9" i="31"/>
  <c r="S9" i="31" s="1"/>
  <c r="R8" i="31"/>
  <c r="P8" i="31"/>
  <c r="S8" i="31" s="1"/>
  <c r="R7" i="31"/>
  <c r="P7" i="31"/>
  <c r="S7" i="31" s="1"/>
  <c r="R6" i="31"/>
  <c r="P6" i="31"/>
  <c r="S6" i="31" s="1"/>
  <c r="J4" i="31"/>
  <c r="F26" i="32"/>
  <c r="F17" i="32"/>
  <c r="I38" i="32"/>
  <c r="I6" i="47" s="1"/>
  <c r="G42" i="32"/>
  <c r="I37" i="32" s="1"/>
  <c r="F42" i="32"/>
  <c r="R10" i="32"/>
  <c r="P10" i="32"/>
  <c r="S10" i="32" s="1"/>
  <c r="R9" i="32"/>
  <c r="P9" i="32"/>
  <c r="S9" i="32" s="1"/>
  <c r="R8" i="32"/>
  <c r="P8" i="32"/>
  <c r="S8" i="32" s="1"/>
  <c r="R7" i="32"/>
  <c r="P7" i="32"/>
  <c r="S7" i="32" s="1"/>
  <c r="R6" i="32"/>
  <c r="P6" i="32"/>
  <c r="S6" i="32" s="1"/>
  <c r="J4" i="32"/>
  <c r="AD12" i="46" l="1"/>
  <c r="K16" i="46"/>
  <c r="L11" i="48" s="1"/>
  <c r="AD17" i="46"/>
  <c r="AD16" i="46"/>
  <c r="Q19" i="31"/>
  <c r="Q21" i="31" s="1"/>
  <c r="S25" i="31"/>
  <c r="BA11" i="48"/>
  <c r="S26" i="31"/>
  <c r="S14" i="31"/>
  <c r="S19" i="31" s="1"/>
  <c r="U11" i="46"/>
  <c r="C11" i="46"/>
  <c r="N10" i="48" s="1"/>
  <c r="K11" i="46"/>
  <c r="V11" i="46"/>
  <c r="AD18" i="46"/>
  <c r="AD19" i="46"/>
  <c r="P16" i="46"/>
  <c r="AD13" i="46"/>
  <c r="AD11" i="46"/>
  <c r="AD14" i="46"/>
  <c r="P11" i="46"/>
  <c r="S24" i="31"/>
  <c r="R25" i="31"/>
  <c r="R29" i="31" s="1"/>
  <c r="Q29" i="31"/>
  <c r="Q31" i="31" s="1"/>
  <c r="R19" i="31"/>
  <c r="S11" i="31"/>
  <c r="S12" i="31" s="1"/>
  <c r="R11" i="31"/>
  <c r="R12" i="31" s="1"/>
  <c r="R11" i="32"/>
  <c r="S11" i="32"/>
  <c r="Q11" i="32"/>
  <c r="R12" i="32" s="1"/>
  <c r="AC16" i="46" l="1"/>
  <c r="S29" i="31"/>
  <c r="R20" i="31"/>
  <c r="S20" i="31"/>
  <c r="AC11" i="46"/>
  <c r="L10" i="48"/>
  <c r="S30" i="31"/>
  <c r="R30" i="31"/>
  <c r="S12" i="32"/>
  <c r="AQ10" i="2" l="1"/>
  <c r="G10" i="2"/>
  <c r="Z6" i="46" l="1"/>
  <c r="E4" i="47" l="1"/>
  <c r="G4" i="47" s="1"/>
  <c r="H4" i="47" s="1"/>
  <c r="O6" i="57" s="1"/>
  <c r="C6" i="57" l="1"/>
  <c r="K6" i="57"/>
  <c r="U6" i="57"/>
  <c r="T6" i="57"/>
  <c r="V6" i="57"/>
  <c r="V164" i="57" s="1"/>
  <c r="P6" i="57"/>
  <c r="P164" i="57" s="1"/>
  <c r="O164" i="57" s="1"/>
  <c r="C164" i="57"/>
  <c r="U164" i="57"/>
  <c r="I38" i="33"/>
  <c r="I4" i="47" s="1"/>
  <c r="I37" i="33"/>
  <c r="R10" i="33"/>
  <c r="P10" i="33"/>
  <c r="S10" i="33" s="1"/>
  <c r="R9" i="33"/>
  <c r="P9" i="33"/>
  <c r="S9" i="33" s="1"/>
  <c r="R8" i="33"/>
  <c r="P8" i="33"/>
  <c r="S8" i="33" s="1"/>
  <c r="R7" i="33"/>
  <c r="P7" i="33"/>
  <c r="S7" i="33" s="1"/>
  <c r="Q6" i="33"/>
  <c r="Q11" i="33" s="1"/>
  <c r="P6" i="33"/>
  <c r="AC6" i="57" l="1"/>
  <c r="AC164" i="57"/>
  <c r="T5" i="56" s="1"/>
  <c r="T164" i="57"/>
  <c r="K164" i="57"/>
  <c r="V165" i="57" s="1"/>
  <c r="T10" i="56"/>
  <c r="R6" i="33"/>
  <c r="R11" i="33" s="1"/>
  <c r="R12" i="33" s="1"/>
  <c r="S6" i="33"/>
  <c r="S11" i="33" s="1"/>
  <c r="S12" i="33" s="1"/>
  <c r="J4" i="33"/>
  <c r="BA165" i="57" l="1"/>
  <c r="AR165" i="57"/>
  <c r="AT165" i="57"/>
  <c r="X189" i="57" s="1"/>
  <c r="AS165" i="57"/>
  <c r="X188" i="57" s="1"/>
  <c r="AV165" i="57"/>
  <c r="X192" i="57" s="1"/>
  <c r="AZ165" i="57"/>
  <c r="X194" i="57" s="1"/>
  <c r="AF165" i="57"/>
  <c r="X177" i="57" s="1"/>
  <c r="AM165" i="57"/>
  <c r="AO165" i="57"/>
  <c r="X185" i="57" s="1"/>
  <c r="AI165" i="57"/>
  <c r="X180" i="57" s="1"/>
  <c r="AG165" i="57"/>
  <c r="X178" i="57" s="1"/>
  <c r="AU165" i="57"/>
  <c r="X190" i="57" s="1"/>
  <c r="AX165" i="57"/>
  <c r="X193" i="57" s="1"/>
  <c r="AN165" i="57"/>
  <c r="X184" i="57" s="1"/>
  <c r="AQ165" i="57"/>
  <c r="X187" i="57" s="1"/>
  <c r="AJ165" i="57"/>
  <c r="X181" i="57" s="1"/>
  <c r="AY165" i="57"/>
  <c r="AP165" i="57"/>
  <c r="X186" i="57" s="1"/>
  <c r="AW165" i="57"/>
  <c r="X191" i="57" s="1"/>
  <c r="AL165" i="57"/>
  <c r="X183" i="57" s="1"/>
  <c r="AK165" i="57"/>
  <c r="X182" i="57" s="1"/>
  <c r="AH165" i="57"/>
  <c r="X179" i="57" s="1"/>
  <c r="T8" i="56"/>
  <c r="T11" i="56" s="1"/>
  <c r="Y165" i="57"/>
  <c r="X172" i="57" s="1"/>
  <c r="AC165" i="57"/>
  <c r="X174" i="57" s="1"/>
  <c r="A9" i="1"/>
  <c r="BF164" i="46" l="1"/>
  <c r="BE164" i="46"/>
  <c r="BD164" i="46"/>
  <c r="BC164" i="46"/>
  <c r="BB164" i="46"/>
  <c r="A6" i="46" l="1"/>
  <c r="B1" i="47"/>
  <c r="A8" i="45"/>
  <c r="A7" i="45" s="1"/>
  <c r="F42" i="29" l="1"/>
  <c r="G42" i="29"/>
  <c r="I37" i="29" s="1"/>
  <c r="F32" i="27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E33" i="29" s="1"/>
  <c r="D32" i="29"/>
  <c r="C32" i="29"/>
  <c r="F23" i="29"/>
  <c r="E23" i="29"/>
  <c r="D23" i="29"/>
  <c r="C23" i="29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C34" i="27" l="1"/>
  <c r="K7" i="27" s="1"/>
  <c r="W33" i="57" s="1"/>
  <c r="D34" i="27"/>
  <c r="D33" i="27"/>
  <c r="C34" i="29"/>
  <c r="K7" i="29" s="1"/>
  <c r="W28" i="57" s="1"/>
  <c r="C34" i="30"/>
  <c r="K7" i="30" s="1"/>
  <c r="W23" i="57" s="1"/>
  <c r="D33" i="30"/>
  <c r="D24" i="30"/>
  <c r="D33" i="31"/>
  <c r="C34" i="31"/>
  <c r="K7" i="31" s="1"/>
  <c r="W16" i="57" s="1"/>
  <c r="F34" i="31"/>
  <c r="D34" i="31"/>
  <c r="C24" i="31"/>
  <c r="C33" i="30"/>
  <c r="E33" i="27"/>
  <c r="E34" i="27"/>
  <c r="F34" i="27"/>
  <c r="C33" i="29"/>
  <c r="D24" i="27"/>
  <c r="E34" i="31"/>
  <c r="D34" i="29"/>
  <c r="Z28" i="57" s="1"/>
  <c r="D33" i="29"/>
  <c r="E24" i="30"/>
  <c r="E33" i="31"/>
  <c r="D24" i="31"/>
  <c r="D34" i="30"/>
  <c r="F34" i="29"/>
  <c r="C33" i="27"/>
  <c r="E24" i="31"/>
  <c r="E34" i="30"/>
  <c r="E33" i="30"/>
  <c r="F34" i="30"/>
  <c r="E24" i="27"/>
  <c r="C33" i="31"/>
  <c r="C24" i="29"/>
  <c r="C24" i="27"/>
  <c r="C15" i="27"/>
  <c r="D15" i="27"/>
  <c r="E15" i="27"/>
  <c r="D24" i="29"/>
  <c r="D15" i="29"/>
  <c r="E24" i="29"/>
  <c r="C15" i="29"/>
  <c r="E15" i="29"/>
  <c r="C24" i="30"/>
  <c r="C15" i="30"/>
  <c r="D15" i="30"/>
  <c r="E15" i="30"/>
  <c r="C15" i="31"/>
  <c r="D15" i="31"/>
  <c r="E15" i="31"/>
  <c r="P13" i="45"/>
  <c r="X28" i="57" l="1"/>
  <c r="AA28" i="57"/>
  <c r="AB28" i="57" s="1"/>
  <c r="X23" i="57"/>
  <c r="AA23" i="57"/>
  <c r="AB23" i="57" s="1"/>
  <c r="X16" i="57"/>
  <c r="AA16" i="57"/>
  <c r="AB16" i="57" s="1"/>
  <c r="X33" i="57"/>
  <c r="AA33" i="57"/>
  <c r="AB33" i="57" s="1"/>
  <c r="W33" i="46"/>
  <c r="Z28" i="46"/>
  <c r="W28" i="46"/>
  <c r="X28" i="46" s="1"/>
  <c r="W23" i="46"/>
  <c r="AA28" i="46" l="1"/>
  <c r="AB28" i="46" s="1"/>
  <c r="X33" i="46"/>
  <c r="AA23" i="46"/>
  <c r="AB23" i="46" s="1"/>
  <c r="X23" i="46"/>
  <c r="P12" i="45" l="1"/>
  <c r="W16" i="46" l="1"/>
  <c r="AA16" i="46" l="1"/>
  <c r="AB16" i="46" s="1"/>
  <c r="X16" i="46"/>
  <c r="P11" i="45"/>
  <c r="P10" i="45"/>
  <c r="G42" i="30" l="1"/>
  <c r="I37" i="30" s="1"/>
  <c r="F42" i="30"/>
  <c r="A14" i="45" l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P9" i="45" l="1"/>
  <c r="AM40" i="2" l="1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C39" i="1" l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C10" i="2" s="1"/>
  <c r="B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CC41" i="1"/>
  <c r="BZ41" i="1"/>
  <c r="BW41" i="1"/>
  <c r="BT41" i="1"/>
  <c r="BQ41" i="1"/>
  <c r="BN41" i="1"/>
  <c r="BK41" i="1"/>
  <c r="BH41" i="1"/>
  <c r="BE41" i="1"/>
  <c r="BB41" i="1"/>
  <c r="AY41" i="1"/>
  <c r="AV41" i="1"/>
  <c r="AS41" i="1"/>
  <c r="AP41" i="1"/>
  <c r="AM41" i="1"/>
  <c r="AJ41" i="1"/>
  <c r="AG41" i="1"/>
  <c r="AD41" i="1"/>
  <c r="AA41" i="1"/>
  <c r="X41" i="1"/>
  <c r="U41" i="1"/>
  <c r="R41" i="1"/>
  <c r="L41" i="1"/>
  <c r="I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X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KA11" i="1"/>
  <c r="JZ11" i="1"/>
  <c r="JW11" i="1"/>
  <c r="JT11" i="1"/>
  <c r="JQ11" i="1"/>
  <c r="JO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N11" i="1"/>
  <c r="K11" i="1"/>
  <c r="H11" i="1"/>
  <c r="KR10" i="1"/>
  <c r="KO10" i="1"/>
  <c r="KL10" i="1"/>
  <c r="KI10" i="1"/>
  <c r="KF10" i="1"/>
  <c r="KD10" i="1"/>
  <c r="KC10" i="1"/>
  <c r="KA10" i="1"/>
  <c r="JZ10" i="1"/>
  <c r="JW10" i="1"/>
  <c r="JT10" i="1"/>
  <c r="JQ10" i="1"/>
  <c r="JO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M9" i="1"/>
  <c r="KL9" i="1"/>
  <c r="KJ9" i="1"/>
  <c r="KI9" i="1"/>
  <c r="KF9" i="1"/>
  <c r="KC9" i="1"/>
  <c r="KA9" i="1"/>
  <c r="JZ9" i="1"/>
  <c r="JX9" i="1"/>
  <c r="JW9" i="1"/>
  <c r="JT9" i="1"/>
  <c r="JQ9" i="1"/>
  <c r="JO9" i="1"/>
  <c r="JN9" i="1"/>
  <c r="JL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M11" i="1"/>
  <c r="KJ12" i="1"/>
  <c r="KD12" i="1"/>
  <c r="JR9" i="1"/>
  <c r="JO12" i="1"/>
  <c r="JL11" i="1"/>
  <c r="M39" i="55"/>
  <c r="D39" i="55"/>
  <c r="M38" i="55"/>
  <c r="D38" i="55"/>
  <c r="M37" i="55"/>
  <c r="D37" i="55"/>
  <c r="M36" i="55"/>
  <c r="D36" i="55"/>
  <c r="M35" i="55"/>
  <c r="D35" i="55"/>
  <c r="M34" i="55"/>
  <c r="D34" i="55"/>
  <c r="M33" i="55"/>
  <c r="D33" i="55"/>
  <c r="M32" i="55"/>
  <c r="D32" i="55"/>
  <c r="M31" i="55"/>
  <c r="D31" i="55"/>
  <c r="M30" i="55"/>
  <c r="D30" i="55"/>
  <c r="M29" i="55"/>
  <c r="D29" i="55"/>
  <c r="M28" i="55"/>
  <c r="D28" i="55"/>
  <c r="M27" i="55"/>
  <c r="D27" i="55"/>
  <c r="M26" i="55"/>
  <c r="D26" i="55"/>
  <c r="M25" i="55"/>
  <c r="D25" i="55"/>
  <c r="M24" i="55"/>
  <c r="D24" i="55"/>
  <c r="M23" i="55"/>
  <c r="D23" i="55"/>
  <c r="M22" i="55"/>
  <c r="D22" i="55"/>
  <c r="M21" i="55"/>
  <c r="D21" i="55"/>
  <c r="M20" i="55"/>
  <c r="D20" i="55"/>
  <c r="M19" i="55"/>
  <c r="D19" i="55"/>
  <c r="M18" i="55"/>
  <c r="D18" i="55"/>
  <c r="M17" i="55"/>
  <c r="D17" i="55"/>
  <c r="M16" i="55"/>
  <c r="D16" i="55"/>
  <c r="M11" i="55"/>
  <c r="D11" i="55"/>
  <c r="M10" i="55"/>
  <c r="D10" i="55"/>
  <c r="M9" i="55"/>
  <c r="D9" i="55"/>
  <c r="M8" i="55"/>
  <c r="D8" i="55"/>
  <c r="M7" i="55"/>
  <c r="D7" i="55"/>
  <c r="M6" i="55"/>
  <c r="D6" i="55"/>
  <c r="M5" i="55"/>
  <c r="D5" i="55"/>
  <c r="M4" i="55"/>
  <c r="D4" i="55"/>
  <c r="E3" i="55"/>
  <c r="F3" i="55" s="1"/>
  <c r="G3" i="55" s="1"/>
  <c r="H3" i="55" s="1"/>
  <c r="M3" i="55" s="1"/>
  <c r="N3" i="55" s="1"/>
  <c r="O3" i="55" s="1"/>
  <c r="P3" i="55" s="1"/>
  <c r="Q3" i="55" s="1"/>
  <c r="KF41" i="1" l="1"/>
  <c r="T41" i="1"/>
  <c r="W41" i="1"/>
  <c r="K41" i="1"/>
  <c r="DH41" i="1"/>
  <c r="EG41" i="1"/>
  <c r="FE41" i="1"/>
  <c r="GC41" i="1"/>
  <c r="HA41" i="1"/>
  <c r="HY41" i="1"/>
  <c r="IW41" i="1"/>
  <c r="M41" i="1"/>
  <c r="KT38" i="1"/>
  <c r="KT13" i="1"/>
  <c r="N41" i="1"/>
  <c r="AI41" i="1"/>
  <c r="BG41" i="1"/>
  <c r="CE41" i="1"/>
  <c r="DC41" i="1"/>
  <c r="EA41" i="1"/>
  <c r="EY41" i="1"/>
  <c r="FW41" i="1"/>
  <c r="GU41" i="1"/>
  <c r="HS41" i="1"/>
  <c r="IQ41" i="1"/>
  <c r="KT17" i="1"/>
  <c r="KT10" i="1"/>
  <c r="KT14" i="1"/>
  <c r="KT9" i="1"/>
  <c r="KT16" i="1"/>
  <c r="KT22" i="1"/>
  <c r="KT12" i="1"/>
  <c r="KT19" i="1"/>
  <c r="KT27" i="1"/>
  <c r="KT18" i="1"/>
  <c r="KT15" i="1"/>
  <c r="KT20" i="1"/>
  <c r="KT24" i="1"/>
  <c r="KT28" i="1"/>
  <c r="KT21" i="1"/>
  <c r="KT26" i="1"/>
  <c r="KT25" i="1"/>
  <c r="KT23" i="1"/>
  <c r="AL41" i="1"/>
  <c r="BJ41" i="1"/>
  <c r="CH41" i="1"/>
  <c r="DF41" i="1"/>
  <c r="ED41" i="1"/>
  <c r="FB41" i="1"/>
  <c r="FZ41" i="1"/>
  <c r="GX41" i="1"/>
  <c r="HV41" i="1"/>
  <c r="IT41" i="1"/>
  <c r="CM41" i="1"/>
  <c r="DK41" i="1"/>
  <c r="EI41" i="1"/>
  <c r="V41" i="1"/>
  <c r="AU41" i="1"/>
  <c r="BS41" i="1"/>
  <c r="CQ41" i="1"/>
  <c r="DO41" i="1"/>
  <c r="EM41" i="1"/>
  <c r="FK41" i="1"/>
  <c r="ID41" i="1"/>
  <c r="JB41" i="1"/>
  <c r="JZ41" i="1"/>
  <c r="KT39" i="1"/>
  <c r="Z41" i="1"/>
  <c r="AX41" i="1"/>
  <c r="BV41" i="1"/>
  <c r="CT41" i="1"/>
  <c r="DR41" i="1"/>
  <c r="EP41" i="1"/>
  <c r="FN41" i="1"/>
  <c r="GL41" i="1"/>
  <c r="HJ41" i="1"/>
  <c r="IH41" i="1"/>
  <c r="JF41" i="1"/>
  <c r="KT36" i="1"/>
  <c r="AB41" i="1"/>
  <c r="AZ41" i="1"/>
  <c r="BY41" i="1"/>
  <c r="CW41" i="1"/>
  <c r="DU41" i="1"/>
  <c r="ES41" i="1"/>
  <c r="FP41" i="1"/>
  <c r="GO41" i="1"/>
  <c r="HM41" i="1"/>
  <c r="AF41" i="1"/>
  <c r="BD41" i="1"/>
  <c r="CB41" i="1"/>
  <c r="CZ41" i="1"/>
  <c r="DX41" i="1"/>
  <c r="EV41" i="1"/>
  <c r="FT41" i="1"/>
  <c r="GR41" i="1"/>
  <c r="HP41" i="1"/>
  <c r="IN41" i="1"/>
  <c r="KP39" i="1"/>
  <c r="KP38" i="1"/>
  <c r="KP37" i="1"/>
  <c r="KP36" i="1"/>
  <c r="KP32" i="1"/>
  <c r="KP34" i="1"/>
  <c r="KP33" i="1"/>
  <c r="KP30" i="1"/>
  <c r="KP28" i="1"/>
  <c r="KP27" i="1"/>
  <c r="KP26" i="1"/>
  <c r="KP35" i="1"/>
  <c r="KP31" i="1"/>
  <c r="KP25" i="1"/>
  <c r="KP24" i="1"/>
  <c r="KP23" i="1"/>
  <c r="KP22" i="1"/>
  <c r="KP21" i="1"/>
  <c r="KP20" i="1"/>
  <c r="KP19" i="1"/>
  <c r="KP18" i="1"/>
  <c r="KP17" i="1"/>
  <c r="KP16" i="1"/>
  <c r="KP15" i="1"/>
  <c r="KP14" i="1"/>
  <c r="KP13" i="1"/>
  <c r="KP29" i="1"/>
  <c r="JR11" i="1"/>
  <c r="KP10" i="1"/>
  <c r="JL12" i="1"/>
  <c r="KP12" i="1"/>
  <c r="KS39" i="1"/>
  <c r="KS38" i="1"/>
  <c r="KS37" i="1"/>
  <c r="KS36" i="1"/>
  <c r="KS35" i="1"/>
  <c r="KS34" i="1"/>
  <c r="KS33" i="1"/>
  <c r="KS32" i="1"/>
  <c r="KS30" i="1"/>
  <c r="KS31" i="1"/>
  <c r="KS29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KS28" i="1"/>
  <c r="KS26" i="1"/>
  <c r="KS27" i="1"/>
  <c r="JU39" i="1"/>
  <c r="JU38" i="1"/>
  <c r="JU37" i="1"/>
  <c r="JU35" i="1"/>
  <c r="JU34" i="1"/>
  <c r="JU33" i="1"/>
  <c r="JU32" i="1"/>
  <c r="JU36" i="1"/>
  <c r="JU30" i="1"/>
  <c r="JU29" i="1"/>
  <c r="JU31" i="1"/>
  <c r="JU26" i="1"/>
  <c r="JU25" i="1"/>
  <c r="JU24" i="1"/>
  <c r="JU23" i="1"/>
  <c r="JU22" i="1"/>
  <c r="JU21" i="1"/>
  <c r="JU20" i="1"/>
  <c r="JU19" i="1"/>
  <c r="JU18" i="1"/>
  <c r="JU17" i="1"/>
  <c r="JU16" i="1"/>
  <c r="JU15" i="1"/>
  <c r="JU14" i="1"/>
  <c r="JU13" i="1"/>
  <c r="JU12" i="1"/>
  <c r="JU11" i="1"/>
  <c r="JU10" i="1"/>
  <c r="JU27" i="1"/>
  <c r="JU28" i="1"/>
  <c r="JX41" i="1"/>
  <c r="JX39" i="1"/>
  <c r="JX38" i="1"/>
  <c r="JX37" i="1"/>
  <c r="JX36" i="1"/>
  <c r="JX35" i="1"/>
  <c r="JX34" i="1"/>
  <c r="JX33" i="1"/>
  <c r="JX32" i="1"/>
  <c r="JX31" i="1"/>
  <c r="JX28" i="1"/>
  <c r="JX27" i="1"/>
  <c r="JX26" i="1"/>
  <c r="JX30" i="1"/>
  <c r="JX29" i="1"/>
  <c r="JX25" i="1"/>
  <c r="JX24" i="1"/>
  <c r="JX23" i="1"/>
  <c r="JX22" i="1"/>
  <c r="JX21" i="1"/>
  <c r="JX20" i="1"/>
  <c r="JX19" i="1"/>
  <c r="JX18" i="1"/>
  <c r="JX17" i="1"/>
  <c r="JX16" i="1"/>
  <c r="JX15" i="1"/>
  <c r="JX14" i="1"/>
  <c r="JX13" i="1"/>
  <c r="KJ11" i="1"/>
  <c r="KA41" i="1"/>
  <c r="KA39" i="1"/>
  <c r="KA38" i="1"/>
  <c r="KA37" i="1"/>
  <c r="KA36" i="1"/>
  <c r="KA35" i="1"/>
  <c r="KA34" i="1"/>
  <c r="KA33" i="1"/>
  <c r="KA32" i="1"/>
  <c r="KA31" i="1"/>
  <c r="KA30" i="1"/>
  <c r="KA29" i="1"/>
  <c r="KA28" i="1"/>
  <c r="KA25" i="1"/>
  <c r="KA24" i="1"/>
  <c r="KA23" i="1"/>
  <c r="KA22" i="1"/>
  <c r="KA21" i="1"/>
  <c r="KA20" i="1"/>
  <c r="KA19" i="1"/>
  <c r="KA18" i="1"/>
  <c r="KA17" i="1"/>
  <c r="KA16" i="1"/>
  <c r="KA15" i="1"/>
  <c r="KA14" i="1"/>
  <c r="KA13" i="1"/>
  <c r="KA12" i="1"/>
  <c r="KA26" i="1"/>
  <c r="KA27" i="1"/>
  <c r="JR10" i="1"/>
  <c r="JX11" i="1"/>
  <c r="KD39" i="1"/>
  <c r="KD38" i="1"/>
  <c r="KD37" i="1"/>
  <c r="KD36" i="1"/>
  <c r="KD35" i="1"/>
  <c r="KD33" i="1"/>
  <c r="KD31" i="1"/>
  <c r="KD28" i="1"/>
  <c r="KD27" i="1"/>
  <c r="KD26" i="1"/>
  <c r="KD32" i="1"/>
  <c r="KD34" i="1"/>
  <c r="KD29" i="1"/>
  <c r="KD25" i="1"/>
  <c r="KD24" i="1"/>
  <c r="KD23" i="1"/>
  <c r="KD22" i="1"/>
  <c r="KD21" i="1"/>
  <c r="KD20" i="1"/>
  <c r="KD19" i="1"/>
  <c r="KD18" i="1"/>
  <c r="KD17" i="1"/>
  <c r="KD16" i="1"/>
  <c r="KD15" i="1"/>
  <c r="KD14" i="1"/>
  <c r="KD13" i="1"/>
  <c r="KD30" i="1"/>
  <c r="KD9" i="1"/>
  <c r="KP9" i="1"/>
  <c r="JR39" i="1"/>
  <c r="JR38" i="1"/>
  <c r="JR37" i="1"/>
  <c r="JR36" i="1"/>
  <c r="JR35" i="1"/>
  <c r="JR31" i="1"/>
  <c r="JR34" i="1"/>
  <c r="JR30" i="1"/>
  <c r="JR33" i="1"/>
  <c r="JR32" i="1"/>
  <c r="JR28" i="1"/>
  <c r="JR27" i="1"/>
  <c r="JR26" i="1"/>
  <c r="JR29" i="1"/>
  <c r="JR25" i="1"/>
  <c r="JR24" i="1"/>
  <c r="JR23" i="1"/>
  <c r="JR22" i="1"/>
  <c r="JR21" i="1"/>
  <c r="JR20" i="1"/>
  <c r="JR19" i="1"/>
  <c r="JR18" i="1"/>
  <c r="JR17" i="1"/>
  <c r="JR16" i="1"/>
  <c r="JR15" i="1"/>
  <c r="JR14" i="1"/>
  <c r="JR13" i="1"/>
  <c r="KJ10" i="1"/>
  <c r="JR12" i="1"/>
  <c r="KG39" i="1"/>
  <c r="KG38" i="1"/>
  <c r="KG37" i="1"/>
  <c r="KG41" i="1"/>
  <c r="KG35" i="1"/>
  <c r="KG34" i="1"/>
  <c r="KG33" i="1"/>
  <c r="KG32" i="1"/>
  <c r="KG36" i="1"/>
  <c r="KG30" i="1"/>
  <c r="KG29" i="1"/>
  <c r="KG25" i="1"/>
  <c r="KG24" i="1"/>
  <c r="KG23" i="1"/>
  <c r="KG22" i="1"/>
  <c r="KG21" i="1"/>
  <c r="KG20" i="1"/>
  <c r="KG19" i="1"/>
  <c r="KG18" i="1"/>
  <c r="KG17" i="1"/>
  <c r="KG16" i="1"/>
  <c r="KG15" i="1"/>
  <c r="KG14" i="1"/>
  <c r="KG13" i="1"/>
  <c r="KG12" i="1"/>
  <c r="KG11" i="1"/>
  <c r="KG10" i="1"/>
  <c r="KG26" i="1"/>
  <c r="KG27" i="1"/>
  <c r="KG31" i="1"/>
  <c r="KG28" i="1"/>
  <c r="JL39" i="1"/>
  <c r="JL38" i="1"/>
  <c r="JL37" i="1"/>
  <c r="JL36" i="1"/>
  <c r="JL35" i="1"/>
  <c r="JL34" i="1"/>
  <c r="JL33" i="1"/>
  <c r="JL32" i="1"/>
  <c r="JL28" i="1"/>
  <c r="JL27" i="1"/>
  <c r="JL26" i="1"/>
  <c r="JL30" i="1"/>
  <c r="JL31" i="1"/>
  <c r="JL29" i="1"/>
  <c r="JL25" i="1"/>
  <c r="JL24" i="1"/>
  <c r="JL23" i="1"/>
  <c r="JL22" i="1"/>
  <c r="JL21" i="1"/>
  <c r="JL20" i="1"/>
  <c r="JL19" i="1"/>
  <c r="JL18" i="1"/>
  <c r="JL17" i="1"/>
  <c r="JL16" i="1"/>
  <c r="JL15" i="1"/>
  <c r="JL14" i="1"/>
  <c r="JL13" i="1"/>
  <c r="JU9" i="1"/>
  <c r="KP11" i="1"/>
  <c r="KJ39" i="1"/>
  <c r="KJ38" i="1"/>
  <c r="KJ37" i="1"/>
  <c r="KJ36" i="1"/>
  <c r="KJ35" i="1"/>
  <c r="KJ34" i="1"/>
  <c r="KJ33" i="1"/>
  <c r="KJ32" i="1"/>
  <c r="KJ31" i="1"/>
  <c r="KJ28" i="1"/>
  <c r="KJ27" i="1"/>
  <c r="KJ26" i="1"/>
  <c r="KJ30" i="1"/>
  <c r="KJ25" i="1"/>
  <c r="KJ24" i="1"/>
  <c r="KJ23" i="1"/>
  <c r="KJ22" i="1"/>
  <c r="KJ21" i="1"/>
  <c r="KJ20" i="1"/>
  <c r="KJ19" i="1"/>
  <c r="KJ18" i="1"/>
  <c r="KJ17" i="1"/>
  <c r="KJ16" i="1"/>
  <c r="KJ15" i="1"/>
  <c r="KJ14" i="1"/>
  <c r="KJ13" i="1"/>
  <c r="KJ29" i="1"/>
  <c r="KG9" i="1"/>
  <c r="JX10" i="1"/>
  <c r="JO39" i="1"/>
  <c r="JO38" i="1"/>
  <c r="JO37" i="1"/>
  <c r="JO36" i="1"/>
  <c r="JO35" i="1"/>
  <c r="JO34" i="1"/>
  <c r="JO33" i="1"/>
  <c r="JO32" i="1"/>
  <c r="JO31" i="1"/>
  <c r="JO30" i="1"/>
  <c r="JO29" i="1"/>
  <c r="JO28" i="1"/>
  <c r="JO26" i="1"/>
  <c r="JO25" i="1"/>
  <c r="JO24" i="1"/>
  <c r="JO23" i="1"/>
  <c r="JO22" i="1"/>
  <c r="JO21" i="1"/>
  <c r="JO20" i="1"/>
  <c r="JO19" i="1"/>
  <c r="JO18" i="1"/>
  <c r="JO17" i="1"/>
  <c r="JO16" i="1"/>
  <c r="JO15" i="1"/>
  <c r="JO14" i="1"/>
  <c r="JO13" i="1"/>
  <c r="JO27" i="1"/>
  <c r="KM39" i="1"/>
  <c r="KM38" i="1"/>
  <c r="KM37" i="1"/>
  <c r="KM36" i="1"/>
  <c r="KM35" i="1"/>
  <c r="KM34" i="1"/>
  <c r="KM33" i="1"/>
  <c r="KM32" i="1"/>
  <c r="KM31" i="1"/>
  <c r="KM30" i="1"/>
  <c r="KM29" i="1"/>
  <c r="KM27" i="1"/>
  <c r="KM28" i="1"/>
  <c r="KM25" i="1"/>
  <c r="KM24" i="1"/>
  <c r="KM23" i="1"/>
  <c r="KM22" i="1"/>
  <c r="KM21" i="1"/>
  <c r="KM20" i="1"/>
  <c r="KM19" i="1"/>
  <c r="KM18" i="1"/>
  <c r="KM17" i="1"/>
  <c r="KM16" i="1"/>
  <c r="KM15" i="1"/>
  <c r="KM14" i="1"/>
  <c r="KM13" i="1"/>
  <c r="KM12" i="1"/>
  <c r="KM26" i="1"/>
  <c r="JL10" i="1"/>
  <c r="KM10" i="1"/>
  <c r="KD11" i="1"/>
  <c r="KT32" i="1"/>
  <c r="KT31" i="1"/>
  <c r="KT29" i="1"/>
  <c r="KT30" i="1"/>
  <c r="KT35" i="1"/>
  <c r="KT33" i="1"/>
  <c r="KT34" i="1"/>
  <c r="KD41" i="1"/>
  <c r="JL41" i="1"/>
  <c r="KJ41" i="1"/>
  <c r="JO41" i="1"/>
  <c r="KM41" i="1"/>
  <c r="KT37" i="1"/>
  <c r="JR41" i="1"/>
  <c r="KP41" i="1"/>
  <c r="JU41" i="1"/>
  <c r="KS41" i="1"/>
  <c r="AC41" i="1"/>
  <c r="AK41" i="1"/>
  <c r="BA41" i="1"/>
  <c r="BI41" i="1"/>
  <c r="CG41" i="1"/>
  <c r="DE41" i="1"/>
  <c r="EC41" i="1"/>
  <c r="FA41" i="1"/>
  <c r="FQ41" i="1"/>
  <c r="FY41" i="1"/>
  <c r="GW41" i="1"/>
  <c r="HU41" i="1"/>
  <c r="IK41" i="1"/>
  <c r="IS41" i="1"/>
  <c r="JI41" i="1"/>
  <c r="JQ41" i="1"/>
  <c r="KO41" i="1"/>
  <c r="AT41" i="1"/>
  <c r="BR41" i="1"/>
  <c r="CP41" i="1"/>
  <c r="DN41" i="1"/>
  <c r="EL41" i="1"/>
  <c r="FJ41" i="1"/>
  <c r="GH41" i="1"/>
  <c r="HF41" i="1"/>
  <c r="G41" i="1"/>
  <c r="AE41" i="1"/>
  <c r="BC41" i="1"/>
  <c r="CA41" i="1"/>
  <c r="CY41" i="1"/>
  <c r="DW41" i="1"/>
  <c r="EU41" i="1"/>
  <c r="FS41" i="1"/>
  <c r="GI41" i="1"/>
  <c r="GQ41" i="1"/>
  <c r="HG41" i="1"/>
  <c r="HO41" i="1"/>
  <c r="IE41" i="1"/>
  <c r="IM41" i="1"/>
  <c r="JC41" i="1"/>
  <c r="JK41" i="1"/>
  <c r="KI41" i="1"/>
  <c r="H41" i="1"/>
  <c r="AN41" i="1"/>
  <c r="BL41" i="1"/>
  <c r="CJ41" i="1"/>
  <c r="EF41" i="1"/>
  <c r="FD41" i="1"/>
  <c r="GB41" i="1"/>
  <c r="GZ41" i="1"/>
  <c r="HX41" i="1"/>
  <c r="IV41" i="1"/>
  <c r="JT41" i="1"/>
  <c r="KR41" i="1"/>
  <c r="Y41" i="1"/>
  <c r="AO41" i="1"/>
  <c r="AW41" i="1"/>
  <c r="BM41" i="1"/>
  <c r="BU41" i="1"/>
  <c r="CK41" i="1"/>
  <c r="CS41" i="1"/>
  <c r="DI41" i="1"/>
  <c r="DQ41" i="1"/>
  <c r="EO41" i="1"/>
  <c r="FM41" i="1"/>
  <c r="GK41" i="1"/>
  <c r="HI41" i="1"/>
  <c r="IG41" i="1"/>
  <c r="JE41" i="1"/>
  <c r="KC41" i="1"/>
  <c r="J41" i="1"/>
  <c r="AH41" i="1"/>
  <c r="BF41" i="1"/>
  <c r="CD41" i="1"/>
  <c r="DB41" i="1"/>
  <c r="DZ41" i="1"/>
  <c r="EX41" i="1"/>
  <c r="FV41" i="1"/>
  <c r="GT41" i="1"/>
  <c r="HR41" i="1"/>
  <c r="IP41" i="1"/>
  <c r="JN41" i="1"/>
  <c r="KL41" i="1"/>
  <c r="S41" i="1"/>
  <c r="AQ41" i="1"/>
  <c r="BO41" i="1"/>
  <c r="FG41" i="1"/>
  <c r="GE41" i="1"/>
  <c r="HC41" i="1"/>
  <c r="IA41" i="1"/>
  <c r="IY41" i="1"/>
  <c r="JW41" i="1"/>
  <c r="AR41" i="1"/>
  <c r="BP41" i="1"/>
  <c r="BX41" i="1"/>
  <c r="CN41" i="1"/>
  <c r="CV41" i="1"/>
  <c r="DL41" i="1"/>
  <c r="DT41" i="1"/>
  <c r="EJ41" i="1"/>
  <c r="ER41" i="1"/>
  <c r="FH41" i="1"/>
  <c r="GF41" i="1"/>
  <c r="GN41" i="1"/>
  <c r="HD41" i="1"/>
  <c r="HL41" i="1"/>
  <c r="IB41" i="1"/>
  <c r="IJ41" i="1"/>
  <c r="IZ41" i="1"/>
  <c r="JH41" i="1"/>
  <c r="M40" i="55"/>
  <c r="D40" i="55"/>
  <c r="KU36" i="1" l="1"/>
  <c r="KU15" i="1"/>
  <c r="KU35" i="1"/>
  <c r="KU14" i="1"/>
  <c r="KU31" i="1"/>
  <c r="KU39" i="1"/>
  <c r="KU13" i="1"/>
  <c r="KU21" i="1"/>
  <c r="KU26" i="1"/>
  <c r="KU37" i="1"/>
  <c r="KU38" i="1"/>
  <c r="KU10" i="1"/>
  <c r="KU27" i="1"/>
  <c r="KU33" i="1"/>
  <c r="KU32" i="1"/>
  <c r="KU16" i="1"/>
  <c r="KU34" i="1"/>
  <c r="KU28" i="1"/>
  <c r="KU23" i="1"/>
  <c r="KU22" i="1"/>
  <c r="KU24" i="1"/>
  <c r="KU30" i="1"/>
  <c r="KU17" i="1"/>
  <c r="KU25" i="1"/>
  <c r="KU18" i="1"/>
  <c r="KU12" i="1"/>
  <c r="KU19" i="1"/>
  <c r="KU9" i="1"/>
  <c r="KU20" i="1"/>
  <c r="KU29" i="1"/>
  <c r="KU11" i="1"/>
  <c r="KU41" i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42" i="10"/>
  <c r="F32" i="10"/>
  <c r="E32" i="10"/>
  <c r="D32" i="10"/>
  <c r="C32" i="10"/>
  <c r="F23" i="10"/>
  <c r="E23" i="10"/>
  <c r="D23" i="10"/>
  <c r="F14" i="10"/>
  <c r="E14" i="10"/>
  <c r="D14" i="10"/>
  <c r="F32" i="11"/>
  <c r="E32" i="11"/>
  <c r="D32" i="11"/>
  <c r="C32" i="11"/>
  <c r="F23" i="11"/>
  <c r="E23" i="11"/>
  <c r="D23" i="11"/>
  <c r="C23" i="11"/>
  <c r="F14" i="11"/>
  <c r="E14" i="1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D34" i="12" s="1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F23" i="20"/>
  <c r="E23" i="20"/>
  <c r="D23" i="20"/>
  <c r="C23" i="20"/>
  <c r="F14" i="20"/>
  <c r="E14" i="20"/>
  <c r="D14" i="20"/>
  <c r="D34" i="20" s="1"/>
  <c r="C14" i="20"/>
  <c r="F32" i="22"/>
  <c r="E32" i="22"/>
  <c r="D32" i="22"/>
  <c r="C32" i="22"/>
  <c r="F23" i="22"/>
  <c r="E23" i="22"/>
  <c r="D23" i="22"/>
  <c r="C23" i="22"/>
  <c r="F14" i="22"/>
  <c r="E14" i="22"/>
  <c r="D14" i="22"/>
  <c r="C14" i="22"/>
  <c r="F32" i="21"/>
  <c r="E32" i="21"/>
  <c r="D32" i="21"/>
  <c r="C32" i="21"/>
  <c r="F23" i="21"/>
  <c r="E23" i="21"/>
  <c r="D23" i="21"/>
  <c r="C23" i="21"/>
  <c r="F14" i="21"/>
  <c r="E14" i="21"/>
  <c r="D14" i="21"/>
  <c r="D34" i="21" s="1"/>
  <c r="C14" i="21"/>
  <c r="F32" i="23"/>
  <c r="E32" i="23"/>
  <c r="D32" i="23"/>
  <c r="C32" i="23"/>
  <c r="F23" i="23"/>
  <c r="E23" i="23"/>
  <c r="D23" i="23"/>
  <c r="C23" i="23"/>
  <c r="F14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D34" i="24" s="1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C14" i="28"/>
  <c r="F32" i="32"/>
  <c r="E32" i="32"/>
  <c r="D32" i="32"/>
  <c r="C32" i="32"/>
  <c r="F23" i="32"/>
  <c r="E23" i="32"/>
  <c r="D23" i="32"/>
  <c r="C23" i="32"/>
  <c r="F14" i="32"/>
  <c r="E14" i="32"/>
  <c r="D14" i="32"/>
  <c r="C14" i="3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C34" i="8" l="1"/>
  <c r="D34" i="10"/>
  <c r="D33" i="9"/>
  <c r="C15" i="10"/>
  <c r="C24" i="10"/>
  <c r="F34" i="10"/>
  <c r="D34" i="8"/>
  <c r="C33" i="22"/>
  <c r="C24" i="20"/>
  <c r="C33" i="17"/>
  <c r="C33" i="15"/>
  <c r="D34" i="14"/>
  <c r="F34" i="8"/>
  <c r="C24" i="14"/>
  <c r="C33" i="11"/>
  <c r="D24" i="11"/>
  <c r="E34" i="14"/>
  <c r="E34" i="10"/>
  <c r="F34" i="14"/>
  <c r="F34" i="12"/>
  <c r="C33" i="23"/>
  <c r="E34" i="18"/>
  <c r="D15" i="16"/>
  <c r="D33" i="17"/>
  <c r="D33" i="15"/>
  <c r="D24" i="14"/>
  <c r="E24" i="16"/>
  <c r="C34" i="18"/>
  <c r="K11" i="18" s="1"/>
  <c r="W84" i="57" s="1"/>
  <c r="C15" i="16"/>
  <c r="C34" i="14"/>
  <c r="C33" i="6"/>
  <c r="D34" i="25"/>
  <c r="D34" i="23"/>
  <c r="D34" i="22"/>
  <c r="F34" i="28"/>
  <c r="F34" i="11"/>
  <c r="E15" i="12"/>
  <c r="C15" i="23"/>
  <c r="C34" i="22"/>
  <c r="F34" i="18"/>
  <c r="C15" i="11"/>
  <c r="E34" i="28"/>
  <c r="E15" i="25"/>
  <c r="E15" i="23"/>
  <c r="E34" i="22"/>
  <c r="D34" i="19"/>
  <c r="D24" i="18"/>
  <c r="D24" i="12"/>
  <c r="E33" i="13"/>
  <c r="D33" i="7"/>
  <c r="C24" i="28"/>
  <c r="E33" i="26"/>
  <c r="C24" i="25"/>
  <c r="E33" i="24"/>
  <c r="C24" i="23"/>
  <c r="C33" i="21"/>
  <c r="C24" i="22"/>
  <c r="E33" i="20"/>
  <c r="D33" i="26"/>
  <c r="D33" i="24"/>
  <c r="D24" i="23"/>
  <c r="D33" i="20"/>
  <c r="C15" i="12"/>
  <c r="C15" i="19"/>
  <c r="C33" i="19"/>
  <c r="C24" i="12"/>
  <c r="E33" i="25"/>
  <c r="D34" i="11"/>
  <c r="F34" i="25"/>
  <c r="F34" i="23"/>
  <c r="F34" i="22"/>
  <c r="E24" i="18"/>
  <c r="E24" i="12"/>
  <c r="E34" i="11"/>
  <c r="C33" i="9"/>
  <c r="C34" i="6"/>
  <c r="K13" i="6" s="1"/>
  <c r="W142" i="57" s="1"/>
  <c r="C34" i="37"/>
  <c r="D33" i="28"/>
  <c r="C34" i="24"/>
  <c r="K13" i="24" s="1"/>
  <c r="W54" i="57" s="1"/>
  <c r="F34" i="17"/>
  <c r="F34" i="13"/>
  <c r="D34" i="9"/>
  <c r="Z127" i="57" s="1"/>
  <c r="C33" i="16"/>
  <c r="C33" i="12"/>
  <c r="E33" i="9"/>
  <c r="D24" i="19"/>
  <c r="D34" i="18"/>
  <c r="C24" i="11"/>
  <c r="D33" i="10"/>
  <c r="F34" i="9"/>
  <c r="F34" i="7"/>
  <c r="C34" i="32"/>
  <c r="E33" i="32"/>
  <c r="D24" i="20"/>
  <c r="D33" i="16"/>
  <c r="D33" i="14"/>
  <c r="Z114" i="57" s="1"/>
  <c r="AA113" i="57" s="1"/>
  <c r="AB113" i="57" s="1"/>
  <c r="D24" i="13"/>
  <c r="D15" i="11"/>
  <c r="E24" i="21"/>
  <c r="E15" i="15"/>
  <c r="E33" i="11"/>
  <c r="E24" i="37"/>
  <c r="E34" i="19"/>
  <c r="E34" i="9"/>
  <c r="C34" i="21"/>
  <c r="C15" i="20"/>
  <c r="C34" i="15"/>
  <c r="K12" i="15" s="1"/>
  <c r="W99" i="57" s="1"/>
  <c r="C34" i="11"/>
  <c r="K7" i="11" s="1"/>
  <c r="W117" i="57" s="1"/>
  <c r="C33" i="37"/>
  <c r="C24" i="26"/>
  <c r="C33" i="26"/>
  <c r="D33" i="21"/>
  <c r="D15" i="20"/>
  <c r="D34" i="16"/>
  <c r="E15" i="9"/>
  <c r="E24" i="8"/>
  <c r="C24" i="19"/>
  <c r="E24" i="14"/>
  <c r="C24" i="9"/>
  <c r="D35" i="30"/>
  <c r="C24" i="17"/>
  <c r="E24" i="11"/>
  <c r="C33" i="8"/>
  <c r="E33" i="6"/>
  <c r="E34" i="32"/>
  <c r="F34" i="32"/>
  <c r="E24" i="26"/>
  <c r="E24" i="28"/>
  <c r="E34" i="25"/>
  <c r="E34" i="21"/>
  <c r="E24" i="17"/>
  <c r="E24" i="32"/>
  <c r="D24" i="25"/>
  <c r="D33" i="23"/>
  <c r="F34" i="21"/>
  <c r="D33" i="19"/>
  <c r="E34" i="16"/>
  <c r="D24" i="16"/>
  <c r="D34" i="15"/>
  <c r="C15" i="13"/>
  <c r="E15" i="11"/>
  <c r="D33" i="11"/>
  <c r="D24" i="9"/>
  <c r="E24" i="6"/>
  <c r="D15" i="37"/>
  <c r="E33" i="18"/>
  <c r="E24" i="13"/>
  <c r="D33" i="12"/>
  <c r="D34" i="7"/>
  <c r="E33" i="12"/>
  <c r="C15" i="28"/>
  <c r="C33" i="28"/>
  <c r="E34" i="26"/>
  <c r="D24" i="26"/>
  <c r="E24" i="25"/>
  <c r="D15" i="24"/>
  <c r="E34" i="23"/>
  <c r="D15" i="21"/>
  <c r="E15" i="20"/>
  <c r="E15" i="19"/>
  <c r="E34" i="15"/>
  <c r="E33" i="15"/>
  <c r="D34" i="13"/>
  <c r="C34" i="12"/>
  <c r="C34" i="10"/>
  <c r="K7" i="10" s="1"/>
  <c r="W122" i="57" s="1"/>
  <c r="E24" i="9"/>
  <c r="C24" i="7"/>
  <c r="C34" i="7"/>
  <c r="K13" i="7" s="1"/>
  <c r="W137" i="57" s="1"/>
  <c r="E34" i="37"/>
  <c r="D33" i="37"/>
  <c r="C34" i="26"/>
  <c r="D34" i="28"/>
  <c r="F34" i="26"/>
  <c r="E34" i="24"/>
  <c r="E15" i="21"/>
  <c r="F34" i="20"/>
  <c r="D34" i="17"/>
  <c r="F34" i="15"/>
  <c r="E34" i="13"/>
  <c r="C34" i="9"/>
  <c r="K7" i="9" s="1"/>
  <c r="W127" i="57" s="1"/>
  <c r="E34" i="8"/>
  <c r="E33" i="8"/>
  <c r="F34" i="37"/>
  <c r="E33" i="37"/>
  <c r="D24" i="28"/>
  <c r="E33" i="14"/>
  <c r="D34" i="26"/>
  <c r="D34" i="32"/>
  <c r="E15" i="28"/>
  <c r="E33" i="28"/>
  <c r="C15" i="26"/>
  <c r="C34" i="25"/>
  <c r="C33" i="25"/>
  <c r="F34" i="24"/>
  <c r="E33" i="23"/>
  <c r="C24" i="21"/>
  <c r="E34" i="17"/>
  <c r="D24" i="15"/>
  <c r="D15" i="9"/>
  <c r="E34" i="7"/>
  <c r="D34" i="6"/>
  <c r="Z142" i="57" s="1"/>
  <c r="E15" i="37"/>
  <c r="E24" i="24"/>
  <c r="D33" i="22"/>
  <c r="F34" i="19"/>
  <c r="F34" i="16"/>
  <c r="E15" i="32"/>
  <c r="D15" i="26"/>
  <c r="D33" i="25"/>
  <c r="D24" i="24"/>
  <c r="C33" i="24"/>
  <c r="C34" i="23"/>
  <c r="C34" i="19"/>
  <c r="K11" i="19" s="1"/>
  <c r="W79" i="57" s="1"/>
  <c r="C24" i="16"/>
  <c r="C33" i="14"/>
  <c r="C24" i="13"/>
  <c r="E34" i="6"/>
  <c r="C24" i="37"/>
  <c r="D34" i="37"/>
  <c r="E15" i="8"/>
  <c r="C33" i="7"/>
  <c r="F34" i="6"/>
  <c r="D24" i="37"/>
  <c r="C15" i="37"/>
  <c r="D24" i="6"/>
  <c r="C24" i="6"/>
  <c r="D33" i="6"/>
  <c r="C15" i="6"/>
  <c r="D15" i="6"/>
  <c r="E15" i="6"/>
  <c r="C15" i="7"/>
  <c r="D24" i="7"/>
  <c r="E33" i="7"/>
  <c r="D15" i="7"/>
  <c r="E24" i="7"/>
  <c r="E15" i="7"/>
  <c r="C15" i="8"/>
  <c r="D24" i="8"/>
  <c r="C24" i="8"/>
  <c r="D33" i="8"/>
  <c r="D15" i="8"/>
  <c r="C15" i="9"/>
  <c r="D24" i="10"/>
  <c r="E33" i="10"/>
  <c r="D15" i="10"/>
  <c r="E24" i="10"/>
  <c r="E15" i="10"/>
  <c r="C33" i="10"/>
  <c r="D15" i="12"/>
  <c r="E34" i="12"/>
  <c r="C33" i="13"/>
  <c r="D33" i="13"/>
  <c r="D15" i="13"/>
  <c r="C34" i="13"/>
  <c r="E15" i="13"/>
  <c r="C15" i="14"/>
  <c r="D15" i="14"/>
  <c r="E15" i="14"/>
  <c r="C15" i="15"/>
  <c r="C24" i="15"/>
  <c r="D15" i="15"/>
  <c r="E24" i="15"/>
  <c r="E33" i="16"/>
  <c r="C34" i="16"/>
  <c r="E15" i="16"/>
  <c r="C15" i="17"/>
  <c r="D24" i="17"/>
  <c r="E33" i="17"/>
  <c r="D15" i="17"/>
  <c r="C34" i="17"/>
  <c r="E15" i="17"/>
  <c r="C33" i="18"/>
  <c r="C24" i="18"/>
  <c r="D33" i="18"/>
  <c r="C15" i="18"/>
  <c r="D15" i="18"/>
  <c r="E15" i="18"/>
  <c r="E33" i="19"/>
  <c r="D15" i="19"/>
  <c r="E24" i="19"/>
  <c r="C33" i="20"/>
  <c r="E24" i="20"/>
  <c r="C34" i="20"/>
  <c r="E34" i="20"/>
  <c r="C15" i="22"/>
  <c r="D24" i="22"/>
  <c r="E33" i="22"/>
  <c r="D15" i="22"/>
  <c r="E24" i="22"/>
  <c r="E15" i="22"/>
  <c r="C15" i="21"/>
  <c r="D24" i="21"/>
  <c r="E33" i="21"/>
  <c r="D15" i="23"/>
  <c r="E24" i="23"/>
  <c r="C24" i="24"/>
  <c r="C15" i="24"/>
  <c r="E15" i="24"/>
  <c r="C15" i="25"/>
  <c r="D15" i="25"/>
  <c r="E15" i="26"/>
  <c r="D15" i="28"/>
  <c r="C34" i="28"/>
  <c r="E35" i="30"/>
  <c r="C35" i="30"/>
  <c r="C33" i="32"/>
  <c r="C24" i="32"/>
  <c r="D33" i="32"/>
  <c r="C15" i="32"/>
  <c r="D24" i="32"/>
  <c r="D15" i="32"/>
  <c r="X137" i="57" l="1"/>
  <c r="AA137" i="57"/>
  <c r="AB137" i="57" s="1"/>
  <c r="X54" i="57"/>
  <c r="AA54" i="57"/>
  <c r="AB54" i="57" s="1"/>
  <c r="X79" i="57"/>
  <c r="AA79" i="57"/>
  <c r="AB79" i="57" s="1"/>
  <c r="X122" i="57"/>
  <c r="AA122" i="57"/>
  <c r="AB122" i="57" s="1"/>
  <c r="X84" i="57"/>
  <c r="AA84" i="57"/>
  <c r="AB84" i="57" s="1"/>
  <c r="X99" i="57"/>
  <c r="X127" i="57"/>
  <c r="AA127" i="57"/>
  <c r="AB127" i="57" s="1"/>
  <c r="X117" i="57"/>
  <c r="AA117" i="57"/>
  <c r="AB117" i="57" s="1"/>
  <c r="X142" i="57"/>
  <c r="AA142" i="57"/>
  <c r="AB142" i="57" s="1"/>
  <c r="Z117" i="46"/>
  <c r="Z117" i="57"/>
  <c r="W142" i="46"/>
  <c r="W137" i="46"/>
  <c r="Z142" i="46"/>
  <c r="E35" i="8"/>
  <c r="W127" i="46"/>
  <c r="Z127" i="46"/>
  <c r="Z114" i="46"/>
  <c r="AA113" i="46" s="1"/>
  <c r="AB113" i="46" s="1"/>
  <c r="W117" i="46"/>
  <c r="W122" i="46"/>
  <c r="W99" i="46"/>
  <c r="W84" i="46"/>
  <c r="W79" i="46"/>
  <c r="W54" i="46"/>
  <c r="D35" i="10"/>
  <c r="D35" i="24"/>
  <c r="D35" i="14"/>
  <c r="C35" i="24"/>
  <c r="E35" i="24"/>
  <c r="D35" i="22"/>
  <c r="E35" i="18"/>
  <c r="D35" i="7"/>
  <c r="E35" i="21"/>
  <c r="C35" i="8"/>
  <c r="E35" i="22"/>
  <c r="C35" i="22"/>
  <c r="C35" i="14"/>
  <c r="E35" i="15"/>
  <c r="E35" i="14"/>
  <c r="C35" i="18"/>
  <c r="C35" i="27"/>
  <c r="E35" i="27"/>
  <c r="D35" i="18"/>
  <c r="C35" i="19"/>
  <c r="D35" i="27"/>
  <c r="C35" i="6"/>
  <c r="D35" i="11"/>
  <c r="E35" i="23"/>
  <c r="D35" i="21"/>
  <c r="E35" i="11"/>
  <c r="D35" i="8"/>
  <c r="E35" i="31"/>
  <c r="C35" i="21"/>
  <c r="C35" i="16"/>
  <c r="D35" i="23"/>
  <c r="C35" i="23"/>
  <c r="C35" i="11"/>
  <c r="C35" i="10"/>
  <c r="D35" i="26"/>
  <c r="C35" i="9"/>
  <c r="D35" i="15"/>
  <c r="E35" i="10"/>
  <c r="C35" i="15"/>
  <c r="D35" i="9"/>
  <c r="C35" i="26"/>
  <c r="E35" i="9"/>
  <c r="C35" i="31"/>
  <c r="C35" i="12"/>
  <c r="E35" i="7"/>
  <c r="D35" i="31"/>
  <c r="E35" i="6"/>
  <c r="E35" i="20"/>
  <c r="E35" i="19"/>
  <c r="D35" i="6"/>
  <c r="C35" i="17"/>
  <c r="E35" i="12"/>
  <c r="E35" i="26"/>
  <c r="D35" i="19"/>
  <c r="Z89" i="57" s="1"/>
  <c r="AA89" i="57" s="1"/>
  <c r="AB89" i="57" s="1"/>
  <c r="C35" i="7"/>
  <c r="D35" i="12"/>
  <c r="D35" i="16"/>
  <c r="E35" i="16"/>
  <c r="D35" i="17"/>
  <c r="E35" i="17"/>
  <c r="C35" i="20"/>
  <c r="D35" i="20"/>
  <c r="AA137" i="46" l="1"/>
  <c r="AB137" i="46" s="1"/>
  <c r="X137" i="46"/>
  <c r="AA142" i="46"/>
  <c r="AB142" i="46" s="1"/>
  <c r="X142" i="46"/>
  <c r="X127" i="46"/>
  <c r="AA127" i="46"/>
  <c r="AB127" i="46" s="1"/>
  <c r="X117" i="46"/>
  <c r="AA117" i="46"/>
  <c r="AB117" i="46" s="1"/>
  <c r="AA122" i="46"/>
  <c r="AB122" i="46" s="1"/>
  <c r="X122" i="46"/>
  <c r="X99" i="46"/>
  <c r="AA79" i="46"/>
  <c r="AB79" i="46" s="1"/>
  <c r="X79" i="46"/>
  <c r="Z89" i="46"/>
  <c r="AA89" i="46" s="1"/>
  <c r="AB89" i="46" s="1"/>
  <c r="X84" i="46"/>
  <c r="AA84" i="46"/>
  <c r="AB84" i="46" s="1"/>
  <c r="X54" i="46"/>
  <c r="AA54" i="46"/>
  <c r="AB54" i="46" s="1"/>
  <c r="P36" i="45"/>
  <c r="AE39" i="54"/>
  <c r="AF39" i="54"/>
  <c r="AD39" i="54"/>
  <c r="G42" i="37" l="1"/>
  <c r="I37" i="37" s="1"/>
  <c r="F42" i="37"/>
  <c r="P35" i="45" l="1"/>
  <c r="C35" i="2" l="1"/>
  <c r="P33" i="45" l="1"/>
  <c r="P32" i="45"/>
  <c r="R12" i="8" l="1"/>
  <c r="Q12" i="8"/>
  <c r="P31" i="45" l="1"/>
  <c r="G42" i="10" l="1"/>
  <c r="I37" i="10" s="1"/>
  <c r="P29" i="45" l="1"/>
  <c r="P30" i="45"/>
  <c r="P28" i="45" l="1"/>
  <c r="P27" i="45" l="1"/>
  <c r="P25" i="45" l="1"/>
  <c r="P26" i="45"/>
  <c r="P24" i="45" l="1"/>
  <c r="P23" i="45" l="1"/>
  <c r="P22" i="45" l="1"/>
  <c r="P21" i="45" l="1"/>
  <c r="W78" i="20" l="1"/>
  <c r="P20" i="45" l="1"/>
  <c r="P19" i="45" l="1"/>
  <c r="P18" i="45"/>
  <c r="P17" i="45" l="1"/>
  <c r="C38" i="24" l="1"/>
  <c r="C39" i="24"/>
  <c r="P16" i="45" l="1"/>
  <c r="P15" i="45"/>
  <c r="P14" i="45"/>
  <c r="C43" i="26"/>
  <c r="G42" i="26"/>
  <c r="I37" i="26" s="1"/>
  <c r="F42" i="26"/>
  <c r="R7" i="43" l="1"/>
  <c r="U7" i="43" s="1"/>
  <c r="R8" i="43"/>
  <c r="S8" i="43"/>
  <c r="U8" i="43" l="1"/>
  <c r="AR9" i="46" l="1"/>
  <c r="BA9" i="46" s="1"/>
  <c r="AM9" i="46"/>
  <c r="AD9" i="46" l="1"/>
  <c r="AZ164" i="46" l="1"/>
  <c r="AY164" i="46"/>
  <c r="AX164" i="46"/>
  <c r="AW164" i="46"/>
  <c r="AV164" i="46"/>
  <c r="AU164" i="46"/>
  <c r="AT164" i="46"/>
  <c r="AS164" i="46"/>
  <c r="AQ164" i="46"/>
  <c r="AP164" i="46"/>
  <c r="AO164" i="46"/>
  <c r="AN164" i="46"/>
  <c r="AL164" i="46"/>
  <c r="AK164" i="46"/>
  <c r="AJ164" i="46"/>
  <c r="AI164" i="46"/>
  <c r="AH164" i="46"/>
  <c r="AG164" i="46"/>
  <c r="AF164" i="46"/>
  <c r="AR163" i="46"/>
  <c r="AM163" i="46"/>
  <c r="AR162" i="46"/>
  <c r="AM162" i="46"/>
  <c r="AR8" i="46"/>
  <c r="BA8" i="46" s="1"/>
  <c r="AM8" i="46"/>
  <c r="AR7" i="46"/>
  <c r="BA7" i="46" s="1"/>
  <c r="AM7" i="46"/>
  <c r="AR6" i="46"/>
  <c r="AM6" i="46"/>
  <c r="AD7" i="46" l="1"/>
  <c r="AD8" i="46"/>
  <c r="AM164" i="46"/>
  <c r="AR164" i="46"/>
  <c r="BA6" i="46"/>
  <c r="AD6" i="46" s="1"/>
  <c r="AD164" i="46" s="1"/>
  <c r="BA164" i="46" l="1"/>
  <c r="E40" i="45"/>
  <c r="I40" i="45"/>
  <c r="M40" i="45"/>
  <c r="I46" i="16" l="1"/>
  <c r="I46" i="18"/>
  <c r="I46" i="20"/>
  <c r="I46" i="21"/>
  <c r="I46" i="24"/>
  <c r="I46" i="26"/>
  <c r="I46" i="27"/>
  <c r="I46" i="30"/>
  <c r="I46" i="32"/>
  <c r="L8" i="45"/>
  <c r="L9" i="45" s="1"/>
  <c r="L10" i="45" s="1"/>
  <c r="L11" i="45" s="1"/>
  <c r="L12" i="45" s="1"/>
  <c r="L13" i="45" s="1"/>
  <c r="H8" i="45"/>
  <c r="H9" i="45" s="1"/>
  <c r="H10" i="45" s="1"/>
  <c r="H11" i="45" s="1"/>
  <c r="H12" i="45" s="1"/>
  <c r="H13" i="45" s="1"/>
  <c r="P8" i="45"/>
  <c r="I46" i="33" s="1"/>
  <c r="D8" i="45"/>
  <c r="D9" i="45" s="1"/>
  <c r="D10" i="45" s="1"/>
  <c r="D11" i="45" s="1"/>
  <c r="D12" i="45" s="1"/>
  <c r="D13" i="45" s="1"/>
  <c r="I46" i="28" l="1"/>
  <c r="I46" i="22"/>
  <c r="I46" i="17"/>
  <c r="I46" i="14"/>
  <c r="I46" i="13"/>
  <c r="I46" i="12"/>
  <c r="I46" i="11"/>
  <c r="I46" i="10"/>
  <c r="I46" i="9"/>
  <c r="I46" i="8"/>
  <c r="P34" i="45"/>
  <c r="I46" i="7" s="1"/>
  <c r="I46" i="6"/>
  <c r="I46" i="37"/>
  <c r="P37" i="45"/>
  <c r="P38" i="45"/>
  <c r="P40" i="45"/>
  <c r="I46" i="43" l="1"/>
  <c r="I46" i="4"/>
  <c r="I46" i="15"/>
  <c r="I46" i="19"/>
  <c r="I46" i="23"/>
  <c r="I46" i="25"/>
  <c r="I46" i="29"/>
  <c r="I46" i="31"/>
  <c r="S164" i="46" l="1"/>
  <c r="R164" i="46"/>
  <c r="Q164" i="46"/>
  <c r="Q165" i="46" s="1"/>
  <c r="AC163" i="46"/>
  <c r="AA163" i="46"/>
  <c r="AC162" i="46"/>
  <c r="AA162" i="46"/>
  <c r="N6" i="46"/>
  <c r="BB166" i="46" l="1"/>
  <c r="BC166" i="46"/>
  <c r="BE166" i="46"/>
  <c r="BD166" i="46"/>
  <c r="BF166" i="46"/>
  <c r="J6" i="46"/>
  <c r="S166" i="46"/>
  <c r="R165" i="46"/>
  <c r="S165" i="46"/>
  <c r="H14" i="45" l="1"/>
  <c r="H15" i="45" s="1"/>
  <c r="H16" i="45" s="1"/>
  <c r="L14" i="45"/>
  <c r="L15" i="45" s="1"/>
  <c r="L16" i="45" s="1"/>
  <c r="D14" i="45"/>
  <c r="D15" i="45" s="1"/>
  <c r="D16" i="45" s="1"/>
  <c r="I9" i="56"/>
  <c r="R166" i="46"/>
  <c r="D17" i="45" l="1"/>
  <c r="L17" i="45"/>
  <c r="H17" i="45"/>
  <c r="H18" i="45" l="1"/>
  <c r="H19" i="45" s="1"/>
  <c r="L18" i="45"/>
  <c r="L19" i="45" s="1"/>
  <c r="D18" i="45"/>
  <c r="D19" i="45" s="1"/>
  <c r="L20" i="45" l="1"/>
  <c r="D20" i="45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H20" i="45"/>
  <c r="H21" i="45" l="1"/>
  <c r="L21" i="45"/>
  <c r="D34" i="45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R30" i="48" s="1"/>
  <c r="AO31" i="48"/>
  <c r="AR31" i="48" s="1"/>
  <c r="AO32" i="48"/>
  <c r="AO33" i="48"/>
  <c r="AO35" i="48"/>
  <c r="AO36" i="48"/>
  <c r="AO37" i="48"/>
  <c r="AO38" i="48"/>
  <c r="AO39" i="48"/>
  <c r="AO12" i="48"/>
  <c r="AO10" i="48"/>
  <c r="AO11" i="48"/>
  <c r="AO9" i="48"/>
  <c r="O6" i="46" l="1"/>
  <c r="K6" i="46" s="1"/>
  <c r="L9" i="48" s="1"/>
  <c r="D35" i="45"/>
  <c r="L22" i="45"/>
  <c r="H22" i="45"/>
  <c r="AS39" i="48"/>
  <c r="AR39" i="48"/>
  <c r="AR38" i="48"/>
  <c r="AS38" i="48"/>
  <c r="N4" i="55" l="1"/>
  <c r="BA9" i="48"/>
  <c r="D36" i="45"/>
  <c r="D37" i="45" s="1"/>
  <c r="D38" i="45" s="1"/>
  <c r="H23" i="45"/>
  <c r="L23" i="45"/>
  <c r="AT38" i="48"/>
  <c r="AT39" i="48"/>
  <c r="P6" i="46"/>
  <c r="P164" i="46" s="1"/>
  <c r="O164" i="46" s="1"/>
  <c r="V6" i="46"/>
  <c r="V164" i="46" s="1"/>
  <c r="I10" i="56" s="1"/>
  <c r="T6" i="46"/>
  <c r="T164" i="46" s="1"/>
  <c r="U6" i="46"/>
  <c r="U164" i="46" s="1"/>
  <c r="C6" i="46"/>
  <c r="N9" i="48" s="1"/>
  <c r="K164" i="46"/>
  <c r="C46" i="30"/>
  <c r="E9" i="55" l="1"/>
  <c r="E8" i="55"/>
  <c r="E20" i="55"/>
  <c r="E18" i="55"/>
  <c r="E27" i="55"/>
  <c r="E7" i="55"/>
  <c r="E5" i="55"/>
  <c r="E35" i="55"/>
  <c r="E34" i="55"/>
  <c r="E32" i="55"/>
  <c r="E23" i="55"/>
  <c r="E31" i="55"/>
  <c r="E39" i="55"/>
  <c r="E16" i="55"/>
  <c r="E33" i="55"/>
  <c r="E36" i="55"/>
  <c r="E26" i="55"/>
  <c r="E29" i="55"/>
  <c r="E11" i="55"/>
  <c r="E6" i="55"/>
  <c r="E38" i="55"/>
  <c r="E24" i="55"/>
  <c r="E10" i="55"/>
  <c r="E17" i="55"/>
  <c r="E21" i="55"/>
  <c r="E37" i="55"/>
  <c r="E30" i="55"/>
  <c r="E25" i="55"/>
  <c r="E4" i="55"/>
  <c r="E19" i="55"/>
  <c r="E28" i="55"/>
  <c r="E22" i="55"/>
  <c r="N28" i="55"/>
  <c r="N20" i="55"/>
  <c r="N23" i="55"/>
  <c r="N6" i="55"/>
  <c r="N16" i="55"/>
  <c r="N26" i="55"/>
  <c r="N10" i="55"/>
  <c r="N39" i="55"/>
  <c r="N25" i="55"/>
  <c r="N27" i="55"/>
  <c r="N22" i="55"/>
  <c r="N31" i="55"/>
  <c r="N7" i="55"/>
  <c r="N17" i="55"/>
  <c r="N11" i="55"/>
  <c r="N18" i="55"/>
  <c r="N8" i="55"/>
  <c r="N34" i="55"/>
  <c r="N37" i="55"/>
  <c r="N5" i="55"/>
  <c r="N19" i="55"/>
  <c r="N30" i="55"/>
  <c r="N33" i="55"/>
  <c r="N38" i="55"/>
  <c r="N36" i="55"/>
  <c r="N29" i="55"/>
  <c r="N32" i="55"/>
  <c r="N24" i="55"/>
  <c r="N35" i="55"/>
  <c r="N9" i="55"/>
  <c r="N21" i="55"/>
  <c r="L24" i="45"/>
  <c r="H24" i="45"/>
  <c r="I8" i="56"/>
  <c r="AH4" i="54"/>
  <c r="AH3" i="54"/>
  <c r="BA41" i="48"/>
  <c r="BB9" i="48"/>
  <c r="BB10" i="48" s="1"/>
  <c r="BB11" i="48" s="1"/>
  <c r="BB12" i="48" s="1"/>
  <c r="BB13" i="48" s="1"/>
  <c r="BB14" i="48" s="1"/>
  <c r="BB15" i="48" s="1"/>
  <c r="BB16" i="48" s="1"/>
  <c r="BB17" i="48" s="1"/>
  <c r="BB18" i="48" s="1"/>
  <c r="BB19" i="48" s="1"/>
  <c r="BB20" i="48" s="1"/>
  <c r="BB21" i="48" s="1"/>
  <c r="BB22" i="48" s="1"/>
  <c r="BB23" i="48" s="1"/>
  <c r="BB24" i="48" s="1"/>
  <c r="BB25" i="48" s="1"/>
  <c r="BB26" i="48" s="1"/>
  <c r="BB27" i="48" s="1"/>
  <c r="BB28" i="48" s="1"/>
  <c r="BB29" i="48" s="1"/>
  <c r="BB30" i="48" s="1"/>
  <c r="BB31" i="48" s="1"/>
  <c r="BB32" i="48" s="1"/>
  <c r="BB33" i="48" s="1"/>
  <c r="BB34" i="48" s="1"/>
  <c r="BB35" i="48" s="1"/>
  <c r="BB36" i="48" s="1"/>
  <c r="BB37" i="48" s="1"/>
  <c r="BB38" i="48" s="1"/>
  <c r="BB39" i="48" s="1"/>
  <c r="AC6" i="46"/>
  <c r="AC164" i="46" s="1"/>
  <c r="C164" i="46"/>
  <c r="V165" i="46"/>
  <c r="H25" i="45" l="1"/>
  <c r="H26" i="45" s="1"/>
  <c r="L25" i="45"/>
  <c r="L26" i="45" s="1"/>
  <c r="N15" i="55"/>
  <c r="AJ165" i="46"/>
  <c r="X181" i="46" s="1"/>
  <c r="AX165" i="46"/>
  <c r="AI165" i="46"/>
  <c r="X180" i="46" s="1"/>
  <c r="AL165" i="46"/>
  <c r="X183" i="46" s="1"/>
  <c r="AR165" i="46"/>
  <c r="AK165" i="46"/>
  <c r="X182" i="46" s="1"/>
  <c r="AO165" i="46"/>
  <c r="X185" i="46" s="1"/>
  <c r="AG165" i="46"/>
  <c r="X178" i="46" s="1"/>
  <c r="AM165" i="46"/>
  <c r="AQ165" i="46"/>
  <c r="X187" i="46" s="1"/>
  <c r="AT165" i="46"/>
  <c r="X189" i="46" s="1"/>
  <c r="AF165" i="46"/>
  <c r="X177" i="46" s="1"/>
  <c r="AP165" i="46"/>
  <c r="X186" i="46" s="1"/>
  <c r="AZ165" i="46"/>
  <c r="X194" i="46" s="1"/>
  <c r="AW165" i="46"/>
  <c r="X191" i="46" s="1"/>
  <c r="AY165" i="46"/>
  <c r="AN165" i="46"/>
  <c r="X184" i="46" s="1"/>
  <c r="AV165" i="46"/>
  <c r="X192" i="46" s="1"/>
  <c r="AH165" i="46"/>
  <c r="X179" i="46" s="1"/>
  <c r="AU165" i="46"/>
  <c r="X190" i="46" s="1"/>
  <c r="AS165" i="46"/>
  <c r="X188" i="46" s="1"/>
  <c r="BA165" i="46"/>
  <c r="AC165" i="46"/>
  <c r="X174" i="46" s="1"/>
  <c r="I5" i="56"/>
  <c r="E15" i="55" s="1"/>
  <c r="F15" i="55" s="1"/>
  <c r="G15" i="55" s="1"/>
  <c r="O11" i="55" l="1"/>
  <c r="P11" i="55" s="1"/>
  <c r="O30" i="55"/>
  <c r="O24" i="55"/>
  <c r="O8" i="55"/>
  <c r="P8" i="55" s="1"/>
  <c r="O31" i="55"/>
  <c r="O26" i="55"/>
  <c r="O28" i="55"/>
  <c r="O20" i="55"/>
  <c r="O38" i="55"/>
  <c r="O19" i="55"/>
  <c r="O17" i="55"/>
  <c r="O22" i="55"/>
  <c r="O39" i="55"/>
  <c r="O7" i="55"/>
  <c r="P7" i="55" s="1"/>
  <c r="O33" i="55"/>
  <c r="O21" i="55"/>
  <c r="O18" i="55"/>
  <c r="P18" i="55" s="1"/>
  <c r="O37" i="55"/>
  <c r="O23" i="55"/>
  <c r="O5" i="55"/>
  <c r="P5" i="55" s="1"/>
  <c r="O35" i="55"/>
  <c r="O32" i="55"/>
  <c r="O9" i="55"/>
  <c r="P9" i="55" s="1"/>
  <c r="O25" i="55"/>
  <c r="O6" i="55"/>
  <c r="P6" i="55" s="1"/>
  <c r="O10" i="55"/>
  <c r="P10" i="55" s="1"/>
  <c r="O36" i="55"/>
  <c r="O4" i="55"/>
  <c r="O27" i="55"/>
  <c r="O34" i="55"/>
  <c r="O29" i="55"/>
  <c r="O16" i="55"/>
  <c r="L27" i="45"/>
  <c r="H27" i="45"/>
  <c r="U5" i="56"/>
  <c r="O15" i="55" s="1"/>
  <c r="P15" i="55" s="1"/>
  <c r="X193" i="46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AG37" i="54"/>
  <c r="AG36" i="54"/>
  <c r="AG35" i="54"/>
  <c r="AG34" i="54"/>
  <c r="AG33" i="54"/>
  <c r="AG32" i="54"/>
  <c r="AG31" i="54"/>
  <c r="AG30" i="54"/>
  <c r="AG29" i="54"/>
  <c r="AG28" i="54"/>
  <c r="AG27" i="54"/>
  <c r="AG26" i="54"/>
  <c r="AG25" i="54"/>
  <c r="AG24" i="54"/>
  <c r="AG23" i="54"/>
  <c r="AG22" i="54"/>
  <c r="AG21" i="54"/>
  <c r="AG20" i="54"/>
  <c r="AG19" i="54"/>
  <c r="AG18" i="54"/>
  <c r="AG17" i="54"/>
  <c r="AG16" i="54"/>
  <c r="AG15" i="54"/>
  <c r="AG14" i="54"/>
  <c r="AG13" i="54"/>
  <c r="AG12" i="54"/>
  <c r="AG11" i="54"/>
  <c r="AG10" i="54"/>
  <c r="AG9" i="54"/>
  <c r="AG8" i="54"/>
  <c r="AG7" i="54"/>
  <c r="AG6" i="54"/>
  <c r="P36" i="55" l="1"/>
  <c r="P16" i="55"/>
  <c r="P33" i="55"/>
  <c r="P31" i="55"/>
  <c r="P4" i="55"/>
  <c r="Q4" i="55" s="1"/>
  <c r="P24" i="55"/>
  <c r="P19" i="55"/>
  <c r="P38" i="55"/>
  <c r="Q38" i="55" s="1"/>
  <c r="H28" i="45"/>
  <c r="L28" i="45"/>
  <c r="Y164" i="46"/>
  <c r="AI3" i="54"/>
  <c r="AG39" i="54"/>
  <c r="Q24" i="55" l="1"/>
  <c r="L29" i="45"/>
  <c r="L30" i="45" s="1"/>
  <c r="H29" i="45"/>
  <c r="H30" i="45" s="1"/>
  <c r="Y166" i="46"/>
  <c r="Y165" i="46"/>
  <c r="X172" i="46" s="1"/>
  <c r="AH7" i="54"/>
  <c r="AH38" i="54"/>
  <c r="AH37" i="54"/>
  <c r="AH20" i="54"/>
  <c r="AH36" i="54"/>
  <c r="AH12" i="54"/>
  <c r="AH14" i="54"/>
  <c r="AH9" i="54"/>
  <c r="AH13" i="54"/>
  <c r="AH17" i="54"/>
  <c r="AH28" i="54"/>
  <c r="AH27" i="54"/>
  <c r="AH34" i="54"/>
  <c r="AH11" i="54"/>
  <c r="AH18" i="54"/>
  <c r="AH6" i="54"/>
  <c r="AH10" i="54"/>
  <c r="AH30" i="54"/>
  <c r="AH29" i="54"/>
  <c r="AH16" i="54"/>
  <c r="AH15" i="54"/>
  <c r="AH35" i="54"/>
  <c r="AH32" i="54"/>
  <c r="AH24" i="54"/>
  <c r="AH8" i="54"/>
  <c r="AH26" i="54"/>
  <c r="AH21" i="54"/>
  <c r="AH31" i="54"/>
  <c r="AH25" i="54"/>
  <c r="AH23" i="54"/>
  <c r="AH22" i="54"/>
  <c r="AH33" i="54"/>
  <c r="AH19" i="54"/>
  <c r="H31" i="45" l="1"/>
  <c r="L31" i="45"/>
  <c r="AH39" i="54"/>
  <c r="AP41" i="48"/>
  <c r="AQ39" i="48"/>
  <c r="AQ38" i="48"/>
  <c r="AQ37" i="48"/>
  <c r="AR37" i="48"/>
  <c r="AQ36" i="48"/>
  <c r="AR36" i="48"/>
  <c r="AQ35" i="48"/>
  <c r="AS35" i="48"/>
  <c r="AQ34" i="48"/>
  <c r="AS34" i="48"/>
  <c r="AQ33" i="48"/>
  <c r="AR33" i="48"/>
  <c r="AQ32" i="48"/>
  <c r="AS32" i="48"/>
  <c r="AQ31" i="48"/>
  <c r="AS31" i="48"/>
  <c r="AS25" i="48"/>
  <c r="AR24" i="48"/>
  <c r="AS23" i="48"/>
  <c r="AS22" i="48"/>
  <c r="AS21" i="48"/>
  <c r="AS20" i="48"/>
  <c r="AS19" i="48"/>
  <c r="AS18" i="48"/>
  <c r="AS17" i="48"/>
  <c r="AQ16" i="48"/>
  <c r="AS15" i="48"/>
  <c r="AR13" i="48"/>
  <c r="AQ13" i="48"/>
  <c r="AS13" i="48"/>
  <c r="AS12" i="48"/>
  <c r="AR12" i="48"/>
  <c r="AQ12" i="48"/>
  <c r="AS11" i="48"/>
  <c r="AR11" i="48"/>
  <c r="AQ11" i="48"/>
  <c r="AS10" i="48"/>
  <c r="AR10" i="48"/>
  <c r="AQ10" i="48"/>
  <c r="AS9" i="48"/>
  <c r="AR9" i="48"/>
  <c r="AQ9" i="48"/>
  <c r="L32" i="45" l="1"/>
  <c r="L33" i="45" s="1"/>
  <c r="L34" i="45" s="1"/>
  <c r="H32" i="45"/>
  <c r="H33" i="45" s="1"/>
  <c r="H34" i="45" s="1"/>
  <c r="AV38" i="48"/>
  <c r="AY38" i="48" s="1"/>
  <c r="AU38" i="48"/>
  <c r="AX38" i="48" s="1"/>
  <c r="T38" i="48" s="1"/>
  <c r="AW38" i="48"/>
  <c r="AZ38" i="48" s="1"/>
  <c r="AV39" i="48"/>
  <c r="AY39" i="48" s="1"/>
  <c r="AU39" i="48"/>
  <c r="AX39" i="48" s="1"/>
  <c r="T39" i="48" s="1"/>
  <c r="AW39" i="48"/>
  <c r="AZ39" i="48" s="1"/>
  <c r="AV32" i="48"/>
  <c r="AY32" i="48" s="1"/>
  <c r="AV13" i="48"/>
  <c r="AY13" i="48" s="1"/>
  <c r="AV12" i="48"/>
  <c r="AY12" i="48" s="1"/>
  <c r="AV9" i="48"/>
  <c r="AY9" i="48" s="1"/>
  <c r="AV34" i="48"/>
  <c r="AY34" i="48" s="1"/>
  <c r="AT11" i="48"/>
  <c r="AW11" i="48" s="1"/>
  <c r="AV31" i="48"/>
  <c r="AY31" i="48" s="1"/>
  <c r="AT13" i="48"/>
  <c r="AW13" i="48" s="1"/>
  <c r="AV35" i="48"/>
  <c r="AY35" i="48" s="1"/>
  <c r="AV10" i="48"/>
  <c r="AY10" i="48" s="1"/>
  <c r="AU10" i="48"/>
  <c r="AX10" i="48" s="1"/>
  <c r="T10" i="48" s="1"/>
  <c r="AV11" i="48"/>
  <c r="AY11" i="48" s="1"/>
  <c r="AS14" i="48"/>
  <c r="AR14" i="48"/>
  <c r="AS28" i="48"/>
  <c r="AR28" i="48"/>
  <c r="AQ28" i="48"/>
  <c r="AU36" i="48"/>
  <c r="AX36" i="48" s="1"/>
  <c r="T36" i="48" s="1"/>
  <c r="AT10" i="48"/>
  <c r="AW10" i="48" s="1"/>
  <c r="AU12" i="48"/>
  <c r="AX12" i="48" s="1"/>
  <c r="T12" i="48" s="1"/>
  <c r="AT12" i="48"/>
  <c r="AW12" i="48" s="1"/>
  <c r="AQ14" i="48"/>
  <c r="AU37" i="48"/>
  <c r="AX37" i="48" s="1"/>
  <c r="T37" i="48" s="1"/>
  <c r="AU9" i="48"/>
  <c r="AX9" i="48" s="1"/>
  <c r="T9" i="48" s="1"/>
  <c r="AR18" i="48"/>
  <c r="AQ18" i="48"/>
  <c r="AV18" i="48" s="1"/>
  <c r="AY18" i="48" s="1"/>
  <c r="AR22" i="48"/>
  <c r="AQ22" i="48"/>
  <c r="AV22" i="48" s="1"/>
  <c r="AY22" i="48" s="1"/>
  <c r="AQ25" i="48"/>
  <c r="AV25" i="48" s="1"/>
  <c r="AY25" i="48" s="1"/>
  <c r="AR25" i="48"/>
  <c r="AU13" i="48"/>
  <c r="AX13" i="48" s="1"/>
  <c r="T13" i="48" s="1"/>
  <c r="AR17" i="48"/>
  <c r="AQ17" i="48"/>
  <c r="AV17" i="48" s="1"/>
  <c r="AY17" i="48" s="1"/>
  <c r="AQ21" i="48"/>
  <c r="AV21" i="48" s="1"/>
  <c r="AY21" i="48" s="1"/>
  <c r="AR21" i="48"/>
  <c r="AS24" i="48"/>
  <c r="AT24" i="48" s="1"/>
  <c r="AQ24" i="48"/>
  <c r="AU24" i="48" s="1"/>
  <c r="AX24" i="48" s="1"/>
  <c r="T24" i="48" s="1"/>
  <c r="AQ15" i="48"/>
  <c r="AV15" i="48" s="1"/>
  <c r="AY15" i="48" s="1"/>
  <c r="AR15" i="48"/>
  <c r="AT9" i="48"/>
  <c r="AW9" i="48" s="1"/>
  <c r="AZ9" i="48" s="1"/>
  <c r="AU11" i="48"/>
  <c r="AX11" i="48" s="1"/>
  <c r="T11" i="48" s="1"/>
  <c r="AR16" i="48"/>
  <c r="AS16" i="48"/>
  <c r="AV16" i="48" s="1"/>
  <c r="AY16" i="48" s="1"/>
  <c r="AR19" i="48"/>
  <c r="AQ19" i="48"/>
  <c r="AV19" i="48" s="1"/>
  <c r="AY19" i="48" s="1"/>
  <c r="AR23" i="48"/>
  <c r="AQ23" i="48"/>
  <c r="AV23" i="48" s="1"/>
  <c r="AY23" i="48" s="1"/>
  <c r="AS30" i="48"/>
  <c r="AQ30" i="48"/>
  <c r="AU33" i="48"/>
  <c r="AX33" i="48" s="1"/>
  <c r="T33" i="48" s="1"/>
  <c r="AS26" i="48"/>
  <c r="AR26" i="48"/>
  <c r="AQ26" i="48"/>
  <c r="AS27" i="48"/>
  <c r="AR27" i="48"/>
  <c r="AQ27" i="48"/>
  <c r="AS29" i="48"/>
  <c r="AR29" i="48"/>
  <c r="AQ29" i="48"/>
  <c r="AR20" i="48"/>
  <c r="AQ20" i="48"/>
  <c r="AV20" i="48" s="1"/>
  <c r="AY20" i="48" s="1"/>
  <c r="AR32" i="48"/>
  <c r="AR34" i="48"/>
  <c r="AR35" i="48"/>
  <c r="AS33" i="48"/>
  <c r="AV33" i="48" s="1"/>
  <c r="AY33" i="48" s="1"/>
  <c r="AS36" i="48"/>
  <c r="AV36" i="48" s="1"/>
  <c r="AY36" i="48" s="1"/>
  <c r="AS37" i="48"/>
  <c r="AV37" i="48" s="1"/>
  <c r="AY37" i="48" s="1"/>
  <c r="H35" i="45" l="1"/>
  <c r="L35" i="45"/>
  <c r="AZ12" i="48"/>
  <c r="AW24" i="48"/>
  <c r="AZ13" i="48"/>
  <c r="AZ11" i="48"/>
  <c r="AZ10" i="48"/>
  <c r="AV30" i="48"/>
  <c r="AY30" i="48" s="1"/>
  <c r="AV14" i="48"/>
  <c r="AY14" i="48" s="1"/>
  <c r="AV24" i="48"/>
  <c r="AY24" i="48" s="1"/>
  <c r="AV27" i="48"/>
  <c r="AY27" i="48" s="1"/>
  <c r="AT30" i="48"/>
  <c r="AW30" i="48" s="1"/>
  <c r="AU30" i="48"/>
  <c r="AT18" i="48"/>
  <c r="AW18" i="48" s="1"/>
  <c r="AU18" i="48"/>
  <c r="AT36" i="48"/>
  <c r="AW36" i="48" s="1"/>
  <c r="AU16" i="48"/>
  <c r="AX16" i="48" s="1"/>
  <c r="T16" i="48" s="1"/>
  <c r="AT16" i="48"/>
  <c r="AW16" i="48" s="1"/>
  <c r="AT26" i="48"/>
  <c r="AW26" i="48" s="1"/>
  <c r="AU26" i="48"/>
  <c r="AX26" i="48" s="1"/>
  <c r="T26" i="48" s="1"/>
  <c r="AV26" i="48"/>
  <c r="AY26" i="48" s="1"/>
  <c r="AT15" i="48"/>
  <c r="AW15" i="48" s="1"/>
  <c r="AU15" i="48"/>
  <c r="AX15" i="48" s="1"/>
  <c r="T15" i="48" s="1"/>
  <c r="AT37" i="48"/>
  <c r="AW37" i="48" s="1"/>
  <c r="AU32" i="48"/>
  <c r="AX32" i="48" s="1"/>
  <c r="T32" i="48" s="1"/>
  <c r="AT32" i="48"/>
  <c r="AW32" i="48" s="1"/>
  <c r="AT21" i="48"/>
  <c r="AW21" i="48" s="1"/>
  <c r="AU21" i="48"/>
  <c r="AX21" i="48" s="1"/>
  <c r="T21" i="48" s="1"/>
  <c r="AU31" i="48"/>
  <c r="AX31" i="48" s="1"/>
  <c r="T31" i="48" s="1"/>
  <c r="AT31" i="48"/>
  <c r="AW31" i="48" s="1"/>
  <c r="AT20" i="48"/>
  <c r="AW20" i="48" s="1"/>
  <c r="AU20" i="48"/>
  <c r="AX20" i="48" s="1"/>
  <c r="T20" i="48" s="1"/>
  <c r="AT19" i="48"/>
  <c r="AW19" i="48" s="1"/>
  <c r="AU19" i="48"/>
  <c r="AX19" i="48" s="1"/>
  <c r="T19" i="48" s="1"/>
  <c r="AT25" i="48"/>
  <c r="AW25" i="48" s="1"/>
  <c r="AU25" i="48"/>
  <c r="AX25" i="48" s="1"/>
  <c r="T25" i="48" s="1"/>
  <c r="AU28" i="48"/>
  <c r="AX28" i="48" s="1"/>
  <c r="T28" i="48" s="1"/>
  <c r="AT28" i="48"/>
  <c r="AW28" i="48" s="1"/>
  <c r="AU35" i="48"/>
  <c r="AX35" i="48" s="1"/>
  <c r="T35" i="48" s="1"/>
  <c r="AT35" i="48"/>
  <c r="AW35" i="48" s="1"/>
  <c r="AV29" i="48"/>
  <c r="AY29" i="48" s="1"/>
  <c r="AV28" i="48"/>
  <c r="AY28" i="48" s="1"/>
  <c r="AT27" i="48"/>
  <c r="AW27" i="48" s="1"/>
  <c r="AU27" i="48"/>
  <c r="AX27" i="48" s="1"/>
  <c r="T27" i="48" s="1"/>
  <c r="AT22" i="48"/>
  <c r="AW22" i="48" s="1"/>
  <c r="AU22" i="48"/>
  <c r="AX22" i="48" s="1"/>
  <c r="T22" i="48" s="1"/>
  <c r="AT23" i="48"/>
  <c r="AW23" i="48" s="1"/>
  <c r="AU23" i="48"/>
  <c r="AX23" i="48" s="1"/>
  <c r="T23" i="48" s="1"/>
  <c r="AT17" i="48"/>
  <c r="AW17" i="48" s="1"/>
  <c r="AU17" i="48"/>
  <c r="AX17" i="48" s="1"/>
  <c r="T17" i="48" s="1"/>
  <c r="AT29" i="48"/>
  <c r="AW29" i="48" s="1"/>
  <c r="AU29" i="48"/>
  <c r="AX29" i="48" s="1"/>
  <c r="T29" i="48" s="1"/>
  <c r="AT33" i="48"/>
  <c r="AW33" i="48" s="1"/>
  <c r="AU34" i="48"/>
  <c r="AX34" i="48" s="1"/>
  <c r="T34" i="48" s="1"/>
  <c r="AT34" i="48"/>
  <c r="AW34" i="48" s="1"/>
  <c r="AU14" i="48"/>
  <c r="AX14" i="48" s="1"/>
  <c r="T14" i="48" s="1"/>
  <c r="AT14" i="48"/>
  <c r="AW14" i="48" s="1"/>
  <c r="L36" i="45" l="1"/>
  <c r="L37" i="45" s="1"/>
  <c r="L38" i="45" s="1"/>
  <c r="H36" i="45"/>
  <c r="H37" i="45" s="1"/>
  <c r="H38" i="45" s="1"/>
  <c r="AX18" i="48"/>
  <c r="T18" i="48" s="1"/>
  <c r="AX30" i="48"/>
  <c r="T30" i="48" s="1"/>
  <c r="AZ29" i="48"/>
  <c r="AZ23" i="48"/>
  <c r="AZ27" i="48"/>
  <c r="AZ25" i="48"/>
  <c r="AZ20" i="48"/>
  <c r="AZ21" i="48"/>
  <c r="AZ26" i="48"/>
  <c r="AZ30" i="48"/>
  <c r="AZ28" i="48"/>
  <c r="AZ31" i="48"/>
  <c r="AZ32" i="48"/>
  <c r="AZ15" i="48"/>
  <c r="AZ16" i="48"/>
  <c r="AZ18" i="48"/>
  <c r="AZ24" i="48"/>
  <c r="AZ34" i="48"/>
  <c r="AZ33" i="48"/>
  <c r="AZ17" i="48"/>
  <c r="AZ22" i="48"/>
  <c r="AZ19" i="48"/>
  <c r="AZ14" i="48"/>
  <c r="AZ35" i="48"/>
  <c r="AZ37" i="48"/>
  <c r="AZ36" i="48"/>
  <c r="AZ41" i="48" l="1"/>
  <c r="AX41" i="48"/>
  <c r="AY41" i="48"/>
  <c r="AY43" i="48" l="1"/>
  <c r="I43" i="33" l="1"/>
  <c r="I43" i="31"/>
  <c r="C36" i="2"/>
  <c r="BG42" i="2" l="1"/>
  <c r="AY42" i="2"/>
  <c r="AQ42" i="2"/>
  <c r="W42" i="2"/>
  <c r="K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AE42" i="2"/>
  <c r="BC17" i="2"/>
  <c r="BC16" i="2"/>
  <c r="BC15" i="2"/>
  <c r="BC14" i="2"/>
  <c r="BC13" i="2"/>
  <c r="BC12" i="2"/>
  <c r="BC11" i="2"/>
  <c r="BI10" i="2"/>
  <c r="BI11" i="2" s="1"/>
  <c r="BA10" i="2"/>
  <c r="BA11" i="2" s="1"/>
  <c r="BA12" i="2" s="1"/>
  <c r="AU10" i="2"/>
  <c r="AU42" i="2" s="1"/>
  <c r="AS10" i="2"/>
  <c r="AS11" i="2" s="1"/>
  <c r="AI42" i="2"/>
  <c r="AG10" i="2"/>
  <c r="AG11" i="2" s="1"/>
  <c r="Y10" i="2"/>
  <c r="Q10" i="2"/>
  <c r="Q11" i="2" s="1"/>
  <c r="M10" i="2"/>
  <c r="M11" i="2" s="1"/>
  <c r="G42" i="2"/>
  <c r="X42" i="2" l="1"/>
  <c r="BK38" i="2"/>
  <c r="AZ38" i="2" s="1"/>
  <c r="BK39" i="2"/>
  <c r="AR39" i="2" s="1"/>
  <c r="BK22" i="2"/>
  <c r="T22" i="2" s="1"/>
  <c r="BK36" i="2"/>
  <c r="BK12" i="2"/>
  <c r="BK15" i="2"/>
  <c r="AF15" i="2" s="1"/>
  <c r="BK17" i="2"/>
  <c r="M12" i="2"/>
  <c r="AS12" i="2"/>
  <c r="Q12" i="2"/>
  <c r="AG12" i="2"/>
  <c r="BI12" i="2"/>
  <c r="BA13" i="2"/>
  <c r="I10" i="2"/>
  <c r="I11" i="2" s="1"/>
  <c r="AW10" i="2"/>
  <c r="AA42" i="2"/>
  <c r="AC10" i="2"/>
  <c r="BC10" i="2"/>
  <c r="BK20" i="2"/>
  <c r="AN20" i="2" s="1"/>
  <c r="AK10" i="2"/>
  <c r="BK14" i="2"/>
  <c r="AF14" i="2" s="1"/>
  <c r="BK24" i="2"/>
  <c r="AN24" i="2" s="1"/>
  <c r="BK27" i="2"/>
  <c r="BK28" i="2"/>
  <c r="BK23" i="2"/>
  <c r="BK26" i="2"/>
  <c r="BK31" i="2"/>
  <c r="BK32" i="2"/>
  <c r="AF32" i="2" s="1"/>
  <c r="BK33" i="2"/>
  <c r="BK34" i="2"/>
  <c r="BK29" i="2"/>
  <c r="BK35" i="2"/>
  <c r="BK37" i="2"/>
  <c r="T38" i="2"/>
  <c r="BK40" i="2"/>
  <c r="P17" i="2" l="1"/>
  <c r="AF17" i="2"/>
  <c r="AJ12" i="2"/>
  <c r="AF12" i="2"/>
  <c r="AZ36" i="2"/>
  <c r="AB36" i="2"/>
  <c r="T36" i="2"/>
  <c r="BD39" i="2"/>
  <c r="L22" i="2"/>
  <c r="AR22" i="2"/>
  <c r="AF22" i="2"/>
  <c r="BD22" i="2"/>
  <c r="AV38" i="2"/>
  <c r="BH38" i="2"/>
  <c r="AF39" i="2"/>
  <c r="AV39" i="2"/>
  <c r="BD38" i="2"/>
  <c r="BH39" i="2"/>
  <c r="AR38" i="2"/>
  <c r="AN39" i="2"/>
  <c r="AJ39" i="2"/>
  <c r="H38" i="2"/>
  <c r="AN38" i="2"/>
  <c r="AJ38" i="2"/>
  <c r="L38" i="2"/>
  <c r="T39" i="2"/>
  <c r="P38" i="2"/>
  <c r="AF38" i="2"/>
  <c r="AB38" i="2"/>
  <c r="AB22" i="2"/>
  <c r="AV22" i="2"/>
  <c r="H22" i="2"/>
  <c r="AV36" i="2"/>
  <c r="AJ36" i="2"/>
  <c r="AR36" i="2"/>
  <c r="BD36" i="2"/>
  <c r="BH36" i="2"/>
  <c r="AN36" i="2"/>
  <c r="AF36" i="2"/>
  <c r="L12" i="2"/>
  <c r="AN12" i="2"/>
  <c r="AR12" i="2"/>
  <c r="AV12" i="2"/>
  <c r="AZ12" i="2"/>
  <c r="BD12" i="2"/>
  <c r="H12" i="2"/>
  <c r="P12" i="2"/>
  <c r="AN17" i="2"/>
  <c r="BH17" i="2"/>
  <c r="T17" i="2"/>
  <c r="AJ17" i="2"/>
  <c r="BH12" i="2"/>
  <c r="AZ17" i="2"/>
  <c r="T12" i="2"/>
  <c r="AB12" i="2"/>
  <c r="AN33" i="2"/>
  <c r="T28" i="2"/>
  <c r="AN34" i="2"/>
  <c r="T32" i="2"/>
  <c r="T20" i="2"/>
  <c r="L36" i="2"/>
  <c r="T37" i="2"/>
  <c r="BD31" i="2"/>
  <c r="T24" i="2"/>
  <c r="AN22" i="2"/>
  <c r="T23" i="2"/>
  <c r="T26" i="2"/>
  <c r="H15" i="2"/>
  <c r="AB15" i="2"/>
  <c r="AJ15" i="2"/>
  <c r="AN29" i="2"/>
  <c r="BD28" i="2"/>
  <c r="T33" i="2"/>
  <c r="BD26" i="2"/>
  <c r="P39" i="2"/>
  <c r="H39" i="2"/>
  <c r="L39" i="2"/>
  <c r="AB39" i="2"/>
  <c r="AZ39" i="2"/>
  <c r="BD37" i="2"/>
  <c r="BD33" i="2"/>
  <c r="AV15" i="2"/>
  <c r="BD15" i="2"/>
  <c r="P15" i="2"/>
  <c r="AZ15" i="2"/>
  <c r="AN28" i="2"/>
  <c r="BH15" i="2"/>
  <c r="AR15" i="2"/>
  <c r="T15" i="2"/>
  <c r="L15" i="2"/>
  <c r="AN15" i="2"/>
  <c r="AN31" i="2"/>
  <c r="AN26" i="2"/>
  <c r="AF20" i="2"/>
  <c r="BH22" i="2"/>
  <c r="P22" i="2"/>
  <c r="AJ22" i="2"/>
  <c r="AZ22" i="2"/>
  <c r="L17" i="2"/>
  <c r="AV17" i="2"/>
  <c r="AB17" i="2"/>
  <c r="AR17" i="2"/>
  <c r="BD17" i="2"/>
  <c r="H17" i="2"/>
  <c r="H36" i="2"/>
  <c r="P36" i="2"/>
  <c r="BD23" i="2"/>
  <c r="AF27" i="2"/>
  <c r="AN27" i="2"/>
  <c r="T27" i="2"/>
  <c r="AZ14" i="2"/>
  <c r="AR14" i="2"/>
  <c r="AJ14" i="2"/>
  <c r="P14" i="2"/>
  <c r="AV14" i="2"/>
  <c r="T14" i="2"/>
  <c r="H14" i="2"/>
  <c r="BH14" i="2"/>
  <c r="L14" i="2"/>
  <c r="BD14" i="2"/>
  <c r="AB14" i="2"/>
  <c r="I12" i="2"/>
  <c r="AZ40" i="2"/>
  <c r="AR40" i="2"/>
  <c r="AJ40" i="2"/>
  <c r="AB40" i="2"/>
  <c r="L40" i="2"/>
  <c r="BH40" i="2"/>
  <c r="AN40" i="2"/>
  <c r="AF40" i="2"/>
  <c r="P40" i="2"/>
  <c r="AV40" i="2"/>
  <c r="H40" i="2"/>
  <c r="BH35" i="2"/>
  <c r="AV35" i="2"/>
  <c r="AN35" i="2"/>
  <c r="AF35" i="2"/>
  <c r="P35" i="2"/>
  <c r="H35" i="2"/>
  <c r="AZ35" i="2"/>
  <c r="AR35" i="2"/>
  <c r="AJ35" i="2"/>
  <c r="AB35" i="2"/>
  <c r="L35" i="2"/>
  <c r="BD34" i="2"/>
  <c r="AZ34" i="2"/>
  <c r="AR34" i="2"/>
  <c r="AJ34" i="2"/>
  <c r="L34" i="2"/>
  <c r="BH34" i="2"/>
  <c r="AV34" i="2"/>
  <c r="AB34" i="2"/>
  <c r="P34" i="2"/>
  <c r="H34" i="2"/>
  <c r="BD32" i="2"/>
  <c r="AZ32" i="2"/>
  <c r="AR32" i="2"/>
  <c r="AJ32" i="2"/>
  <c r="BH32" i="2"/>
  <c r="AV32" i="2"/>
  <c r="AB32" i="2"/>
  <c r="P32" i="2"/>
  <c r="H32" i="2"/>
  <c r="L32" i="2"/>
  <c r="BD29" i="2"/>
  <c r="T40" i="2"/>
  <c r="AZ37" i="2"/>
  <c r="AR37" i="2"/>
  <c r="AJ37" i="2"/>
  <c r="AB37" i="2"/>
  <c r="L37" i="2"/>
  <c r="AV37" i="2"/>
  <c r="H37" i="2"/>
  <c r="BH37" i="2"/>
  <c r="AN37" i="2"/>
  <c r="AF37" i="2"/>
  <c r="P37" i="2"/>
  <c r="BD35" i="2"/>
  <c r="AF34" i="2"/>
  <c r="AN32" i="2"/>
  <c r="BK30" i="2"/>
  <c r="BH33" i="2"/>
  <c r="AV33" i="2"/>
  <c r="AF33" i="2"/>
  <c r="AB33" i="2"/>
  <c r="P33" i="2"/>
  <c r="H33" i="2"/>
  <c r="AZ33" i="2"/>
  <c r="AR33" i="2"/>
  <c r="AJ33" i="2"/>
  <c r="L33" i="2"/>
  <c r="BH26" i="2"/>
  <c r="AV26" i="2"/>
  <c r="AF26" i="2"/>
  <c r="AB26" i="2"/>
  <c r="AZ26" i="2"/>
  <c r="AR26" i="2"/>
  <c r="AJ26" i="2"/>
  <c r="L26" i="2"/>
  <c r="P26" i="2"/>
  <c r="H26" i="2"/>
  <c r="BK25" i="2"/>
  <c r="AZ23" i="2"/>
  <c r="AR23" i="2"/>
  <c r="AJ23" i="2"/>
  <c r="AV23" i="2"/>
  <c r="AF23" i="2"/>
  <c r="L23" i="2"/>
  <c r="BH23" i="2"/>
  <c r="AB23" i="2"/>
  <c r="P23" i="2"/>
  <c r="BH28" i="2"/>
  <c r="AV28" i="2"/>
  <c r="AF28" i="2"/>
  <c r="AB28" i="2"/>
  <c r="P28" i="2"/>
  <c r="H28" i="2"/>
  <c r="AZ28" i="2"/>
  <c r="AR28" i="2"/>
  <c r="AJ28" i="2"/>
  <c r="L28" i="2"/>
  <c r="BH24" i="2"/>
  <c r="AV24" i="2"/>
  <c r="AB24" i="2"/>
  <c r="L24" i="2"/>
  <c r="BD24" i="2"/>
  <c r="AR24" i="2"/>
  <c r="H24" i="2"/>
  <c r="AZ24" i="2"/>
  <c r="AJ24" i="2"/>
  <c r="P24" i="2"/>
  <c r="AF24" i="2"/>
  <c r="AN23" i="2"/>
  <c r="H23" i="2"/>
  <c r="BK16" i="2"/>
  <c r="AF16" i="2" s="1"/>
  <c r="BK13" i="2"/>
  <c r="AF13" i="2" s="1"/>
  <c r="BK11" i="2"/>
  <c r="AM42" i="2"/>
  <c r="AO10" i="2"/>
  <c r="S42" i="2"/>
  <c r="U10" i="2"/>
  <c r="U11" i="2" s="1"/>
  <c r="BK10" i="2"/>
  <c r="AN10" i="2" s="1"/>
  <c r="AW11" i="2"/>
  <c r="BI13" i="2"/>
  <c r="AG13" i="2"/>
  <c r="AS13" i="2"/>
  <c r="BD40" i="2"/>
  <c r="T35" i="2"/>
  <c r="AZ29" i="2"/>
  <c r="AR29" i="2"/>
  <c r="AJ29" i="2"/>
  <c r="AV29" i="2"/>
  <c r="AF29" i="2"/>
  <c r="L29" i="2"/>
  <c r="BH29" i="2"/>
  <c r="AB29" i="2"/>
  <c r="P29" i="2"/>
  <c r="H29" i="2"/>
  <c r="T34" i="2"/>
  <c r="AZ31" i="2"/>
  <c r="AR31" i="2"/>
  <c r="AJ31" i="2"/>
  <c r="L31" i="2"/>
  <c r="BH31" i="2"/>
  <c r="AB31" i="2"/>
  <c r="T31" i="2"/>
  <c r="P31" i="2"/>
  <c r="AV31" i="2"/>
  <c r="AF31" i="2"/>
  <c r="H31" i="2"/>
  <c r="T29" i="2"/>
  <c r="BD27" i="2"/>
  <c r="AZ27" i="2"/>
  <c r="AR27" i="2"/>
  <c r="AJ27" i="2"/>
  <c r="L27" i="2"/>
  <c r="BH27" i="2"/>
  <c r="AV27" i="2"/>
  <c r="AB27" i="2"/>
  <c r="P27" i="2"/>
  <c r="H27" i="2"/>
  <c r="BK21" i="2"/>
  <c r="BK19" i="2"/>
  <c r="BK18" i="2"/>
  <c r="T18" i="2" s="1"/>
  <c r="AN14" i="2"/>
  <c r="AK11" i="2"/>
  <c r="BD20" i="2"/>
  <c r="AZ20" i="2"/>
  <c r="AR20" i="2"/>
  <c r="AJ20" i="2"/>
  <c r="P20" i="2"/>
  <c r="H20" i="2"/>
  <c r="BH20" i="2"/>
  <c r="AV20" i="2"/>
  <c r="AB20" i="2"/>
  <c r="L20" i="2"/>
  <c r="BC42" i="2"/>
  <c r="BE10" i="2"/>
  <c r="BA14" i="2"/>
  <c r="Q13" i="2"/>
  <c r="AC11" i="2"/>
  <c r="M13" i="2"/>
  <c r="T11" i="2" l="1"/>
  <c r="AF11" i="2"/>
  <c r="T25" i="2"/>
  <c r="AN13" i="2"/>
  <c r="AN16" i="2"/>
  <c r="T30" i="2"/>
  <c r="T19" i="2"/>
  <c r="BD10" i="2"/>
  <c r="T13" i="2"/>
  <c r="T16" i="2"/>
  <c r="Q14" i="2"/>
  <c r="AK12" i="2"/>
  <c r="BH21" i="2"/>
  <c r="AV21" i="2"/>
  <c r="AF21" i="2"/>
  <c r="AB21" i="2"/>
  <c r="L21" i="2"/>
  <c r="AZ21" i="2"/>
  <c r="AR21" i="2"/>
  <c r="AJ21" i="2"/>
  <c r="P21" i="2"/>
  <c r="AN21" i="2"/>
  <c r="BD21" i="2"/>
  <c r="H21" i="2"/>
  <c r="M14" i="2"/>
  <c r="BE11" i="2"/>
  <c r="BD18" i="2"/>
  <c r="AZ18" i="2"/>
  <c r="AR18" i="2"/>
  <c r="AJ18" i="2"/>
  <c r="L18" i="2"/>
  <c r="BH18" i="2"/>
  <c r="AV18" i="2"/>
  <c r="P18" i="2"/>
  <c r="AN18" i="2"/>
  <c r="AF18" i="2"/>
  <c r="H18" i="2"/>
  <c r="AB18" i="2"/>
  <c r="BH19" i="2"/>
  <c r="AV19" i="2"/>
  <c r="AF19" i="2"/>
  <c r="AB19" i="2"/>
  <c r="L19" i="2"/>
  <c r="AZ19" i="2"/>
  <c r="AR19" i="2"/>
  <c r="AJ19" i="2"/>
  <c r="P19" i="2"/>
  <c r="AN19" i="2"/>
  <c r="BD19" i="2"/>
  <c r="H19" i="2"/>
  <c r="T21" i="2"/>
  <c r="T10" i="2"/>
  <c r="AZ11" i="2"/>
  <c r="AR11" i="2"/>
  <c r="AJ11" i="2"/>
  <c r="P11" i="2"/>
  <c r="BH11" i="2"/>
  <c r="AV11" i="2"/>
  <c r="L11" i="2"/>
  <c r="H11" i="2"/>
  <c r="AB11" i="2"/>
  <c r="BD11" i="2"/>
  <c r="AN11" i="2"/>
  <c r="BH13" i="2"/>
  <c r="AV13" i="2"/>
  <c r="L13" i="2"/>
  <c r="AZ13" i="2"/>
  <c r="AR13" i="2"/>
  <c r="AJ13" i="2"/>
  <c r="P13" i="2"/>
  <c r="H13" i="2"/>
  <c r="AB13" i="2"/>
  <c r="BD13" i="2"/>
  <c r="AZ16" i="2"/>
  <c r="AR16" i="2"/>
  <c r="AJ16" i="2"/>
  <c r="P16" i="2"/>
  <c r="BH16" i="2"/>
  <c r="AV16" i="2"/>
  <c r="L16" i="2"/>
  <c r="H16" i="2"/>
  <c r="AB16" i="2"/>
  <c r="BD16" i="2"/>
  <c r="AZ25" i="2"/>
  <c r="AR25" i="2"/>
  <c r="AJ25" i="2"/>
  <c r="P25" i="2"/>
  <c r="BH25" i="2"/>
  <c r="AB25" i="2"/>
  <c r="L25" i="2"/>
  <c r="AV25" i="2"/>
  <c r="AF25" i="2"/>
  <c r="H25" i="2"/>
  <c r="AN25" i="2"/>
  <c r="BD25" i="2"/>
  <c r="AC12" i="2"/>
  <c r="BA15" i="2"/>
  <c r="AS14" i="2"/>
  <c r="AG14" i="2"/>
  <c r="BI14" i="2"/>
  <c r="AW12" i="2"/>
  <c r="BK42" i="2"/>
  <c r="T42" i="2" s="1"/>
  <c r="AZ10" i="2"/>
  <c r="AB10" i="2"/>
  <c r="BL10" i="2"/>
  <c r="V10" i="2" s="1"/>
  <c r="BH10" i="2"/>
  <c r="AR10" i="2"/>
  <c r="AF10" i="2"/>
  <c r="X10" i="2"/>
  <c r="P10" i="2"/>
  <c r="L10" i="2"/>
  <c r="H10" i="2"/>
  <c r="AJ10" i="2"/>
  <c r="AV10" i="2"/>
  <c r="U12" i="2"/>
  <c r="AO11" i="2"/>
  <c r="BH30" i="2"/>
  <c r="AV30" i="2"/>
  <c r="AB30" i="2"/>
  <c r="P30" i="2"/>
  <c r="H30" i="2"/>
  <c r="AZ30" i="2"/>
  <c r="AJ30" i="2"/>
  <c r="L30" i="2"/>
  <c r="BD30" i="2"/>
  <c r="AR30" i="2"/>
  <c r="AN30" i="2"/>
  <c r="AF30" i="2"/>
  <c r="I13" i="2"/>
  <c r="AP10" i="2" l="1"/>
  <c r="AC13" i="2"/>
  <c r="I14" i="2"/>
  <c r="U13" i="2"/>
  <c r="N10" i="2"/>
  <c r="BB10" i="2"/>
  <c r="Z10" i="2"/>
  <c r="AT10" i="2"/>
  <c r="R10" i="2"/>
  <c r="AH10" i="2"/>
  <c r="BJ10" i="2"/>
  <c r="AD10" i="2"/>
  <c r="AX10" i="2"/>
  <c r="AL10" i="2"/>
  <c r="J10" i="2"/>
  <c r="BL42" i="2"/>
  <c r="AV42" i="2"/>
  <c r="AZ42" i="2"/>
  <c r="AR42" i="2"/>
  <c r="AJ42" i="2"/>
  <c r="H42" i="2"/>
  <c r="AF42" i="2"/>
  <c r="BH42" i="2"/>
  <c r="AB42" i="2"/>
  <c r="AW13" i="2"/>
  <c r="BI15" i="2"/>
  <c r="AG15" i="2"/>
  <c r="AS15" i="2"/>
  <c r="BA16" i="2"/>
  <c r="BL11" i="2"/>
  <c r="BF11" i="2" s="1"/>
  <c r="BD42" i="2"/>
  <c r="BF10" i="2"/>
  <c r="M15" i="2"/>
  <c r="AO12" i="2"/>
  <c r="BE12" i="2"/>
  <c r="AK13" i="2"/>
  <c r="Q15" i="2"/>
  <c r="AP11" i="2" l="1"/>
  <c r="Q16" i="2"/>
  <c r="AK14" i="2"/>
  <c r="M16" i="2"/>
  <c r="BI16" i="2"/>
  <c r="BE13" i="2"/>
  <c r="AO13" i="2"/>
  <c r="AT11" i="2"/>
  <c r="AH11" i="2"/>
  <c r="BJ11" i="2"/>
  <c r="BL12" i="2"/>
  <c r="BB11" i="2"/>
  <c r="N11" i="2"/>
  <c r="R11" i="2"/>
  <c r="J11" i="2"/>
  <c r="V11" i="2"/>
  <c r="AL11" i="2"/>
  <c r="AD11" i="2"/>
  <c r="AX11" i="2"/>
  <c r="BA17" i="2"/>
  <c r="AS16" i="2"/>
  <c r="AG16" i="2"/>
  <c r="AW14" i="2"/>
  <c r="U14" i="2"/>
  <c r="I15" i="2"/>
  <c r="AC14" i="2"/>
  <c r="AC15" i="2" l="1"/>
  <c r="I16" i="2"/>
  <c r="U15" i="2"/>
  <c r="AO14" i="2"/>
  <c r="BE14" i="2"/>
  <c r="Q17" i="2"/>
  <c r="AW15" i="2"/>
  <c r="AG17" i="2"/>
  <c r="AS17" i="2"/>
  <c r="BA18" i="2"/>
  <c r="BB12" i="2"/>
  <c r="N12" i="2"/>
  <c r="BJ12" i="2"/>
  <c r="AH12" i="2"/>
  <c r="AT12" i="2"/>
  <c r="R12" i="2"/>
  <c r="BL13" i="2"/>
  <c r="J12" i="2"/>
  <c r="AL12" i="2"/>
  <c r="AD12" i="2"/>
  <c r="V12" i="2"/>
  <c r="AX12" i="2"/>
  <c r="AP12" i="2"/>
  <c r="BF12" i="2"/>
  <c r="BI17" i="2"/>
  <c r="M17" i="2"/>
  <c r="AK15" i="2"/>
  <c r="AK16" i="2" l="1"/>
  <c r="BI18" i="2"/>
  <c r="M18" i="2"/>
  <c r="BL14" i="2"/>
  <c r="AP14" i="2" s="1"/>
  <c r="BB13" i="2"/>
  <c r="N13" i="2"/>
  <c r="R13" i="2"/>
  <c r="AT13" i="2"/>
  <c r="AH13" i="2"/>
  <c r="BJ13" i="2"/>
  <c r="J13" i="2"/>
  <c r="AL13" i="2"/>
  <c r="AX13" i="2"/>
  <c r="V13" i="2"/>
  <c r="AD13" i="2"/>
  <c r="BA19" i="2"/>
  <c r="BF13" i="2"/>
  <c r="AO15" i="2"/>
  <c r="AC16" i="2"/>
  <c r="AS18" i="2"/>
  <c r="AG18" i="2"/>
  <c r="AW16" i="2"/>
  <c r="Q18" i="2"/>
  <c r="BE15" i="2"/>
  <c r="AP13" i="2"/>
  <c r="U16" i="2"/>
  <c r="I17" i="2"/>
  <c r="BF14" i="2" l="1"/>
  <c r="I18" i="2"/>
  <c r="U17" i="2"/>
  <c r="Q19" i="2"/>
  <c r="AW17" i="2"/>
  <c r="AC17" i="2"/>
  <c r="AO16" i="2"/>
  <c r="BL15" i="2"/>
  <c r="AP15" i="2" s="1"/>
  <c r="BB14" i="2"/>
  <c r="BJ14" i="2"/>
  <c r="N14" i="2"/>
  <c r="R14" i="2"/>
  <c r="AH14" i="2"/>
  <c r="AT14" i="2"/>
  <c r="J14" i="2"/>
  <c r="AD14" i="2"/>
  <c r="V14" i="2"/>
  <c r="AX14" i="2"/>
  <c r="AL14" i="2"/>
  <c r="BE16" i="2"/>
  <c r="AG19" i="2"/>
  <c r="AS19" i="2"/>
  <c r="BA20" i="2"/>
  <c r="M19" i="2"/>
  <c r="BI19" i="2"/>
  <c r="AK17" i="2"/>
  <c r="BF15" i="2" l="1"/>
  <c r="AK18" i="2"/>
  <c r="AS20" i="2"/>
  <c r="M20" i="2"/>
  <c r="AG20" i="2"/>
  <c r="BE17" i="2"/>
  <c r="BL16" i="2"/>
  <c r="BF16" i="2" s="1"/>
  <c r="BB15" i="2"/>
  <c r="R15" i="2"/>
  <c r="N15" i="2"/>
  <c r="BJ15" i="2"/>
  <c r="AT15" i="2"/>
  <c r="AH15" i="2"/>
  <c r="J15" i="2"/>
  <c r="AD15" i="2"/>
  <c r="AX15" i="2"/>
  <c r="V15" i="2"/>
  <c r="AL15" i="2"/>
  <c r="AO17" i="2"/>
  <c r="AC18" i="2"/>
  <c r="U18" i="2"/>
  <c r="I19" i="2"/>
  <c r="BI20" i="2"/>
  <c r="BA21" i="2"/>
  <c r="AW18" i="2"/>
  <c r="Q20" i="2"/>
  <c r="AP16" i="2" l="1"/>
  <c r="Q21" i="2"/>
  <c r="BA22" i="2"/>
  <c r="BI21" i="2"/>
  <c r="I20" i="2"/>
  <c r="U19" i="2"/>
  <c r="AC19" i="2"/>
  <c r="AO18" i="2"/>
  <c r="BL17" i="2"/>
  <c r="AP17" i="2" s="1"/>
  <c r="BB16" i="2"/>
  <c r="R16" i="2"/>
  <c r="AH16" i="2"/>
  <c r="AT16" i="2"/>
  <c r="BJ16" i="2"/>
  <c r="N16" i="2"/>
  <c r="J16" i="2"/>
  <c r="V16" i="2"/>
  <c r="AD16" i="2"/>
  <c r="AX16" i="2"/>
  <c r="AL16" i="2"/>
  <c r="BE18" i="2"/>
  <c r="AG21" i="2"/>
  <c r="AK19" i="2"/>
  <c r="AW19" i="2"/>
  <c r="M21" i="2"/>
  <c r="AS21" i="2"/>
  <c r="BF17" i="2" l="1"/>
  <c r="AS22" i="2"/>
  <c r="AG22" i="2"/>
  <c r="BE19" i="2"/>
  <c r="BL18" i="2"/>
  <c r="BF18" i="2" s="1"/>
  <c r="BB17" i="2"/>
  <c r="BJ17" i="2"/>
  <c r="N17" i="2"/>
  <c r="AT17" i="2"/>
  <c r="AH17" i="2"/>
  <c r="R17" i="2"/>
  <c r="J17" i="2"/>
  <c r="AL17" i="2"/>
  <c r="AD17" i="2"/>
  <c r="V17" i="2"/>
  <c r="AX17" i="2"/>
  <c r="AO19" i="2"/>
  <c r="U20" i="2"/>
  <c r="I21" i="2"/>
  <c r="M22" i="2"/>
  <c r="AW20" i="2"/>
  <c r="AK20" i="2"/>
  <c r="AC20" i="2"/>
  <c r="BI22" i="2"/>
  <c r="BA23" i="2"/>
  <c r="Q22" i="2"/>
  <c r="AP18" i="2" l="1"/>
  <c r="Q23" i="2"/>
  <c r="BA24" i="2"/>
  <c r="AC21" i="2"/>
  <c r="AW21" i="2"/>
  <c r="M23" i="2"/>
  <c r="I22" i="2"/>
  <c r="U21" i="2"/>
  <c r="AO20" i="2"/>
  <c r="BL19" i="2"/>
  <c r="BF19" i="2" s="1"/>
  <c r="BB18" i="2"/>
  <c r="R18" i="2"/>
  <c r="AT18" i="2"/>
  <c r="BJ18" i="2"/>
  <c r="AH18" i="2"/>
  <c r="N18" i="2"/>
  <c r="J18" i="2"/>
  <c r="V18" i="2"/>
  <c r="AD18" i="2"/>
  <c r="AL18" i="2"/>
  <c r="AX18" i="2"/>
  <c r="BE20" i="2"/>
  <c r="AG23" i="2"/>
  <c r="BI23" i="2"/>
  <c r="AK21" i="2"/>
  <c r="AS23" i="2"/>
  <c r="AP19" i="2" l="1"/>
  <c r="AK22" i="2"/>
  <c r="AS24" i="2"/>
  <c r="AG24" i="2"/>
  <c r="BE21" i="2"/>
  <c r="BL20" i="2"/>
  <c r="BF20" i="2" s="1"/>
  <c r="BB19" i="2"/>
  <c r="AH19" i="2"/>
  <c r="AT19" i="2"/>
  <c r="N19" i="2"/>
  <c r="BJ19" i="2"/>
  <c r="R19" i="2"/>
  <c r="J19" i="2"/>
  <c r="V19" i="2"/>
  <c r="AX19" i="2"/>
  <c r="AL19" i="2"/>
  <c r="AD19" i="2"/>
  <c r="AO21" i="2"/>
  <c r="U22" i="2"/>
  <c r="I23" i="2"/>
  <c r="BI24" i="2"/>
  <c r="M24" i="2"/>
  <c r="AW22" i="2"/>
  <c r="AC22" i="2"/>
  <c r="BA25" i="2"/>
  <c r="Q24" i="2"/>
  <c r="AP20" i="2" l="1"/>
  <c r="AC23" i="2"/>
  <c r="AW23" i="2"/>
  <c r="M25" i="2"/>
  <c r="BA26" i="2"/>
  <c r="I24" i="2"/>
  <c r="U23" i="2"/>
  <c r="AO22" i="2"/>
  <c r="BL21" i="2"/>
  <c r="AP21" i="2" s="1"/>
  <c r="BB20" i="2"/>
  <c r="AH20" i="2"/>
  <c r="R20" i="2"/>
  <c r="BJ20" i="2"/>
  <c r="N20" i="2"/>
  <c r="AT20" i="2"/>
  <c r="J20" i="2"/>
  <c r="V20" i="2"/>
  <c r="AD20" i="2"/>
  <c r="AX20" i="2"/>
  <c r="AL20" i="2"/>
  <c r="BE22" i="2"/>
  <c r="Q25" i="2"/>
  <c r="BI25" i="2"/>
  <c r="AG25" i="2"/>
  <c r="AS25" i="2"/>
  <c r="AK23" i="2"/>
  <c r="BF21" i="2" l="1"/>
  <c r="BI26" i="2"/>
  <c r="AG26" i="2"/>
  <c r="BE23" i="2"/>
  <c r="BL22" i="2"/>
  <c r="AP22" i="2" s="1"/>
  <c r="BB21" i="2"/>
  <c r="AH21" i="2"/>
  <c r="AT21" i="2"/>
  <c r="N21" i="2"/>
  <c r="BJ21" i="2"/>
  <c r="R21" i="2"/>
  <c r="J21" i="2"/>
  <c r="V21" i="2"/>
  <c r="AL21" i="2"/>
  <c r="AX21" i="2"/>
  <c r="AD21" i="2"/>
  <c r="AO23" i="2"/>
  <c r="U24" i="2"/>
  <c r="I25" i="2"/>
  <c r="AK24" i="2"/>
  <c r="AS26" i="2"/>
  <c r="Q26" i="2"/>
  <c r="BA27" i="2"/>
  <c r="M26" i="2"/>
  <c r="AW24" i="2"/>
  <c r="AC24" i="2"/>
  <c r="I26" i="2" l="1"/>
  <c r="AO24" i="2"/>
  <c r="BL23" i="2"/>
  <c r="BF23" i="2" s="1"/>
  <c r="BB22" i="2"/>
  <c r="AH22" i="2"/>
  <c r="R22" i="2"/>
  <c r="N22" i="2"/>
  <c r="BJ22" i="2"/>
  <c r="AT22" i="2"/>
  <c r="J22" i="2"/>
  <c r="V22" i="2"/>
  <c r="AD22" i="2"/>
  <c r="AX22" i="2"/>
  <c r="AL22" i="2"/>
  <c r="BF22" i="2"/>
  <c r="AG27" i="2"/>
  <c r="AC25" i="2"/>
  <c r="AW25" i="2"/>
  <c r="M27" i="2"/>
  <c r="BA28" i="2"/>
  <c r="Q27" i="2"/>
  <c r="AS27" i="2"/>
  <c r="AK25" i="2"/>
  <c r="U25" i="2"/>
  <c r="BE24" i="2"/>
  <c r="BI27" i="2"/>
  <c r="BI28" i="2" l="1"/>
  <c r="AS28" i="2"/>
  <c r="Q28" i="2"/>
  <c r="BA29" i="2"/>
  <c r="M28" i="2"/>
  <c r="AW26" i="2"/>
  <c r="AC26" i="2"/>
  <c r="BL24" i="2"/>
  <c r="AP24" i="2" s="1"/>
  <c r="BB23" i="2"/>
  <c r="AT23" i="2"/>
  <c r="AH23" i="2"/>
  <c r="BJ23" i="2"/>
  <c r="N23" i="2"/>
  <c r="R23" i="2"/>
  <c r="J23" i="2"/>
  <c r="V23" i="2"/>
  <c r="AL23" i="2"/>
  <c r="AX23" i="2"/>
  <c r="AD23" i="2"/>
  <c r="AO25" i="2"/>
  <c r="I27" i="2"/>
  <c r="BE25" i="2"/>
  <c r="U26" i="2"/>
  <c r="AK26" i="2"/>
  <c r="AG28" i="2"/>
  <c r="AP23" i="2"/>
  <c r="BF24" i="2" l="1"/>
  <c r="AK27" i="2"/>
  <c r="I28" i="2"/>
  <c r="AG29" i="2"/>
  <c r="U27" i="2"/>
  <c r="BE26" i="2"/>
  <c r="AO26" i="2"/>
  <c r="BL25" i="2"/>
  <c r="BB24" i="2"/>
  <c r="N24" i="2"/>
  <c r="R24" i="2"/>
  <c r="BJ24" i="2"/>
  <c r="AT24" i="2"/>
  <c r="AH24" i="2"/>
  <c r="J24" i="2"/>
  <c r="AD24" i="2"/>
  <c r="AX24" i="2"/>
  <c r="AL24" i="2"/>
  <c r="V24" i="2"/>
  <c r="AC27" i="2"/>
  <c r="AW27" i="2"/>
  <c r="M29" i="2"/>
  <c r="BA30" i="2"/>
  <c r="Q29" i="2"/>
  <c r="AS29" i="2"/>
  <c r="BI29" i="2"/>
  <c r="BI30" i="2" l="1"/>
  <c r="BL26" i="2"/>
  <c r="AP26" i="2" s="1"/>
  <c r="BB25" i="2"/>
  <c r="AH25" i="2"/>
  <c r="BJ25" i="2"/>
  <c r="AT25" i="2"/>
  <c r="R25" i="2"/>
  <c r="N25" i="2"/>
  <c r="J25" i="2"/>
  <c r="V25" i="2"/>
  <c r="AX25" i="2"/>
  <c r="AD25" i="2"/>
  <c r="AL25" i="2"/>
  <c r="AO27" i="2"/>
  <c r="BE27" i="2"/>
  <c r="U28" i="2"/>
  <c r="AG30" i="2"/>
  <c r="AS30" i="2"/>
  <c r="Q30" i="2"/>
  <c r="BA31" i="2"/>
  <c r="M30" i="2"/>
  <c r="AW28" i="2"/>
  <c r="AC28" i="2"/>
  <c r="AP25" i="2"/>
  <c r="BF25" i="2"/>
  <c r="I29" i="2"/>
  <c r="AK28" i="2"/>
  <c r="BF26" i="2" l="1"/>
  <c r="AK29" i="2"/>
  <c r="AG31" i="2"/>
  <c r="U29" i="2"/>
  <c r="BE28" i="2"/>
  <c r="AO28" i="2"/>
  <c r="BL27" i="2"/>
  <c r="BB26" i="2"/>
  <c r="N26" i="2"/>
  <c r="R26" i="2"/>
  <c r="AT26" i="2"/>
  <c r="BJ26" i="2"/>
  <c r="AH26" i="2"/>
  <c r="J26" i="2"/>
  <c r="V26" i="2"/>
  <c r="AL26" i="2"/>
  <c r="AD26" i="2"/>
  <c r="AX26" i="2"/>
  <c r="BI31" i="2"/>
  <c r="I30" i="2"/>
  <c r="AC29" i="2"/>
  <c r="AW29" i="2"/>
  <c r="M31" i="2"/>
  <c r="BA32" i="2"/>
  <c r="Q31" i="2"/>
  <c r="AS31" i="2"/>
  <c r="BL28" i="2" l="1"/>
  <c r="AP28" i="2" s="1"/>
  <c r="BB27" i="2"/>
  <c r="BJ27" i="2"/>
  <c r="AT27" i="2"/>
  <c r="R27" i="2"/>
  <c r="N27" i="2"/>
  <c r="AH27" i="2"/>
  <c r="J27" i="2"/>
  <c r="V27" i="2"/>
  <c r="AX27" i="2"/>
  <c r="AD27" i="2"/>
  <c r="AL27" i="2"/>
  <c r="AO29" i="2"/>
  <c r="BE29" i="2"/>
  <c r="U30" i="2"/>
  <c r="AG32" i="2"/>
  <c r="AS32" i="2"/>
  <c r="Q32" i="2"/>
  <c r="BA33" i="2"/>
  <c r="M32" i="2"/>
  <c r="AW30" i="2"/>
  <c r="AC30" i="2"/>
  <c r="I31" i="2"/>
  <c r="BI32" i="2"/>
  <c r="AP27" i="2"/>
  <c r="BF27" i="2"/>
  <c r="AK30" i="2"/>
  <c r="BF28" i="2" l="1"/>
  <c r="AK31" i="2"/>
  <c r="I32" i="2"/>
  <c r="M33" i="2"/>
  <c r="AC31" i="2"/>
  <c r="AG33" i="2"/>
  <c r="U31" i="2"/>
  <c r="AO30" i="2"/>
  <c r="BL29" i="2"/>
  <c r="BF29" i="2" s="1"/>
  <c r="BB28" i="2"/>
  <c r="AH28" i="2"/>
  <c r="N28" i="2"/>
  <c r="R28" i="2"/>
  <c r="AT28" i="2"/>
  <c r="BJ28" i="2"/>
  <c r="J28" i="2"/>
  <c r="V28" i="2"/>
  <c r="AL28" i="2"/>
  <c r="AD28" i="2"/>
  <c r="AX28" i="2"/>
  <c r="BI33" i="2"/>
  <c r="AW31" i="2"/>
  <c r="BA34" i="2"/>
  <c r="Q33" i="2"/>
  <c r="AS33" i="2"/>
  <c r="BE30" i="2"/>
  <c r="BE31" i="2" l="1"/>
  <c r="BL30" i="2"/>
  <c r="AP30" i="2" s="1"/>
  <c r="BB29" i="2"/>
  <c r="BJ29" i="2"/>
  <c r="AH29" i="2"/>
  <c r="AT29" i="2"/>
  <c r="R29" i="2"/>
  <c r="N29" i="2"/>
  <c r="J29" i="2"/>
  <c r="V29" i="2"/>
  <c r="AX29" i="2"/>
  <c r="AL29" i="2"/>
  <c r="AD29" i="2"/>
  <c r="AO31" i="2"/>
  <c r="U32" i="2"/>
  <c r="AG34" i="2"/>
  <c r="AS34" i="2"/>
  <c r="Q34" i="2"/>
  <c r="BA35" i="2"/>
  <c r="AW32" i="2"/>
  <c r="BI34" i="2"/>
  <c r="AP29" i="2"/>
  <c r="AC32" i="2"/>
  <c r="M34" i="2"/>
  <c r="I33" i="2"/>
  <c r="AK32" i="2"/>
  <c r="AK33" i="2" l="1"/>
  <c r="I34" i="2"/>
  <c r="M35" i="2"/>
  <c r="AC33" i="2"/>
  <c r="AG35" i="2"/>
  <c r="U33" i="2"/>
  <c r="AO32" i="2"/>
  <c r="BL31" i="2"/>
  <c r="AP31" i="2" s="1"/>
  <c r="BB30" i="2"/>
  <c r="AH30" i="2"/>
  <c r="BJ30" i="2"/>
  <c r="N30" i="2"/>
  <c r="R30" i="2"/>
  <c r="AT30" i="2"/>
  <c r="J30" i="2"/>
  <c r="V30" i="2"/>
  <c r="AL30" i="2"/>
  <c r="AD30" i="2"/>
  <c r="AX30" i="2"/>
  <c r="BE32" i="2"/>
  <c r="BI35" i="2"/>
  <c r="AW33" i="2"/>
  <c r="BA36" i="2"/>
  <c r="Q35" i="2"/>
  <c r="AS35" i="2"/>
  <c r="BF30" i="2"/>
  <c r="BF31" i="2" l="1"/>
  <c r="BE33" i="2"/>
  <c r="BL32" i="2"/>
  <c r="AP32" i="2" s="1"/>
  <c r="BB31" i="2"/>
  <c r="AH31" i="2"/>
  <c r="AT31" i="2"/>
  <c r="R31" i="2"/>
  <c r="N31" i="2"/>
  <c r="BJ31" i="2"/>
  <c r="J31" i="2"/>
  <c r="V31" i="2"/>
  <c r="AX31" i="2"/>
  <c r="AD31" i="2"/>
  <c r="AL31" i="2"/>
  <c r="AO33" i="2"/>
  <c r="U34" i="2"/>
  <c r="AS36" i="2"/>
  <c r="Q36" i="2"/>
  <c r="BA37" i="2"/>
  <c r="AW34" i="2"/>
  <c r="BI36" i="2"/>
  <c r="AG36" i="2"/>
  <c r="AC34" i="2"/>
  <c r="M36" i="2"/>
  <c r="I35" i="2"/>
  <c r="AK34" i="2"/>
  <c r="I36" i="2" l="1"/>
  <c r="AC35" i="2"/>
  <c r="U35" i="2"/>
  <c r="AO34" i="2"/>
  <c r="BL33" i="2"/>
  <c r="BB32" i="2"/>
  <c r="AH32" i="2"/>
  <c r="N32" i="2"/>
  <c r="BJ32" i="2"/>
  <c r="R32" i="2"/>
  <c r="AT32" i="2"/>
  <c r="J32" i="2"/>
  <c r="V32" i="2"/>
  <c r="AL32" i="2"/>
  <c r="AD32" i="2"/>
  <c r="AX32" i="2"/>
  <c r="BE34" i="2"/>
  <c r="AK35" i="2"/>
  <c r="M37" i="2"/>
  <c r="AG37" i="2"/>
  <c r="BI37" i="2"/>
  <c r="AW35" i="2"/>
  <c r="BA38" i="2"/>
  <c r="Q37" i="2"/>
  <c r="AS37" i="2"/>
  <c r="BF32" i="2"/>
  <c r="AS38" i="2" l="1"/>
  <c r="BE35" i="2"/>
  <c r="BL34" i="2"/>
  <c r="BB33" i="2"/>
  <c r="AH33" i="2"/>
  <c r="AT33" i="2"/>
  <c r="R33" i="2"/>
  <c r="BJ33" i="2"/>
  <c r="N33" i="2"/>
  <c r="J33" i="2"/>
  <c r="V33" i="2"/>
  <c r="AX33" i="2"/>
  <c r="AD33" i="2"/>
  <c r="AL33" i="2"/>
  <c r="AO35" i="2"/>
  <c r="U36" i="2"/>
  <c r="Q38" i="2"/>
  <c r="BA39" i="2"/>
  <c r="AW36" i="2"/>
  <c r="BI38" i="2"/>
  <c r="AG38" i="2"/>
  <c r="M38" i="2"/>
  <c r="AK36" i="2"/>
  <c r="BF33" i="2"/>
  <c r="AP33" i="2"/>
  <c r="AC36" i="2"/>
  <c r="I37" i="2"/>
  <c r="AG39" i="2" l="1"/>
  <c r="BI39" i="2"/>
  <c r="U37" i="2"/>
  <c r="AO36" i="2"/>
  <c r="BL35" i="2"/>
  <c r="BB34" i="2"/>
  <c r="N34" i="2"/>
  <c r="AH34" i="2"/>
  <c r="BJ34" i="2"/>
  <c r="R34" i="2"/>
  <c r="AT34" i="2"/>
  <c r="J34" i="2"/>
  <c r="V34" i="2"/>
  <c r="AD34" i="2"/>
  <c r="AL34" i="2"/>
  <c r="AX34" i="2"/>
  <c r="BE36" i="2"/>
  <c r="I38" i="2"/>
  <c r="AC37" i="2"/>
  <c r="AK37" i="2"/>
  <c r="M39" i="2"/>
  <c r="AW37" i="2"/>
  <c r="BA40" i="2"/>
  <c r="Q39" i="2"/>
  <c r="AP34" i="2"/>
  <c r="BF34" i="2"/>
  <c r="AS39" i="2"/>
  <c r="AK38" i="2" l="1"/>
  <c r="BE37" i="2"/>
  <c r="BL36" i="2"/>
  <c r="BB35" i="2"/>
  <c r="AT35" i="2"/>
  <c r="R35" i="2"/>
  <c r="BJ35" i="2"/>
  <c r="AH35" i="2"/>
  <c r="N35" i="2"/>
  <c r="J35" i="2"/>
  <c r="V35" i="2"/>
  <c r="AX35" i="2"/>
  <c r="AL35" i="2"/>
  <c r="AD35" i="2"/>
  <c r="AO37" i="2"/>
  <c r="AS40" i="2"/>
  <c r="Q40" i="2"/>
  <c r="AW38" i="2"/>
  <c r="M40" i="2"/>
  <c r="AC38" i="2"/>
  <c r="I39" i="2"/>
  <c r="BF35" i="2"/>
  <c r="AP35" i="2"/>
  <c r="U38" i="2"/>
  <c r="BI40" i="2"/>
  <c r="AG40" i="2"/>
  <c r="I40" i="2" l="1"/>
  <c r="AC39" i="2"/>
  <c r="AO38" i="2"/>
  <c r="BL37" i="2"/>
  <c r="BF37" i="2" s="1"/>
  <c r="BB36" i="2"/>
  <c r="AT36" i="2"/>
  <c r="N36" i="2"/>
  <c r="AH36" i="2"/>
  <c r="BJ36" i="2"/>
  <c r="R36" i="2"/>
  <c r="J36" i="2"/>
  <c r="AL36" i="2"/>
  <c r="V36" i="2"/>
  <c r="AD36" i="2"/>
  <c r="AX36" i="2"/>
  <c r="BF36" i="2"/>
  <c r="U39" i="2"/>
  <c r="AW39" i="2"/>
  <c r="AP36" i="2"/>
  <c r="BE38" i="2"/>
  <c r="AK39" i="2"/>
  <c r="BE39" i="2" l="1"/>
  <c r="U40" i="2"/>
  <c r="AO39" i="2"/>
  <c r="AK40" i="2"/>
  <c r="AW40" i="2"/>
  <c r="BL38" i="2"/>
  <c r="BB37" i="2"/>
  <c r="BJ37" i="2"/>
  <c r="AH37" i="2"/>
  <c r="AT37" i="2"/>
  <c r="R37" i="2"/>
  <c r="N37" i="2"/>
  <c r="J37" i="2"/>
  <c r="AD37" i="2"/>
  <c r="AL37" i="2"/>
  <c r="AX37" i="2"/>
  <c r="V37" i="2"/>
  <c r="AP37" i="2"/>
  <c r="AC40" i="2"/>
  <c r="BL39" i="2" l="1"/>
  <c r="AP39" i="2" s="1"/>
  <c r="BB38" i="2"/>
  <c r="AH38" i="2"/>
  <c r="BJ38" i="2"/>
  <c r="N38" i="2"/>
  <c r="R38" i="2"/>
  <c r="AT38" i="2"/>
  <c r="J38" i="2"/>
  <c r="V38" i="2"/>
  <c r="AD38" i="2"/>
  <c r="AX38" i="2"/>
  <c r="AL38" i="2"/>
  <c r="AO40" i="2"/>
  <c r="BE40" i="2"/>
  <c r="AP38" i="2"/>
  <c r="BF38" i="2"/>
  <c r="BF39" i="2" l="1"/>
  <c r="BL40" i="2"/>
  <c r="BF40" i="2" s="1"/>
  <c r="BB39" i="2"/>
  <c r="R39" i="2"/>
  <c r="N39" i="2"/>
  <c r="BJ39" i="2"/>
  <c r="AH39" i="2"/>
  <c r="AT39" i="2"/>
  <c r="J39" i="2"/>
  <c r="AD39" i="2"/>
  <c r="V39" i="2"/>
  <c r="AL39" i="2"/>
  <c r="AX39" i="2"/>
  <c r="BB40" i="2" l="1"/>
  <c r="AH40" i="2"/>
  <c r="N40" i="2"/>
  <c r="AT40" i="2"/>
  <c r="BJ40" i="2"/>
  <c r="R40" i="2"/>
  <c r="J40" i="2"/>
  <c r="AD40" i="2"/>
  <c r="AL40" i="2"/>
  <c r="V40" i="2"/>
  <c r="AX40" i="2"/>
  <c r="AP40" i="2"/>
  <c r="G42" i="16" l="1"/>
  <c r="I37" i="16" s="1"/>
  <c r="F42" i="16"/>
  <c r="C43" i="16"/>
  <c r="C43" i="18" l="1"/>
  <c r="C43" i="19" l="1"/>
  <c r="C40" i="24" l="1"/>
  <c r="C43" i="27" l="1"/>
  <c r="C43" i="29" l="1"/>
  <c r="C43" i="30" l="1"/>
  <c r="I49" i="4" l="1"/>
  <c r="I49" i="6"/>
  <c r="I49" i="43" l="1"/>
  <c r="I49" i="37"/>
  <c r="C43" i="33" l="1"/>
  <c r="F23" i="33" l="1"/>
  <c r="C38" i="43"/>
  <c r="R24" i="43"/>
  <c r="U24" i="43" s="1"/>
  <c r="R15" i="43"/>
  <c r="U15" i="43" s="1"/>
  <c r="R24" i="4"/>
  <c r="U24" i="4" s="1"/>
  <c r="R15" i="4"/>
  <c r="U15" i="4" s="1"/>
  <c r="S8" i="4"/>
  <c r="R8" i="4"/>
  <c r="R7" i="4"/>
  <c r="U7" i="4" s="1"/>
  <c r="R24" i="37"/>
  <c r="U24" i="37" s="1"/>
  <c r="R15" i="37"/>
  <c r="U15" i="37" s="1"/>
  <c r="S8" i="37"/>
  <c r="R8" i="37"/>
  <c r="R7" i="37"/>
  <c r="U7" i="37" s="1"/>
  <c r="R24" i="6"/>
  <c r="U24" i="6" s="1"/>
  <c r="R15" i="6"/>
  <c r="U15" i="6" s="1"/>
  <c r="S8" i="6"/>
  <c r="R8" i="6"/>
  <c r="R7" i="6"/>
  <c r="U7" i="6" s="1"/>
  <c r="R24" i="13"/>
  <c r="U24" i="13" s="1"/>
  <c r="R15" i="13"/>
  <c r="U15" i="13" s="1"/>
  <c r="S8" i="13"/>
  <c r="R8" i="13"/>
  <c r="R7" i="13"/>
  <c r="U7" i="13" s="1"/>
  <c r="I43" i="30"/>
  <c r="C38" i="30"/>
  <c r="C38" i="31"/>
  <c r="C38" i="32"/>
  <c r="C38" i="33"/>
  <c r="U8" i="6" l="1"/>
  <c r="U8" i="37"/>
  <c r="U8" i="4"/>
  <c r="U8" i="13"/>
  <c r="D39" i="48" l="1"/>
  <c r="G42" i="4"/>
  <c r="I37" i="4" s="1"/>
  <c r="F42" i="4"/>
  <c r="D38" i="48" s="1"/>
  <c r="E35" i="48"/>
  <c r="D35" i="48"/>
  <c r="D37" i="48"/>
  <c r="G42" i="6"/>
  <c r="I37" i="6" s="1"/>
  <c r="F42" i="6"/>
  <c r="D36" i="48" s="1"/>
  <c r="D34" i="48"/>
  <c r="D33" i="48"/>
  <c r="E32" i="48"/>
  <c r="D32" i="48"/>
  <c r="D31" i="48"/>
  <c r="D30" i="48"/>
  <c r="E29" i="48"/>
  <c r="D29" i="48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D23" i="48"/>
  <c r="D22" i="48"/>
  <c r="D21" i="48"/>
  <c r="D20" i="48"/>
  <c r="I43" i="43"/>
  <c r="I44" i="43" s="1"/>
  <c r="I43" i="4"/>
  <c r="I43" i="37"/>
  <c r="I44" i="37" s="1"/>
  <c r="I43" i="6"/>
  <c r="I44" i="6" s="1"/>
  <c r="I43" i="7"/>
  <c r="I43" i="8"/>
  <c r="I44" i="8" s="1"/>
  <c r="I43" i="9"/>
  <c r="I44" i="9" s="1"/>
  <c r="I43" i="10"/>
  <c r="I44" i="10" s="1"/>
  <c r="I43" i="11"/>
  <c r="I43" i="12"/>
  <c r="I44" i="12" s="1"/>
  <c r="I43" i="13"/>
  <c r="I44" i="13" s="1"/>
  <c r="I43" i="14"/>
  <c r="I44" i="14" s="1"/>
  <c r="I43" i="15"/>
  <c r="I44" i="15" s="1"/>
  <c r="I43" i="16"/>
  <c r="I44" i="16" s="1"/>
  <c r="I43" i="17"/>
  <c r="I44" i="17" s="1"/>
  <c r="I43" i="18"/>
  <c r="I43" i="19"/>
  <c r="I43" i="20"/>
  <c r="I43" i="22"/>
  <c r="I44" i="22" s="1"/>
  <c r="I43" i="21"/>
  <c r="I44" i="21" s="1"/>
  <c r="I43" i="23"/>
  <c r="I44" i="23" s="1"/>
  <c r="I43" i="24"/>
  <c r="I44" i="24" s="1"/>
  <c r="I43" i="25"/>
  <c r="I44" i="25" s="1"/>
  <c r="I43" i="26"/>
  <c r="I44" i="26" s="1"/>
  <c r="I43" i="28"/>
  <c r="I43" i="27"/>
  <c r="I44" i="27" s="1"/>
  <c r="I43" i="29"/>
  <c r="I44" i="29" s="1"/>
  <c r="I44" i="30"/>
  <c r="I43" i="32"/>
  <c r="I44" i="32" s="1"/>
  <c r="J43" i="33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7" i="2" s="1"/>
  <c r="C38" i="2" s="1"/>
  <c r="C39" i="2" s="1"/>
  <c r="C40" i="2" s="1"/>
  <c r="B11" i="2" s="1"/>
  <c r="B12" i="2" s="1"/>
  <c r="B13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6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10" i="2" s="1"/>
  <c r="P39" i="48"/>
  <c r="D39" i="1" s="1"/>
  <c r="P38" i="48"/>
  <c r="D38" i="1" s="1"/>
  <c r="P37" i="48"/>
  <c r="P36" i="48"/>
  <c r="P35" i="48"/>
  <c r="P34" i="48"/>
  <c r="P33" i="48"/>
  <c r="G33" i="48" s="1"/>
  <c r="P32" i="48"/>
  <c r="G32" i="48" s="1"/>
  <c r="P31" i="48"/>
  <c r="AB31" i="48" s="1"/>
  <c r="P30" i="48"/>
  <c r="AB30" i="48" s="1"/>
  <c r="P29" i="48"/>
  <c r="P28" i="48"/>
  <c r="P27" i="48"/>
  <c r="P26" i="48"/>
  <c r="P25" i="48"/>
  <c r="P24" i="48"/>
  <c r="P23" i="48"/>
  <c r="G23" i="48" s="1"/>
  <c r="P22" i="48"/>
  <c r="P21" i="48"/>
  <c r="P20" i="48"/>
  <c r="P19" i="48"/>
  <c r="H19" i="48" s="1"/>
  <c r="P18" i="48"/>
  <c r="P17" i="48"/>
  <c r="G17" i="48" s="1"/>
  <c r="P16" i="48"/>
  <c r="P15" i="48"/>
  <c r="H15" i="48" s="1"/>
  <c r="P14" i="48"/>
  <c r="B13" i="45" s="1"/>
  <c r="P13" i="48"/>
  <c r="B12" i="45" s="1"/>
  <c r="P12" i="48"/>
  <c r="B11" i="45" s="1"/>
  <c r="P11" i="48"/>
  <c r="B10" i="45" s="1"/>
  <c r="P10" i="48"/>
  <c r="B9" i="45" s="1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A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D18" i="48"/>
  <c r="D16" i="48"/>
  <c r="D15" i="48"/>
  <c r="G42" i="27"/>
  <c r="I37" i="27" s="1"/>
  <c r="F42" i="27"/>
  <c r="D14" i="48" s="1"/>
  <c r="E13" i="48"/>
  <c r="D11" i="48"/>
  <c r="P9" i="48"/>
  <c r="Q9" i="48" s="1"/>
  <c r="D38" i="33"/>
  <c r="L34" i="26"/>
  <c r="D10" i="48"/>
  <c r="D9" i="48"/>
  <c r="I47" i="29"/>
  <c r="H4" i="43"/>
  <c r="C14" i="43"/>
  <c r="V7" i="43" s="1"/>
  <c r="W7" i="43" s="1"/>
  <c r="D14" i="43"/>
  <c r="E14" i="43"/>
  <c r="F14" i="43"/>
  <c r="C23" i="43"/>
  <c r="V15" i="43" s="1"/>
  <c r="W15" i="43" s="1"/>
  <c r="D23" i="43"/>
  <c r="E23" i="43"/>
  <c r="F23" i="43"/>
  <c r="C32" i="43"/>
  <c r="V24" i="43" s="1"/>
  <c r="W24" i="43" s="1"/>
  <c r="D32" i="43"/>
  <c r="E32" i="43"/>
  <c r="F32" i="43"/>
  <c r="K34" i="43"/>
  <c r="L34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V7" i="4" s="1"/>
  <c r="W7" i="4" s="1"/>
  <c r="D14" i="4"/>
  <c r="E14" i="4"/>
  <c r="F14" i="4"/>
  <c r="C23" i="4"/>
  <c r="D23" i="4"/>
  <c r="E23" i="4"/>
  <c r="F23" i="4"/>
  <c r="C32" i="4"/>
  <c r="V24" i="4" s="1"/>
  <c r="W24" i="4" s="1"/>
  <c r="D32" i="4"/>
  <c r="E32" i="4"/>
  <c r="F32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V24" i="37"/>
  <c r="W24" i="37" s="1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V7" i="6"/>
  <c r="W7" i="6" s="1"/>
  <c r="V15" i="6"/>
  <c r="W15" i="6" s="1"/>
  <c r="V24" i="6"/>
  <c r="W24" i="6" s="1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I44" i="7"/>
  <c r="C45" i="7"/>
  <c r="C46" i="7"/>
  <c r="C47" i="7"/>
  <c r="C48" i="7"/>
  <c r="C49" i="7"/>
  <c r="C50" i="7"/>
  <c r="C51" i="7"/>
  <c r="H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3" i="11"/>
  <c r="C44" i="11"/>
  <c r="I44" i="11"/>
  <c r="C45" i="11"/>
  <c r="C46" i="11"/>
  <c r="C47" i="11"/>
  <c r="C48" i="11"/>
  <c r="C49" i="11"/>
  <c r="C50" i="11"/>
  <c r="C51" i="11"/>
  <c r="H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V7" i="13"/>
  <c r="W7" i="13" s="1"/>
  <c r="V15" i="13"/>
  <c r="W15" i="13" s="1"/>
  <c r="V24" i="13"/>
  <c r="W24" i="13" s="1"/>
  <c r="L34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C51" i="16"/>
  <c r="H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H4" i="18"/>
  <c r="K34" i="18"/>
  <c r="L34" i="18"/>
  <c r="C38" i="18"/>
  <c r="C39" i="18"/>
  <c r="C40" i="18"/>
  <c r="C41" i="18"/>
  <c r="C42" i="18"/>
  <c r="C44" i="18"/>
  <c r="C45" i="18"/>
  <c r="C46" i="18"/>
  <c r="C47" i="18"/>
  <c r="C48" i="18"/>
  <c r="C49" i="18"/>
  <c r="C50" i="18"/>
  <c r="C51" i="18"/>
  <c r="H4" i="19"/>
  <c r="L34" i="19"/>
  <c r="C38" i="19"/>
  <c r="C39" i="19"/>
  <c r="C40" i="19"/>
  <c r="C41" i="19"/>
  <c r="C42" i="19"/>
  <c r="C44" i="19"/>
  <c r="I44" i="19"/>
  <c r="C45" i="19"/>
  <c r="C46" i="19"/>
  <c r="C47" i="19"/>
  <c r="C48" i="19"/>
  <c r="C49" i="19"/>
  <c r="C50" i="19"/>
  <c r="C51" i="19"/>
  <c r="H4" i="20"/>
  <c r="K34" i="20"/>
  <c r="L34" i="20"/>
  <c r="C38" i="20"/>
  <c r="C39" i="20"/>
  <c r="C40" i="20"/>
  <c r="C41" i="20"/>
  <c r="C42" i="20"/>
  <c r="C43" i="20"/>
  <c r="C44" i="20"/>
  <c r="I44" i="20"/>
  <c r="C45" i="20"/>
  <c r="C46" i="20"/>
  <c r="C47" i="20"/>
  <c r="C48" i="20"/>
  <c r="C49" i="20"/>
  <c r="C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1" i="24"/>
  <c r="C42" i="24"/>
  <c r="C43" i="24"/>
  <c r="C44" i="24"/>
  <c r="C45" i="24"/>
  <c r="C46" i="24"/>
  <c r="C47" i="24"/>
  <c r="C48" i="24"/>
  <c r="C49" i="24"/>
  <c r="C50" i="24"/>
  <c r="C51" i="24"/>
  <c r="H4" i="25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C51" i="26"/>
  <c r="H4" i="28"/>
  <c r="L34" i="28"/>
  <c r="C38" i="28"/>
  <c r="C39" i="28"/>
  <c r="C40" i="28"/>
  <c r="C41" i="28"/>
  <c r="C42" i="28"/>
  <c r="C43" i="28"/>
  <c r="C44" i="28"/>
  <c r="I44" i="28"/>
  <c r="C45" i="28"/>
  <c r="C46" i="28"/>
  <c r="C47" i="28"/>
  <c r="C48" i="28"/>
  <c r="C49" i="28"/>
  <c r="C50" i="28"/>
  <c r="C51" i="28"/>
  <c r="H4" i="27"/>
  <c r="L34" i="27"/>
  <c r="C38" i="27"/>
  <c r="C39" i="27"/>
  <c r="C40" i="27"/>
  <c r="C41" i="27"/>
  <c r="C42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4" i="29"/>
  <c r="C45" i="29"/>
  <c r="C46" i="29"/>
  <c r="C47" i="29"/>
  <c r="C48" i="29"/>
  <c r="C49" i="29"/>
  <c r="C50" i="29"/>
  <c r="C51" i="29"/>
  <c r="H4" i="30"/>
  <c r="L34" i="30"/>
  <c r="C39" i="30"/>
  <c r="C40" i="30"/>
  <c r="C41" i="30"/>
  <c r="C42" i="30"/>
  <c r="C44" i="30"/>
  <c r="C45" i="30"/>
  <c r="C47" i="30"/>
  <c r="C48" i="30"/>
  <c r="C49" i="30"/>
  <c r="C50" i="30"/>
  <c r="C51" i="30"/>
  <c r="H4" i="31"/>
  <c r="L34" i="31"/>
  <c r="C39" i="31"/>
  <c r="C40" i="31"/>
  <c r="C41" i="31"/>
  <c r="C42" i="31"/>
  <c r="C43" i="31"/>
  <c r="C44" i="31"/>
  <c r="I44" i="31"/>
  <c r="C45" i="31"/>
  <c r="C46" i="31"/>
  <c r="C47" i="31"/>
  <c r="C48" i="31"/>
  <c r="C49" i="31"/>
  <c r="C50" i="31"/>
  <c r="C51" i="31"/>
  <c r="H4" i="32"/>
  <c r="J7" i="32"/>
  <c r="J7" i="31" s="1"/>
  <c r="J8" i="32"/>
  <c r="J8" i="31" s="1"/>
  <c r="J9" i="32"/>
  <c r="J9" i="31" s="1"/>
  <c r="J10" i="32"/>
  <c r="J10" i="31" s="1"/>
  <c r="J11" i="32"/>
  <c r="J11" i="31" s="1"/>
  <c r="J12" i="32"/>
  <c r="J12" i="31" s="1"/>
  <c r="J13" i="32"/>
  <c r="J13" i="31" s="1"/>
  <c r="J14" i="32"/>
  <c r="J14" i="31" s="1"/>
  <c r="J15" i="32"/>
  <c r="J15" i="31" s="1"/>
  <c r="J16" i="32"/>
  <c r="J16" i="31" s="1"/>
  <c r="J17" i="32"/>
  <c r="J17" i="31" s="1"/>
  <c r="J18" i="32"/>
  <c r="J18" i="31" s="1"/>
  <c r="J19" i="32"/>
  <c r="J19" i="31" s="1"/>
  <c r="J20" i="32"/>
  <c r="J20" i="31" s="1"/>
  <c r="J21" i="32"/>
  <c r="J21" i="31" s="1"/>
  <c r="J22" i="32"/>
  <c r="J22" i="31" s="1"/>
  <c r="J23" i="32"/>
  <c r="J23" i="31" s="1"/>
  <c r="J24" i="32"/>
  <c r="J25" i="32"/>
  <c r="J26" i="32"/>
  <c r="J27" i="32"/>
  <c r="J28" i="32"/>
  <c r="J29" i="32"/>
  <c r="J30" i="32"/>
  <c r="J31" i="32"/>
  <c r="J32" i="32"/>
  <c r="L34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9" i="30" s="1"/>
  <c r="M9" i="29" s="1"/>
  <c r="M9" i="27" s="1"/>
  <c r="M9" i="28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F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C42" i="33"/>
  <c r="D42" i="33" s="1"/>
  <c r="E42" i="33" s="1"/>
  <c r="D43" i="33"/>
  <c r="C44" i="33"/>
  <c r="D44" i="33" s="1"/>
  <c r="C45" i="33"/>
  <c r="D45" i="33" s="1"/>
  <c r="C46" i="33"/>
  <c r="D46" i="33" s="1"/>
  <c r="C47" i="33"/>
  <c r="D47" i="33" s="1"/>
  <c r="C48" i="33"/>
  <c r="D48" i="33" s="1"/>
  <c r="E48" i="33" s="1"/>
  <c r="C49" i="33"/>
  <c r="D49" i="33" s="1"/>
  <c r="C50" i="33"/>
  <c r="D50" i="33" s="1"/>
  <c r="C51" i="33"/>
  <c r="D51" i="33" s="1"/>
  <c r="A4" i="47"/>
  <c r="A10" i="2" s="1"/>
  <c r="J46" i="33"/>
  <c r="I47" i="32"/>
  <c r="AF11" i="48"/>
  <c r="I47" i="27"/>
  <c r="AF15" i="48"/>
  <c r="AF16" i="48"/>
  <c r="AF17" i="48"/>
  <c r="AF19" i="48"/>
  <c r="I47" i="21"/>
  <c r="AF21" i="48"/>
  <c r="AH21" i="48" s="1"/>
  <c r="AF24" i="48"/>
  <c r="I47" i="17"/>
  <c r="I47" i="16"/>
  <c r="I47" i="15"/>
  <c r="AF29" i="48"/>
  <c r="AH29" i="48" s="1"/>
  <c r="AF30" i="48"/>
  <c r="AH30" i="48" s="1"/>
  <c r="AF33" i="48"/>
  <c r="AH33" i="48" s="1"/>
  <c r="I47" i="43"/>
  <c r="I50" i="37"/>
  <c r="I50" i="43"/>
  <c r="AF18" i="48"/>
  <c r="Z41" i="48"/>
  <c r="I44" i="33"/>
  <c r="AB21" i="48"/>
  <c r="H21" i="48"/>
  <c r="H29" i="48"/>
  <c r="AB37" i="48"/>
  <c r="G37" i="48"/>
  <c r="G29" i="48"/>
  <c r="H37" i="48"/>
  <c r="E28" i="48"/>
  <c r="G21" i="48"/>
  <c r="E18" i="48"/>
  <c r="E15" i="48"/>
  <c r="AF36" i="48"/>
  <c r="AF34" i="48"/>
  <c r="E30" i="48"/>
  <c r="AB14" i="48" l="1"/>
  <c r="F18" i="48"/>
  <c r="AH24" i="48"/>
  <c r="AB23" i="48"/>
  <c r="AB9" i="48"/>
  <c r="G31" i="48"/>
  <c r="G15" i="48"/>
  <c r="AB15" i="48"/>
  <c r="AB33" i="48"/>
  <c r="AH17" i="48"/>
  <c r="AH16" i="48"/>
  <c r="I40" i="10"/>
  <c r="C24" i="4"/>
  <c r="H39" i="48"/>
  <c r="AB39" i="48"/>
  <c r="F34" i="43"/>
  <c r="J31" i="31"/>
  <c r="J31" i="30" s="1"/>
  <c r="J31" i="29" s="1"/>
  <c r="J30" i="31"/>
  <c r="J30" i="30" s="1"/>
  <c r="J28" i="31"/>
  <c r="J28" i="30" s="1"/>
  <c r="J27" i="31"/>
  <c r="J27" i="30" s="1"/>
  <c r="J26" i="31"/>
  <c r="J26" i="30" s="1"/>
  <c r="J25" i="31"/>
  <c r="J25" i="30" s="1"/>
  <c r="J29" i="31"/>
  <c r="J29" i="30" s="1"/>
  <c r="J32" i="31"/>
  <c r="J32" i="30" s="1"/>
  <c r="J32" i="29" s="1"/>
  <c r="J24" i="31"/>
  <c r="J24" i="30" s="1"/>
  <c r="AB17" i="48"/>
  <c r="F30" i="48"/>
  <c r="E36" i="48"/>
  <c r="C34" i="4"/>
  <c r="AB32" i="48"/>
  <c r="E33" i="43"/>
  <c r="N12" i="45"/>
  <c r="F12" i="45"/>
  <c r="J12" i="45"/>
  <c r="Q12" i="45"/>
  <c r="N13" i="45"/>
  <c r="J13" i="45"/>
  <c r="F13" i="45"/>
  <c r="Q13" i="45"/>
  <c r="E46" i="33"/>
  <c r="F10" i="45"/>
  <c r="N10" i="45"/>
  <c r="J10" i="45"/>
  <c r="Q10" i="45"/>
  <c r="F11" i="45"/>
  <c r="J11" i="45"/>
  <c r="N11" i="45"/>
  <c r="Q11" i="45"/>
  <c r="F13" i="48"/>
  <c r="F9" i="45"/>
  <c r="J9" i="45"/>
  <c r="N9" i="45"/>
  <c r="Q9" i="45"/>
  <c r="F17" i="48"/>
  <c r="D11" i="1"/>
  <c r="D12" i="2" s="1"/>
  <c r="B18" i="45"/>
  <c r="Q18" i="45" s="1"/>
  <c r="D19" i="1"/>
  <c r="B26" i="45"/>
  <c r="Q26" i="45" s="1"/>
  <c r="D27" i="1"/>
  <c r="B34" i="45"/>
  <c r="Q34" i="45" s="1"/>
  <c r="D35" i="1"/>
  <c r="D12" i="1"/>
  <c r="D13" i="2" s="1"/>
  <c r="B19" i="45"/>
  <c r="Q19" i="45" s="1"/>
  <c r="D20" i="1"/>
  <c r="B27" i="45"/>
  <c r="Q27" i="45" s="1"/>
  <c r="D28" i="1"/>
  <c r="B35" i="45"/>
  <c r="Q35" i="45" s="1"/>
  <c r="D36" i="1"/>
  <c r="B33" i="45"/>
  <c r="Q33" i="45" s="1"/>
  <c r="D34" i="1"/>
  <c r="D13" i="1"/>
  <c r="B20" i="45"/>
  <c r="Q20" i="45" s="1"/>
  <c r="D21" i="1"/>
  <c r="B28" i="45"/>
  <c r="Q28" i="45" s="1"/>
  <c r="D29" i="1"/>
  <c r="B36" i="45"/>
  <c r="Q36" i="45" s="1"/>
  <c r="D37" i="1"/>
  <c r="D10" i="1"/>
  <c r="B8" i="45"/>
  <c r="Q8" i="45" s="1"/>
  <c r="D9" i="1"/>
  <c r="D14" i="1"/>
  <c r="B21" i="45"/>
  <c r="Q21" i="45" s="1"/>
  <c r="D22" i="1"/>
  <c r="B29" i="45"/>
  <c r="Q29" i="45" s="1"/>
  <c r="D30" i="1"/>
  <c r="F12" i="48"/>
  <c r="B25" i="45"/>
  <c r="Q25" i="45" s="1"/>
  <c r="D26" i="1"/>
  <c r="D24" i="4"/>
  <c r="B14" i="45"/>
  <c r="Q14" i="45" s="1"/>
  <c r="D15" i="1"/>
  <c r="B22" i="45"/>
  <c r="Q22" i="45" s="1"/>
  <c r="D23" i="1"/>
  <c r="B30" i="45"/>
  <c r="Q30" i="45" s="1"/>
  <c r="D31" i="1"/>
  <c r="B15" i="45"/>
  <c r="Q15" i="45" s="1"/>
  <c r="D16" i="1"/>
  <c r="B23" i="45"/>
  <c r="Q23" i="45" s="1"/>
  <c r="D24" i="1"/>
  <c r="B31" i="45"/>
  <c r="Q31" i="45" s="1"/>
  <c r="D32" i="1"/>
  <c r="B17" i="45"/>
  <c r="Q17" i="45" s="1"/>
  <c r="D18" i="1"/>
  <c r="B16" i="45"/>
  <c r="Q16" i="45" s="1"/>
  <c r="D17" i="1"/>
  <c r="B24" i="45"/>
  <c r="Q24" i="45" s="1"/>
  <c r="D25" i="1"/>
  <c r="B32" i="45"/>
  <c r="Q32" i="45" s="1"/>
  <c r="D33" i="1"/>
  <c r="N36" i="45"/>
  <c r="F36" i="45"/>
  <c r="AB35" i="48"/>
  <c r="AB11" i="48"/>
  <c r="K34" i="6"/>
  <c r="I40" i="6" s="1"/>
  <c r="I48" i="6" s="1"/>
  <c r="G19" i="48"/>
  <c r="AB19" i="48"/>
  <c r="AH19" i="48"/>
  <c r="K34" i="8"/>
  <c r="H18" i="48"/>
  <c r="AH34" i="48"/>
  <c r="AB34" i="48"/>
  <c r="AB27" i="48"/>
  <c r="C52" i="37"/>
  <c r="C53" i="37" s="1"/>
  <c r="C33" i="4"/>
  <c r="D34" i="4"/>
  <c r="H27" i="48"/>
  <c r="G27" i="48"/>
  <c r="G11" i="48"/>
  <c r="G35" i="48"/>
  <c r="K34" i="17"/>
  <c r="E33" i="4"/>
  <c r="AB28" i="48"/>
  <c r="AB24" i="48"/>
  <c r="E23" i="48"/>
  <c r="F23" i="48" s="1"/>
  <c r="I40" i="22"/>
  <c r="R21" i="48" s="1"/>
  <c r="E21" i="1" s="1"/>
  <c r="C33" i="43"/>
  <c r="M9" i="26"/>
  <c r="J22" i="30"/>
  <c r="J14" i="30"/>
  <c r="J9" i="30"/>
  <c r="J21" i="30"/>
  <c r="J8" i="30"/>
  <c r="J20" i="30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23" i="30"/>
  <c r="J19" i="30"/>
  <c r="J18" i="30"/>
  <c r="J13" i="30"/>
  <c r="J17" i="30"/>
  <c r="J12" i="30"/>
  <c r="J16" i="30"/>
  <c r="J11" i="30"/>
  <c r="J15" i="30"/>
  <c r="J10" i="30"/>
  <c r="AB13" i="48"/>
  <c r="H13" i="48"/>
  <c r="G13" i="48"/>
  <c r="D15" i="33"/>
  <c r="C52" i="6"/>
  <c r="C53" i="6" s="1"/>
  <c r="F34" i="4"/>
  <c r="F29" i="48"/>
  <c r="C52" i="13"/>
  <c r="C53" i="13" s="1"/>
  <c r="C52" i="9"/>
  <c r="C53" i="9" s="1"/>
  <c r="E24" i="33"/>
  <c r="C34" i="43"/>
  <c r="H28" i="48"/>
  <c r="E15" i="43"/>
  <c r="J57" i="23"/>
  <c r="G20" i="48"/>
  <c r="D24" i="43"/>
  <c r="E24" i="43"/>
  <c r="C24" i="43"/>
  <c r="D15" i="43"/>
  <c r="I40" i="43"/>
  <c r="E34" i="4"/>
  <c r="E15" i="33"/>
  <c r="D33" i="4"/>
  <c r="B37" i="45"/>
  <c r="B38" i="45"/>
  <c r="Q38" i="45" s="1"/>
  <c r="E34" i="33"/>
  <c r="J57" i="33" s="1"/>
  <c r="AB25" i="48"/>
  <c r="C24" i="33"/>
  <c r="F34" i="45"/>
  <c r="D24" i="33"/>
  <c r="B27" i="2"/>
  <c r="B29" i="2"/>
  <c r="B25" i="2"/>
  <c r="AH36" i="48"/>
  <c r="V37" i="48"/>
  <c r="B28" i="2"/>
  <c r="B14" i="2"/>
  <c r="AB10" i="48"/>
  <c r="F32" i="48"/>
  <c r="C52" i="7"/>
  <c r="C53" i="7" s="1"/>
  <c r="H31" i="48"/>
  <c r="R32" i="48"/>
  <c r="E33" i="48"/>
  <c r="C52" i="10"/>
  <c r="C53" i="10" s="1"/>
  <c r="C52" i="11"/>
  <c r="C53" i="11" s="1"/>
  <c r="I47" i="18"/>
  <c r="G30" i="48"/>
  <c r="C52" i="14"/>
  <c r="C53" i="14" s="1"/>
  <c r="E27" i="48"/>
  <c r="C52" i="15"/>
  <c r="C53" i="15" s="1"/>
  <c r="AB26" i="48"/>
  <c r="I47" i="24"/>
  <c r="I40" i="18"/>
  <c r="R24" i="48" s="1"/>
  <c r="F25" i="48"/>
  <c r="H25" i="48"/>
  <c r="G25" i="48"/>
  <c r="C52" i="17"/>
  <c r="C53" i="17" s="1"/>
  <c r="I47" i="26"/>
  <c r="C52" i="19"/>
  <c r="C53" i="19" s="1"/>
  <c r="C52" i="20"/>
  <c r="C53" i="20" s="1"/>
  <c r="H22" i="48"/>
  <c r="G22" i="48"/>
  <c r="I47" i="25"/>
  <c r="K34" i="21"/>
  <c r="C52" i="21"/>
  <c r="C53" i="21" s="1"/>
  <c r="C52" i="23"/>
  <c r="C53" i="23" s="1"/>
  <c r="I47" i="28"/>
  <c r="AH18" i="48"/>
  <c r="I47" i="33"/>
  <c r="G16" i="48"/>
  <c r="C52" i="26"/>
  <c r="C53" i="26" s="1"/>
  <c r="C52" i="28"/>
  <c r="C53" i="28" s="1"/>
  <c r="AF9" i="48"/>
  <c r="AG9" i="48" s="1"/>
  <c r="C52" i="27"/>
  <c r="C53" i="27" s="1"/>
  <c r="AF10" i="48"/>
  <c r="AH10" i="48" s="1"/>
  <c r="C34" i="33"/>
  <c r="K7" i="33" s="1"/>
  <c r="W6" i="57" s="1"/>
  <c r="G10" i="48"/>
  <c r="E33" i="33"/>
  <c r="C52" i="29"/>
  <c r="C53" i="29" s="1"/>
  <c r="AF13" i="48"/>
  <c r="AH13" i="48" s="1"/>
  <c r="C15" i="33"/>
  <c r="J38" i="31"/>
  <c r="J47" i="33"/>
  <c r="D51" i="32"/>
  <c r="D51" i="31" s="1"/>
  <c r="D49" i="32"/>
  <c r="D49" i="31" s="1"/>
  <c r="E49" i="31" s="1"/>
  <c r="D47" i="32"/>
  <c r="E47" i="32" s="1"/>
  <c r="D45" i="32"/>
  <c r="E49" i="33"/>
  <c r="H10" i="48"/>
  <c r="C52" i="31"/>
  <c r="C53" i="31" s="1"/>
  <c r="J46" i="32"/>
  <c r="J47" i="32" s="1"/>
  <c r="D44" i="32"/>
  <c r="E44" i="32" s="1"/>
  <c r="D40" i="32"/>
  <c r="D34" i="33"/>
  <c r="C33" i="33"/>
  <c r="C52" i="32"/>
  <c r="C53" i="32" s="1"/>
  <c r="F15" i="48"/>
  <c r="F36" i="48"/>
  <c r="C52" i="22"/>
  <c r="C53" i="22" s="1"/>
  <c r="C52" i="18"/>
  <c r="C53" i="18" s="1"/>
  <c r="C52" i="16"/>
  <c r="C53" i="16" s="1"/>
  <c r="C52" i="12"/>
  <c r="C53" i="12" s="1"/>
  <c r="C52" i="8"/>
  <c r="C53" i="8" s="1"/>
  <c r="V15" i="37"/>
  <c r="W15" i="37" s="1"/>
  <c r="V7" i="37"/>
  <c r="W7" i="37" s="1"/>
  <c r="C52" i="4"/>
  <c r="C53" i="4" s="1"/>
  <c r="E24" i="4"/>
  <c r="E15" i="4"/>
  <c r="D15" i="4"/>
  <c r="C52" i="43"/>
  <c r="C53" i="43" s="1"/>
  <c r="E16" i="48"/>
  <c r="AB12" i="48"/>
  <c r="G12" i="48"/>
  <c r="G14" i="48"/>
  <c r="H14" i="48"/>
  <c r="AB18" i="48"/>
  <c r="G18" i="48"/>
  <c r="AB20" i="48"/>
  <c r="H20" i="48"/>
  <c r="AB22" i="48"/>
  <c r="G28" i="48"/>
  <c r="H30" i="48"/>
  <c r="H34" i="48"/>
  <c r="G34" i="48"/>
  <c r="V36" i="48"/>
  <c r="AB36" i="48"/>
  <c r="V38" i="48"/>
  <c r="AB38" i="48"/>
  <c r="G38" i="48"/>
  <c r="H38" i="48"/>
  <c r="J44" i="33"/>
  <c r="J43" i="32"/>
  <c r="I44" i="18"/>
  <c r="I45" i="10"/>
  <c r="I44" i="4"/>
  <c r="C52" i="25"/>
  <c r="C53" i="25" s="1"/>
  <c r="C52" i="30"/>
  <c r="C53" i="30" s="1"/>
  <c r="C52" i="24"/>
  <c r="C53" i="24" s="1"/>
  <c r="D43" i="32"/>
  <c r="D43" i="31" s="1"/>
  <c r="D41" i="32"/>
  <c r="E41" i="32" s="1"/>
  <c r="F34" i="33"/>
  <c r="D33" i="33"/>
  <c r="I40" i="20"/>
  <c r="I48" i="20" s="1"/>
  <c r="E34" i="43"/>
  <c r="C15" i="43"/>
  <c r="V39" i="48"/>
  <c r="G39" i="48"/>
  <c r="E21" i="48"/>
  <c r="E22" i="48"/>
  <c r="E24" i="48"/>
  <c r="E39" i="48"/>
  <c r="I40" i="4"/>
  <c r="I48" i="4" s="1"/>
  <c r="C15" i="4"/>
  <c r="V15" i="4"/>
  <c r="W15" i="4" s="1"/>
  <c r="D33" i="43"/>
  <c r="D34" i="43"/>
  <c r="E20" i="48"/>
  <c r="E9" i="48"/>
  <c r="J37" i="33"/>
  <c r="E38" i="33"/>
  <c r="D38" i="32"/>
  <c r="E38" i="32" s="1"/>
  <c r="P41" i="48"/>
  <c r="E41" i="33"/>
  <c r="E45" i="33"/>
  <c r="D39" i="32"/>
  <c r="E39" i="32" s="1"/>
  <c r="E43" i="33"/>
  <c r="E47" i="33"/>
  <c r="E44" i="33"/>
  <c r="C52" i="33"/>
  <c r="C53" i="33" s="1"/>
  <c r="E50" i="33"/>
  <c r="D50" i="32"/>
  <c r="E40" i="33"/>
  <c r="D48" i="32"/>
  <c r="E48" i="32" s="1"/>
  <c r="D52" i="33"/>
  <c r="D53" i="33" s="1"/>
  <c r="D42" i="32"/>
  <c r="D46" i="32"/>
  <c r="E51" i="33"/>
  <c r="A11" i="2"/>
  <c r="M20" i="11"/>
  <c r="M20" i="10" s="1"/>
  <c r="M20" i="9" s="1"/>
  <c r="M20" i="8" s="1"/>
  <c r="M20" i="7" s="1"/>
  <c r="M20" i="6" s="1"/>
  <c r="M20" i="37" s="1"/>
  <c r="M20" i="4" s="1"/>
  <c r="M20" i="43" s="1"/>
  <c r="E10" i="48"/>
  <c r="E11" i="48"/>
  <c r="E14" i="48"/>
  <c r="E19" i="48"/>
  <c r="E26" i="48"/>
  <c r="E34" i="48"/>
  <c r="E37" i="48"/>
  <c r="E38" i="48"/>
  <c r="E31" i="48"/>
  <c r="F35" i="48"/>
  <c r="G36" i="48"/>
  <c r="AH15" i="48"/>
  <c r="AB29" i="48"/>
  <c r="F28" i="48"/>
  <c r="H35" i="48"/>
  <c r="H33" i="48"/>
  <c r="H23" i="48"/>
  <c r="G26" i="48"/>
  <c r="H11" i="48"/>
  <c r="Q10" i="48"/>
  <c r="AC9" i="48"/>
  <c r="I47" i="4"/>
  <c r="AF38" i="48"/>
  <c r="I47" i="37"/>
  <c r="AF37" i="48"/>
  <c r="I47" i="6"/>
  <c r="AF35" i="48"/>
  <c r="I47" i="8"/>
  <c r="I47" i="9"/>
  <c r="AF32" i="48"/>
  <c r="I48" i="10"/>
  <c r="AF31" i="48"/>
  <c r="I47" i="12"/>
  <c r="I47" i="13"/>
  <c r="AF28" i="48"/>
  <c r="AF27" i="48"/>
  <c r="AF26" i="48"/>
  <c r="I47" i="19"/>
  <c r="AF23" i="48"/>
  <c r="AF22" i="48"/>
  <c r="I47" i="23"/>
  <c r="I47" i="30"/>
  <c r="AF12" i="48"/>
  <c r="AH12" i="48" s="1"/>
  <c r="H36" i="48"/>
  <c r="H32" i="48"/>
  <c r="H12" i="48"/>
  <c r="H17" i="48"/>
  <c r="G24" i="48"/>
  <c r="H24" i="48"/>
  <c r="I47" i="22"/>
  <c r="AF25" i="48"/>
  <c r="AF14" i="48"/>
  <c r="AF20" i="48"/>
  <c r="I47" i="20"/>
  <c r="I47" i="14"/>
  <c r="AF39" i="48"/>
  <c r="I47" i="10"/>
  <c r="I47" i="11"/>
  <c r="I47" i="7"/>
  <c r="AH11" i="48"/>
  <c r="I47" i="31"/>
  <c r="AB16" i="48"/>
  <c r="H16" i="48"/>
  <c r="H26" i="48"/>
  <c r="Z157" i="46" l="1"/>
  <c r="Z157" i="57"/>
  <c r="AA157" i="57" s="1"/>
  <c r="AB157" i="57" s="1"/>
  <c r="X6" i="57"/>
  <c r="AA6" i="57"/>
  <c r="AB6" i="57" s="1"/>
  <c r="Z152" i="46"/>
  <c r="Z152" i="57"/>
  <c r="AA152" i="57" s="1"/>
  <c r="AB152" i="57" s="1"/>
  <c r="D21" i="2"/>
  <c r="F21" i="45"/>
  <c r="F18" i="45"/>
  <c r="J19" i="45"/>
  <c r="D29" i="2"/>
  <c r="J31" i="27"/>
  <c r="J32" i="27"/>
  <c r="J28" i="45"/>
  <c r="N21" i="45"/>
  <c r="D16" i="2"/>
  <c r="D26" i="2"/>
  <c r="D25" i="2" s="1"/>
  <c r="N14" i="45"/>
  <c r="J21" i="45"/>
  <c r="F14" i="45"/>
  <c r="F26" i="45"/>
  <c r="N26" i="45"/>
  <c r="J14" i="45"/>
  <c r="J26" i="45"/>
  <c r="D23" i="2"/>
  <c r="F24" i="45"/>
  <c r="D28" i="2"/>
  <c r="J23" i="45"/>
  <c r="D11" i="2"/>
  <c r="J16" i="29"/>
  <c r="J20" i="29"/>
  <c r="J11" i="29"/>
  <c r="J12" i="29"/>
  <c r="J8" i="29"/>
  <c r="J29" i="29"/>
  <c r="J13" i="29"/>
  <c r="J9" i="29"/>
  <c r="J26" i="29"/>
  <c r="J21" i="29"/>
  <c r="J18" i="29"/>
  <c r="J14" i="29"/>
  <c r="J27" i="29"/>
  <c r="J17" i="29"/>
  <c r="J25" i="29"/>
  <c r="J10" i="29"/>
  <c r="J19" i="29"/>
  <c r="J22" i="29"/>
  <c r="J17" i="45"/>
  <c r="J28" i="29"/>
  <c r="J15" i="29"/>
  <c r="J23" i="29"/>
  <c r="J30" i="29"/>
  <c r="J24" i="29"/>
  <c r="D35" i="4"/>
  <c r="N19" i="45"/>
  <c r="F19" i="45"/>
  <c r="D22" i="2"/>
  <c r="N16" i="45"/>
  <c r="N15" i="45"/>
  <c r="J18" i="45"/>
  <c r="N20" i="45"/>
  <c r="W6" i="46"/>
  <c r="X6" i="46" s="1"/>
  <c r="J15" i="45"/>
  <c r="N18" i="45"/>
  <c r="D27" i="2"/>
  <c r="N17" i="45"/>
  <c r="J27" i="45"/>
  <c r="J30" i="45"/>
  <c r="D20" i="2"/>
  <c r="F17" i="45"/>
  <c r="F30" i="45"/>
  <c r="F33" i="45"/>
  <c r="N33" i="45"/>
  <c r="D24" i="2"/>
  <c r="D33" i="2"/>
  <c r="J33" i="45"/>
  <c r="N29" i="45"/>
  <c r="J36" i="45"/>
  <c r="D31" i="2"/>
  <c r="N23" i="45"/>
  <c r="N24" i="45"/>
  <c r="D32" i="2"/>
  <c r="J25" i="45"/>
  <c r="D38" i="2"/>
  <c r="J20" i="45"/>
  <c r="F22" i="45"/>
  <c r="F27" i="45"/>
  <c r="J29" i="45"/>
  <c r="J22" i="45"/>
  <c r="F31" i="45"/>
  <c r="D35" i="2"/>
  <c r="N22" i="45"/>
  <c r="J31" i="45"/>
  <c r="E45" i="32"/>
  <c r="F25" i="45"/>
  <c r="N31" i="45"/>
  <c r="D19" i="2"/>
  <c r="N25" i="45"/>
  <c r="F32" i="45"/>
  <c r="D10" i="2"/>
  <c r="F20" i="45"/>
  <c r="N27" i="45"/>
  <c r="J34" i="45"/>
  <c r="N28" i="45"/>
  <c r="J24" i="45"/>
  <c r="N35" i="45"/>
  <c r="F35" i="45"/>
  <c r="N34" i="45"/>
  <c r="F23" i="45"/>
  <c r="F28" i="45"/>
  <c r="M7" i="33"/>
  <c r="M34" i="33" s="1"/>
  <c r="J40" i="33" s="1"/>
  <c r="J48" i="33" s="1"/>
  <c r="N8" i="45"/>
  <c r="F8" i="45"/>
  <c r="J8" i="45"/>
  <c r="D39" i="2" s="1"/>
  <c r="D17" i="2"/>
  <c r="D30" i="2"/>
  <c r="D36" i="2"/>
  <c r="D41" i="1"/>
  <c r="C23" i="45"/>
  <c r="K23" i="45" s="1"/>
  <c r="E24" i="1"/>
  <c r="D37" i="2"/>
  <c r="D18" i="2"/>
  <c r="F16" i="45"/>
  <c r="N30" i="45"/>
  <c r="J35" i="45"/>
  <c r="D15" i="2"/>
  <c r="D40" i="2"/>
  <c r="Q37" i="45"/>
  <c r="J16" i="45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JB21" i="1"/>
  <c r="IA21" i="1"/>
  <c r="GZ21" i="1"/>
  <c r="FJ21" i="1"/>
  <c r="EI21" i="1"/>
  <c r="DH21" i="1"/>
  <c r="BR21" i="1"/>
  <c r="AQ21" i="1"/>
  <c r="P21" i="1"/>
  <c r="IM21" i="1"/>
  <c r="HL21" i="1"/>
  <c r="FV21" i="1"/>
  <c r="EU21" i="1"/>
  <c r="DT21" i="1"/>
  <c r="CD21" i="1"/>
  <c r="BC21" i="1"/>
  <c r="AB21" i="1"/>
  <c r="IY21" i="1"/>
  <c r="HX21" i="1"/>
  <c r="GH21" i="1"/>
  <c r="FG21" i="1"/>
  <c r="EF21" i="1"/>
  <c r="CP21" i="1"/>
  <c r="BO21" i="1"/>
  <c r="AN21" i="1"/>
  <c r="IJ21" i="1"/>
  <c r="GT21" i="1"/>
  <c r="FS21" i="1"/>
  <c r="ER21" i="1"/>
  <c r="DB21" i="1"/>
  <c r="CA21" i="1"/>
  <c r="AZ21" i="1"/>
  <c r="J21" i="1"/>
  <c r="IV21" i="1"/>
  <c r="HF21" i="1"/>
  <c r="GE21" i="1"/>
  <c r="FD21" i="1"/>
  <c r="DN21" i="1"/>
  <c r="CM21" i="1"/>
  <c r="BL21" i="1"/>
  <c r="V21" i="1"/>
  <c r="ID21" i="1"/>
  <c r="HC21" i="1"/>
  <c r="GB21" i="1"/>
  <c r="EL21" i="1"/>
  <c r="DK21" i="1"/>
  <c r="CJ21" i="1"/>
  <c r="AT21" i="1"/>
  <c r="S21" i="1"/>
  <c r="FP21" i="1"/>
  <c r="DZ21" i="1"/>
  <c r="AE21" i="1"/>
  <c r="IP21" i="1"/>
  <c r="G21" i="1"/>
  <c r="JH21" i="1"/>
  <c r="HR21" i="1"/>
  <c r="DW21" i="1"/>
  <c r="CY21" i="1"/>
  <c r="HO21" i="1"/>
  <c r="BX21" i="1"/>
  <c r="AH21" i="1"/>
  <c r="GQ21" i="1"/>
  <c r="EX21" i="1"/>
  <c r="GN21" i="1"/>
  <c r="BF21" i="1"/>
  <c r="CV21" i="1"/>
  <c r="F29" i="45"/>
  <c r="J32" i="45"/>
  <c r="C31" i="45"/>
  <c r="D34" i="2" s="1"/>
  <c r="E32" i="1"/>
  <c r="F15" i="45"/>
  <c r="N32" i="45"/>
  <c r="K34" i="37"/>
  <c r="I40" i="37" s="1"/>
  <c r="I48" i="37" s="1"/>
  <c r="J57" i="21"/>
  <c r="J57" i="22" s="1"/>
  <c r="J57" i="20" s="1"/>
  <c r="J57" i="19" s="1"/>
  <c r="J57" i="18" s="1"/>
  <c r="I40" i="8"/>
  <c r="K34" i="7"/>
  <c r="K34" i="9"/>
  <c r="I45" i="22"/>
  <c r="K34" i="12"/>
  <c r="K34" i="11"/>
  <c r="J57" i="32"/>
  <c r="J57" i="31" s="1"/>
  <c r="C35" i="13"/>
  <c r="I48" i="22"/>
  <c r="K34" i="16"/>
  <c r="K34" i="13"/>
  <c r="K34" i="14"/>
  <c r="I40" i="17"/>
  <c r="I48" i="17" s="1"/>
  <c r="K34" i="15"/>
  <c r="K34" i="19"/>
  <c r="C35" i="4"/>
  <c r="M9" i="25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I40" i="21"/>
  <c r="R20" i="48" s="1"/>
  <c r="E20" i="1" s="1"/>
  <c r="K34" i="23"/>
  <c r="BC21" i="48"/>
  <c r="C20" i="45"/>
  <c r="K34" i="24"/>
  <c r="E35" i="4"/>
  <c r="K34" i="25"/>
  <c r="K34" i="26"/>
  <c r="C35" i="25"/>
  <c r="K34" i="28"/>
  <c r="D40" i="31"/>
  <c r="D40" i="30" s="1"/>
  <c r="K34" i="29"/>
  <c r="K34" i="30"/>
  <c r="E35" i="37"/>
  <c r="BC24" i="48"/>
  <c r="BC32" i="48"/>
  <c r="C35" i="37"/>
  <c r="D35" i="37"/>
  <c r="I51" i="43"/>
  <c r="R39" i="48"/>
  <c r="I45" i="43"/>
  <c r="I48" i="43"/>
  <c r="I32" i="48"/>
  <c r="K7" i="32"/>
  <c r="W11" i="57" s="1"/>
  <c r="W164" i="57" s="1"/>
  <c r="I51" i="6"/>
  <c r="I45" i="6"/>
  <c r="R36" i="48"/>
  <c r="E36" i="1" s="1"/>
  <c r="F38" i="45"/>
  <c r="J38" i="45"/>
  <c r="N38" i="45"/>
  <c r="J37" i="45"/>
  <c r="N37" i="45"/>
  <c r="F37" i="45"/>
  <c r="B40" i="45"/>
  <c r="J32" i="48"/>
  <c r="AD32" i="48"/>
  <c r="AG10" i="48"/>
  <c r="AG11" i="48" s="1"/>
  <c r="AG12" i="48" s="1"/>
  <c r="AG13" i="48" s="1"/>
  <c r="AG14" i="48" s="1"/>
  <c r="AG15" i="48" s="1"/>
  <c r="AG16" i="48" s="1"/>
  <c r="AG17" i="48" s="1"/>
  <c r="AG18" i="48" s="1"/>
  <c r="AG19" i="48" s="1"/>
  <c r="AG20" i="48" s="1"/>
  <c r="AG21" i="48" s="1"/>
  <c r="AG22" i="48" s="1"/>
  <c r="AG23" i="48" s="1"/>
  <c r="AG24" i="48" s="1"/>
  <c r="AG25" i="48" s="1"/>
  <c r="AG26" i="48" s="1"/>
  <c r="AG27" i="48" s="1"/>
  <c r="AG28" i="48" s="1"/>
  <c r="AG29" i="48" s="1"/>
  <c r="AG30" i="48" s="1"/>
  <c r="AG31" i="48" s="1"/>
  <c r="AG32" i="48" s="1"/>
  <c r="AG33" i="48" s="1"/>
  <c r="AG34" i="48" s="1"/>
  <c r="AG35" i="48" s="1"/>
  <c r="AG36" i="48" s="1"/>
  <c r="AG37" i="48" s="1"/>
  <c r="AG38" i="48" s="1"/>
  <c r="AG39" i="48" s="1"/>
  <c r="J56" i="33"/>
  <c r="J56" i="32" s="1"/>
  <c r="J56" i="31" s="1"/>
  <c r="E35" i="33"/>
  <c r="D35" i="13"/>
  <c r="C35" i="32"/>
  <c r="E35" i="28"/>
  <c r="M10" i="2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J24" i="48"/>
  <c r="F33" i="48"/>
  <c r="F27" i="48"/>
  <c r="AJ24" i="48"/>
  <c r="I45" i="18"/>
  <c r="I48" i="18"/>
  <c r="AD24" i="48"/>
  <c r="I24" i="48"/>
  <c r="AD21" i="48"/>
  <c r="D35" i="25"/>
  <c r="E35" i="25"/>
  <c r="J46" i="31"/>
  <c r="J47" i="31" s="1"/>
  <c r="E35" i="32"/>
  <c r="J38" i="30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D47" i="31"/>
  <c r="D47" i="30" s="1"/>
  <c r="D47" i="29" s="1"/>
  <c r="D45" i="31"/>
  <c r="D45" i="30" s="1"/>
  <c r="E45" i="30" s="1"/>
  <c r="E49" i="32"/>
  <c r="D35" i="32"/>
  <c r="M8" i="32"/>
  <c r="C35" i="33"/>
  <c r="E51" i="32"/>
  <c r="D39" i="31"/>
  <c r="D39" i="30" s="1"/>
  <c r="E39" i="30" s="1"/>
  <c r="E40" i="32"/>
  <c r="D41" i="31"/>
  <c r="E41" i="31" s="1"/>
  <c r="D44" i="31"/>
  <c r="D44" i="30" s="1"/>
  <c r="D44" i="29" s="1"/>
  <c r="Z38" i="57" s="1"/>
  <c r="D49" i="30"/>
  <c r="D49" i="29" s="1"/>
  <c r="Z43" i="57" s="1"/>
  <c r="AA43" i="57" s="1"/>
  <c r="AB43" i="57" s="1"/>
  <c r="AB41" i="48"/>
  <c r="E43" i="32"/>
  <c r="D35" i="33"/>
  <c r="E43" i="31"/>
  <c r="D43" i="30"/>
  <c r="D43" i="29" s="1"/>
  <c r="E43" i="29" s="1"/>
  <c r="F24" i="48"/>
  <c r="F22" i="48"/>
  <c r="F21" i="48"/>
  <c r="R22" i="48"/>
  <c r="E22" i="1" s="1"/>
  <c r="D35" i="28"/>
  <c r="C35" i="29"/>
  <c r="D35" i="29"/>
  <c r="I45" i="20"/>
  <c r="F39" i="48"/>
  <c r="C35" i="28"/>
  <c r="I21" i="48"/>
  <c r="AJ21" i="48"/>
  <c r="J21" i="48"/>
  <c r="E35" i="29"/>
  <c r="F20" i="48"/>
  <c r="D35" i="43"/>
  <c r="C35" i="43"/>
  <c r="I51" i="4"/>
  <c r="R38" i="48"/>
  <c r="E38" i="1" s="1"/>
  <c r="E35" i="43"/>
  <c r="E35" i="13"/>
  <c r="I45" i="4"/>
  <c r="J44" i="32"/>
  <c r="J43" i="31"/>
  <c r="F16" i="48"/>
  <c r="D48" i="31"/>
  <c r="E48" i="31" s="1"/>
  <c r="D52" i="32"/>
  <c r="D38" i="31"/>
  <c r="D38" i="30" s="1"/>
  <c r="E50" i="32"/>
  <c r="D50" i="31"/>
  <c r="E52" i="33"/>
  <c r="E53" i="33" s="1"/>
  <c r="D42" i="31"/>
  <c r="E42" i="32"/>
  <c r="D46" i="31"/>
  <c r="E46" i="32"/>
  <c r="E51" i="31"/>
  <c r="D51" i="30"/>
  <c r="A12" i="2"/>
  <c r="F38" i="48"/>
  <c r="F34" i="48"/>
  <c r="F19" i="48"/>
  <c r="F14" i="48"/>
  <c r="F10" i="48"/>
  <c r="J39" i="33"/>
  <c r="J37" i="32"/>
  <c r="F31" i="48"/>
  <c r="F37" i="48"/>
  <c r="F26" i="48"/>
  <c r="F11" i="48"/>
  <c r="F9" i="48"/>
  <c r="AH39" i="48"/>
  <c r="AH14" i="48"/>
  <c r="AF41" i="48"/>
  <c r="AH26" i="48"/>
  <c r="AJ32" i="48"/>
  <c r="AH32" i="48"/>
  <c r="AH35" i="48"/>
  <c r="Q11" i="48"/>
  <c r="AC10" i="48"/>
  <c r="AH20" i="48"/>
  <c r="AH25" i="48"/>
  <c r="AH22" i="48"/>
  <c r="AH27" i="48"/>
  <c r="AH28" i="48"/>
  <c r="AH31" i="48"/>
  <c r="AH37" i="48"/>
  <c r="AH23" i="48"/>
  <c r="AH38" i="48"/>
  <c r="X169" i="57" l="1"/>
  <c r="X167" i="57"/>
  <c r="X164" i="57"/>
  <c r="O41" i="55" s="1"/>
  <c r="AA38" i="57"/>
  <c r="AB38" i="57" s="1"/>
  <c r="X11" i="57"/>
  <c r="AA11" i="57"/>
  <c r="AB11" i="57" s="1"/>
  <c r="Z43" i="46"/>
  <c r="AA43" i="46" s="1"/>
  <c r="AB43" i="46" s="1"/>
  <c r="Z38" i="46"/>
  <c r="AA38" i="46" s="1"/>
  <c r="AB38" i="46" s="1"/>
  <c r="J32" i="28"/>
  <c r="J32" i="26" s="1"/>
  <c r="J32" i="25" s="1"/>
  <c r="J31" i="28"/>
  <c r="J31" i="26" s="1"/>
  <c r="J31" i="25" s="1"/>
  <c r="J19" i="27"/>
  <c r="J26" i="27"/>
  <c r="J16" i="27"/>
  <c r="J22" i="27"/>
  <c r="J22" i="28" s="1"/>
  <c r="J24" i="27"/>
  <c r="J10" i="27"/>
  <c r="J9" i="27"/>
  <c r="J30" i="27"/>
  <c r="J30" i="28" s="1"/>
  <c r="J30" i="26" s="1"/>
  <c r="J30" i="25" s="1"/>
  <c r="J25" i="27"/>
  <c r="J13" i="27"/>
  <c r="J11" i="27"/>
  <c r="J21" i="27"/>
  <c r="J21" i="28" s="1"/>
  <c r="J21" i="26" s="1"/>
  <c r="J23" i="27"/>
  <c r="J17" i="27"/>
  <c r="J29" i="27"/>
  <c r="J18" i="27"/>
  <c r="J18" i="28" s="1"/>
  <c r="J20" i="27"/>
  <c r="J15" i="27"/>
  <c r="J27" i="27"/>
  <c r="J8" i="24"/>
  <c r="J8" i="23" s="1"/>
  <c r="J8" i="21" s="1"/>
  <c r="J8" i="22" s="1"/>
  <c r="J8" i="20" s="1"/>
  <c r="J8" i="19" s="1"/>
  <c r="J8" i="18" s="1"/>
  <c r="J8" i="17" s="1"/>
  <c r="J8" i="27"/>
  <c r="J28" i="27"/>
  <c r="J14" i="27"/>
  <c r="J12" i="27"/>
  <c r="W11" i="46"/>
  <c r="X11" i="46" s="1"/>
  <c r="G23" i="45"/>
  <c r="K31" i="45"/>
  <c r="K34" i="33"/>
  <c r="I40" i="33" s="1"/>
  <c r="R9" i="48" s="1"/>
  <c r="S9" i="48" s="1"/>
  <c r="BD9" i="48" s="1"/>
  <c r="R23" i="45"/>
  <c r="O23" i="45"/>
  <c r="O31" i="45"/>
  <c r="I45" i="37"/>
  <c r="R37" i="48"/>
  <c r="E37" i="1" s="1"/>
  <c r="HX32" i="1"/>
  <c r="DN32" i="1"/>
  <c r="CV32" i="1"/>
  <c r="CD32" i="1"/>
  <c r="ID32" i="1"/>
  <c r="HL32" i="1"/>
  <c r="GT32" i="1"/>
  <c r="AT32" i="1"/>
  <c r="AB32" i="1"/>
  <c r="J32" i="1"/>
  <c r="FJ32" i="1"/>
  <c r="ER32" i="1"/>
  <c r="DZ32" i="1"/>
  <c r="IP32" i="1"/>
  <c r="CP32" i="1"/>
  <c r="BX32" i="1"/>
  <c r="BF32" i="1"/>
  <c r="IS32" i="1"/>
  <c r="HF32" i="1"/>
  <c r="GN32" i="1"/>
  <c r="FV32" i="1"/>
  <c r="V32" i="1"/>
  <c r="JB32" i="1"/>
  <c r="IJ32" i="1"/>
  <c r="HR32" i="1"/>
  <c r="BR32" i="1"/>
  <c r="AZ32" i="1"/>
  <c r="AH32" i="1"/>
  <c r="DT32" i="1"/>
  <c r="EL32" i="1"/>
  <c r="EX32" i="1"/>
  <c r="FP32" i="1"/>
  <c r="DB32" i="1"/>
  <c r="GH32" i="1"/>
  <c r="DH32" i="1"/>
  <c r="FD32" i="1"/>
  <c r="GZ32" i="1"/>
  <c r="AW32" i="1"/>
  <c r="EO32" i="1"/>
  <c r="IG32" i="1"/>
  <c r="BC32" i="1"/>
  <c r="EU32" i="1"/>
  <c r="IM32" i="1"/>
  <c r="IV32" i="1"/>
  <c r="AN32" i="1"/>
  <c r="CJ32" i="1"/>
  <c r="P32" i="1"/>
  <c r="GB32" i="1"/>
  <c r="BU32" i="1"/>
  <c r="FY32" i="1"/>
  <c r="JE32" i="1"/>
  <c r="AQ32" i="1"/>
  <c r="FG32" i="1"/>
  <c r="CG32" i="1"/>
  <c r="GK32" i="1"/>
  <c r="BO32" i="1"/>
  <c r="FS32" i="1"/>
  <c r="CS32" i="1"/>
  <c r="GW32" i="1"/>
  <c r="CA32" i="1"/>
  <c r="GE32" i="1"/>
  <c r="DE32" i="1"/>
  <c r="HI32" i="1"/>
  <c r="CM32" i="1"/>
  <c r="GQ32" i="1"/>
  <c r="EF32" i="1"/>
  <c r="M32" i="1"/>
  <c r="DQ32" i="1"/>
  <c r="HU32" i="1"/>
  <c r="CY32" i="1"/>
  <c r="HC32" i="1"/>
  <c r="BI32" i="1"/>
  <c r="S32" i="1"/>
  <c r="EC32" i="1"/>
  <c r="AE32" i="1"/>
  <c r="FA32" i="1"/>
  <c r="DK32" i="1"/>
  <c r="FM32" i="1"/>
  <c r="DW32" i="1"/>
  <c r="EI32" i="1"/>
  <c r="BL32" i="1"/>
  <c r="Y32" i="1"/>
  <c r="JH32" i="1"/>
  <c r="IA32" i="1"/>
  <c r="AK32" i="1"/>
  <c r="G32" i="1"/>
  <c r="IY32" i="1"/>
  <c r="HO32" i="1"/>
  <c r="HU24" i="1"/>
  <c r="GT24" i="1"/>
  <c r="FS24" i="1"/>
  <c r="EC24" i="1"/>
  <c r="DB24" i="1"/>
  <c r="CA24" i="1"/>
  <c r="IG24" i="1"/>
  <c r="HF24" i="1"/>
  <c r="GE24" i="1"/>
  <c r="EO24" i="1"/>
  <c r="DN24" i="1"/>
  <c r="CM24" i="1"/>
  <c r="AW24" i="1"/>
  <c r="AK24" i="1"/>
  <c r="Y24" i="1"/>
  <c r="M24" i="1"/>
  <c r="IS24" i="1"/>
  <c r="HR24" i="1"/>
  <c r="GQ24" i="1"/>
  <c r="FA24" i="1"/>
  <c r="DZ24" i="1"/>
  <c r="CY24" i="1"/>
  <c r="BI24" i="1"/>
  <c r="JE24" i="1"/>
  <c r="ID24" i="1"/>
  <c r="HC24" i="1"/>
  <c r="FM24" i="1"/>
  <c r="EL24" i="1"/>
  <c r="DK24" i="1"/>
  <c r="BU24" i="1"/>
  <c r="AT24" i="1"/>
  <c r="AH24" i="1"/>
  <c r="V24" i="1"/>
  <c r="J24" i="1"/>
  <c r="IP24" i="1"/>
  <c r="HO24" i="1"/>
  <c r="FY24" i="1"/>
  <c r="EX24" i="1"/>
  <c r="DW24" i="1"/>
  <c r="CG24" i="1"/>
  <c r="BF24" i="1"/>
  <c r="JB24" i="1"/>
  <c r="IA24" i="1"/>
  <c r="GK24" i="1"/>
  <c r="FJ24" i="1"/>
  <c r="EI24" i="1"/>
  <c r="CS24" i="1"/>
  <c r="BR24" i="1"/>
  <c r="AQ24" i="1"/>
  <c r="AE24" i="1"/>
  <c r="S24" i="1"/>
  <c r="G24" i="1"/>
  <c r="BO24" i="1"/>
  <c r="AB24" i="1"/>
  <c r="IM24" i="1"/>
  <c r="GW24" i="1"/>
  <c r="JH24" i="1"/>
  <c r="FG24" i="1"/>
  <c r="DQ24" i="1"/>
  <c r="CD24" i="1"/>
  <c r="AN24" i="1"/>
  <c r="IY24" i="1"/>
  <c r="HI24" i="1"/>
  <c r="FV24" i="1"/>
  <c r="EU24" i="1"/>
  <c r="P24" i="1"/>
  <c r="GH24" i="1"/>
  <c r="BC24" i="1"/>
  <c r="DE24" i="1"/>
  <c r="CP24" i="1"/>
  <c r="AZ24" i="1"/>
  <c r="ER24" i="1"/>
  <c r="IJ24" i="1"/>
  <c r="BL24" i="1"/>
  <c r="FD24" i="1"/>
  <c r="IV24" i="1"/>
  <c r="CJ24" i="1"/>
  <c r="GB24" i="1"/>
  <c r="CV24" i="1"/>
  <c r="HX24" i="1"/>
  <c r="DH24" i="1"/>
  <c r="DT24" i="1"/>
  <c r="EF24" i="1"/>
  <c r="FP24" i="1"/>
  <c r="GZ24" i="1"/>
  <c r="BX24" i="1"/>
  <c r="HL24" i="1"/>
  <c r="GN24" i="1"/>
  <c r="I51" i="37"/>
  <c r="G38" i="1"/>
  <c r="JB38" i="1"/>
  <c r="AW38" i="1"/>
  <c r="EO38" i="1"/>
  <c r="IG38" i="1"/>
  <c r="CJ38" i="1"/>
  <c r="GB38" i="1"/>
  <c r="CM38" i="1"/>
  <c r="GE38" i="1"/>
  <c r="BR38" i="1"/>
  <c r="FJ38" i="1"/>
  <c r="BU38" i="1"/>
  <c r="FM38" i="1"/>
  <c r="JE38" i="1"/>
  <c r="CG38" i="1"/>
  <c r="FY38" i="1"/>
  <c r="AB38" i="1"/>
  <c r="DT38" i="1"/>
  <c r="HL38" i="1"/>
  <c r="AK38" i="1"/>
  <c r="GW38" i="1"/>
  <c r="CV38" i="1"/>
  <c r="HX38" i="1"/>
  <c r="DK38" i="1"/>
  <c r="HO38" i="1"/>
  <c r="AT38" i="1"/>
  <c r="EX38" i="1"/>
  <c r="BI38" i="1"/>
  <c r="HI38" i="1"/>
  <c r="DH38" i="1"/>
  <c r="IJ38" i="1"/>
  <c r="S38" i="1"/>
  <c r="DW38" i="1"/>
  <c r="IA38" i="1"/>
  <c r="BF38" i="1"/>
  <c r="FV38" i="1"/>
  <c r="GH38" i="1"/>
  <c r="CS38" i="1"/>
  <c r="HU38" i="1"/>
  <c r="EF38" i="1"/>
  <c r="IV38" i="1"/>
  <c r="AE38" i="1"/>
  <c r="EI38" i="1"/>
  <c r="IM38" i="1"/>
  <c r="CD38" i="1"/>
  <c r="DE38" i="1"/>
  <c r="IS38" i="1"/>
  <c r="P38" i="1"/>
  <c r="ER38" i="1"/>
  <c r="EU38" i="1"/>
  <c r="CP38" i="1"/>
  <c r="GT38" i="1"/>
  <c r="JH38" i="1"/>
  <c r="AQ38" i="1"/>
  <c r="IY38" i="1"/>
  <c r="DQ38" i="1"/>
  <c r="AN38" i="1"/>
  <c r="FD38" i="1"/>
  <c r="BC38" i="1"/>
  <c r="FG38" i="1"/>
  <c r="DB38" i="1"/>
  <c r="HF38" i="1"/>
  <c r="M38" i="1"/>
  <c r="FA38" i="1"/>
  <c r="BL38" i="1"/>
  <c r="GN38" i="1"/>
  <c r="CA38" i="1"/>
  <c r="GQ38" i="1"/>
  <c r="V38" i="1"/>
  <c r="DZ38" i="1"/>
  <c r="ID38" i="1"/>
  <c r="Y38" i="1"/>
  <c r="GK38" i="1"/>
  <c r="BX38" i="1"/>
  <c r="GZ38" i="1"/>
  <c r="CY38" i="1"/>
  <c r="HC38" i="1"/>
  <c r="FP38" i="1"/>
  <c r="FS38" i="1"/>
  <c r="HR38" i="1"/>
  <c r="IP38" i="1"/>
  <c r="EC38" i="1"/>
  <c r="BO38" i="1"/>
  <c r="AZ38" i="1"/>
  <c r="J38" i="1"/>
  <c r="AH38" i="1"/>
  <c r="EL38" i="1"/>
  <c r="DN38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FS22" i="1"/>
  <c r="CA22" i="1"/>
  <c r="HC22" i="1"/>
  <c r="DK22" i="1"/>
  <c r="S22" i="1"/>
  <c r="IM22" i="1"/>
  <c r="EU22" i="1"/>
  <c r="BC22" i="1"/>
  <c r="GE22" i="1"/>
  <c r="CM22" i="1"/>
  <c r="HO22" i="1"/>
  <c r="DW22" i="1"/>
  <c r="AE22" i="1"/>
  <c r="GQ22" i="1"/>
  <c r="CY22" i="1"/>
  <c r="G22" i="1"/>
  <c r="IY22" i="1"/>
  <c r="IA22" i="1"/>
  <c r="FG22" i="1"/>
  <c r="BO22" i="1"/>
  <c r="EI22" i="1"/>
  <c r="AQ22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ID20" i="1"/>
  <c r="EL20" i="1"/>
  <c r="BX20" i="1"/>
  <c r="AW20" i="1"/>
  <c r="V20" i="1"/>
  <c r="FV20" i="1"/>
  <c r="CJ20" i="1"/>
  <c r="BI20" i="1"/>
  <c r="AH20" i="1"/>
  <c r="HF20" i="1"/>
  <c r="DN20" i="1"/>
  <c r="CV20" i="1"/>
  <c r="BU20" i="1"/>
  <c r="AT20" i="1"/>
  <c r="IP20" i="1"/>
  <c r="EX20" i="1"/>
  <c r="CG20" i="1"/>
  <c r="BF20" i="1"/>
  <c r="P20" i="1"/>
  <c r="GH20" i="1"/>
  <c r="CS20" i="1"/>
  <c r="BR20" i="1"/>
  <c r="AB20" i="1"/>
  <c r="JB20" i="1"/>
  <c r="FJ20" i="1"/>
  <c r="CP20" i="1"/>
  <c r="AZ20" i="1"/>
  <c r="Y20" i="1"/>
  <c r="DZ20" i="1"/>
  <c r="DB20" i="1"/>
  <c r="BL20" i="1"/>
  <c r="CD20" i="1"/>
  <c r="AN20" i="1"/>
  <c r="AK20" i="1"/>
  <c r="HR20" i="1"/>
  <c r="GT20" i="1"/>
  <c r="M20" i="1"/>
  <c r="J20" i="1"/>
  <c r="R31" i="45"/>
  <c r="GT36" i="1"/>
  <c r="AT36" i="1"/>
  <c r="AE36" i="1"/>
  <c r="HR36" i="1"/>
  <c r="FJ36" i="1"/>
  <c r="EL36" i="1"/>
  <c r="CD36" i="1"/>
  <c r="AQ36" i="1"/>
  <c r="JB36" i="1"/>
  <c r="Y36" i="1"/>
  <c r="J36" i="1"/>
  <c r="ID36" i="1"/>
  <c r="FV36" i="1"/>
  <c r="DN36" i="1"/>
  <c r="HF36" i="1"/>
  <c r="CP36" i="1"/>
  <c r="BR36" i="1"/>
  <c r="IY36" i="1"/>
  <c r="DZ36" i="1"/>
  <c r="V36" i="1"/>
  <c r="GH36" i="1"/>
  <c r="AK36" i="1"/>
  <c r="S36" i="1"/>
  <c r="BF36" i="1"/>
  <c r="G36" i="1"/>
  <c r="EX36" i="1"/>
  <c r="AH36" i="1"/>
  <c r="IP36" i="1"/>
  <c r="DB36" i="1"/>
  <c r="DE36" i="1"/>
  <c r="GW36" i="1"/>
  <c r="CV36" i="1"/>
  <c r="GN36" i="1"/>
  <c r="M36" i="1"/>
  <c r="DQ36" i="1"/>
  <c r="HI36" i="1"/>
  <c r="P36" i="1"/>
  <c r="DH36" i="1"/>
  <c r="GZ36" i="1"/>
  <c r="BO36" i="1"/>
  <c r="FG36" i="1"/>
  <c r="EC36" i="1"/>
  <c r="HU36" i="1"/>
  <c r="DT36" i="1"/>
  <c r="HL36" i="1"/>
  <c r="AW36" i="1"/>
  <c r="EO36" i="1"/>
  <c r="IG36" i="1"/>
  <c r="AN36" i="1"/>
  <c r="EF36" i="1"/>
  <c r="HX36" i="1"/>
  <c r="CM36" i="1"/>
  <c r="GE36" i="1"/>
  <c r="BI36" i="1"/>
  <c r="FA36" i="1"/>
  <c r="IS36" i="1"/>
  <c r="AZ36" i="1"/>
  <c r="ER36" i="1"/>
  <c r="IJ36" i="1"/>
  <c r="CY36" i="1"/>
  <c r="GQ36" i="1"/>
  <c r="BU36" i="1"/>
  <c r="IV36" i="1"/>
  <c r="FS36" i="1"/>
  <c r="CG36" i="1"/>
  <c r="AB36" i="1"/>
  <c r="JH36" i="1"/>
  <c r="HC36" i="1"/>
  <c r="CS36" i="1"/>
  <c r="BL36" i="1"/>
  <c r="BC36" i="1"/>
  <c r="HO36" i="1"/>
  <c r="FM36" i="1"/>
  <c r="BX36" i="1"/>
  <c r="CA36" i="1"/>
  <c r="IA36" i="1"/>
  <c r="FY36" i="1"/>
  <c r="CJ36" i="1"/>
  <c r="DK36" i="1"/>
  <c r="IM36" i="1"/>
  <c r="JE36" i="1"/>
  <c r="FP36" i="1"/>
  <c r="EI36" i="1"/>
  <c r="GB36" i="1"/>
  <c r="EU36" i="1"/>
  <c r="FD36" i="1"/>
  <c r="GK36" i="1"/>
  <c r="DW36" i="1"/>
  <c r="BC39" i="48"/>
  <c r="E39" i="1"/>
  <c r="G31" i="45"/>
  <c r="I40" i="9"/>
  <c r="I48" i="9" s="1"/>
  <c r="R34" i="48"/>
  <c r="E34" i="1" s="1"/>
  <c r="I45" i="8"/>
  <c r="I48" i="8"/>
  <c r="I40" i="7"/>
  <c r="BC36" i="48"/>
  <c r="C35" i="45"/>
  <c r="E40" i="31"/>
  <c r="I45" i="17"/>
  <c r="I48" i="21"/>
  <c r="R25" i="48"/>
  <c r="AD25" i="48" s="1"/>
  <c r="I45" i="21"/>
  <c r="I40" i="13"/>
  <c r="I40" i="12"/>
  <c r="AJ39" i="48"/>
  <c r="I40" i="11"/>
  <c r="I40" i="19"/>
  <c r="I40" i="16"/>
  <c r="I40" i="15"/>
  <c r="I40" i="14"/>
  <c r="K57" i="33"/>
  <c r="J45" i="33"/>
  <c r="J41" i="33"/>
  <c r="I40" i="24"/>
  <c r="R18" i="48" s="1"/>
  <c r="C17" i="45" s="1"/>
  <c r="I40" i="23"/>
  <c r="I40" i="25"/>
  <c r="K56" i="33"/>
  <c r="BC20" i="48"/>
  <c r="C19" i="45"/>
  <c r="BC22" i="48"/>
  <c r="C21" i="45"/>
  <c r="K20" i="45"/>
  <c r="O20" i="45"/>
  <c r="G20" i="45"/>
  <c r="R20" i="45"/>
  <c r="AD20" i="48"/>
  <c r="I40" i="26"/>
  <c r="K34" i="27"/>
  <c r="I40" i="28"/>
  <c r="I40" i="29"/>
  <c r="I40" i="30"/>
  <c r="K34" i="31"/>
  <c r="AA6" i="46"/>
  <c r="AB6" i="46" s="1"/>
  <c r="E25" i="2"/>
  <c r="BM25" i="2" s="1"/>
  <c r="E33" i="2"/>
  <c r="BM33" i="2" s="1"/>
  <c r="AJ38" i="48"/>
  <c r="BC38" i="48"/>
  <c r="I39" i="48"/>
  <c r="AD39" i="48"/>
  <c r="C38" i="45"/>
  <c r="X39" i="48"/>
  <c r="J39" i="48"/>
  <c r="M7" i="32"/>
  <c r="M7" i="31" s="1"/>
  <c r="M7" i="30" s="1"/>
  <c r="M7" i="29" s="1"/>
  <c r="M7" i="27" s="1"/>
  <c r="D53" i="32"/>
  <c r="J46" i="30"/>
  <c r="J46" i="29" s="1"/>
  <c r="K34" i="32"/>
  <c r="J40" i="45"/>
  <c r="N40" i="45"/>
  <c r="F40" i="45"/>
  <c r="Q40" i="45"/>
  <c r="AJ20" i="48"/>
  <c r="I36" i="48"/>
  <c r="AD36" i="48"/>
  <c r="AJ36" i="48"/>
  <c r="J36" i="48"/>
  <c r="X36" i="48"/>
  <c r="C37" i="45"/>
  <c r="E22" i="2"/>
  <c r="BM22" i="2" s="1"/>
  <c r="AJ22" i="48"/>
  <c r="I49" i="33"/>
  <c r="J20" i="48"/>
  <c r="I20" i="48"/>
  <c r="E45" i="31"/>
  <c r="D45" i="29"/>
  <c r="D45" i="27" s="1"/>
  <c r="E45" i="27" s="1"/>
  <c r="E47" i="31"/>
  <c r="E47" i="30"/>
  <c r="D39" i="29"/>
  <c r="M8" i="31"/>
  <c r="E39" i="31"/>
  <c r="E44" i="31"/>
  <c r="D43" i="27"/>
  <c r="E43" i="27" s="1"/>
  <c r="E43" i="30"/>
  <c r="D41" i="30"/>
  <c r="E41" i="30" s="1"/>
  <c r="E44" i="30"/>
  <c r="E49" i="30"/>
  <c r="D48" i="30"/>
  <c r="E48" i="30" s="1"/>
  <c r="J56" i="30"/>
  <c r="I38" i="48"/>
  <c r="J38" i="48"/>
  <c r="X38" i="48"/>
  <c r="AD38" i="48"/>
  <c r="J43" i="30"/>
  <c r="J44" i="31"/>
  <c r="I22" i="48"/>
  <c r="J22" i="48"/>
  <c r="AD22" i="48"/>
  <c r="L41" i="48"/>
  <c r="H41" i="48" s="1"/>
  <c r="E38" i="31"/>
  <c r="E38" i="30"/>
  <c r="D38" i="29"/>
  <c r="E50" i="31"/>
  <c r="D50" i="30"/>
  <c r="D47" i="27"/>
  <c r="E47" i="29"/>
  <c r="D42" i="30"/>
  <c r="E42" i="31"/>
  <c r="D52" i="31"/>
  <c r="D53" i="31" s="1"/>
  <c r="E46" i="31"/>
  <c r="D46" i="30"/>
  <c r="E52" i="32"/>
  <c r="E53" i="32" s="1"/>
  <c r="D44" i="27"/>
  <c r="E44" i="29"/>
  <c r="D40" i="29"/>
  <c r="E40" i="30"/>
  <c r="D51" i="29"/>
  <c r="E51" i="30"/>
  <c r="A13" i="2" s="1"/>
  <c r="J57" i="30"/>
  <c r="J37" i="31"/>
  <c r="J39" i="32"/>
  <c r="D49" i="27"/>
  <c r="E49" i="29"/>
  <c r="AH41" i="48"/>
  <c r="J57" i="17"/>
  <c r="AC11" i="48"/>
  <c r="Q12" i="48"/>
  <c r="I9" i="48" l="1"/>
  <c r="BC37" i="48"/>
  <c r="J37" i="48"/>
  <c r="J21" i="25"/>
  <c r="J21" i="24" s="1"/>
  <c r="J21" i="23" s="1"/>
  <c r="J21" i="21" s="1"/>
  <c r="J21" i="22" s="1"/>
  <c r="J21" i="20" s="1"/>
  <c r="J21" i="19" s="1"/>
  <c r="J21" i="18" s="1"/>
  <c r="J21" i="17" s="1"/>
  <c r="J21" i="16" s="1"/>
  <c r="J21" i="15" s="1"/>
  <c r="J21" i="14" s="1"/>
  <c r="J21" i="13" s="1"/>
  <c r="J21" i="12" s="1"/>
  <c r="J21" i="11" s="1"/>
  <c r="J21" i="10" s="1"/>
  <c r="AJ37" i="48"/>
  <c r="J18" i="26"/>
  <c r="J22" i="26"/>
  <c r="J30" i="24"/>
  <c r="J30" i="23" s="1"/>
  <c r="J30" i="21" s="1"/>
  <c r="J30" i="22" s="1"/>
  <c r="J30" i="20" s="1"/>
  <c r="J30" i="19" s="1"/>
  <c r="J30" i="18" s="1"/>
  <c r="J30" i="17" s="1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31" i="24"/>
  <c r="J31" i="23" s="1"/>
  <c r="J31" i="21" s="1"/>
  <c r="J31" i="22" s="1"/>
  <c r="J31" i="20" s="1"/>
  <c r="J31" i="19" s="1"/>
  <c r="J31" i="18" s="1"/>
  <c r="J31" i="17" s="1"/>
  <c r="J31" i="16" s="1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32" i="24"/>
  <c r="J32" i="23" s="1"/>
  <c r="J20" i="28"/>
  <c r="J11" i="28"/>
  <c r="J11" i="26" s="1"/>
  <c r="J11" i="24" s="1"/>
  <c r="J11" i="23" s="1"/>
  <c r="J11" i="21" s="1"/>
  <c r="J11" i="22" s="1"/>
  <c r="J11" i="20" s="1"/>
  <c r="J11" i="19" s="1"/>
  <c r="J11" i="18" s="1"/>
  <c r="J11" i="17" s="1"/>
  <c r="J11" i="16" s="1"/>
  <c r="J11" i="15" s="1"/>
  <c r="J11" i="14" s="1"/>
  <c r="J11" i="13" s="1"/>
  <c r="J11" i="12" s="1"/>
  <c r="J12" i="28"/>
  <c r="J12" i="26" s="1"/>
  <c r="J12" i="24" s="1"/>
  <c r="J12" i="23" s="1"/>
  <c r="J12" i="21" s="1"/>
  <c r="J12" i="22" s="1"/>
  <c r="J12" i="20" s="1"/>
  <c r="J12" i="19" s="1"/>
  <c r="J12" i="18" s="1"/>
  <c r="J12" i="17" s="1"/>
  <c r="J12" i="16" s="1"/>
  <c r="J12" i="15" s="1"/>
  <c r="J12" i="14" s="1"/>
  <c r="J12" i="13" s="1"/>
  <c r="J12" i="12" s="1"/>
  <c r="J13" i="28"/>
  <c r="J14" i="28"/>
  <c r="J25" i="28"/>
  <c r="J25" i="26" s="1"/>
  <c r="J25" i="25" s="1"/>
  <c r="J16" i="28"/>
  <c r="J16" i="26" s="1"/>
  <c r="J24" i="28"/>
  <c r="J24" i="26" s="1"/>
  <c r="J24" i="25" s="1"/>
  <c r="J28" i="28"/>
  <c r="J28" i="26" s="1"/>
  <c r="J28" i="25" s="1"/>
  <c r="J29" i="28"/>
  <c r="J29" i="26" s="1"/>
  <c r="J29" i="25" s="1"/>
  <c r="J26" i="28"/>
  <c r="J26" i="26" s="1"/>
  <c r="J26" i="25" s="1"/>
  <c r="J15" i="28"/>
  <c r="J17" i="28"/>
  <c r="J19" i="28"/>
  <c r="J19" i="26" s="1"/>
  <c r="J23" i="28"/>
  <c r="J23" i="26" s="1"/>
  <c r="J9" i="28"/>
  <c r="J9" i="24" s="1"/>
  <c r="J9" i="23" s="1"/>
  <c r="J9" i="21" s="1"/>
  <c r="J9" i="22" s="1"/>
  <c r="J9" i="20" s="1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J27" i="28"/>
  <c r="J27" i="26" s="1"/>
  <c r="J27" i="25" s="1"/>
  <c r="J10" i="24"/>
  <c r="J10" i="23" s="1"/>
  <c r="J10" i="21" s="1"/>
  <c r="J10" i="22" s="1"/>
  <c r="J10" i="20" s="1"/>
  <c r="J10" i="19" s="1"/>
  <c r="J10" i="18" s="1"/>
  <c r="J10" i="17" s="1"/>
  <c r="J10" i="16" s="1"/>
  <c r="J10" i="15" s="1"/>
  <c r="J10" i="14" s="1"/>
  <c r="J10" i="13" s="1"/>
  <c r="J10" i="12" s="1"/>
  <c r="J10" i="28"/>
  <c r="D39" i="27"/>
  <c r="E39" i="27" s="1"/>
  <c r="AA33" i="46"/>
  <c r="AB33" i="46" s="1"/>
  <c r="AA11" i="46"/>
  <c r="AB11" i="46" s="1"/>
  <c r="D14" i="2"/>
  <c r="D42" i="2" s="1"/>
  <c r="C8" i="45"/>
  <c r="O8" i="45" s="1"/>
  <c r="AD9" i="48"/>
  <c r="AJ9" i="48"/>
  <c r="E9" i="1"/>
  <c r="CV9" i="1" s="1"/>
  <c r="BC9" i="48"/>
  <c r="I48" i="33"/>
  <c r="I45" i="33"/>
  <c r="X37" i="48"/>
  <c r="AD37" i="48"/>
  <c r="I37" i="48"/>
  <c r="I45" i="9"/>
  <c r="C36" i="45"/>
  <c r="G36" i="45" s="1"/>
  <c r="AJ25" i="48"/>
  <c r="J25" i="48"/>
  <c r="I25" i="48"/>
  <c r="R33" i="48"/>
  <c r="E33" i="1" s="1"/>
  <c r="CP33" i="1" s="1"/>
  <c r="C24" i="45"/>
  <c r="O24" i="45" s="1"/>
  <c r="E25" i="1"/>
  <c r="E26" i="2" s="1"/>
  <c r="BM26" i="2" s="1"/>
  <c r="BC18" i="48"/>
  <c r="E18" i="1"/>
  <c r="JB39" i="1"/>
  <c r="BU39" i="1"/>
  <c r="FM39" i="1"/>
  <c r="JE39" i="1"/>
  <c r="P39" i="1"/>
  <c r="DH39" i="1"/>
  <c r="GZ39" i="1"/>
  <c r="S39" i="1"/>
  <c r="DK39" i="1"/>
  <c r="HC39" i="1"/>
  <c r="J39" i="1"/>
  <c r="DB39" i="1"/>
  <c r="GT39" i="1"/>
  <c r="CS39" i="1"/>
  <c r="GK39" i="1"/>
  <c r="M39" i="1"/>
  <c r="DE39" i="1"/>
  <c r="GW39" i="1"/>
  <c r="AZ39" i="1"/>
  <c r="ER39" i="1"/>
  <c r="CG39" i="1"/>
  <c r="IG39" i="1"/>
  <c r="CJ39" i="1"/>
  <c r="HL39" i="1"/>
  <c r="BO39" i="1"/>
  <c r="FS39" i="1"/>
  <c r="V39" i="1"/>
  <c r="DZ39" i="1"/>
  <c r="ID39" i="1"/>
  <c r="DQ39" i="1"/>
  <c r="IS39" i="1"/>
  <c r="CV39" i="1"/>
  <c r="HX39" i="1"/>
  <c r="CA39" i="1"/>
  <c r="GE39" i="1"/>
  <c r="AH39" i="1"/>
  <c r="EL39" i="1"/>
  <c r="IP39" i="1"/>
  <c r="CY39" i="1"/>
  <c r="EC39" i="1"/>
  <c r="DT39" i="1"/>
  <c r="IJ39" i="1"/>
  <c r="CM39" i="1"/>
  <c r="GQ39" i="1"/>
  <c r="AT39" i="1"/>
  <c r="EX39" i="1"/>
  <c r="EF39" i="1"/>
  <c r="IV39" i="1"/>
  <c r="HO39" i="1"/>
  <c r="FJ39" i="1"/>
  <c r="EO39" i="1"/>
  <c r="BF39" i="1"/>
  <c r="Y39" i="1"/>
  <c r="FA39" i="1"/>
  <c r="AB39" i="1"/>
  <c r="FD39" i="1"/>
  <c r="JH39" i="1"/>
  <c r="G39" i="1"/>
  <c r="DW39" i="1"/>
  <c r="IA39" i="1"/>
  <c r="BR39" i="1"/>
  <c r="FV39" i="1"/>
  <c r="AW39" i="1"/>
  <c r="HI39" i="1"/>
  <c r="BL39" i="1"/>
  <c r="GB39" i="1"/>
  <c r="AQ39" i="1"/>
  <c r="EU39" i="1"/>
  <c r="IY39" i="1"/>
  <c r="CP39" i="1"/>
  <c r="HF39" i="1"/>
  <c r="BI39" i="1"/>
  <c r="HU39" i="1"/>
  <c r="BX39" i="1"/>
  <c r="GN39" i="1"/>
  <c r="AN39" i="1"/>
  <c r="AE39" i="1"/>
  <c r="BC39" i="1"/>
  <c r="CD39" i="1"/>
  <c r="IM39" i="1"/>
  <c r="FP39" i="1"/>
  <c r="EI39" i="1"/>
  <c r="DN39" i="1"/>
  <c r="FY39" i="1"/>
  <c r="HR39" i="1"/>
  <c r="AK39" i="1"/>
  <c r="FG39" i="1"/>
  <c r="GH39" i="1"/>
  <c r="IP34" i="1"/>
  <c r="HR34" i="1"/>
  <c r="GE34" i="1"/>
  <c r="EX34" i="1"/>
  <c r="EI34" i="1"/>
  <c r="DB34" i="1"/>
  <c r="CM34" i="1"/>
  <c r="BF34" i="1"/>
  <c r="AQ34" i="1"/>
  <c r="J34" i="1"/>
  <c r="JB34" i="1"/>
  <c r="FJ34" i="1"/>
  <c r="EU34" i="1"/>
  <c r="DN34" i="1"/>
  <c r="CY34" i="1"/>
  <c r="BR34" i="1"/>
  <c r="BC34" i="1"/>
  <c r="V34" i="1"/>
  <c r="G34" i="1"/>
  <c r="ID34" i="1"/>
  <c r="IY34" i="1"/>
  <c r="HF34" i="1"/>
  <c r="DW34" i="1"/>
  <c r="AE34" i="1"/>
  <c r="FG34" i="1"/>
  <c r="EL34" i="1"/>
  <c r="BO34" i="1"/>
  <c r="AT34" i="1"/>
  <c r="FV34" i="1"/>
  <c r="CD34" i="1"/>
  <c r="FS34" i="1"/>
  <c r="CA34" i="1"/>
  <c r="GH34" i="1"/>
  <c r="DK34" i="1"/>
  <c r="CP34" i="1"/>
  <c r="S34" i="1"/>
  <c r="DZ34" i="1"/>
  <c r="AH34" i="1"/>
  <c r="GT34" i="1"/>
  <c r="CS34" i="1"/>
  <c r="GK34" i="1"/>
  <c r="AZ34" i="1"/>
  <c r="ER34" i="1"/>
  <c r="IJ34" i="1"/>
  <c r="M34" i="1"/>
  <c r="DE34" i="1"/>
  <c r="GW34" i="1"/>
  <c r="BL34" i="1"/>
  <c r="FD34" i="1"/>
  <c r="IV34" i="1"/>
  <c r="GQ34" i="1"/>
  <c r="Y34" i="1"/>
  <c r="DQ34" i="1"/>
  <c r="HI34" i="1"/>
  <c r="BX34" i="1"/>
  <c r="FP34" i="1"/>
  <c r="JH34" i="1"/>
  <c r="AK34" i="1"/>
  <c r="EC34" i="1"/>
  <c r="HU34" i="1"/>
  <c r="CJ34" i="1"/>
  <c r="GB34" i="1"/>
  <c r="HO34" i="1"/>
  <c r="AW34" i="1"/>
  <c r="EO34" i="1"/>
  <c r="IG34" i="1"/>
  <c r="CV34" i="1"/>
  <c r="GN34" i="1"/>
  <c r="IA34" i="1"/>
  <c r="JE34" i="1"/>
  <c r="AB34" i="1"/>
  <c r="BI34" i="1"/>
  <c r="AN34" i="1"/>
  <c r="HC34" i="1"/>
  <c r="BU34" i="1"/>
  <c r="DH34" i="1"/>
  <c r="IM34" i="1"/>
  <c r="DT34" i="1"/>
  <c r="CG34" i="1"/>
  <c r="FA34" i="1"/>
  <c r="EF34" i="1"/>
  <c r="FY34" i="1"/>
  <c r="HL34" i="1"/>
  <c r="IS34" i="1"/>
  <c r="P34" i="1"/>
  <c r="HX34" i="1"/>
  <c r="FM34" i="1"/>
  <c r="GZ34" i="1"/>
  <c r="FJ37" i="1"/>
  <c r="DB37" i="1"/>
  <c r="AT37" i="1"/>
  <c r="HF37" i="1"/>
  <c r="BI37" i="1"/>
  <c r="V37" i="1"/>
  <c r="EI37" i="1"/>
  <c r="BX37" i="1"/>
  <c r="EX37" i="1"/>
  <c r="CM37" i="1"/>
  <c r="AK37" i="1"/>
  <c r="M37" i="1"/>
  <c r="BR37" i="1"/>
  <c r="J37" i="1"/>
  <c r="AH37" i="1"/>
  <c r="Y37" i="1"/>
  <c r="AW37" i="1"/>
  <c r="CY37" i="1"/>
  <c r="AB37" i="1"/>
  <c r="IY37" i="1"/>
  <c r="FG37" i="1"/>
  <c r="GB37" i="1"/>
  <c r="CJ37" i="1"/>
  <c r="FY37" i="1"/>
  <c r="CG37" i="1"/>
  <c r="DN37" i="1"/>
  <c r="AN37" i="1"/>
  <c r="IM37" i="1"/>
  <c r="JH37" i="1"/>
  <c r="FP37" i="1"/>
  <c r="JE37" i="1"/>
  <c r="FM37" i="1"/>
  <c r="BU37" i="1"/>
  <c r="G37" i="1"/>
  <c r="BF37" i="1"/>
  <c r="EU37" i="1"/>
  <c r="AZ37" i="1"/>
  <c r="IA37" i="1"/>
  <c r="IV37" i="1"/>
  <c r="FD37" i="1"/>
  <c r="IS37" i="1"/>
  <c r="FA37" i="1"/>
  <c r="CA37" i="1"/>
  <c r="BL37" i="1"/>
  <c r="HO37" i="1"/>
  <c r="IJ37" i="1"/>
  <c r="ER37" i="1"/>
  <c r="IG37" i="1"/>
  <c r="EO37" i="1"/>
  <c r="CP37" i="1"/>
  <c r="AE37" i="1"/>
  <c r="JB37" i="1"/>
  <c r="HC37" i="1"/>
  <c r="HX37" i="1"/>
  <c r="EF37" i="1"/>
  <c r="HU37" i="1"/>
  <c r="EC37" i="1"/>
  <c r="DW37" i="1"/>
  <c r="AQ37" i="1"/>
  <c r="CD37" i="1"/>
  <c r="FS37" i="1"/>
  <c r="GW37" i="1"/>
  <c r="IP37" i="1"/>
  <c r="HL37" i="1"/>
  <c r="GK37" i="1"/>
  <c r="P37" i="1"/>
  <c r="GZ37" i="1"/>
  <c r="DQ37" i="1"/>
  <c r="GN37" i="1"/>
  <c r="DE37" i="1"/>
  <c r="ID37" i="1"/>
  <c r="DT37" i="1"/>
  <c r="CS37" i="1"/>
  <c r="GQ37" i="1"/>
  <c r="CV37" i="1"/>
  <c r="FV37" i="1"/>
  <c r="BC37" i="1"/>
  <c r="DZ37" i="1"/>
  <c r="GH37" i="1"/>
  <c r="GE37" i="1"/>
  <c r="HI37" i="1"/>
  <c r="BO37" i="1"/>
  <c r="GT37" i="1"/>
  <c r="S37" i="1"/>
  <c r="HR37" i="1"/>
  <c r="DH37" i="1"/>
  <c r="EL37" i="1"/>
  <c r="DK37" i="1"/>
  <c r="BC25" i="48"/>
  <c r="C33" i="45"/>
  <c r="I34" i="48"/>
  <c r="J34" i="48"/>
  <c r="BC34" i="48"/>
  <c r="AD34" i="48"/>
  <c r="AJ34" i="48"/>
  <c r="O35" i="45"/>
  <c r="G35" i="45"/>
  <c r="K35" i="45"/>
  <c r="R35" i="45"/>
  <c r="R35" i="48"/>
  <c r="E35" i="1" s="1"/>
  <c r="I48" i="7"/>
  <c r="I45" i="7"/>
  <c r="I48" i="24"/>
  <c r="AD33" i="48"/>
  <c r="I48" i="11"/>
  <c r="I45" i="11"/>
  <c r="R31" i="48"/>
  <c r="E31" i="1" s="1"/>
  <c r="I45" i="13"/>
  <c r="R29" i="48"/>
  <c r="E29" i="1" s="1"/>
  <c r="I48" i="13"/>
  <c r="I48" i="12"/>
  <c r="I45" i="12"/>
  <c r="R30" i="48"/>
  <c r="E30" i="1" s="1"/>
  <c r="W164" i="46"/>
  <c r="X164" i="46" s="1"/>
  <c r="F41" i="55" s="1"/>
  <c r="G41" i="55" s="1"/>
  <c r="H41" i="55" s="1"/>
  <c r="I45" i="16"/>
  <c r="I48" i="16"/>
  <c r="R26" i="48"/>
  <c r="E26" i="1" s="1"/>
  <c r="J8" i="16"/>
  <c r="J8" i="15" s="1"/>
  <c r="J8" i="14" s="1"/>
  <c r="J8" i="13" s="1"/>
  <c r="J8" i="12" s="1"/>
  <c r="J8" i="11" s="1"/>
  <c r="J8" i="10" s="1"/>
  <c r="I48" i="19"/>
  <c r="R23" i="48"/>
  <c r="E23" i="1" s="1"/>
  <c r="I45" i="19"/>
  <c r="I45" i="15"/>
  <c r="R27" i="48"/>
  <c r="E27" i="1" s="1"/>
  <c r="I48" i="15"/>
  <c r="I48" i="14"/>
  <c r="R28" i="48"/>
  <c r="E28" i="1" s="1"/>
  <c r="I45" i="14"/>
  <c r="I45" i="24"/>
  <c r="R17" i="48"/>
  <c r="E17" i="1" s="1"/>
  <c r="I45" i="25"/>
  <c r="I48" i="25"/>
  <c r="G19" i="45"/>
  <c r="O19" i="45"/>
  <c r="K19" i="45"/>
  <c r="R19" i="45"/>
  <c r="AD18" i="48"/>
  <c r="J18" i="48"/>
  <c r="I18" i="48"/>
  <c r="AJ18" i="48"/>
  <c r="R19" i="48"/>
  <c r="E19" i="1" s="1"/>
  <c r="I45" i="23"/>
  <c r="I48" i="23"/>
  <c r="E21" i="2"/>
  <c r="BM21" i="2" s="1"/>
  <c r="O21" i="45"/>
  <c r="G21" i="45"/>
  <c r="K21" i="45"/>
  <c r="R21" i="45"/>
  <c r="O17" i="45"/>
  <c r="K17" i="45"/>
  <c r="G17" i="45"/>
  <c r="R17" i="45"/>
  <c r="I48" i="26"/>
  <c r="R16" i="48"/>
  <c r="E16" i="1" s="1"/>
  <c r="I45" i="26"/>
  <c r="R15" i="48"/>
  <c r="I45" i="28"/>
  <c r="I48" i="28"/>
  <c r="I40" i="27"/>
  <c r="I40" i="32"/>
  <c r="I45" i="32" s="1"/>
  <c r="I40" i="31"/>
  <c r="R11" i="48" s="1"/>
  <c r="I45" i="29"/>
  <c r="R13" i="48"/>
  <c r="I48" i="29"/>
  <c r="I48" i="30"/>
  <c r="R12" i="48"/>
  <c r="I45" i="30"/>
  <c r="M34" i="32"/>
  <c r="AK9" i="48"/>
  <c r="P41" i="55"/>
  <c r="Q41" i="55" s="1"/>
  <c r="AE9" i="48"/>
  <c r="J47" i="30"/>
  <c r="E23" i="2"/>
  <c r="BM23" i="2" s="1"/>
  <c r="E40" i="2"/>
  <c r="BM40" i="2" s="1"/>
  <c r="E39" i="2"/>
  <c r="BM39" i="2" s="1"/>
  <c r="R38" i="45"/>
  <c r="G38" i="45"/>
  <c r="O38" i="45"/>
  <c r="K38" i="45"/>
  <c r="G8" i="45"/>
  <c r="R8" i="45"/>
  <c r="K8" i="45"/>
  <c r="E37" i="2"/>
  <c r="BM37" i="2" s="1"/>
  <c r="E38" i="2"/>
  <c r="BM38" i="2" s="1"/>
  <c r="G37" i="45"/>
  <c r="O37" i="45"/>
  <c r="K37" i="45"/>
  <c r="R37" i="45"/>
  <c r="H9" i="48"/>
  <c r="I50" i="33"/>
  <c r="J49" i="33"/>
  <c r="I51" i="33"/>
  <c r="U9" i="48"/>
  <c r="V9" i="48"/>
  <c r="X9" i="48"/>
  <c r="I49" i="31"/>
  <c r="E45" i="29"/>
  <c r="M9" i="48"/>
  <c r="K9" i="48" s="1"/>
  <c r="J9" i="48"/>
  <c r="AH9" i="48"/>
  <c r="J5" i="56"/>
  <c r="I49" i="8"/>
  <c r="I49" i="17"/>
  <c r="I49" i="18"/>
  <c r="I49" i="28"/>
  <c r="I49" i="29"/>
  <c r="D45" i="28"/>
  <c r="D45" i="26" s="1"/>
  <c r="I49" i="30"/>
  <c r="E39" i="29"/>
  <c r="D43" i="28"/>
  <c r="E43" i="28" s="1"/>
  <c r="M8" i="30"/>
  <c r="M34" i="31"/>
  <c r="D48" i="29"/>
  <c r="E48" i="29" s="1"/>
  <c r="D41" i="29"/>
  <c r="J43" i="29"/>
  <c r="J44" i="30"/>
  <c r="J56" i="29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G9" i="48"/>
  <c r="N41" i="48"/>
  <c r="G41" i="48" s="1"/>
  <c r="E52" i="31"/>
  <c r="E53" i="31" s="1"/>
  <c r="D38" i="27"/>
  <c r="E38" i="29"/>
  <c r="D50" i="29"/>
  <c r="E50" i="30"/>
  <c r="D42" i="29"/>
  <c r="E42" i="30"/>
  <c r="D47" i="28"/>
  <c r="E47" i="27"/>
  <c r="D52" i="30"/>
  <c r="D53" i="30" s="1"/>
  <c r="D46" i="29"/>
  <c r="E46" i="30"/>
  <c r="D51" i="27"/>
  <c r="E51" i="29"/>
  <c r="D40" i="27"/>
  <c r="E40" i="29"/>
  <c r="E44" i="27"/>
  <c r="D44" i="28"/>
  <c r="A14" i="2" s="1"/>
  <c r="J39" i="31"/>
  <c r="J37" i="30"/>
  <c r="J57" i="29"/>
  <c r="D49" i="28"/>
  <c r="E49" i="27"/>
  <c r="J57" i="16"/>
  <c r="M7" i="28"/>
  <c r="AC12" i="48"/>
  <c r="Q13" i="48"/>
  <c r="J47" i="29"/>
  <c r="J46" i="27"/>
  <c r="J26" i="24" l="1"/>
  <c r="J26" i="23" s="1"/>
  <c r="J26" i="21" s="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CY9" i="1"/>
  <c r="D39" i="28"/>
  <c r="E39" i="28" s="1"/>
  <c r="AJ33" i="48"/>
  <c r="GK33" i="1"/>
  <c r="FV33" i="1"/>
  <c r="HR33" i="1"/>
  <c r="FA33" i="1"/>
  <c r="BL33" i="1"/>
  <c r="HC33" i="1"/>
  <c r="AB33" i="1"/>
  <c r="V33" i="1"/>
  <c r="IS33" i="1"/>
  <c r="AE33" i="1"/>
  <c r="FP33" i="1"/>
  <c r="DH33" i="1"/>
  <c r="CM33" i="1"/>
  <c r="BI33" i="1"/>
  <c r="BU33" i="1"/>
  <c r="GE33" i="1"/>
  <c r="DW33" i="1"/>
  <c r="IJ33" i="1"/>
  <c r="IY33" i="1"/>
  <c r="HO33" i="1"/>
  <c r="DE33" i="1"/>
  <c r="AH33" i="1"/>
  <c r="IG33" i="1"/>
  <c r="BX33" i="1"/>
  <c r="HI33" i="1"/>
  <c r="HX33" i="1"/>
  <c r="FY33" i="1"/>
  <c r="AK33" i="1"/>
  <c r="GQ33" i="1"/>
  <c r="BC33" i="1"/>
  <c r="J33" i="1"/>
  <c r="GT33" i="1"/>
  <c r="EL33" i="1"/>
  <c r="J33" i="48"/>
  <c r="GN33" i="1"/>
  <c r="AW33" i="1"/>
  <c r="DQ33" i="1"/>
  <c r="EF33" i="1"/>
  <c r="CG33" i="1"/>
  <c r="DN33" i="1"/>
  <c r="BO33" i="1"/>
  <c r="DZ33" i="1"/>
  <c r="AQ33" i="1"/>
  <c r="IA33" i="1"/>
  <c r="FS33" i="1"/>
  <c r="I33" i="48"/>
  <c r="HU33" i="1"/>
  <c r="CV33" i="1"/>
  <c r="M33" i="1"/>
  <c r="AN33" i="1"/>
  <c r="GZ33" i="1"/>
  <c r="HF33" i="1"/>
  <c r="FG33" i="1"/>
  <c r="EU33" i="1"/>
  <c r="BF33" i="1"/>
  <c r="IP33" i="1"/>
  <c r="GH33" i="1"/>
  <c r="EO33" i="1"/>
  <c r="Y33" i="1"/>
  <c r="ER33" i="1"/>
  <c r="CS33" i="1"/>
  <c r="P33" i="1"/>
  <c r="G33" i="1"/>
  <c r="BR33" i="1"/>
  <c r="IM33" i="1"/>
  <c r="DB33" i="1"/>
  <c r="AT33" i="1"/>
  <c r="ID33" i="1"/>
  <c r="C32" i="45"/>
  <c r="O32" i="45" s="1"/>
  <c r="EC33" i="1"/>
  <c r="IV33" i="1"/>
  <c r="AZ33" i="1"/>
  <c r="HL33" i="1"/>
  <c r="JE33" i="1"/>
  <c r="CD33" i="1"/>
  <c r="FJ33" i="1"/>
  <c r="S33" i="1"/>
  <c r="EI33" i="1"/>
  <c r="CA33" i="1"/>
  <c r="JH33" i="1"/>
  <c r="BC33" i="48"/>
  <c r="GB33" i="1"/>
  <c r="CJ33" i="1"/>
  <c r="FD33" i="1"/>
  <c r="GW33" i="1"/>
  <c r="DT33" i="1"/>
  <c r="FM33" i="1"/>
  <c r="CY33" i="1"/>
  <c r="JB33" i="1"/>
  <c r="DK33" i="1"/>
  <c r="EX33" i="1"/>
  <c r="DQ9" i="1"/>
  <c r="J25" i="24"/>
  <c r="J25" i="23" s="1"/>
  <c r="J25" i="21" s="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J22" i="25"/>
  <c r="J22" i="24" s="1"/>
  <c r="J22" i="23" s="1"/>
  <c r="J22" i="21" s="1"/>
  <c r="J22" i="22" s="1"/>
  <c r="J22" i="20" s="1"/>
  <c r="J22" i="19" s="1"/>
  <c r="J22" i="18" s="1"/>
  <c r="J22" i="17" s="1"/>
  <c r="J22" i="16" s="1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2" i="4" s="1"/>
  <c r="J22" i="43" s="1"/>
  <c r="IM9" i="1"/>
  <c r="J18" i="25"/>
  <c r="J18" i="24" s="1"/>
  <c r="J18" i="23" s="1"/>
  <c r="J18" i="21" s="1"/>
  <c r="J18" i="22" s="1"/>
  <c r="J18" i="20" s="1"/>
  <c r="J18" i="19" s="1"/>
  <c r="J18" i="18" s="1"/>
  <c r="J18" i="17" s="1"/>
  <c r="J18" i="16" s="1"/>
  <c r="J18" i="15" s="1"/>
  <c r="J18" i="14" s="1"/>
  <c r="J18" i="13" s="1"/>
  <c r="J18" i="12" s="1"/>
  <c r="J18" i="11" s="1"/>
  <c r="J18" i="10" s="1"/>
  <c r="EU9" i="1"/>
  <c r="CG9" i="1"/>
  <c r="EF9" i="1"/>
  <c r="AN9" i="1"/>
  <c r="J23" i="25"/>
  <c r="J23" i="24" s="1"/>
  <c r="J23" i="23" s="1"/>
  <c r="J23" i="21" s="1"/>
  <c r="J23" i="22" s="1"/>
  <c r="J23" i="20" s="1"/>
  <c r="J23" i="19" s="1"/>
  <c r="J23" i="18" s="1"/>
  <c r="J23" i="17" s="1"/>
  <c r="J23" i="16" s="1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23" i="4" s="1"/>
  <c r="J23" i="43" s="1"/>
  <c r="JB9" i="1"/>
  <c r="J19" i="25"/>
  <c r="J19" i="24" s="1"/>
  <c r="J19" i="23" s="1"/>
  <c r="J19" i="21" s="1"/>
  <c r="J19" i="22" s="1"/>
  <c r="J19" i="20" s="1"/>
  <c r="J19" i="19" s="1"/>
  <c r="J19" i="18" s="1"/>
  <c r="J19" i="17" s="1"/>
  <c r="J19" i="16" s="1"/>
  <c r="J19" i="15" s="1"/>
  <c r="J19" i="14" s="1"/>
  <c r="J19" i="13" s="1"/>
  <c r="J19" i="12" s="1"/>
  <c r="J19" i="11" s="1"/>
  <c r="J19" i="10" s="1"/>
  <c r="J16" i="25"/>
  <c r="J16" i="24" s="1"/>
  <c r="J16" i="23" s="1"/>
  <c r="J16" i="21" s="1"/>
  <c r="J16" i="22" s="1"/>
  <c r="J16" i="20" s="1"/>
  <c r="J16" i="19" s="1"/>
  <c r="J16" i="18" s="1"/>
  <c r="J16" i="17" s="1"/>
  <c r="J16" i="16" s="1"/>
  <c r="J16" i="15" s="1"/>
  <c r="J16" i="14" s="1"/>
  <c r="J16" i="13" s="1"/>
  <c r="J16" i="12" s="1"/>
  <c r="J16" i="11" s="1"/>
  <c r="J16" i="10" s="1"/>
  <c r="J13" i="26"/>
  <c r="J13" i="24" s="1"/>
  <c r="J13" i="23" s="1"/>
  <c r="J13" i="21" s="1"/>
  <c r="J13" i="22" s="1"/>
  <c r="J13" i="20" s="1"/>
  <c r="J13" i="19" s="1"/>
  <c r="J13" i="18" s="1"/>
  <c r="J13" i="17" s="1"/>
  <c r="J13" i="16" s="1"/>
  <c r="J13" i="15" s="1"/>
  <c r="J13" i="14" s="1"/>
  <c r="J13" i="13" s="1"/>
  <c r="J13" i="12" s="1"/>
  <c r="J13" i="11" s="1"/>
  <c r="J13" i="10" s="1"/>
  <c r="G24" i="45"/>
  <c r="R24" i="45"/>
  <c r="J29" i="24"/>
  <c r="J29" i="23" s="1"/>
  <c r="J29" i="21" s="1"/>
  <c r="J29" i="22" s="1"/>
  <c r="J29" i="20" s="1"/>
  <c r="J29" i="19" s="1"/>
  <c r="J29" i="18" s="1"/>
  <c r="J29" i="17" s="1"/>
  <c r="J29" i="16" s="1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17" i="26"/>
  <c r="J17" i="25" s="1"/>
  <c r="J17" i="24" s="1"/>
  <c r="J17" i="23" s="1"/>
  <c r="J17" i="21" s="1"/>
  <c r="J17" i="22" s="1"/>
  <c r="J17" i="20" s="1"/>
  <c r="J17" i="19" s="1"/>
  <c r="J17" i="18" s="1"/>
  <c r="J17" i="17" s="1"/>
  <c r="J17" i="16" s="1"/>
  <c r="J17" i="15" s="1"/>
  <c r="J17" i="14" s="1"/>
  <c r="J17" i="13" s="1"/>
  <c r="J17" i="12" s="1"/>
  <c r="J17" i="11" s="1"/>
  <c r="J17" i="10" s="1"/>
  <c r="J20" i="26"/>
  <c r="J20" i="25" s="1"/>
  <c r="J20" i="24" s="1"/>
  <c r="J20" i="23" s="1"/>
  <c r="J20" i="21" s="1"/>
  <c r="J20" i="22" s="1"/>
  <c r="J20" i="20" s="1"/>
  <c r="J20" i="19" s="1"/>
  <c r="J20" i="18" s="1"/>
  <c r="J20" i="17" s="1"/>
  <c r="J20" i="16" s="1"/>
  <c r="J20" i="15" s="1"/>
  <c r="J20" i="14" s="1"/>
  <c r="J20" i="13" s="1"/>
  <c r="J20" i="12" s="1"/>
  <c r="J20" i="11" s="1"/>
  <c r="J20" i="10" s="1"/>
  <c r="J20" i="9" s="1"/>
  <c r="J20" i="8" s="1"/>
  <c r="J15" i="26"/>
  <c r="J14" i="26"/>
  <c r="J27" i="24"/>
  <c r="J27" i="23" s="1"/>
  <c r="J27" i="21" s="1"/>
  <c r="J27" i="22" s="1"/>
  <c r="J27" i="20" s="1"/>
  <c r="J27" i="19" s="1"/>
  <c r="J27" i="18" s="1"/>
  <c r="J27" i="17" s="1"/>
  <c r="J27" i="16" s="1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J28" i="24"/>
  <c r="J28" i="23" s="1"/>
  <c r="J28" i="21" s="1"/>
  <c r="J28" i="22" s="1"/>
  <c r="J28" i="20" s="1"/>
  <c r="J28" i="19" s="1"/>
  <c r="J28" i="18" s="1"/>
  <c r="J28" i="17" s="1"/>
  <c r="J28" i="16" s="1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4" i="24"/>
  <c r="J24" i="23" s="1"/>
  <c r="J24" i="21" s="1"/>
  <c r="J24" i="22" s="1"/>
  <c r="J24" i="20" s="1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CP9" i="1"/>
  <c r="EC9" i="1"/>
  <c r="CD9" i="1"/>
  <c r="HI9" i="1"/>
  <c r="AH9" i="1"/>
  <c r="EX9" i="1"/>
  <c r="S9" i="1"/>
  <c r="FY9" i="1"/>
  <c r="GN9" i="1"/>
  <c r="GB9" i="1"/>
  <c r="GQ9" i="1"/>
  <c r="AB9" i="1"/>
  <c r="HR9" i="1"/>
  <c r="HC9" i="1"/>
  <c r="IG9" i="1"/>
  <c r="FG9" i="1"/>
  <c r="GK9" i="1"/>
  <c r="DW9" i="1"/>
  <c r="ER9" i="1"/>
  <c r="HL9" i="1"/>
  <c r="ID9" i="1"/>
  <c r="IY9" i="1"/>
  <c r="FD9" i="1"/>
  <c r="GE9" i="1"/>
  <c r="EO9" i="1"/>
  <c r="BO9" i="1"/>
  <c r="CS9" i="1"/>
  <c r="AE9" i="1"/>
  <c r="HX9" i="1"/>
  <c r="J9" i="1"/>
  <c r="BR9" i="1"/>
  <c r="V9" i="1"/>
  <c r="FV9" i="1"/>
  <c r="AK9" i="1"/>
  <c r="Y9" i="1"/>
  <c r="HO9" i="1"/>
  <c r="DH9" i="1"/>
  <c r="FP9" i="1"/>
  <c r="IP9" i="1"/>
  <c r="BF9" i="1"/>
  <c r="FA9" i="1"/>
  <c r="IS9" i="1"/>
  <c r="AW9" i="1"/>
  <c r="GW9" i="1"/>
  <c r="IA9" i="1"/>
  <c r="JE9" i="1"/>
  <c r="AT9" i="1"/>
  <c r="BX9" i="1"/>
  <c r="DT9" i="1"/>
  <c r="CJ9" i="1"/>
  <c r="DN9" i="1"/>
  <c r="E10" i="2"/>
  <c r="F10" i="2" s="1"/>
  <c r="BN10" i="2" s="1"/>
  <c r="BI9" i="1"/>
  <c r="DK9" i="1"/>
  <c r="FS9" i="1"/>
  <c r="DE9" i="1"/>
  <c r="EI9" i="1"/>
  <c r="FM9" i="1"/>
  <c r="JH9" i="1"/>
  <c r="DZ9" i="1"/>
  <c r="GH9" i="1"/>
  <c r="DB9" i="1"/>
  <c r="FJ9" i="1"/>
  <c r="G9" i="1"/>
  <c r="BC9" i="1"/>
  <c r="GT9" i="1"/>
  <c r="K24" i="45"/>
  <c r="CM9" i="1"/>
  <c r="HU9" i="1"/>
  <c r="CA9" i="1"/>
  <c r="M9" i="1"/>
  <c r="AQ9" i="1"/>
  <c r="BU9" i="1"/>
  <c r="P9" i="1"/>
  <c r="BL9" i="1"/>
  <c r="IV9" i="1"/>
  <c r="GZ9" i="1"/>
  <c r="HF9" i="1"/>
  <c r="IJ9" i="1"/>
  <c r="EL9" i="1"/>
  <c r="AZ9" i="1"/>
  <c r="R36" i="45"/>
  <c r="K36" i="45"/>
  <c r="O36" i="45"/>
  <c r="E13" i="1"/>
  <c r="GB13" i="1" s="1"/>
  <c r="C12" i="45"/>
  <c r="E12" i="1"/>
  <c r="CP12" i="1" s="1"/>
  <c r="C11" i="45"/>
  <c r="E11" i="1"/>
  <c r="CY11" i="1" s="1"/>
  <c r="C10" i="45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GN16" i="1"/>
  <c r="CV16" i="1"/>
  <c r="HX16" i="1"/>
  <c r="EF16" i="1"/>
  <c r="AN16" i="1"/>
  <c r="JH16" i="1"/>
  <c r="FP16" i="1"/>
  <c r="BX16" i="1"/>
  <c r="GZ16" i="1"/>
  <c r="DH16" i="1"/>
  <c r="P16" i="1"/>
  <c r="IJ16" i="1"/>
  <c r="ER16" i="1"/>
  <c r="AZ16" i="1"/>
  <c r="HL16" i="1"/>
  <c r="DT16" i="1"/>
  <c r="AB16" i="1"/>
  <c r="GB16" i="1"/>
  <c r="FD16" i="1"/>
  <c r="CJ16" i="1"/>
  <c r="BL16" i="1"/>
  <c r="IV16" i="1"/>
  <c r="JB23" i="1"/>
  <c r="IA23" i="1"/>
  <c r="GK23" i="1"/>
  <c r="FJ23" i="1"/>
  <c r="IM23" i="1"/>
  <c r="GW23" i="1"/>
  <c r="FV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IY23" i="1"/>
  <c r="HI23" i="1"/>
  <c r="GH23" i="1"/>
  <c r="FG23" i="1"/>
  <c r="HU23" i="1"/>
  <c r="GT23" i="1"/>
  <c r="FS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IG23" i="1"/>
  <c r="HF23" i="1"/>
  <c r="GE23" i="1"/>
  <c r="IS23" i="1"/>
  <c r="HR23" i="1"/>
  <c r="GQ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BR23" i="1"/>
  <c r="JE23" i="1"/>
  <c r="DB23" i="1"/>
  <c r="J23" i="1"/>
  <c r="HO23" i="1"/>
  <c r="FY23" i="1"/>
  <c r="EL23" i="1"/>
  <c r="AT23" i="1"/>
  <c r="CD23" i="1"/>
  <c r="JH23" i="1"/>
  <c r="ID23" i="1"/>
  <c r="DN23" i="1"/>
  <c r="V23" i="1"/>
  <c r="CP23" i="1"/>
  <c r="IP23" i="1"/>
  <c r="EX23" i="1"/>
  <c r="FM23" i="1"/>
  <c r="BF23" i="1"/>
  <c r="DZ23" i="1"/>
  <c r="AH23" i="1"/>
  <c r="HC23" i="1"/>
  <c r="FD23" i="1"/>
  <c r="IV23" i="1"/>
  <c r="FP23" i="1"/>
  <c r="GB23" i="1"/>
  <c r="GZ23" i="1"/>
  <c r="GN23" i="1"/>
  <c r="HL23" i="1"/>
  <c r="IJ23" i="1"/>
  <c r="HX23" i="1"/>
  <c r="JB30" i="1"/>
  <c r="DN30" i="1"/>
  <c r="HL30" i="1"/>
  <c r="AB30" i="1"/>
  <c r="BR30" i="1"/>
  <c r="GN30" i="1"/>
  <c r="HF30" i="1"/>
  <c r="V30" i="1"/>
  <c r="FJ30" i="1"/>
  <c r="DT30" i="1"/>
  <c r="CV30" i="1"/>
  <c r="GW30" i="1"/>
  <c r="DE30" i="1"/>
  <c r="M30" i="1"/>
  <c r="FS30" i="1"/>
  <c r="CA30" i="1"/>
  <c r="GB30" i="1"/>
  <c r="AH30" i="1"/>
  <c r="GT30" i="1"/>
  <c r="GK30" i="1"/>
  <c r="CS30" i="1"/>
  <c r="IY30" i="1"/>
  <c r="FG30" i="1"/>
  <c r="BO30" i="1"/>
  <c r="EF30" i="1"/>
  <c r="IV30" i="1"/>
  <c r="EX30" i="1"/>
  <c r="FY30" i="1"/>
  <c r="CG30" i="1"/>
  <c r="IM30" i="1"/>
  <c r="EU30" i="1"/>
  <c r="BC30" i="1"/>
  <c r="CJ30" i="1"/>
  <c r="GZ30" i="1"/>
  <c r="DB30" i="1"/>
  <c r="FP30" i="1"/>
  <c r="IS30" i="1"/>
  <c r="FA30" i="1"/>
  <c r="BI30" i="1"/>
  <c r="HO30" i="1"/>
  <c r="DW30" i="1"/>
  <c r="AE30" i="1"/>
  <c r="HR30" i="1"/>
  <c r="DH30" i="1"/>
  <c r="J30" i="1"/>
  <c r="AZ30" i="1"/>
  <c r="HU30" i="1"/>
  <c r="EC30" i="1"/>
  <c r="AK30" i="1"/>
  <c r="GQ30" i="1"/>
  <c r="CY30" i="1"/>
  <c r="G30" i="1"/>
  <c r="DZ30" i="1"/>
  <c r="P30" i="1"/>
  <c r="EL30" i="1"/>
  <c r="IG30" i="1"/>
  <c r="IA30" i="1"/>
  <c r="HX30" i="1"/>
  <c r="AT30" i="1"/>
  <c r="ER30" i="1"/>
  <c r="HI30" i="1"/>
  <c r="HC30" i="1"/>
  <c r="AN30" i="1"/>
  <c r="ID30" i="1"/>
  <c r="IJ30" i="1"/>
  <c r="FM30" i="1"/>
  <c r="GE30" i="1"/>
  <c r="FV30" i="1"/>
  <c r="BX30" i="1"/>
  <c r="EO30" i="1"/>
  <c r="EI30" i="1"/>
  <c r="CD30" i="1"/>
  <c r="JH30" i="1"/>
  <c r="DQ30" i="1"/>
  <c r="DK30" i="1"/>
  <c r="FD30" i="1"/>
  <c r="AW30" i="1"/>
  <c r="AQ30" i="1"/>
  <c r="IP30" i="1"/>
  <c r="GH30" i="1"/>
  <c r="JE30" i="1"/>
  <c r="BU30" i="1"/>
  <c r="Y30" i="1"/>
  <c r="CM30" i="1"/>
  <c r="S30" i="1"/>
  <c r="BF30" i="1"/>
  <c r="CP30" i="1"/>
  <c r="BL30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IY17" i="1"/>
  <c r="HI17" i="1"/>
  <c r="GH17" i="1"/>
  <c r="FG17" i="1"/>
  <c r="DQ17" i="1"/>
  <c r="CP17" i="1"/>
  <c r="BO17" i="1"/>
  <c r="Y17" i="1"/>
  <c r="HU17" i="1"/>
  <c r="GT17" i="1"/>
  <c r="FS17" i="1"/>
  <c r="EC17" i="1"/>
  <c r="DB17" i="1"/>
  <c r="CA17" i="1"/>
  <c r="AK17" i="1"/>
  <c r="J17" i="1"/>
  <c r="IG17" i="1"/>
  <c r="HF17" i="1"/>
  <c r="GE17" i="1"/>
  <c r="EO17" i="1"/>
  <c r="DN17" i="1"/>
  <c r="CM17" i="1"/>
  <c r="AW17" i="1"/>
  <c r="V17" i="1"/>
  <c r="IS17" i="1"/>
  <c r="HR17" i="1"/>
  <c r="GQ17" i="1"/>
  <c r="FA17" i="1"/>
  <c r="DZ17" i="1"/>
  <c r="CY17" i="1"/>
  <c r="BI17" i="1"/>
  <c r="AH17" i="1"/>
  <c r="G17" i="1"/>
  <c r="JE17" i="1"/>
  <c r="ID17" i="1"/>
  <c r="HC17" i="1"/>
  <c r="FM17" i="1"/>
  <c r="EL17" i="1"/>
  <c r="DK17" i="1"/>
  <c r="BU17" i="1"/>
  <c r="AT17" i="1"/>
  <c r="S17" i="1"/>
  <c r="JB17" i="1"/>
  <c r="IA17" i="1"/>
  <c r="GK17" i="1"/>
  <c r="FJ17" i="1"/>
  <c r="EI17" i="1"/>
  <c r="CS17" i="1"/>
  <c r="BR17" i="1"/>
  <c r="AQ17" i="1"/>
  <c r="BF17" i="1"/>
  <c r="FV17" i="1"/>
  <c r="EX17" i="1"/>
  <c r="BC17" i="1"/>
  <c r="M17" i="1"/>
  <c r="DW17" i="1"/>
  <c r="AE17" i="1"/>
  <c r="IP17" i="1"/>
  <c r="EU17" i="1"/>
  <c r="DE17" i="1"/>
  <c r="CG17" i="1"/>
  <c r="IM17" i="1"/>
  <c r="GW17" i="1"/>
  <c r="HO17" i="1"/>
  <c r="FY17" i="1"/>
  <c r="CD17" i="1"/>
  <c r="C14" i="45"/>
  <c r="K14" i="45" s="1"/>
  <c r="E15" i="1"/>
  <c r="CM27" i="1"/>
  <c r="V27" i="1"/>
  <c r="IG27" i="1"/>
  <c r="HO27" i="1"/>
  <c r="EO27" i="1"/>
  <c r="DW27" i="1"/>
  <c r="BR27" i="1"/>
  <c r="GQ27" i="1"/>
  <c r="FY27" i="1"/>
  <c r="CY27" i="1"/>
  <c r="AH27" i="1"/>
  <c r="CG27" i="1"/>
  <c r="AW27" i="1"/>
  <c r="HU27" i="1"/>
  <c r="EU27" i="1"/>
  <c r="EC27" i="1"/>
  <c r="AQ27" i="1"/>
  <c r="G27" i="1"/>
  <c r="AE27" i="1"/>
  <c r="FS27" i="1"/>
  <c r="BI27" i="1"/>
  <c r="GK27" i="1"/>
  <c r="BF27" i="1"/>
  <c r="CS27" i="1"/>
  <c r="IV27" i="1"/>
  <c r="FD27" i="1"/>
  <c r="BL27" i="1"/>
  <c r="HR27" i="1"/>
  <c r="DZ27" i="1"/>
  <c r="IY27" i="1"/>
  <c r="J27" i="1"/>
  <c r="IJ27" i="1"/>
  <c r="ER27" i="1"/>
  <c r="AZ27" i="1"/>
  <c r="HF27" i="1"/>
  <c r="DN27" i="1"/>
  <c r="AK27" i="1"/>
  <c r="HX27" i="1"/>
  <c r="EF27" i="1"/>
  <c r="AN27" i="1"/>
  <c r="GT27" i="1"/>
  <c r="S27" i="1"/>
  <c r="CA27" i="1"/>
  <c r="EI27" i="1"/>
  <c r="DE27" i="1"/>
  <c r="GZ27" i="1"/>
  <c r="DH27" i="1"/>
  <c r="P27" i="1"/>
  <c r="FV27" i="1"/>
  <c r="BU27" i="1"/>
  <c r="DQ27" i="1"/>
  <c r="GB27" i="1"/>
  <c r="CJ27" i="1"/>
  <c r="IP27" i="1"/>
  <c r="EX27" i="1"/>
  <c r="FG27" i="1"/>
  <c r="IM27" i="1"/>
  <c r="HI27" i="1"/>
  <c r="DT27" i="1"/>
  <c r="EL27" i="1"/>
  <c r="DB27" i="1"/>
  <c r="Y27" i="1"/>
  <c r="IS27" i="1"/>
  <c r="CV27" i="1"/>
  <c r="AT27" i="1"/>
  <c r="FM27" i="1"/>
  <c r="BO27" i="1"/>
  <c r="BX27" i="1"/>
  <c r="DK27" i="1"/>
  <c r="JE27" i="1"/>
  <c r="CP27" i="1"/>
  <c r="M27" i="1"/>
  <c r="AB27" i="1"/>
  <c r="HC27" i="1"/>
  <c r="GE27" i="1"/>
  <c r="BC27" i="1"/>
  <c r="JH27" i="1"/>
  <c r="JB27" i="1"/>
  <c r="IA27" i="1"/>
  <c r="CD27" i="1"/>
  <c r="GN27" i="1"/>
  <c r="GH27" i="1"/>
  <c r="GW27" i="1"/>
  <c r="HL27" i="1"/>
  <c r="FP27" i="1"/>
  <c r="FJ27" i="1"/>
  <c r="FA27" i="1"/>
  <c r="ID27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JH31" i="1"/>
  <c r="GT31" i="1"/>
  <c r="GB31" i="1"/>
  <c r="FJ31" i="1"/>
  <c r="J31" i="1"/>
  <c r="DZ31" i="1"/>
  <c r="DH31" i="1"/>
  <c r="CP31" i="1"/>
  <c r="IP31" i="1"/>
  <c r="HX31" i="1"/>
  <c r="HF31" i="1"/>
  <c r="BF31" i="1"/>
  <c r="AN31" i="1"/>
  <c r="V31" i="1"/>
  <c r="JE31" i="1"/>
  <c r="FV31" i="1"/>
  <c r="FD31" i="1"/>
  <c r="EL31" i="1"/>
  <c r="JB31" i="1"/>
  <c r="DB31" i="1"/>
  <c r="CJ31" i="1"/>
  <c r="BR31" i="1"/>
  <c r="EX31" i="1"/>
  <c r="EF31" i="1"/>
  <c r="DN31" i="1"/>
  <c r="AT31" i="1"/>
  <c r="BL31" i="1"/>
  <c r="ID31" i="1"/>
  <c r="CD31" i="1"/>
  <c r="IV31" i="1"/>
  <c r="P31" i="1"/>
  <c r="GH31" i="1"/>
  <c r="AH31" i="1"/>
  <c r="GZ31" i="1"/>
  <c r="HR31" i="1"/>
  <c r="DT31" i="1"/>
  <c r="AZ31" i="1"/>
  <c r="FP31" i="1"/>
  <c r="CV31" i="1"/>
  <c r="HL31" i="1"/>
  <c r="S31" i="1"/>
  <c r="DK31" i="1"/>
  <c r="HC31" i="1"/>
  <c r="Y31" i="1"/>
  <c r="DQ31" i="1"/>
  <c r="HI31" i="1"/>
  <c r="ER31" i="1"/>
  <c r="GN31" i="1"/>
  <c r="AB31" i="1"/>
  <c r="CY31" i="1"/>
  <c r="HO31" i="1"/>
  <c r="CG31" i="1"/>
  <c r="GK31" i="1"/>
  <c r="G31" i="1"/>
  <c r="DW31" i="1"/>
  <c r="IA31" i="1"/>
  <c r="CS31" i="1"/>
  <c r="GW31" i="1"/>
  <c r="AE31" i="1"/>
  <c r="EI31" i="1"/>
  <c r="IM31" i="1"/>
  <c r="DE31" i="1"/>
  <c r="HU31" i="1"/>
  <c r="BX31" i="1"/>
  <c r="AQ31" i="1"/>
  <c r="EU31" i="1"/>
  <c r="IY31" i="1"/>
  <c r="M31" i="1"/>
  <c r="EC31" i="1"/>
  <c r="IG31" i="1"/>
  <c r="BC31" i="1"/>
  <c r="FG31" i="1"/>
  <c r="AK31" i="1"/>
  <c r="EO31" i="1"/>
  <c r="IS31" i="1"/>
  <c r="IJ31" i="1"/>
  <c r="BO31" i="1"/>
  <c r="BU31" i="1"/>
  <c r="CA31" i="1"/>
  <c r="AW31" i="1"/>
  <c r="CM31" i="1"/>
  <c r="BI31" i="1"/>
  <c r="FS31" i="1"/>
  <c r="GE31" i="1"/>
  <c r="FA31" i="1"/>
  <c r="FY31" i="1"/>
  <c r="FM31" i="1"/>
  <c r="GQ31" i="1"/>
  <c r="EI28" i="1"/>
  <c r="IM28" i="1"/>
  <c r="G28" i="1"/>
  <c r="GQ28" i="1"/>
  <c r="CM28" i="1"/>
  <c r="EU28" i="1"/>
  <c r="AQ28" i="1"/>
  <c r="CY28" i="1"/>
  <c r="BC28" i="1"/>
  <c r="IV28" i="1"/>
  <c r="FD28" i="1"/>
  <c r="BL28" i="1"/>
  <c r="HR28" i="1"/>
  <c r="DZ28" i="1"/>
  <c r="AH28" i="1"/>
  <c r="GE28" i="1"/>
  <c r="BI28" i="1"/>
  <c r="AE28" i="1"/>
  <c r="IJ28" i="1"/>
  <c r="ER28" i="1"/>
  <c r="AZ28" i="1"/>
  <c r="HF28" i="1"/>
  <c r="DN28" i="1"/>
  <c r="V28" i="1"/>
  <c r="Y28" i="1"/>
  <c r="IA28" i="1"/>
  <c r="DE28" i="1"/>
  <c r="CA28" i="1"/>
  <c r="HX28" i="1"/>
  <c r="EF28" i="1"/>
  <c r="AN28" i="1"/>
  <c r="GT28" i="1"/>
  <c r="DB28" i="1"/>
  <c r="J28" i="1"/>
  <c r="BU28" i="1"/>
  <c r="FA28" i="1"/>
  <c r="DW28" i="1"/>
  <c r="FG28" i="1"/>
  <c r="HL28" i="1"/>
  <c r="DT28" i="1"/>
  <c r="AB28" i="1"/>
  <c r="GH28" i="1"/>
  <c r="CP28" i="1"/>
  <c r="AK28" i="1"/>
  <c r="GZ28" i="1"/>
  <c r="DH28" i="1"/>
  <c r="P28" i="1"/>
  <c r="FV28" i="1"/>
  <c r="CD28" i="1"/>
  <c r="CG28" i="1"/>
  <c r="FM28" i="1"/>
  <c r="IS28" i="1"/>
  <c r="HO28" i="1"/>
  <c r="GB28" i="1"/>
  <c r="CJ28" i="1"/>
  <c r="IP28" i="1"/>
  <c r="EX28" i="1"/>
  <c r="BF28" i="1"/>
  <c r="FY28" i="1"/>
  <c r="JE28" i="1"/>
  <c r="FP28" i="1"/>
  <c r="AT28" i="1"/>
  <c r="GK28" i="1"/>
  <c r="CV28" i="1"/>
  <c r="EC28" i="1"/>
  <c r="IG28" i="1"/>
  <c r="S28" i="1"/>
  <c r="BX28" i="1"/>
  <c r="HU28" i="1"/>
  <c r="BO28" i="1"/>
  <c r="JB28" i="1"/>
  <c r="FS28" i="1"/>
  <c r="DK28" i="1"/>
  <c r="ID28" i="1"/>
  <c r="DQ28" i="1"/>
  <c r="M28" i="1"/>
  <c r="HC28" i="1"/>
  <c r="JH28" i="1"/>
  <c r="EL28" i="1"/>
  <c r="CS28" i="1"/>
  <c r="GN28" i="1"/>
  <c r="FJ28" i="1"/>
  <c r="IY28" i="1"/>
  <c r="BR28" i="1"/>
  <c r="EO28" i="1"/>
  <c r="HI28" i="1"/>
  <c r="GW28" i="1"/>
  <c r="AW28" i="1"/>
  <c r="IY26" i="1"/>
  <c r="IG26" i="1"/>
  <c r="DN26" i="1"/>
  <c r="AK26" i="1"/>
  <c r="V26" i="1"/>
  <c r="G26" i="1"/>
  <c r="GE26" i="1"/>
  <c r="FJ26" i="1"/>
  <c r="BO26" i="1"/>
  <c r="IP26" i="1"/>
  <c r="HI26" i="1"/>
  <c r="GQ26" i="1"/>
  <c r="DZ26" i="1"/>
  <c r="CS26" i="1"/>
  <c r="CD26" i="1"/>
  <c r="AW26" i="1"/>
  <c r="AH26" i="1"/>
  <c r="DQ26" i="1"/>
  <c r="CY26" i="1"/>
  <c r="J26" i="1"/>
  <c r="FA26" i="1"/>
  <c r="EI26" i="1"/>
  <c r="Y26" i="1"/>
  <c r="HF26" i="1"/>
  <c r="GK26" i="1"/>
  <c r="BI26" i="1"/>
  <c r="AQ26" i="1"/>
  <c r="IS26" i="1"/>
  <c r="GH26" i="1"/>
  <c r="CP26" i="1"/>
  <c r="BC26" i="1"/>
  <c r="HR26" i="1"/>
  <c r="CM26" i="1"/>
  <c r="BR26" i="1"/>
  <c r="DE26" i="1"/>
  <c r="EO26" i="1"/>
  <c r="FG26" i="1"/>
  <c r="M26" i="1"/>
  <c r="CA26" i="1"/>
  <c r="DB26" i="1"/>
  <c r="EC26" i="1"/>
  <c r="EU26" i="1"/>
  <c r="CG26" i="1"/>
  <c r="IJ26" i="1"/>
  <c r="ER26" i="1"/>
  <c r="AZ26" i="1"/>
  <c r="EL26" i="1"/>
  <c r="FS26" i="1"/>
  <c r="GW26" i="1"/>
  <c r="HU26" i="1"/>
  <c r="IA26" i="1"/>
  <c r="IV26" i="1"/>
  <c r="EF26" i="1"/>
  <c r="AB26" i="1"/>
  <c r="ID26" i="1"/>
  <c r="HX26" i="1"/>
  <c r="DT26" i="1"/>
  <c r="P26" i="1"/>
  <c r="JE26" i="1"/>
  <c r="FV26" i="1"/>
  <c r="AE26" i="1"/>
  <c r="HL26" i="1"/>
  <c r="DH26" i="1"/>
  <c r="S26" i="1"/>
  <c r="GT26" i="1"/>
  <c r="IM26" i="1"/>
  <c r="BF26" i="1"/>
  <c r="GZ26" i="1"/>
  <c r="CV26" i="1"/>
  <c r="AT26" i="1"/>
  <c r="DW26" i="1"/>
  <c r="GN26" i="1"/>
  <c r="CJ26" i="1"/>
  <c r="BU26" i="1"/>
  <c r="FY26" i="1"/>
  <c r="FP26" i="1"/>
  <c r="BL26" i="1"/>
  <c r="FM26" i="1"/>
  <c r="JH26" i="1"/>
  <c r="JB26" i="1"/>
  <c r="GB26" i="1"/>
  <c r="FD26" i="1"/>
  <c r="EX26" i="1"/>
  <c r="BX26" i="1"/>
  <c r="HO26" i="1"/>
  <c r="AN26" i="1"/>
  <c r="HC26" i="1"/>
  <c r="DK26" i="1"/>
  <c r="JH29" i="1"/>
  <c r="M29" i="1"/>
  <c r="BO29" i="1"/>
  <c r="AW29" i="1"/>
  <c r="GN29" i="1"/>
  <c r="DZ29" i="1"/>
  <c r="FP29" i="1"/>
  <c r="FV29" i="1"/>
  <c r="BI29" i="1"/>
  <c r="AQ29" i="1"/>
  <c r="S29" i="1"/>
  <c r="HR29" i="1"/>
  <c r="CV29" i="1"/>
  <c r="CA29" i="1"/>
  <c r="HU29" i="1"/>
  <c r="EC29" i="1"/>
  <c r="HC29" i="1"/>
  <c r="DK29" i="1"/>
  <c r="GB29" i="1"/>
  <c r="P29" i="1"/>
  <c r="DH29" i="1"/>
  <c r="AK29" i="1"/>
  <c r="EX29" i="1"/>
  <c r="HI29" i="1"/>
  <c r="DQ29" i="1"/>
  <c r="GQ29" i="1"/>
  <c r="CY29" i="1"/>
  <c r="EF29" i="1"/>
  <c r="JB29" i="1"/>
  <c r="CD29" i="1"/>
  <c r="CG29" i="1"/>
  <c r="IP29" i="1"/>
  <c r="GW29" i="1"/>
  <c r="DE29" i="1"/>
  <c r="GE29" i="1"/>
  <c r="CM29" i="1"/>
  <c r="CJ29" i="1"/>
  <c r="HF29" i="1"/>
  <c r="BR29" i="1"/>
  <c r="DT29" i="1"/>
  <c r="G29" i="1"/>
  <c r="FY29" i="1"/>
  <c r="IY29" i="1"/>
  <c r="FG29" i="1"/>
  <c r="GH29" i="1"/>
  <c r="BL29" i="1"/>
  <c r="DN29" i="1"/>
  <c r="AT29" i="1"/>
  <c r="IS29" i="1"/>
  <c r="FA29" i="1"/>
  <c r="IA29" i="1"/>
  <c r="EI29" i="1"/>
  <c r="EO29" i="1"/>
  <c r="EL29" i="1"/>
  <c r="IV29" i="1"/>
  <c r="ER29" i="1"/>
  <c r="CS29" i="1"/>
  <c r="CP29" i="1"/>
  <c r="GZ29" i="1"/>
  <c r="IJ29" i="1"/>
  <c r="IM29" i="1"/>
  <c r="HX29" i="1"/>
  <c r="FD29" i="1"/>
  <c r="BC29" i="1"/>
  <c r="HO29" i="1"/>
  <c r="BX29" i="1"/>
  <c r="BF29" i="1"/>
  <c r="DB29" i="1"/>
  <c r="JE29" i="1"/>
  <c r="FS29" i="1"/>
  <c r="AZ29" i="1"/>
  <c r="AH29" i="1"/>
  <c r="GT29" i="1"/>
  <c r="AE29" i="1"/>
  <c r="GK29" i="1"/>
  <c r="DW29" i="1"/>
  <c r="AB29" i="1"/>
  <c r="J29" i="1"/>
  <c r="V29" i="1"/>
  <c r="HL29" i="1"/>
  <c r="IG29" i="1"/>
  <c r="Y29" i="1"/>
  <c r="FM29" i="1"/>
  <c r="BU29" i="1"/>
  <c r="EU29" i="1"/>
  <c r="AN29" i="1"/>
  <c r="FJ29" i="1"/>
  <c r="ID29" i="1"/>
  <c r="IS25" i="1"/>
  <c r="HR25" i="1"/>
  <c r="GQ25" i="1"/>
  <c r="FA25" i="1"/>
  <c r="DZ25" i="1"/>
  <c r="CY25" i="1"/>
  <c r="JE25" i="1"/>
  <c r="ID25" i="1"/>
  <c r="HC25" i="1"/>
  <c r="FM25" i="1"/>
  <c r="EL25" i="1"/>
  <c r="DK25" i="1"/>
  <c r="BU25" i="1"/>
  <c r="AT25" i="1"/>
  <c r="S25" i="1"/>
  <c r="GW25" i="1"/>
  <c r="GH25" i="1"/>
  <c r="EO25" i="1"/>
  <c r="CS25" i="1"/>
  <c r="BC25" i="1"/>
  <c r="Y25" i="1"/>
  <c r="J25" i="1"/>
  <c r="IP25" i="1"/>
  <c r="IA25" i="1"/>
  <c r="FS25" i="1"/>
  <c r="DW25" i="1"/>
  <c r="CD25" i="1"/>
  <c r="BO25" i="1"/>
  <c r="AK25" i="1"/>
  <c r="HI25" i="1"/>
  <c r="GT25" i="1"/>
  <c r="GE25" i="1"/>
  <c r="DE25" i="1"/>
  <c r="CP25" i="1"/>
  <c r="V25" i="1"/>
  <c r="G25" i="1"/>
  <c r="JB25" i="1"/>
  <c r="IM25" i="1"/>
  <c r="EX25" i="1"/>
  <c r="EI25" i="1"/>
  <c r="CA25" i="1"/>
  <c r="AW25" i="1"/>
  <c r="AH25" i="1"/>
  <c r="JH25" i="1"/>
  <c r="HU25" i="1"/>
  <c r="HF25" i="1"/>
  <c r="DQ25" i="1"/>
  <c r="DB25" i="1"/>
  <c r="CM25" i="1"/>
  <c r="BI25" i="1"/>
  <c r="IY25" i="1"/>
  <c r="FY25" i="1"/>
  <c r="FJ25" i="1"/>
  <c r="EU25" i="1"/>
  <c r="AE25" i="1"/>
  <c r="HO25" i="1"/>
  <c r="DN25" i="1"/>
  <c r="M25" i="1"/>
  <c r="IG25" i="1"/>
  <c r="FV25" i="1"/>
  <c r="EC25" i="1"/>
  <c r="BR25" i="1"/>
  <c r="GK25" i="1"/>
  <c r="CG25" i="1"/>
  <c r="FG25" i="1"/>
  <c r="AQ25" i="1"/>
  <c r="BF25" i="1"/>
  <c r="CJ25" i="1"/>
  <c r="CV25" i="1"/>
  <c r="GN25" i="1"/>
  <c r="AB25" i="1"/>
  <c r="EF25" i="1"/>
  <c r="IJ25" i="1"/>
  <c r="P25" i="1"/>
  <c r="ER25" i="1"/>
  <c r="IV25" i="1"/>
  <c r="AN25" i="1"/>
  <c r="FD25" i="1"/>
  <c r="AZ25" i="1"/>
  <c r="FP25" i="1"/>
  <c r="BL25" i="1"/>
  <c r="GB25" i="1"/>
  <c r="DH25" i="1"/>
  <c r="HL25" i="1"/>
  <c r="DT25" i="1"/>
  <c r="GZ25" i="1"/>
  <c r="HX25" i="1"/>
  <c r="BX25" i="1"/>
  <c r="JE19" i="1"/>
  <c r="IS19" i="1"/>
  <c r="IG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D19" i="1"/>
  <c r="HC19" i="1"/>
  <c r="GB19" i="1"/>
  <c r="EL19" i="1"/>
  <c r="DK19" i="1"/>
  <c r="CJ19" i="1"/>
  <c r="AT19" i="1"/>
  <c r="S19" i="1"/>
  <c r="IP19" i="1"/>
  <c r="HO19" i="1"/>
  <c r="GN19" i="1"/>
  <c r="EX19" i="1"/>
  <c r="DW19" i="1"/>
  <c r="CV19" i="1"/>
  <c r="BF19" i="1"/>
  <c r="AE19" i="1"/>
  <c r="JB19" i="1"/>
  <c r="IA19" i="1"/>
  <c r="GZ19" i="1"/>
  <c r="FJ19" i="1"/>
  <c r="EI19" i="1"/>
  <c r="DH19" i="1"/>
  <c r="BR19" i="1"/>
  <c r="AQ19" i="1"/>
  <c r="P19" i="1"/>
  <c r="IM19" i="1"/>
  <c r="HL19" i="1"/>
  <c r="FV19" i="1"/>
  <c r="EU19" i="1"/>
  <c r="DT19" i="1"/>
  <c r="CD19" i="1"/>
  <c r="BC19" i="1"/>
  <c r="AB19" i="1"/>
  <c r="IY19" i="1"/>
  <c r="HX19" i="1"/>
  <c r="GH19" i="1"/>
  <c r="FG19" i="1"/>
  <c r="EF19" i="1"/>
  <c r="CP19" i="1"/>
  <c r="BO19" i="1"/>
  <c r="AN19" i="1"/>
  <c r="IV19" i="1"/>
  <c r="HF19" i="1"/>
  <c r="GE19" i="1"/>
  <c r="FD19" i="1"/>
  <c r="DN19" i="1"/>
  <c r="CM19" i="1"/>
  <c r="BL19" i="1"/>
  <c r="V19" i="1"/>
  <c r="AZ19" i="1"/>
  <c r="J19" i="1"/>
  <c r="FP19" i="1"/>
  <c r="DZ19" i="1"/>
  <c r="ER19" i="1"/>
  <c r="DB19" i="1"/>
  <c r="G19" i="1"/>
  <c r="JH19" i="1"/>
  <c r="HR19" i="1"/>
  <c r="IJ19" i="1"/>
  <c r="GT19" i="1"/>
  <c r="CY19" i="1"/>
  <c r="CA19" i="1"/>
  <c r="GQ19" i="1"/>
  <c r="FS19" i="1"/>
  <c r="BX19" i="1"/>
  <c r="AH19" i="1"/>
  <c r="GH35" i="1"/>
  <c r="DN35" i="1"/>
  <c r="CY35" i="1"/>
  <c r="BR35" i="1"/>
  <c r="BC35" i="1"/>
  <c r="HF35" i="1"/>
  <c r="EX35" i="1"/>
  <c r="G35" i="1"/>
  <c r="DZ35" i="1"/>
  <c r="DK35" i="1"/>
  <c r="CD35" i="1"/>
  <c r="BO35" i="1"/>
  <c r="AH35" i="1"/>
  <c r="S35" i="1"/>
  <c r="IY35" i="1"/>
  <c r="IP35" i="1"/>
  <c r="HR35" i="1"/>
  <c r="FJ35" i="1"/>
  <c r="DW35" i="1"/>
  <c r="CP35" i="1"/>
  <c r="CA35" i="1"/>
  <c r="AT35" i="1"/>
  <c r="AE35" i="1"/>
  <c r="JB35" i="1"/>
  <c r="GT35" i="1"/>
  <c r="DB35" i="1"/>
  <c r="CM35" i="1"/>
  <c r="BF35" i="1"/>
  <c r="AQ35" i="1"/>
  <c r="FV35" i="1"/>
  <c r="M35" i="1"/>
  <c r="J35" i="1"/>
  <c r="Y35" i="1"/>
  <c r="ID35" i="1"/>
  <c r="EL35" i="1"/>
  <c r="AW35" i="1"/>
  <c r="EO35" i="1"/>
  <c r="IG35" i="1"/>
  <c r="BX35" i="1"/>
  <c r="FP35" i="1"/>
  <c r="JH35" i="1"/>
  <c r="BI35" i="1"/>
  <c r="FA35" i="1"/>
  <c r="IS35" i="1"/>
  <c r="CJ35" i="1"/>
  <c r="GB35" i="1"/>
  <c r="FS35" i="1"/>
  <c r="BU35" i="1"/>
  <c r="FM35" i="1"/>
  <c r="JE35" i="1"/>
  <c r="CV35" i="1"/>
  <c r="GN35" i="1"/>
  <c r="CG35" i="1"/>
  <c r="FY35" i="1"/>
  <c r="P35" i="1"/>
  <c r="DH35" i="1"/>
  <c r="GZ35" i="1"/>
  <c r="GQ35" i="1"/>
  <c r="CS35" i="1"/>
  <c r="GK35" i="1"/>
  <c r="AB35" i="1"/>
  <c r="DT35" i="1"/>
  <c r="HL35" i="1"/>
  <c r="HC35" i="1"/>
  <c r="AN35" i="1"/>
  <c r="IV35" i="1"/>
  <c r="IA35" i="1"/>
  <c r="EI35" i="1"/>
  <c r="AK35" i="1"/>
  <c r="AZ35" i="1"/>
  <c r="IM35" i="1"/>
  <c r="DE35" i="1"/>
  <c r="BL35" i="1"/>
  <c r="DQ35" i="1"/>
  <c r="EF35" i="1"/>
  <c r="EC35" i="1"/>
  <c r="ER35" i="1"/>
  <c r="EU35" i="1"/>
  <c r="HI35" i="1"/>
  <c r="HX35" i="1"/>
  <c r="GE35" i="1"/>
  <c r="V35" i="1"/>
  <c r="HU35" i="1"/>
  <c r="IJ35" i="1"/>
  <c r="HO35" i="1"/>
  <c r="FG35" i="1"/>
  <c r="GW35" i="1"/>
  <c r="FD35" i="1"/>
  <c r="BC35" i="48"/>
  <c r="I35" i="48"/>
  <c r="AJ35" i="48"/>
  <c r="AD35" i="48"/>
  <c r="C34" i="45"/>
  <c r="J35" i="48"/>
  <c r="E35" i="2"/>
  <c r="BM35" i="2" s="1"/>
  <c r="K33" i="45"/>
  <c r="O33" i="45"/>
  <c r="R33" i="45"/>
  <c r="G33" i="45"/>
  <c r="X169" i="46"/>
  <c r="E34" i="2"/>
  <c r="BM34" i="2" s="1"/>
  <c r="J9" i="9"/>
  <c r="J9" i="8" s="1"/>
  <c r="R10" i="48"/>
  <c r="C9" i="45" s="1"/>
  <c r="J8" i="9"/>
  <c r="J8" i="8" s="1"/>
  <c r="J40" i="32"/>
  <c r="K57" i="32" s="1"/>
  <c r="I48" i="32"/>
  <c r="J21" i="9"/>
  <c r="J21" i="8" s="1"/>
  <c r="X167" i="46"/>
  <c r="AJ29" i="48"/>
  <c r="I29" i="48"/>
  <c r="BC29" i="48"/>
  <c r="AD29" i="48"/>
  <c r="C28" i="45"/>
  <c r="J29" i="48"/>
  <c r="AJ30" i="48"/>
  <c r="J30" i="48"/>
  <c r="I30" i="48"/>
  <c r="AD30" i="48"/>
  <c r="BC30" i="48"/>
  <c r="C29" i="45"/>
  <c r="AJ31" i="48"/>
  <c r="I31" i="48"/>
  <c r="AD31" i="48"/>
  <c r="J31" i="48"/>
  <c r="C30" i="45"/>
  <c r="BC31" i="48"/>
  <c r="J11" i="11"/>
  <c r="J11" i="10" s="1"/>
  <c r="J12" i="11"/>
  <c r="J12" i="10" s="1"/>
  <c r="J10" i="11"/>
  <c r="J10" i="10" s="1"/>
  <c r="AJ27" i="48"/>
  <c r="I27" i="48"/>
  <c r="C26" i="45"/>
  <c r="BC27" i="48"/>
  <c r="J27" i="48"/>
  <c r="AD27" i="48"/>
  <c r="C22" i="45"/>
  <c r="AD23" i="48"/>
  <c r="BC23" i="48"/>
  <c r="AJ23" i="48"/>
  <c r="I23" i="48"/>
  <c r="J23" i="48"/>
  <c r="C25" i="45"/>
  <c r="J26" i="48"/>
  <c r="I26" i="48"/>
  <c r="AJ26" i="48"/>
  <c r="BC26" i="48"/>
  <c r="AD26" i="48"/>
  <c r="BC28" i="48"/>
  <c r="C27" i="45"/>
  <c r="J28" i="48"/>
  <c r="AJ28" i="48"/>
  <c r="I28" i="48"/>
  <c r="AD28" i="48"/>
  <c r="E19" i="2"/>
  <c r="BM19" i="2" s="1"/>
  <c r="C18" i="45"/>
  <c r="I19" i="48"/>
  <c r="AD19" i="48"/>
  <c r="AJ19" i="48"/>
  <c r="J19" i="48"/>
  <c r="BC19" i="48"/>
  <c r="C16" i="45"/>
  <c r="BC17" i="48"/>
  <c r="AD17" i="48"/>
  <c r="J17" i="48"/>
  <c r="I17" i="48"/>
  <c r="AJ17" i="48"/>
  <c r="BC16" i="48"/>
  <c r="C15" i="45"/>
  <c r="AJ16" i="48"/>
  <c r="I16" i="48"/>
  <c r="AD16" i="48"/>
  <c r="J16" i="48"/>
  <c r="I45" i="31"/>
  <c r="I48" i="31"/>
  <c r="I48" i="27"/>
  <c r="I45" i="27"/>
  <c r="R14" i="48"/>
  <c r="C13" i="45" s="1"/>
  <c r="BC15" i="48"/>
  <c r="AJ15" i="48"/>
  <c r="I15" i="48"/>
  <c r="J15" i="48"/>
  <c r="AD15" i="48"/>
  <c r="BC13" i="48"/>
  <c r="J13" i="48"/>
  <c r="I13" i="48"/>
  <c r="AD13" i="48"/>
  <c r="AJ13" i="48"/>
  <c r="I12" i="48"/>
  <c r="AJ12" i="48"/>
  <c r="J12" i="48"/>
  <c r="BC12" i="48"/>
  <c r="AD12" i="48"/>
  <c r="BC11" i="48"/>
  <c r="AD11" i="48"/>
  <c r="I11" i="48"/>
  <c r="AJ11" i="48"/>
  <c r="J11" i="48"/>
  <c r="AI9" i="48"/>
  <c r="M10" i="48"/>
  <c r="I50" i="18"/>
  <c r="I51" i="18"/>
  <c r="I50" i="28"/>
  <c r="I51" i="28"/>
  <c r="I50" i="17"/>
  <c r="I51" i="17"/>
  <c r="I50" i="8"/>
  <c r="I51" i="8"/>
  <c r="I50" i="29"/>
  <c r="I51" i="29"/>
  <c r="I50" i="30"/>
  <c r="I51" i="30"/>
  <c r="J50" i="33"/>
  <c r="J51" i="33"/>
  <c r="I50" i="31"/>
  <c r="I51" i="31"/>
  <c r="W9" i="48"/>
  <c r="Y9" i="48"/>
  <c r="I49" i="32"/>
  <c r="I51" i="32" s="1"/>
  <c r="V11" i="48"/>
  <c r="X11" i="48"/>
  <c r="I49" i="7"/>
  <c r="I11" i="56"/>
  <c r="V34" i="48"/>
  <c r="X34" i="48"/>
  <c r="V25" i="48"/>
  <c r="X25" i="48"/>
  <c r="X24" i="48"/>
  <c r="V24" i="48"/>
  <c r="I49" i="22"/>
  <c r="X15" i="48"/>
  <c r="V15" i="48"/>
  <c r="V13" i="48"/>
  <c r="X13" i="48"/>
  <c r="D43" i="26"/>
  <c r="D43" i="25" s="1"/>
  <c r="E45" i="28"/>
  <c r="V12" i="48"/>
  <c r="X12" i="48"/>
  <c r="D39" i="26"/>
  <c r="D39" i="25" s="1"/>
  <c r="D48" i="27"/>
  <c r="E48" i="27" s="1"/>
  <c r="M8" i="29"/>
  <c r="M34" i="30"/>
  <c r="E41" i="29"/>
  <c r="D41" i="27"/>
  <c r="J43" i="27"/>
  <c r="J44" i="29"/>
  <c r="J56" i="27"/>
  <c r="D38" i="28"/>
  <c r="E38" i="27"/>
  <c r="D52" i="29"/>
  <c r="D53" i="29" s="1"/>
  <c r="E50" i="29"/>
  <c r="D50" i="27"/>
  <c r="E52" i="30"/>
  <c r="E53" i="30" s="1"/>
  <c r="E46" i="29"/>
  <c r="D46" i="27"/>
  <c r="D47" i="26"/>
  <c r="E47" i="28"/>
  <c r="E42" i="29"/>
  <c r="D42" i="27"/>
  <c r="E45" i="26"/>
  <c r="D45" i="25"/>
  <c r="D51" i="28"/>
  <c r="E51" i="27"/>
  <c r="E44" i="28"/>
  <c r="D44" i="26"/>
  <c r="E40" i="27"/>
  <c r="D40" i="28"/>
  <c r="A15" i="2" s="1"/>
  <c r="E49" i="28"/>
  <c r="D49" i="26"/>
  <c r="J57" i="27"/>
  <c r="J37" i="29"/>
  <c r="J39" i="30"/>
  <c r="J47" i="27"/>
  <c r="J46" i="28"/>
  <c r="AC13" i="48"/>
  <c r="Q14" i="48"/>
  <c r="M7" i="26"/>
  <c r="J57" i="15"/>
  <c r="IS12" i="1" l="1"/>
  <c r="IM12" i="1"/>
  <c r="K32" i="45"/>
  <c r="R32" i="45"/>
  <c r="G32" i="45"/>
  <c r="G14" i="45"/>
  <c r="J14" i="25"/>
  <c r="J14" i="24" s="1"/>
  <c r="J14" i="23" s="1"/>
  <c r="J14" i="21" s="1"/>
  <c r="J14" i="22" s="1"/>
  <c r="J14" i="19" s="1"/>
  <c r="J14" i="18" s="1"/>
  <c r="J14" i="17" s="1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J14" i="4" s="1"/>
  <c r="J14" i="43" s="1"/>
  <c r="J15" i="25"/>
  <c r="J15" i="24" s="1"/>
  <c r="J15" i="23" s="1"/>
  <c r="J15" i="21" s="1"/>
  <c r="J15" i="22" s="1"/>
  <c r="J15" i="20" s="1"/>
  <c r="J15" i="19" s="1"/>
  <c r="J15" i="18" s="1"/>
  <c r="J15" i="17" s="1"/>
  <c r="J15" i="16" s="1"/>
  <c r="J15" i="15" s="1"/>
  <c r="J15" i="14" s="1"/>
  <c r="J15" i="13" s="1"/>
  <c r="J15" i="12" s="1"/>
  <c r="J15" i="11" s="1"/>
  <c r="J15" i="10" s="1"/>
  <c r="J15" i="9" s="1"/>
  <c r="J15" i="8" s="1"/>
  <c r="J15" i="7" s="1"/>
  <c r="J15" i="6" s="1"/>
  <c r="J15" i="37" s="1"/>
  <c r="J15" i="4" s="1"/>
  <c r="J15" i="43" s="1"/>
  <c r="EL13" i="1"/>
  <c r="ID13" i="1"/>
  <c r="BR13" i="1"/>
  <c r="FM13" i="1"/>
  <c r="AQ13" i="1"/>
  <c r="JE13" i="1"/>
  <c r="S13" i="1"/>
  <c r="CS13" i="1"/>
  <c r="CY13" i="1"/>
  <c r="GN13" i="1"/>
  <c r="GQ13" i="1"/>
  <c r="AE13" i="1"/>
  <c r="G13" i="1"/>
  <c r="EU13" i="1"/>
  <c r="IM13" i="1"/>
  <c r="GH13" i="1"/>
  <c r="V13" i="1"/>
  <c r="DQ13" i="1"/>
  <c r="HI13" i="1"/>
  <c r="AW13" i="1"/>
  <c r="ER13" i="1"/>
  <c r="IJ13" i="1"/>
  <c r="BO13" i="1"/>
  <c r="DW13" i="1"/>
  <c r="FJ13" i="1"/>
  <c r="JB13" i="1"/>
  <c r="GK13" i="1"/>
  <c r="DT13" i="1"/>
  <c r="CV13" i="1"/>
  <c r="FV13" i="1"/>
  <c r="DB13" i="1"/>
  <c r="AK13" i="1"/>
  <c r="HX13" i="1"/>
  <c r="BL13" i="1"/>
  <c r="AN13" i="1"/>
  <c r="FG13" i="1"/>
  <c r="IY13" i="1"/>
  <c r="GT13" i="1"/>
  <c r="AH13" i="1"/>
  <c r="EC13" i="1"/>
  <c r="HU13" i="1"/>
  <c r="BI13" i="1"/>
  <c r="FD13" i="1"/>
  <c r="IV13" i="1"/>
  <c r="BX13" i="1"/>
  <c r="AZ13" i="1"/>
  <c r="DK13" i="1"/>
  <c r="HC13" i="1"/>
  <c r="EX13" i="1"/>
  <c r="IP13" i="1"/>
  <c r="CD13" i="1"/>
  <c r="FY13" i="1"/>
  <c r="M13" i="1"/>
  <c r="DE13" i="1"/>
  <c r="GZ13" i="1"/>
  <c r="CM13" i="1"/>
  <c r="HO13" i="1"/>
  <c r="CP13" i="1"/>
  <c r="Y13" i="1"/>
  <c r="HL13" i="1"/>
  <c r="EI13" i="1"/>
  <c r="GW13" i="1"/>
  <c r="BM10" i="2"/>
  <c r="CA13" i="1"/>
  <c r="BC13" i="1"/>
  <c r="FS13" i="1"/>
  <c r="DN13" i="1"/>
  <c r="HF13" i="1"/>
  <c r="AT13" i="1"/>
  <c r="EO13" i="1"/>
  <c r="IG13" i="1"/>
  <c r="BU13" i="1"/>
  <c r="FP13" i="1"/>
  <c r="JH13" i="1"/>
  <c r="P13" i="1"/>
  <c r="IA13" i="1"/>
  <c r="J13" i="1"/>
  <c r="EF13" i="1"/>
  <c r="AB13" i="1"/>
  <c r="DH13" i="1"/>
  <c r="CJ13" i="1"/>
  <c r="GE13" i="1"/>
  <c r="DZ13" i="1"/>
  <c r="HR13" i="1"/>
  <c r="BF13" i="1"/>
  <c r="FA13" i="1"/>
  <c r="IS13" i="1"/>
  <c r="CG13" i="1"/>
  <c r="P12" i="1"/>
  <c r="AQ12" i="1"/>
  <c r="DZ12" i="1"/>
  <c r="HL12" i="1"/>
  <c r="EO11" i="1"/>
  <c r="IG11" i="1"/>
  <c r="FV11" i="1"/>
  <c r="BU11" i="1"/>
  <c r="EF11" i="1"/>
  <c r="ER11" i="1"/>
  <c r="GH11" i="1"/>
  <c r="CJ11" i="1"/>
  <c r="FA11" i="1"/>
  <c r="DH11" i="1"/>
  <c r="FG11" i="1"/>
  <c r="GW11" i="1"/>
  <c r="GT11" i="1"/>
  <c r="FP11" i="1"/>
  <c r="FS11" i="1"/>
  <c r="AH11" i="1"/>
  <c r="HI11" i="1"/>
  <c r="HX11" i="1"/>
  <c r="GQ11" i="1"/>
  <c r="EC11" i="1"/>
  <c r="JE11" i="1"/>
  <c r="IJ11" i="1"/>
  <c r="IY11" i="1"/>
  <c r="FJ11" i="1"/>
  <c r="AK11" i="1"/>
  <c r="JH11" i="1"/>
  <c r="G11" i="1"/>
  <c r="HF11" i="1"/>
  <c r="AW11" i="1"/>
  <c r="BX11" i="1"/>
  <c r="AE11" i="1"/>
  <c r="R14" i="45"/>
  <c r="AK12" i="1"/>
  <c r="CA12" i="1"/>
  <c r="DB11" i="1"/>
  <c r="IS11" i="1"/>
  <c r="FY11" i="1"/>
  <c r="V11" i="1"/>
  <c r="IP11" i="1"/>
  <c r="BI11" i="1"/>
  <c r="FD11" i="1"/>
  <c r="IV11" i="1"/>
  <c r="CV11" i="1"/>
  <c r="GE11" i="1"/>
  <c r="S11" i="1"/>
  <c r="O14" i="45"/>
  <c r="GZ12" i="1"/>
  <c r="AB12" i="1"/>
  <c r="HF12" i="1"/>
  <c r="BR11" i="1"/>
  <c r="DZ11" i="1"/>
  <c r="HU11" i="1"/>
  <c r="CD11" i="1"/>
  <c r="J11" i="1"/>
  <c r="CG11" i="1"/>
  <c r="GB11" i="1"/>
  <c r="AB11" i="1"/>
  <c r="DK11" i="1"/>
  <c r="HC11" i="1"/>
  <c r="AQ11" i="1"/>
  <c r="HU12" i="1"/>
  <c r="CV12" i="1"/>
  <c r="HR12" i="1"/>
  <c r="EL11" i="1"/>
  <c r="HR11" i="1"/>
  <c r="JB11" i="1"/>
  <c r="DQ11" i="1"/>
  <c r="AT11" i="1"/>
  <c r="CS11" i="1"/>
  <c r="GN11" i="1"/>
  <c r="AN11" i="1"/>
  <c r="DW11" i="1"/>
  <c r="HO11" i="1"/>
  <c r="BC11" i="1"/>
  <c r="IJ12" i="1"/>
  <c r="FG12" i="1"/>
  <c r="V12" i="1"/>
  <c r="GK11" i="1"/>
  <c r="BF11" i="1"/>
  <c r="ID11" i="1"/>
  <c r="EX11" i="1"/>
  <c r="M11" i="1"/>
  <c r="DE11" i="1"/>
  <c r="GZ11" i="1"/>
  <c r="AZ11" i="1"/>
  <c r="EI11" i="1"/>
  <c r="IA11" i="1"/>
  <c r="BO11" i="1"/>
  <c r="HI12" i="1"/>
  <c r="GE12" i="1"/>
  <c r="DB12" i="1"/>
  <c r="CP11" i="1"/>
  <c r="DN11" i="1"/>
  <c r="FM11" i="1"/>
  <c r="Y11" i="1"/>
  <c r="DT11" i="1"/>
  <c r="HL11" i="1"/>
  <c r="BL11" i="1"/>
  <c r="EU11" i="1"/>
  <c r="IM11" i="1"/>
  <c r="CA11" i="1"/>
  <c r="CM11" i="1"/>
  <c r="O13" i="45"/>
  <c r="R13" i="45"/>
  <c r="K13" i="45"/>
  <c r="G13" i="45"/>
  <c r="O12" i="45"/>
  <c r="G12" i="45"/>
  <c r="K12" i="45"/>
  <c r="R12" i="45"/>
  <c r="EO12" i="1"/>
  <c r="DQ12" i="1"/>
  <c r="M12" i="1"/>
  <c r="BL12" i="1"/>
  <c r="GQ12" i="1"/>
  <c r="CM12" i="1"/>
  <c r="ID12" i="1"/>
  <c r="GK12" i="1"/>
  <c r="GB12" i="1"/>
  <c r="Y12" i="1"/>
  <c r="BX12" i="1"/>
  <c r="HC12" i="1"/>
  <c r="DN12" i="1"/>
  <c r="J12" i="1"/>
  <c r="IG12" i="1"/>
  <c r="JE12" i="1"/>
  <c r="BU12" i="1"/>
  <c r="DH12" i="1"/>
  <c r="IY12" i="1"/>
  <c r="EL12" i="1"/>
  <c r="AT12" i="1"/>
  <c r="ER12" i="1"/>
  <c r="DT12" i="1"/>
  <c r="CG12" i="1"/>
  <c r="DK12" i="1"/>
  <c r="S12" i="1"/>
  <c r="FV12" i="1"/>
  <c r="BF12" i="1"/>
  <c r="FY12" i="1"/>
  <c r="FA12" i="1"/>
  <c r="DE12" i="1"/>
  <c r="EU12" i="1"/>
  <c r="AE12" i="1"/>
  <c r="GH12" i="1"/>
  <c r="BR12" i="1"/>
  <c r="FD12" i="1"/>
  <c r="GN12" i="1"/>
  <c r="HX12" i="1"/>
  <c r="JH12" i="1"/>
  <c r="CS12" i="1"/>
  <c r="CJ12" i="1"/>
  <c r="FS12" i="1"/>
  <c r="G12" i="1"/>
  <c r="CY12" i="1"/>
  <c r="GT12" i="1"/>
  <c r="AH12" i="1"/>
  <c r="IV12" i="1"/>
  <c r="EF12" i="1"/>
  <c r="FP12" i="1"/>
  <c r="AW12" i="1"/>
  <c r="AN12" i="1"/>
  <c r="DW12" i="1"/>
  <c r="HO12" i="1"/>
  <c r="BC12" i="1"/>
  <c r="EX12" i="1"/>
  <c r="IP12" i="1"/>
  <c r="CD12" i="1"/>
  <c r="EC12" i="1"/>
  <c r="FM12" i="1"/>
  <c r="GW12" i="1"/>
  <c r="BI12" i="1"/>
  <c r="AZ12" i="1"/>
  <c r="EI12" i="1"/>
  <c r="IA12" i="1"/>
  <c r="BO12" i="1"/>
  <c r="FJ12" i="1"/>
  <c r="JB12" i="1"/>
  <c r="O11" i="45"/>
  <c r="G11" i="45"/>
  <c r="K11" i="45"/>
  <c r="R11" i="45"/>
  <c r="O10" i="45"/>
  <c r="G10" i="45"/>
  <c r="K10" i="45"/>
  <c r="R10" i="45"/>
  <c r="K9" i="45"/>
  <c r="O9" i="45"/>
  <c r="G9" i="45"/>
  <c r="R9" i="45"/>
  <c r="R41" i="48"/>
  <c r="BC41" i="48" s="1"/>
  <c r="E14" i="1"/>
  <c r="E15" i="2" s="1"/>
  <c r="BM15" i="2" s="1"/>
  <c r="F5" i="55"/>
  <c r="G5" i="55" s="1"/>
  <c r="F4" i="55"/>
  <c r="F32" i="55"/>
  <c r="F18" i="55"/>
  <c r="G18" i="55" s="1"/>
  <c r="F27" i="55"/>
  <c r="F29" i="55"/>
  <c r="F7" i="55"/>
  <c r="G7" i="55" s="1"/>
  <c r="F23" i="55"/>
  <c r="F16" i="55"/>
  <c r="F39" i="55"/>
  <c r="F24" i="55"/>
  <c r="F36" i="55"/>
  <c r="F20" i="55"/>
  <c r="F38" i="55"/>
  <c r="F9" i="55"/>
  <c r="G9" i="55" s="1"/>
  <c r="F28" i="55"/>
  <c r="F21" i="55"/>
  <c r="F10" i="55"/>
  <c r="G10" i="55" s="1"/>
  <c r="F17" i="55"/>
  <c r="F6" i="55"/>
  <c r="G6" i="55" s="1"/>
  <c r="F25" i="55"/>
  <c r="F19" i="55"/>
  <c r="F31" i="55"/>
  <c r="F30" i="55"/>
  <c r="F35" i="55"/>
  <c r="F34" i="55"/>
  <c r="F37" i="55"/>
  <c r="F8" i="55"/>
  <c r="G8" i="55" s="1"/>
  <c r="F11" i="55"/>
  <c r="G11" i="55" s="1"/>
  <c r="F26" i="55"/>
  <c r="F33" i="55"/>
  <c r="F22" i="55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IP15" i="1"/>
  <c r="GZ15" i="1"/>
  <c r="FY15" i="1"/>
  <c r="EX15" i="1"/>
  <c r="DH15" i="1"/>
  <c r="JB15" i="1"/>
  <c r="HL15" i="1"/>
  <c r="GK15" i="1"/>
  <c r="FJ15" i="1"/>
  <c r="DT15" i="1"/>
  <c r="CS15" i="1"/>
  <c r="CG15" i="1"/>
  <c r="BU15" i="1"/>
  <c r="BI15" i="1"/>
  <c r="AW15" i="1"/>
  <c r="AK15" i="1"/>
  <c r="Y15" i="1"/>
  <c r="M15" i="1"/>
  <c r="HX15" i="1"/>
  <c r="GW15" i="1"/>
  <c r="FV15" i="1"/>
  <c r="EF15" i="1"/>
  <c r="DE15" i="1"/>
  <c r="IJ15" i="1"/>
  <c r="HI15" i="1"/>
  <c r="GH15" i="1"/>
  <c r="ER15" i="1"/>
  <c r="DQ15" i="1"/>
  <c r="CP15" i="1"/>
  <c r="CD15" i="1"/>
  <c r="BR15" i="1"/>
  <c r="BF15" i="1"/>
  <c r="AT15" i="1"/>
  <c r="AH15" i="1"/>
  <c r="V15" i="1"/>
  <c r="J15" i="1"/>
  <c r="IV15" i="1"/>
  <c r="HU15" i="1"/>
  <c r="GT15" i="1"/>
  <c r="FD15" i="1"/>
  <c r="EC15" i="1"/>
  <c r="DB15" i="1"/>
  <c r="IS15" i="1"/>
  <c r="HR15" i="1"/>
  <c r="GB15" i="1"/>
  <c r="FA15" i="1"/>
  <c r="DZ15" i="1"/>
  <c r="IG15" i="1"/>
  <c r="EL15" i="1"/>
  <c r="CV15" i="1"/>
  <c r="BO15" i="1"/>
  <c r="AZ15" i="1"/>
  <c r="S15" i="1"/>
  <c r="DN15" i="1"/>
  <c r="FM15" i="1"/>
  <c r="JE15" i="1"/>
  <c r="ID15" i="1"/>
  <c r="GN15" i="1"/>
  <c r="CA15" i="1"/>
  <c r="BL15" i="1"/>
  <c r="AE15" i="1"/>
  <c r="P15" i="1"/>
  <c r="JH15" i="1"/>
  <c r="HF15" i="1"/>
  <c r="FP15" i="1"/>
  <c r="CM15" i="1"/>
  <c r="BX15" i="1"/>
  <c r="AQ15" i="1"/>
  <c r="AB15" i="1"/>
  <c r="EO15" i="1"/>
  <c r="CJ15" i="1"/>
  <c r="BC15" i="1"/>
  <c r="AN15" i="1"/>
  <c r="G15" i="1"/>
  <c r="I10" i="48"/>
  <c r="E10" i="1"/>
  <c r="E11" i="2" s="1"/>
  <c r="BM11" i="2" s="1"/>
  <c r="G34" i="45"/>
  <c r="K34" i="45"/>
  <c r="R34" i="45"/>
  <c r="O34" i="45"/>
  <c r="E36" i="2"/>
  <c r="BM36" i="2" s="1"/>
  <c r="J20" i="7"/>
  <c r="J20" i="6" s="1"/>
  <c r="J20" i="37" s="1"/>
  <c r="J20" i="4" s="1"/>
  <c r="J20" i="43" s="1"/>
  <c r="K56" i="32"/>
  <c r="J8" i="7"/>
  <c r="J8" i="6" s="1"/>
  <c r="J8" i="37" s="1"/>
  <c r="J8" i="4" s="1"/>
  <c r="J8" i="43" s="1"/>
  <c r="J41" i="32"/>
  <c r="J21" i="7"/>
  <c r="J21" i="6" s="1"/>
  <c r="J21" i="37" s="1"/>
  <c r="J21" i="4" s="1"/>
  <c r="J21" i="43" s="1"/>
  <c r="J9" i="7"/>
  <c r="J9" i="6" s="1"/>
  <c r="J9" i="37" s="1"/>
  <c r="J9" i="4" s="1"/>
  <c r="J9" i="43" s="1"/>
  <c r="J18" i="9"/>
  <c r="J18" i="8" s="1"/>
  <c r="J18" i="7" s="1"/>
  <c r="J18" i="6" s="1"/>
  <c r="J18" i="37" s="1"/>
  <c r="J18" i="4" s="1"/>
  <c r="J18" i="43" s="1"/>
  <c r="J16" i="9"/>
  <c r="J16" i="8" s="1"/>
  <c r="J16" i="7" s="1"/>
  <c r="J16" i="6" s="1"/>
  <c r="J16" i="37" s="1"/>
  <c r="J16" i="4" s="1"/>
  <c r="J16" i="43" s="1"/>
  <c r="J12" i="9"/>
  <c r="J12" i="8" s="1"/>
  <c r="J12" i="7" s="1"/>
  <c r="J12" i="6" s="1"/>
  <c r="J12" i="37" s="1"/>
  <c r="J12" i="4" s="1"/>
  <c r="J12" i="43" s="1"/>
  <c r="J40" i="31"/>
  <c r="J40" i="30" s="1"/>
  <c r="J45" i="30" s="1"/>
  <c r="AJ10" i="48"/>
  <c r="BC10" i="48"/>
  <c r="J11" i="9"/>
  <c r="J11" i="8" s="1"/>
  <c r="J11" i="7" s="1"/>
  <c r="J11" i="6" s="1"/>
  <c r="J11" i="37" s="1"/>
  <c r="J11" i="4" s="1"/>
  <c r="J11" i="43" s="1"/>
  <c r="J19" i="9"/>
  <c r="J19" i="8" s="1"/>
  <c r="J19" i="7" s="1"/>
  <c r="J19" i="6" s="1"/>
  <c r="J19" i="37" s="1"/>
  <c r="J19" i="4" s="1"/>
  <c r="J19" i="43" s="1"/>
  <c r="AD10" i="48"/>
  <c r="J48" i="32"/>
  <c r="J17" i="9"/>
  <c r="J17" i="8" s="1"/>
  <c r="J17" i="7" s="1"/>
  <c r="J17" i="6" s="1"/>
  <c r="J17" i="37" s="1"/>
  <c r="J17" i="4" s="1"/>
  <c r="J17" i="43" s="1"/>
  <c r="S10" i="48"/>
  <c r="BD10" i="48" s="1"/>
  <c r="J45" i="32"/>
  <c r="J10" i="48"/>
  <c r="J13" i="9"/>
  <c r="J13" i="8" s="1"/>
  <c r="J13" i="7" s="1"/>
  <c r="J13" i="6" s="1"/>
  <c r="J13" i="37" s="1"/>
  <c r="J13" i="4" s="1"/>
  <c r="J13" i="43" s="1"/>
  <c r="J10" i="9"/>
  <c r="J10" i="8" s="1"/>
  <c r="J10" i="7" s="1"/>
  <c r="J10" i="6" s="1"/>
  <c r="J10" i="37" s="1"/>
  <c r="J10" i="4" s="1"/>
  <c r="J10" i="43" s="1"/>
  <c r="E30" i="2"/>
  <c r="BM30" i="2" s="1"/>
  <c r="G28" i="45"/>
  <c r="K28" i="45"/>
  <c r="R28" i="45"/>
  <c r="O28" i="45"/>
  <c r="G30" i="45"/>
  <c r="O30" i="45"/>
  <c r="K30" i="45"/>
  <c r="R30" i="45"/>
  <c r="E32" i="2"/>
  <c r="BM32" i="2" s="1"/>
  <c r="E31" i="2"/>
  <c r="BM31" i="2" s="1"/>
  <c r="R29" i="45"/>
  <c r="G29" i="45"/>
  <c r="O29" i="45"/>
  <c r="K29" i="45"/>
  <c r="K26" i="45"/>
  <c r="R26" i="45"/>
  <c r="O26" i="45"/>
  <c r="G26" i="45"/>
  <c r="O25" i="45"/>
  <c r="G25" i="45"/>
  <c r="K25" i="45"/>
  <c r="R25" i="45"/>
  <c r="R22" i="45"/>
  <c r="O22" i="45"/>
  <c r="G22" i="45"/>
  <c r="K22" i="45"/>
  <c r="E24" i="2"/>
  <c r="BM24" i="2" s="1"/>
  <c r="E28" i="2"/>
  <c r="BM28" i="2" s="1"/>
  <c r="E27" i="2"/>
  <c r="BM27" i="2" s="1"/>
  <c r="G27" i="45"/>
  <c r="K27" i="45"/>
  <c r="O27" i="45"/>
  <c r="R27" i="45"/>
  <c r="E29" i="2"/>
  <c r="BM29" i="2" s="1"/>
  <c r="G16" i="45"/>
  <c r="K16" i="45"/>
  <c r="O16" i="45"/>
  <c r="R16" i="45"/>
  <c r="K18" i="45"/>
  <c r="G18" i="45"/>
  <c r="O18" i="45"/>
  <c r="R18" i="45"/>
  <c r="E20" i="2"/>
  <c r="BM20" i="2" s="1"/>
  <c r="E18" i="2"/>
  <c r="BM18" i="2" s="1"/>
  <c r="E17" i="2"/>
  <c r="BM17" i="2" s="1"/>
  <c r="K15" i="45"/>
  <c r="G15" i="45"/>
  <c r="O15" i="45"/>
  <c r="R15" i="45"/>
  <c r="E16" i="2"/>
  <c r="BM16" i="2" s="1"/>
  <c r="C40" i="45"/>
  <c r="G40" i="45" s="1"/>
  <c r="BC14" i="48"/>
  <c r="J14" i="48"/>
  <c r="AJ14" i="48"/>
  <c r="AD14" i="48"/>
  <c r="I14" i="48"/>
  <c r="E14" i="2"/>
  <c r="BM14" i="2" s="1"/>
  <c r="E13" i="2"/>
  <c r="BM13" i="2" s="1"/>
  <c r="E12" i="2"/>
  <c r="BM12" i="2" s="1"/>
  <c r="AI10" i="48"/>
  <c r="M11" i="48"/>
  <c r="M12" i="48" s="1"/>
  <c r="J49" i="32"/>
  <c r="J50" i="32" s="1"/>
  <c r="I50" i="22"/>
  <c r="I51" i="22"/>
  <c r="I50" i="7"/>
  <c r="I51" i="7"/>
  <c r="U10" i="48"/>
  <c r="W10" i="48" s="1"/>
  <c r="V10" i="48"/>
  <c r="X10" i="48"/>
  <c r="V35" i="48"/>
  <c r="X35" i="48"/>
  <c r="V21" i="48"/>
  <c r="X21" i="48"/>
  <c r="E43" i="26"/>
  <c r="E39" i="26"/>
  <c r="D48" i="28"/>
  <c r="E48" i="28" s="1"/>
  <c r="M8" i="27"/>
  <c r="M8" i="28" s="1"/>
  <c r="M34" i="29"/>
  <c r="D41" i="28"/>
  <c r="E41" i="28" s="1"/>
  <c r="E41" i="27"/>
  <c r="J56" i="28"/>
  <c r="J56" i="26" s="1"/>
  <c r="J43" i="28"/>
  <c r="J44" i="28" s="1"/>
  <c r="J44" i="27"/>
  <c r="D38" i="26"/>
  <c r="D38" i="25" s="1"/>
  <c r="E38" i="28"/>
  <c r="E52" i="29"/>
  <c r="E53" i="29" s="1"/>
  <c r="E50" i="27"/>
  <c r="D50" i="28"/>
  <c r="E50" i="28" s="1"/>
  <c r="D43" i="24"/>
  <c r="E43" i="24" s="1"/>
  <c r="E43" i="25"/>
  <c r="E42" i="27"/>
  <c r="D42" i="28"/>
  <c r="D42" i="26" s="1"/>
  <c r="D52" i="27"/>
  <c r="D53" i="27" s="1"/>
  <c r="D47" i="25"/>
  <c r="D47" i="24" s="1"/>
  <c r="E47" i="26"/>
  <c r="E46" i="27"/>
  <c r="D46" i="28"/>
  <c r="E46" i="28" s="1"/>
  <c r="D51" i="26"/>
  <c r="E51" i="26" s="1"/>
  <c r="E51" i="28"/>
  <c r="D40" i="26"/>
  <c r="D40" i="25" s="1"/>
  <c r="E40" i="28"/>
  <c r="D44" i="25"/>
  <c r="E44" i="25" s="1"/>
  <c r="E44" i="26"/>
  <c r="D45" i="24"/>
  <c r="D45" i="23" s="1"/>
  <c r="E45" i="25"/>
  <c r="A16" i="2" s="1"/>
  <c r="J37" i="27"/>
  <c r="J39" i="27" s="1"/>
  <c r="J39" i="29"/>
  <c r="J57" i="28"/>
  <c r="J57" i="26" s="1"/>
  <c r="D49" i="25"/>
  <c r="E49" i="25" s="1"/>
  <c r="E49" i="26"/>
  <c r="D39" i="24"/>
  <c r="E39" i="24" s="1"/>
  <c r="E39" i="25"/>
  <c r="M7" i="25"/>
  <c r="M7" i="24" s="1"/>
  <c r="J47" i="28"/>
  <c r="J46" i="26"/>
  <c r="J47" i="26" s="1"/>
  <c r="J57" i="14"/>
  <c r="J57" i="13" s="1"/>
  <c r="AC14" i="48"/>
  <c r="Q15" i="48"/>
  <c r="AC15" i="48" s="1"/>
  <c r="J41" i="31" l="1"/>
  <c r="AI11" i="48"/>
  <c r="J43" i="26"/>
  <c r="J43" i="25" s="1"/>
  <c r="J43" i="24" s="1"/>
  <c r="D48" i="26"/>
  <c r="D48" i="25" s="1"/>
  <c r="J37" i="28"/>
  <c r="J37" i="26" s="1"/>
  <c r="J37" i="25" s="1"/>
  <c r="AE10" i="48"/>
  <c r="AJ41" i="48"/>
  <c r="I41" i="48"/>
  <c r="AD41" i="48"/>
  <c r="J41" i="48"/>
  <c r="J48" i="30"/>
  <c r="J41" i="30"/>
  <c r="K56" i="31"/>
  <c r="J45" i="31"/>
  <c r="K57" i="30"/>
  <c r="D43" i="23"/>
  <c r="E43" i="23" s="1"/>
  <c r="J40" i="29"/>
  <c r="J41" i="29" s="1"/>
  <c r="K57" i="31"/>
  <c r="K56" i="30"/>
  <c r="J48" i="31"/>
  <c r="D46" i="26"/>
  <c r="E46" i="26" s="1"/>
  <c r="D51" i="25"/>
  <c r="E51" i="25" s="1"/>
  <c r="AK10" i="48"/>
  <c r="S11" i="48"/>
  <c r="K11" i="48" s="1"/>
  <c r="K10" i="48"/>
  <c r="J46" i="25"/>
  <c r="J46" i="24" s="1"/>
  <c r="J47" i="24" s="1"/>
  <c r="Y10" i="48"/>
  <c r="G33" i="55"/>
  <c r="G38" i="55"/>
  <c r="H38" i="55" s="1"/>
  <c r="G36" i="55"/>
  <c r="G31" i="55"/>
  <c r="U11" i="48"/>
  <c r="W11" i="48" s="1"/>
  <c r="E47" i="25"/>
  <c r="E38" i="26"/>
  <c r="D49" i="24"/>
  <c r="E49" i="24" s="1"/>
  <c r="R40" i="45"/>
  <c r="G19" i="55"/>
  <c r="D44" i="24"/>
  <c r="A17" i="2" s="1"/>
  <c r="G24" i="55"/>
  <c r="J49" i="31"/>
  <c r="J51" i="31" s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DE10" i="1"/>
  <c r="CS10" i="1"/>
  <c r="CG10" i="1"/>
  <c r="BU10" i="1"/>
  <c r="BI10" i="1"/>
  <c r="AW10" i="1"/>
  <c r="AK10" i="1"/>
  <c r="Y10" i="1"/>
  <c r="JE10" i="1"/>
  <c r="IS10" i="1"/>
  <c r="IG10" i="1"/>
  <c r="HU10" i="1"/>
  <c r="HR10" i="1"/>
  <c r="GB10" i="1"/>
  <c r="FA10" i="1"/>
  <c r="DZ10" i="1"/>
  <c r="CV10" i="1"/>
  <c r="BF10" i="1"/>
  <c r="AE10" i="1"/>
  <c r="DN10" i="1"/>
  <c r="AT10" i="1"/>
  <c r="G10" i="1"/>
  <c r="IV10" i="1"/>
  <c r="GN10" i="1"/>
  <c r="FM10" i="1"/>
  <c r="EL10" i="1"/>
  <c r="DH10" i="1"/>
  <c r="BR10" i="1"/>
  <c r="AQ10" i="1"/>
  <c r="P10" i="1"/>
  <c r="HX10" i="1"/>
  <c r="J10" i="1"/>
  <c r="FP10" i="1"/>
  <c r="ID10" i="1"/>
  <c r="GZ10" i="1"/>
  <c r="FY10" i="1"/>
  <c r="EX10" i="1"/>
  <c r="CD10" i="1"/>
  <c r="BC10" i="1"/>
  <c r="AB10" i="1"/>
  <c r="HI10" i="1"/>
  <c r="ER10" i="1"/>
  <c r="CM10" i="1"/>
  <c r="V10" i="1"/>
  <c r="JH10" i="1"/>
  <c r="HL10" i="1"/>
  <c r="GK10" i="1"/>
  <c r="FJ10" i="1"/>
  <c r="DT10" i="1"/>
  <c r="CP10" i="1"/>
  <c r="BO10" i="1"/>
  <c r="AN10" i="1"/>
  <c r="M10" i="1"/>
  <c r="BL10" i="1"/>
  <c r="IP10" i="1"/>
  <c r="GW10" i="1"/>
  <c r="FV10" i="1"/>
  <c r="EF10" i="1"/>
  <c r="DB10" i="1"/>
  <c r="CA10" i="1"/>
  <c r="AZ10" i="1"/>
  <c r="GH10" i="1"/>
  <c r="DQ10" i="1"/>
  <c r="IJ10" i="1"/>
  <c r="HF10" i="1"/>
  <c r="CJ10" i="1"/>
  <c r="S10" i="1"/>
  <c r="JB10" i="1"/>
  <c r="GT10" i="1"/>
  <c r="FD10" i="1"/>
  <c r="EC10" i="1"/>
  <c r="CY10" i="1"/>
  <c r="BX10" i="1"/>
  <c r="AH10" i="1"/>
  <c r="EO10" i="1"/>
  <c r="G4" i="55"/>
  <c r="O40" i="45"/>
  <c r="K40" i="45"/>
  <c r="Q16" i="48"/>
  <c r="Q17" i="48" s="1"/>
  <c r="E45" i="24"/>
  <c r="D41" i="26"/>
  <c r="D41" i="25" s="1"/>
  <c r="J51" i="32"/>
  <c r="E52" i="27"/>
  <c r="E53" i="27" s="1"/>
  <c r="G16" i="55"/>
  <c r="D39" i="23"/>
  <c r="D39" i="21" s="1"/>
  <c r="E39" i="21" s="1"/>
  <c r="D50" i="26"/>
  <c r="D50" i="25" s="1"/>
  <c r="E50" i="25" s="1"/>
  <c r="M34" i="27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IY14" i="1"/>
  <c r="HC14" i="1"/>
  <c r="FG14" i="1"/>
  <c r="DK14" i="1"/>
  <c r="CY14" i="1"/>
  <c r="CM14" i="1"/>
  <c r="CA14" i="1"/>
  <c r="BO14" i="1"/>
  <c r="BC14" i="1"/>
  <c r="AQ14" i="1"/>
  <c r="AE14" i="1"/>
  <c r="S14" i="1"/>
  <c r="G14" i="1"/>
  <c r="IG14" i="1"/>
  <c r="GK14" i="1"/>
  <c r="EO14" i="1"/>
  <c r="HO14" i="1"/>
  <c r="FS14" i="1"/>
  <c r="DW14" i="1"/>
  <c r="DH14" i="1"/>
  <c r="CV14" i="1"/>
  <c r="CJ14" i="1"/>
  <c r="BX14" i="1"/>
  <c r="BL14" i="1"/>
  <c r="AZ14" i="1"/>
  <c r="AN14" i="1"/>
  <c r="AB14" i="1"/>
  <c r="P14" i="1"/>
  <c r="IS14" i="1"/>
  <c r="GW14" i="1"/>
  <c r="FA14" i="1"/>
  <c r="IA14" i="1"/>
  <c r="GE14" i="1"/>
  <c r="EI14" i="1"/>
  <c r="DE14" i="1"/>
  <c r="CS14" i="1"/>
  <c r="CG14" i="1"/>
  <c r="BU14" i="1"/>
  <c r="BI14" i="1"/>
  <c r="AW14" i="1"/>
  <c r="AK14" i="1"/>
  <c r="Y14" i="1"/>
  <c r="M14" i="1"/>
  <c r="IM14" i="1"/>
  <c r="GQ14" i="1"/>
  <c r="EU14" i="1"/>
  <c r="DB14" i="1"/>
  <c r="CP14" i="1"/>
  <c r="CD14" i="1"/>
  <c r="BR14" i="1"/>
  <c r="BF14" i="1"/>
  <c r="AT14" i="1"/>
  <c r="AH14" i="1"/>
  <c r="V14" i="1"/>
  <c r="J14" i="1"/>
  <c r="HI14" i="1"/>
  <c r="FY14" i="1"/>
  <c r="FM14" i="1"/>
  <c r="HU14" i="1"/>
  <c r="EC14" i="1"/>
  <c r="DQ14" i="1"/>
  <c r="JE14" i="1"/>
  <c r="E40" i="26"/>
  <c r="E42" i="28"/>
  <c r="E52" i="28" s="1"/>
  <c r="E53" i="28" s="1"/>
  <c r="D52" i="28"/>
  <c r="D53" i="28" s="1"/>
  <c r="F11" i="2"/>
  <c r="BN11" i="2" s="1"/>
  <c r="E42" i="2"/>
  <c r="BM42" i="2" s="1"/>
  <c r="AI12" i="48"/>
  <c r="M13" i="48"/>
  <c r="AI13" i="48" s="1"/>
  <c r="E48" i="26"/>
  <c r="M8" i="26"/>
  <c r="M8" i="25" s="1"/>
  <c r="M34" i="28"/>
  <c r="J56" i="25"/>
  <c r="J56" i="24" s="1"/>
  <c r="J44" i="26"/>
  <c r="D38" i="24"/>
  <c r="E38" i="24" s="1"/>
  <c r="E38" i="25"/>
  <c r="E42" i="26"/>
  <c r="D42" i="25"/>
  <c r="D42" i="24" s="1"/>
  <c r="D48" i="24"/>
  <c r="D48" i="23" s="1"/>
  <c r="E48" i="25"/>
  <c r="D47" i="23"/>
  <c r="E47" i="23" s="1"/>
  <c r="E47" i="24"/>
  <c r="D40" i="24"/>
  <c r="E40" i="24" s="1"/>
  <c r="E40" i="25"/>
  <c r="E45" i="23"/>
  <c r="D45" i="21"/>
  <c r="A18" i="2" s="1"/>
  <c r="J57" i="25"/>
  <c r="M7" i="23"/>
  <c r="M7" i="21" s="1"/>
  <c r="J57" i="12"/>
  <c r="J57" i="11" s="1"/>
  <c r="J39" i="28" l="1"/>
  <c r="D44" i="23"/>
  <c r="D44" i="21" s="1"/>
  <c r="D44" i="22" s="1"/>
  <c r="E44" i="24"/>
  <c r="D51" i="24"/>
  <c r="E51" i="24" s="1"/>
  <c r="D43" i="21"/>
  <c r="D43" i="22" s="1"/>
  <c r="E43" i="22" s="1"/>
  <c r="K56" i="29"/>
  <c r="K57" i="29"/>
  <c r="J40" i="27"/>
  <c r="J45" i="27" s="1"/>
  <c r="J48" i="29"/>
  <c r="J45" i="29"/>
  <c r="M34" i="26"/>
  <c r="D46" i="25"/>
  <c r="E46" i="25" s="1"/>
  <c r="J47" i="25"/>
  <c r="BD11" i="48"/>
  <c r="AK11" i="48"/>
  <c r="S12" i="48"/>
  <c r="AE11" i="48"/>
  <c r="Y11" i="48"/>
  <c r="E39" i="23"/>
  <c r="D49" i="23"/>
  <c r="E49" i="23" s="1"/>
  <c r="J46" i="23"/>
  <c r="J47" i="23" s="1"/>
  <c r="F12" i="2"/>
  <c r="BN12" i="2" s="1"/>
  <c r="J49" i="30"/>
  <c r="J51" i="30" s="1"/>
  <c r="U12" i="48"/>
  <c r="J50" i="31"/>
  <c r="J44" i="25"/>
  <c r="H24" i="55"/>
  <c r="D45" i="22"/>
  <c r="E45" i="22" s="1"/>
  <c r="E48" i="24"/>
  <c r="E41" i="26"/>
  <c r="D47" i="21"/>
  <c r="D47" i="22" s="1"/>
  <c r="E42" i="25"/>
  <c r="Q18" i="48"/>
  <c r="AC18" i="48" s="1"/>
  <c r="AC17" i="48"/>
  <c r="AC16" i="48"/>
  <c r="G145" i="56" s="1"/>
  <c r="J39" i="26"/>
  <c r="D52" i="26"/>
  <c r="D53" i="26" s="1"/>
  <c r="E50" i="26"/>
  <c r="E41" i="25"/>
  <c r="D41" i="24"/>
  <c r="D41" i="23" s="1"/>
  <c r="D50" i="24"/>
  <c r="E50" i="24" s="1"/>
  <c r="D38" i="23"/>
  <c r="E38" i="23" s="1"/>
  <c r="M14" i="48"/>
  <c r="M15" i="48" s="1"/>
  <c r="H4" i="55"/>
  <c r="E45" i="21"/>
  <c r="D40" i="23"/>
  <c r="D40" i="21" s="1"/>
  <c r="D39" i="22"/>
  <c r="D39" i="20" s="1"/>
  <c r="M8" i="24"/>
  <c r="M34" i="25"/>
  <c r="J56" i="23"/>
  <c r="J44" i="24"/>
  <c r="J43" i="23"/>
  <c r="E42" i="24"/>
  <c r="D42" i="23"/>
  <c r="E48" i="23"/>
  <c r="D48" i="21"/>
  <c r="J37" i="24"/>
  <c r="J39" i="25"/>
  <c r="M7" i="22"/>
  <c r="J57" i="10"/>
  <c r="E44" i="21" l="1"/>
  <c r="A20" i="2" s="1"/>
  <c r="E44" i="23"/>
  <c r="A19" i="2" s="1"/>
  <c r="D51" i="23"/>
  <c r="E51" i="23" s="1"/>
  <c r="Q19" i="48"/>
  <c r="Q20" i="48" s="1"/>
  <c r="J48" i="27"/>
  <c r="D43" i="20"/>
  <c r="D43" i="19" s="1"/>
  <c r="E43" i="21"/>
  <c r="D52" i="25"/>
  <c r="D53" i="25" s="1"/>
  <c r="D49" i="21"/>
  <c r="D49" i="22" s="1"/>
  <c r="E49" i="22" s="1"/>
  <c r="D46" i="24"/>
  <c r="D46" i="23" s="1"/>
  <c r="E46" i="23" s="1"/>
  <c r="Y12" i="48"/>
  <c r="K56" i="27"/>
  <c r="J41" i="27"/>
  <c r="J40" i="28"/>
  <c r="J45" i="28" s="1"/>
  <c r="K57" i="27"/>
  <c r="E52" i="25"/>
  <c r="E53" i="25" s="1"/>
  <c r="F13" i="2"/>
  <c r="F14" i="2" s="1"/>
  <c r="BN14" i="2" s="1"/>
  <c r="BD12" i="48"/>
  <c r="AE12" i="48"/>
  <c r="AK12" i="48"/>
  <c r="S13" i="48"/>
  <c r="K12" i="48"/>
  <c r="D50" i="23"/>
  <c r="D45" i="20"/>
  <c r="E45" i="20" s="1"/>
  <c r="E52" i="26"/>
  <c r="E53" i="26" s="1"/>
  <c r="E47" i="21"/>
  <c r="D38" i="21"/>
  <c r="D38" i="22" s="1"/>
  <c r="J49" i="29"/>
  <c r="J51" i="29" s="1"/>
  <c r="J50" i="30"/>
  <c r="J46" i="21"/>
  <c r="J47" i="21" s="1"/>
  <c r="U13" i="48"/>
  <c r="W12" i="48"/>
  <c r="AI14" i="48"/>
  <c r="E39" i="22"/>
  <c r="E41" i="24"/>
  <c r="E40" i="23"/>
  <c r="AI15" i="48"/>
  <c r="M16" i="48"/>
  <c r="M8" i="23"/>
  <c r="M34" i="24"/>
  <c r="E41" i="23"/>
  <c r="D41" i="21"/>
  <c r="J44" i="23"/>
  <c r="J43" i="21"/>
  <c r="J56" i="21"/>
  <c r="D47" i="20"/>
  <c r="E47" i="22"/>
  <c r="E48" i="21"/>
  <c r="D48" i="22"/>
  <c r="D42" i="21"/>
  <c r="E42" i="23"/>
  <c r="D44" i="20"/>
  <c r="E44" i="22"/>
  <c r="D40" i="22"/>
  <c r="E40" i="21"/>
  <c r="A21" i="2" s="1"/>
  <c r="J39" i="24"/>
  <c r="J37" i="23"/>
  <c r="E39" i="20"/>
  <c r="D39" i="19"/>
  <c r="J57" i="9"/>
  <c r="M7" i="20"/>
  <c r="AC19" i="48" l="1"/>
  <c r="D51" i="21"/>
  <c r="D51" i="22" s="1"/>
  <c r="D51" i="20" s="1"/>
  <c r="E43" i="20"/>
  <c r="D49" i="20"/>
  <c r="D49" i="19" s="1"/>
  <c r="E49" i="21"/>
  <c r="D46" i="21"/>
  <c r="D46" i="22" s="1"/>
  <c r="D52" i="24"/>
  <c r="D53" i="24" s="1"/>
  <c r="E46" i="24"/>
  <c r="E52" i="24" s="1"/>
  <c r="E53" i="24" s="1"/>
  <c r="D52" i="23"/>
  <c r="D53" i="23" s="1"/>
  <c r="K56" i="28"/>
  <c r="J48" i="28"/>
  <c r="J41" i="28"/>
  <c r="J40" i="26"/>
  <c r="J40" i="25" s="1"/>
  <c r="K57" i="28"/>
  <c r="F15" i="2"/>
  <c r="F16" i="2" s="1"/>
  <c r="BN13" i="2"/>
  <c r="Y13" i="48"/>
  <c r="E50" i="23"/>
  <c r="E52" i="23" s="1"/>
  <c r="E53" i="23" s="1"/>
  <c r="D50" i="21"/>
  <c r="D50" i="22" s="1"/>
  <c r="D45" i="19"/>
  <c r="Z99" i="57" s="1"/>
  <c r="W13" i="48"/>
  <c r="BD13" i="48"/>
  <c r="AE13" i="48"/>
  <c r="S14" i="48"/>
  <c r="K13" i="48"/>
  <c r="AK13" i="48"/>
  <c r="J50" i="29"/>
  <c r="E38" i="21"/>
  <c r="J46" i="22"/>
  <c r="J47" i="22" s="1"/>
  <c r="AI16" i="48"/>
  <c r="M17" i="48"/>
  <c r="M18" i="48" s="1"/>
  <c r="M19" i="48" s="1"/>
  <c r="M8" i="21"/>
  <c r="M34" i="23"/>
  <c r="D41" i="22"/>
  <c r="E41" i="21"/>
  <c r="J56" i="22"/>
  <c r="J43" i="22"/>
  <c r="J44" i="21"/>
  <c r="E38" i="22"/>
  <c r="D38" i="20"/>
  <c r="E43" i="19"/>
  <c r="D43" i="18"/>
  <c r="E48" i="22"/>
  <c r="D48" i="20"/>
  <c r="D47" i="19"/>
  <c r="E47" i="20"/>
  <c r="E42" i="21"/>
  <c r="D42" i="22"/>
  <c r="E40" i="22"/>
  <c r="D40" i="20"/>
  <c r="D44" i="19"/>
  <c r="E44" i="20"/>
  <c r="E49" i="20"/>
  <c r="J37" i="21"/>
  <c r="J39" i="23"/>
  <c r="M7" i="19"/>
  <c r="J57" i="8"/>
  <c r="Q21" i="48"/>
  <c r="AC20" i="48"/>
  <c r="D39" i="18"/>
  <c r="E39" i="19"/>
  <c r="AA99" i="57" l="1"/>
  <c r="AB99" i="57" s="1"/>
  <c r="E51" i="22"/>
  <c r="A22" i="2" s="1"/>
  <c r="E51" i="21"/>
  <c r="E45" i="19"/>
  <c r="Z99" i="46"/>
  <c r="AA99" i="46" s="1"/>
  <c r="AB99" i="46" s="1"/>
  <c r="E50" i="21"/>
  <c r="E46" i="21"/>
  <c r="BN15" i="2"/>
  <c r="J48" i="26"/>
  <c r="D45" i="18"/>
  <c r="E45" i="18" s="1"/>
  <c r="K57" i="26"/>
  <c r="J45" i="26"/>
  <c r="J48" i="25"/>
  <c r="K57" i="25"/>
  <c r="J41" i="25"/>
  <c r="J45" i="25"/>
  <c r="J40" i="24"/>
  <c r="J41" i="24" s="1"/>
  <c r="K56" i="25"/>
  <c r="K56" i="26"/>
  <c r="J41" i="26"/>
  <c r="D52" i="21"/>
  <c r="D53" i="21" s="1"/>
  <c r="BD14" i="48"/>
  <c r="AK14" i="48"/>
  <c r="S15" i="48"/>
  <c r="AE14" i="48"/>
  <c r="K14" i="48"/>
  <c r="J46" i="20"/>
  <c r="J47" i="20" s="1"/>
  <c r="AI18" i="48"/>
  <c r="AI17" i="48"/>
  <c r="BN16" i="2"/>
  <c r="F17" i="2"/>
  <c r="M8" i="22"/>
  <c r="M34" i="21"/>
  <c r="E41" i="22"/>
  <c r="D41" i="20"/>
  <c r="J43" i="20"/>
  <c r="J44" i="22"/>
  <c r="J56" i="20"/>
  <c r="E38" i="20"/>
  <c r="D38" i="19"/>
  <c r="E50" i="22"/>
  <c r="D50" i="20"/>
  <c r="D43" i="17"/>
  <c r="E43" i="18"/>
  <c r="E42" i="22"/>
  <c r="D42" i="20"/>
  <c r="E46" i="22"/>
  <c r="D46" i="20"/>
  <c r="E47" i="19"/>
  <c r="D47" i="18"/>
  <c r="D52" i="22"/>
  <c r="D53" i="22" s="1"/>
  <c r="D48" i="19"/>
  <c r="E48" i="20"/>
  <c r="D44" i="18"/>
  <c r="E44" i="19"/>
  <c r="D40" i="19"/>
  <c r="E40" i="20"/>
  <c r="E51" i="20"/>
  <c r="D51" i="19"/>
  <c r="D49" i="18"/>
  <c r="E49" i="19"/>
  <c r="J39" i="21"/>
  <c r="J37" i="22"/>
  <c r="D39" i="17"/>
  <c r="E39" i="18"/>
  <c r="Q22" i="48"/>
  <c r="AC21" i="48"/>
  <c r="M20" i="48"/>
  <c r="AI19" i="48"/>
  <c r="M7" i="18"/>
  <c r="J57" i="7"/>
  <c r="E52" i="21" l="1"/>
  <c r="E53" i="21" s="1"/>
  <c r="K56" i="24"/>
  <c r="K57" i="24"/>
  <c r="J48" i="24"/>
  <c r="J45" i="24"/>
  <c r="J40" i="23"/>
  <c r="J45" i="23" s="1"/>
  <c r="D45" i="17"/>
  <c r="A23" i="2" s="1"/>
  <c r="J46" i="19"/>
  <c r="J47" i="19" s="1"/>
  <c r="AK15" i="48"/>
  <c r="K15" i="48"/>
  <c r="BD15" i="48"/>
  <c r="S16" i="48"/>
  <c r="AE15" i="48"/>
  <c r="BN17" i="2"/>
  <c r="F18" i="2"/>
  <c r="D52" i="20"/>
  <c r="D53" i="20" s="1"/>
  <c r="M8" i="20"/>
  <c r="M34" i="22"/>
  <c r="D41" i="19"/>
  <c r="E41" i="20"/>
  <c r="J56" i="19"/>
  <c r="J43" i="19"/>
  <c r="J44" i="20"/>
  <c r="E38" i="19"/>
  <c r="D38" i="18"/>
  <c r="E52" i="22"/>
  <c r="E53" i="22" s="1"/>
  <c r="E50" i="20"/>
  <c r="D50" i="19"/>
  <c r="D43" i="16"/>
  <c r="E43" i="17"/>
  <c r="D48" i="18"/>
  <c r="E48" i="19"/>
  <c r="D47" i="17"/>
  <c r="E47" i="18"/>
  <c r="D46" i="19"/>
  <c r="E46" i="20"/>
  <c r="D42" i="19"/>
  <c r="E42" i="20"/>
  <c r="D51" i="18"/>
  <c r="E51" i="19"/>
  <c r="D40" i="18"/>
  <c r="E40" i="19"/>
  <c r="D44" i="17"/>
  <c r="E44" i="18"/>
  <c r="A24" i="2" s="1"/>
  <c r="J39" i="22"/>
  <c r="J37" i="20"/>
  <c r="D49" i="17"/>
  <c r="E49" i="18"/>
  <c r="Q23" i="48"/>
  <c r="AC22" i="48"/>
  <c r="J57" i="6"/>
  <c r="M7" i="17"/>
  <c r="M21" i="48"/>
  <c r="AI20" i="48"/>
  <c r="D39" i="16"/>
  <c r="E39" i="17"/>
  <c r="AA94" i="46" l="1"/>
  <c r="J40" i="21"/>
  <c r="K56" i="21" s="1"/>
  <c r="K56" i="23"/>
  <c r="K57" i="23"/>
  <c r="J48" i="23"/>
  <c r="D45" i="16"/>
  <c r="D45" i="15" s="1"/>
  <c r="J41" i="23"/>
  <c r="E45" i="17"/>
  <c r="J46" i="18"/>
  <c r="J47" i="18" s="1"/>
  <c r="BD16" i="48"/>
  <c r="AK16" i="48"/>
  <c r="K16" i="48"/>
  <c r="S17" i="48"/>
  <c r="AE16" i="48"/>
  <c r="F19" i="2"/>
  <c r="BN18" i="2"/>
  <c r="J45" i="21"/>
  <c r="K57" i="21"/>
  <c r="J41" i="21"/>
  <c r="M8" i="19"/>
  <c r="M34" i="20"/>
  <c r="D41" i="18"/>
  <c r="E41" i="19"/>
  <c r="J44" i="19"/>
  <c r="J43" i="18"/>
  <c r="J56" i="18"/>
  <c r="E38" i="18"/>
  <c r="D38" i="17"/>
  <c r="D52" i="19"/>
  <c r="D53" i="19" s="1"/>
  <c r="E52" i="20"/>
  <c r="E53" i="20" s="1"/>
  <c r="D50" i="18"/>
  <c r="E50" i="19"/>
  <c r="E43" i="16"/>
  <c r="D43" i="15"/>
  <c r="E42" i="19"/>
  <c r="D42" i="18"/>
  <c r="D46" i="18"/>
  <c r="E46" i="19"/>
  <c r="D47" i="16"/>
  <c r="E47" i="17"/>
  <c r="D48" i="17"/>
  <c r="E48" i="18"/>
  <c r="D40" i="17"/>
  <c r="E40" i="18"/>
  <c r="D51" i="17"/>
  <c r="E51" i="18"/>
  <c r="D44" i="16"/>
  <c r="E44" i="17"/>
  <c r="A25" i="2" s="1"/>
  <c r="J37" i="19"/>
  <c r="J39" i="20"/>
  <c r="E49" i="17"/>
  <c r="D49" i="16"/>
  <c r="J57" i="37"/>
  <c r="D39" i="15"/>
  <c r="E39" i="16"/>
  <c r="AI21" i="48"/>
  <c r="M22" i="48"/>
  <c r="M7" i="16"/>
  <c r="Q24" i="48"/>
  <c r="AC23" i="48"/>
  <c r="J48" i="21" l="1"/>
  <c r="J40" i="22"/>
  <c r="K56" i="22" s="1"/>
  <c r="AB94" i="46"/>
  <c r="E45" i="16"/>
  <c r="J46" i="17"/>
  <c r="J47" i="17" s="1"/>
  <c r="AK17" i="48"/>
  <c r="K17" i="48"/>
  <c r="BD17" i="48"/>
  <c r="S18" i="48"/>
  <c r="AE17" i="48"/>
  <c r="J48" i="22"/>
  <c r="J45" i="22"/>
  <c r="K57" i="22"/>
  <c r="J41" i="22"/>
  <c r="BN19" i="2"/>
  <c r="F20" i="2"/>
  <c r="M8" i="18"/>
  <c r="M34" i="19"/>
  <c r="D41" i="17"/>
  <c r="E41" i="18"/>
  <c r="J56" i="17"/>
  <c r="J43" i="17"/>
  <c r="J44" i="18"/>
  <c r="E52" i="19"/>
  <c r="E53" i="19" s="1"/>
  <c r="E38" i="17"/>
  <c r="D38" i="16"/>
  <c r="E50" i="18"/>
  <c r="D50" i="17"/>
  <c r="D43" i="14"/>
  <c r="E43" i="15"/>
  <c r="D48" i="16"/>
  <c r="E48" i="17"/>
  <c r="E47" i="16"/>
  <c r="D47" i="15"/>
  <c r="E46" i="18"/>
  <c r="D46" i="17"/>
  <c r="D52" i="18"/>
  <c r="D53" i="18" s="1"/>
  <c r="E42" i="18"/>
  <c r="D42" i="17"/>
  <c r="D45" i="14"/>
  <c r="E45" i="15"/>
  <c r="E40" i="17"/>
  <c r="D40" i="16"/>
  <c r="E44" i="16"/>
  <c r="D44" i="15"/>
  <c r="D51" i="16"/>
  <c r="E51" i="17"/>
  <c r="A26" i="2" s="1"/>
  <c r="D49" i="15"/>
  <c r="E49" i="16"/>
  <c r="J37" i="18"/>
  <c r="J39" i="19"/>
  <c r="Q25" i="48"/>
  <c r="AC24" i="48"/>
  <c r="M7" i="15"/>
  <c r="E39" i="15"/>
  <c r="D39" i="14"/>
  <c r="J57" i="4"/>
  <c r="AI22" i="48"/>
  <c r="M23" i="48"/>
  <c r="J40" i="20" l="1"/>
  <c r="J46" i="16"/>
  <c r="J47" i="16" s="1"/>
  <c r="S19" i="48"/>
  <c r="BD18" i="48"/>
  <c r="AK18" i="48"/>
  <c r="AE18" i="48"/>
  <c r="K18" i="48"/>
  <c r="J48" i="20"/>
  <c r="J45" i="20"/>
  <c r="K57" i="20"/>
  <c r="K56" i="20"/>
  <c r="J40" i="19"/>
  <c r="J41" i="20"/>
  <c r="F21" i="2"/>
  <c r="BN20" i="2"/>
  <c r="M8" i="17"/>
  <c r="M34" i="18"/>
  <c r="E41" i="17"/>
  <c r="D41" i="16"/>
  <c r="J43" i="16"/>
  <c r="J44" i="17"/>
  <c r="J56" i="16"/>
  <c r="D38" i="15"/>
  <c r="E38" i="16"/>
  <c r="E50" i="17"/>
  <c r="D50" i="16"/>
  <c r="E52" i="18"/>
  <c r="E53" i="18" s="1"/>
  <c r="E43" i="14"/>
  <c r="D43" i="13"/>
  <c r="E42" i="17"/>
  <c r="D42" i="16"/>
  <c r="D48" i="15"/>
  <c r="E48" i="16"/>
  <c r="D52" i="17"/>
  <c r="D53" i="17" s="1"/>
  <c r="E46" i="17"/>
  <c r="D46" i="16"/>
  <c r="E47" i="15"/>
  <c r="D47" i="14"/>
  <c r="E44" i="15"/>
  <c r="D44" i="14"/>
  <c r="D45" i="13"/>
  <c r="E45" i="14"/>
  <c r="E51" i="16"/>
  <c r="D51" i="15"/>
  <c r="D40" i="15"/>
  <c r="E40" i="16"/>
  <c r="A27" i="2" s="1"/>
  <c r="J37" i="17"/>
  <c r="J39" i="18"/>
  <c r="D49" i="14"/>
  <c r="E49" i="15"/>
  <c r="J57" i="43"/>
  <c r="E39" i="14"/>
  <c r="D39" i="13"/>
  <c r="Q26" i="48"/>
  <c r="AC25" i="48"/>
  <c r="AI23" i="48"/>
  <c r="M24" i="48"/>
  <c r="M7" i="14"/>
  <c r="J46" i="15" l="1"/>
  <c r="J47" i="15" s="1"/>
  <c r="AK19" i="48"/>
  <c r="K19" i="48"/>
  <c r="S20" i="48"/>
  <c r="BD19" i="48"/>
  <c r="AE19" i="48"/>
  <c r="BN21" i="2"/>
  <c r="F22" i="2"/>
  <c r="J48" i="19"/>
  <c r="K56" i="19"/>
  <c r="J41" i="19"/>
  <c r="J40" i="18"/>
  <c r="K57" i="19"/>
  <c r="J45" i="19"/>
  <c r="M8" i="16"/>
  <c r="M34" i="17"/>
  <c r="D41" i="15"/>
  <c r="E41" i="16"/>
  <c r="J56" i="15"/>
  <c r="J43" i="15"/>
  <c r="J44" i="16"/>
  <c r="E38" i="15"/>
  <c r="D38" i="14"/>
  <c r="D52" i="16"/>
  <c r="D53" i="16" s="1"/>
  <c r="E52" i="17"/>
  <c r="E53" i="17" s="1"/>
  <c r="D50" i="15"/>
  <c r="E50" i="16"/>
  <c r="D43" i="12"/>
  <c r="E43" i="13"/>
  <c r="E47" i="14"/>
  <c r="D47" i="13"/>
  <c r="D46" i="15"/>
  <c r="E46" i="16"/>
  <c r="E48" i="15"/>
  <c r="D48" i="14"/>
  <c r="E42" i="16"/>
  <c r="D42" i="15"/>
  <c r="E51" i="15"/>
  <c r="D51" i="14"/>
  <c r="E40" i="15"/>
  <c r="D40" i="14"/>
  <c r="D45" i="12"/>
  <c r="E45" i="13"/>
  <c r="E44" i="14"/>
  <c r="D44" i="13"/>
  <c r="A28" i="2" s="1"/>
  <c r="J39" i="17"/>
  <c r="J37" i="16"/>
  <c r="E49" i="14"/>
  <c r="D49" i="13"/>
  <c r="M7" i="13"/>
  <c r="M25" i="48"/>
  <c r="AI24" i="48"/>
  <c r="D39" i="12"/>
  <c r="E39" i="13"/>
  <c r="AC26" i="48"/>
  <c r="Q27" i="48"/>
  <c r="J46" i="14" l="1"/>
  <c r="J47" i="14" s="1"/>
  <c r="BD20" i="48"/>
  <c r="AK20" i="48"/>
  <c r="AE20" i="48"/>
  <c r="K20" i="48"/>
  <c r="S21" i="48"/>
  <c r="J48" i="18"/>
  <c r="J41" i="18"/>
  <c r="K56" i="18"/>
  <c r="J45" i="18"/>
  <c r="K57" i="18"/>
  <c r="J40" i="17"/>
  <c r="F23" i="2"/>
  <c r="BN22" i="2"/>
  <c r="M8" i="15"/>
  <c r="M34" i="16"/>
  <c r="D41" i="14"/>
  <c r="E41" i="15"/>
  <c r="J43" i="14"/>
  <c r="J44" i="15"/>
  <c r="J56" i="14"/>
  <c r="D52" i="15"/>
  <c r="D53" i="15" s="1"/>
  <c r="E38" i="14"/>
  <c r="D38" i="13"/>
  <c r="E52" i="16"/>
  <c r="E53" i="16" s="1"/>
  <c r="D50" i="14"/>
  <c r="E50" i="15"/>
  <c r="E43" i="12"/>
  <c r="D43" i="11"/>
  <c r="E42" i="15"/>
  <c r="D42" i="14"/>
  <c r="E46" i="15"/>
  <c r="D46" i="14"/>
  <c r="E48" i="14"/>
  <c r="D48" i="13"/>
  <c r="D47" i="12"/>
  <c r="E47" i="13"/>
  <c r="D45" i="11"/>
  <c r="E45" i="12"/>
  <c r="D40" i="13"/>
  <c r="E40" i="14"/>
  <c r="D51" i="13"/>
  <c r="E51" i="14"/>
  <c r="E44" i="13"/>
  <c r="D44" i="12"/>
  <c r="A29" i="2" s="1"/>
  <c r="D49" i="12"/>
  <c r="E49" i="13"/>
  <c r="J37" i="15"/>
  <c r="J39" i="16"/>
  <c r="J46" i="13"/>
  <c r="D39" i="11"/>
  <c r="E39" i="12"/>
  <c r="M26" i="48"/>
  <c r="AI25" i="48"/>
  <c r="AC27" i="48"/>
  <c r="Q28" i="48"/>
  <c r="M7" i="12"/>
  <c r="AK21" i="48" l="1"/>
  <c r="BD21" i="48"/>
  <c r="K21" i="48"/>
  <c r="AE21" i="48"/>
  <c r="S22" i="48"/>
  <c r="J48" i="17"/>
  <c r="J45" i="17"/>
  <c r="J41" i="17"/>
  <c r="K57" i="17"/>
  <c r="J40" i="16"/>
  <c r="K56" i="17"/>
  <c r="BN23" i="2"/>
  <c r="F24" i="2"/>
  <c r="M8" i="14"/>
  <c r="M34" i="15"/>
  <c r="D41" i="13"/>
  <c r="E41" i="14"/>
  <c r="J56" i="13"/>
  <c r="J59" i="13" s="1"/>
  <c r="J43" i="13"/>
  <c r="J44" i="14"/>
  <c r="E38" i="13"/>
  <c r="D38" i="12"/>
  <c r="E52" i="15"/>
  <c r="E53" i="15" s="1"/>
  <c r="E50" i="14"/>
  <c r="D50" i="13"/>
  <c r="D43" i="10"/>
  <c r="E43" i="11"/>
  <c r="E48" i="13"/>
  <c r="D48" i="12"/>
  <c r="E46" i="14"/>
  <c r="D46" i="13"/>
  <c r="D42" i="13"/>
  <c r="E42" i="14"/>
  <c r="D52" i="14"/>
  <c r="D53" i="14" s="1"/>
  <c r="D47" i="11"/>
  <c r="E47" i="12"/>
  <c r="E51" i="13"/>
  <c r="D51" i="12"/>
  <c r="E44" i="12"/>
  <c r="D44" i="11"/>
  <c r="D40" i="12"/>
  <c r="E40" i="13"/>
  <c r="D45" i="10"/>
  <c r="E45" i="11"/>
  <c r="A30" i="2" s="1"/>
  <c r="J39" i="15"/>
  <c r="J37" i="14"/>
  <c r="D49" i="11"/>
  <c r="E49" i="12"/>
  <c r="M7" i="11"/>
  <c r="AC28" i="48"/>
  <c r="Q29" i="48"/>
  <c r="M27" i="48"/>
  <c r="AI26" i="48"/>
  <c r="E39" i="11"/>
  <c r="D39" i="10"/>
  <c r="J47" i="13"/>
  <c r="J46" i="12"/>
  <c r="S23" i="48" l="1"/>
  <c r="K22" i="48"/>
  <c r="AK22" i="48"/>
  <c r="BD22" i="48"/>
  <c r="AE22" i="48"/>
  <c r="BN24" i="2"/>
  <c r="F25" i="2"/>
  <c r="J48" i="16"/>
  <c r="K56" i="16"/>
  <c r="K57" i="16"/>
  <c r="J45" i="16"/>
  <c r="J41" i="16"/>
  <c r="J40" i="15"/>
  <c r="M8" i="13"/>
  <c r="M34" i="14"/>
  <c r="E41" i="13"/>
  <c r="D41" i="12"/>
  <c r="J56" i="12"/>
  <c r="J44" i="13"/>
  <c r="J43" i="12"/>
  <c r="E38" i="12"/>
  <c r="D38" i="11"/>
  <c r="E50" i="13"/>
  <c r="D50" i="12"/>
  <c r="D52" i="13"/>
  <c r="D53" i="13" s="1"/>
  <c r="E43" i="10"/>
  <c r="D43" i="9"/>
  <c r="E52" i="14"/>
  <c r="E53" i="14" s="1"/>
  <c r="D47" i="10"/>
  <c r="E47" i="11"/>
  <c r="D46" i="12"/>
  <c r="E46" i="13"/>
  <c r="E48" i="12"/>
  <c r="D48" i="11"/>
  <c r="E42" i="13"/>
  <c r="D42" i="12"/>
  <c r="E45" i="10"/>
  <c r="D45" i="9"/>
  <c r="E44" i="11"/>
  <c r="D44" i="10"/>
  <c r="D51" i="11"/>
  <c r="E51" i="12"/>
  <c r="D40" i="11"/>
  <c r="E40" i="12"/>
  <c r="A31" i="2" s="1"/>
  <c r="D49" i="10"/>
  <c r="E49" i="11"/>
  <c r="J37" i="13"/>
  <c r="J39" i="14"/>
  <c r="J47" i="12"/>
  <c r="J46" i="11"/>
  <c r="M28" i="48"/>
  <c r="AI27" i="48"/>
  <c r="D39" i="9"/>
  <c r="E39" i="10"/>
  <c r="AC29" i="48"/>
  <c r="Q30" i="48"/>
  <c r="M7" i="10"/>
  <c r="AA132" i="46" l="1"/>
  <c r="BD23" i="48"/>
  <c r="S24" i="48"/>
  <c r="AE23" i="48"/>
  <c r="K23" i="48"/>
  <c r="AK23" i="48"/>
  <c r="BN25" i="2"/>
  <c r="F26" i="2"/>
  <c r="J48" i="15"/>
  <c r="J45" i="15"/>
  <c r="J40" i="14"/>
  <c r="J41" i="15"/>
  <c r="K57" i="15"/>
  <c r="K56" i="15"/>
  <c r="M8" i="12"/>
  <c r="M34" i="13"/>
  <c r="E41" i="12"/>
  <c r="D41" i="11"/>
  <c r="J44" i="12"/>
  <c r="J43" i="11"/>
  <c r="J56" i="11"/>
  <c r="D38" i="10"/>
  <c r="E38" i="11"/>
  <c r="E52" i="13"/>
  <c r="E53" i="13" s="1"/>
  <c r="E50" i="12"/>
  <c r="D50" i="11"/>
  <c r="D43" i="8"/>
  <c r="E43" i="9"/>
  <c r="E42" i="12"/>
  <c r="D42" i="11"/>
  <c r="E46" i="12"/>
  <c r="D46" i="11"/>
  <c r="D47" i="9"/>
  <c r="E47" i="10"/>
  <c r="D52" i="12"/>
  <c r="D53" i="12" s="1"/>
  <c r="E48" i="11"/>
  <c r="D48" i="10"/>
  <c r="D44" i="9"/>
  <c r="E44" i="10"/>
  <c r="E45" i="9"/>
  <c r="D45" i="8"/>
  <c r="D40" i="10"/>
  <c r="E40" i="11"/>
  <c r="D51" i="10"/>
  <c r="E51" i="11"/>
  <c r="A32" i="2" s="1"/>
  <c r="J39" i="13"/>
  <c r="J37" i="12"/>
  <c r="E49" i="10"/>
  <c r="D49" i="9"/>
  <c r="Q31" i="48"/>
  <c r="AC30" i="48"/>
  <c r="D39" i="8"/>
  <c r="E39" i="9"/>
  <c r="M29" i="48"/>
  <c r="AI28" i="48"/>
  <c r="M7" i="9"/>
  <c r="J47" i="11"/>
  <c r="J46" i="10"/>
  <c r="AB132" i="46" l="1"/>
  <c r="AK24" i="48"/>
  <c r="S25" i="48"/>
  <c r="K24" i="48"/>
  <c r="BD24" i="48"/>
  <c r="AE24" i="48"/>
  <c r="F27" i="2"/>
  <c r="BN26" i="2"/>
  <c r="J48" i="14"/>
  <c r="J41" i="14"/>
  <c r="K56" i="14"/>
  <c r="J45" i="14"/>
  <c r="K57" i="14"/>
  <c r="J40" i="13"/>
  <c r="M8" i="11"/>
  <c r="M34" i="12"/>
  <c r="D41" i="10"/>
  <c r="E41" i="11"/>
  <c r="J44" i="11"/>
  <c r="J43" i="10"/>
  <c r="J56" i="10"/>
  <c r="D38" i="9"/>
  <c r="E38" i="10"/>
  <c r="E52" i="12"/>
  <c r="E53" i="12" s="1"/>
  <c r="D52" i="11"/>
  <c r="D53" i="11" s="1"/>
  <c r="E50" i="11"/>
  <c r="D50" i="10"/>
  <c r="E43" i="8"/>
  <c r="D43" i="7"/>
  <c r="E46" i="11"/>
  <c r="D46" i="10"/>
  <c r="D42" i="10"/>
  <c r="E42" i="11"/>
  <c r="E48" i="10"/>
  <c r="D48" i="9"/>
  <c r="D47" i="8"/>
  <c r="E47" i="9"/>
  <c r="D40" i="9"/>
  <c r="E40" i="10"/>
  <c r="D44" i="8"/>
  <c r="E44" i="9"/>
  <c r="E51" i="10"/>
  <c r="D51" i="9"/>
  <c r="D45" i="7"/>
  <c r="E45" i="8"/>
  <c r="A33" i="2" s="1"/>
  <c r="D49" i="8"/>
  <c r="E49" i="9"/>
  <c r="J37" i="11"/>
  <c r="J39" i="12"/>
  <c r="J47" i="10"/>
  <c r="J46" i="9"/>
  <c r="M30" i="48"/>
  <c r="AI29" i="48"/>
  <c r="M7" i="8"/>
  <c r="D39" i="7"/>
  <c r="E39" i="8"/>
  <c r="Q32" i="48"/>
  <c r="AC31" i="48"/>
  <c r="AE25" i="48" l="1"/>
  <c r="AK25" i="48"/>
  <c r="S26" i="48"/>
  <c r="K25" i="48"/>
  <c r="BD25" i="48"/>
  <c r="BN27" i="2"/>
  <c r="F28" i="2"/>
  <c r="J48" i="13"/>
  <c r="K56" i="13"/>
  <c r="K57" i="13"/>
  <c r="J40" i="12"/>
  <c r="J41" i="13"/>
  <c r="J45" i="13"/>
  <c r="M8" i="10"/>
  <c r="M34" i="11"/>
  <c r="E41" i="10"/>
  <c r="D41" i="9"/>
  <c r="J56" i="9"/>
  <c r="J43" i="9"/>
  <c r="J44" i="10"/>
  <c r="E38" i="9"/>
  <c r="D38" i="8"/>
  <c r="D52" i="10"/>
  <c r="D53" i="10" s="1"/>
  <c r="E50" i="10"/>
  <c r="D50" i="9"/>
  <c r="D43" i="6"/>
  <c r="E43" i="7"/>
  <c r="E52" i="11"/>
  <c r="E53" i="11" s="1"/>
  <c r="E47" i="8"/>
  <c r="D47" i="7"/>
  <c r="E42" i="10"/>
  <c r="D42" i="9"/>
  <c r="D48" i="8"/>
  <c r="E48" i="9"/>
  <c r="D46" i="9"/>
  <c r="E46" i="10"/>
  <c r="D45" i="6"/>
  <c r="E45" i="7"/>
  <c r="E51" i="9"/>
  <c r="D51" i="8"/>
  <c r="D40" i="8"/>
  <c r="E40" i="9"/>
  <c r="D44" i="7"/>
  <c r="E44" i="8"/>
  <c r="A34" i="2" s="1"/>
  <c r="J39" i="11"/>
  <c r="J37" i="10"/>
  <c r="E49" i="8"/>
  <c r="D49" i="7"/>
  <c r="D39" i="6"/>
  <c r="Z147" i="57" s="1"/>
  <c r="E39" i="7"/>
  <c r="M7" i="7"/>
  <c r="J47" i="9"/>
  <c r="J46" i="8"/>
  <c r="Q33" i="48"/>
  <c r="AC32" i="48"/>
  <c r="M31" i="48"/>
  <c r="AI30" i="48"/>
  <c r="AA147" i="57" l="1"/>
  <c r="Z164" i="57"/>
  <c r="Z147" i="46"/>
  <c r="AA147" i="46"/>
  <c r="AK26" i="48"/>
  <c r="BD26" i="48"/>
  <c r="S27" i="48"/>
  <c r="K26" i="48"/>
  <c r="AE26" i="48"/>
  <c r="F29" i="2"/>
  <c r="BN28" i="2"/>
  <c r="J48" i="12"/>
  <c r="J41" i="12"/>
  <c r="J40" i="11"/>
  <c r="K56" i="12"/>
  <c r="J45" i="12"/>
  <c r="K57" i="12"/>
  <c r="M8" i="9"/>
  <c r="M34" i="10"/>
  <c r="D41" i="8"/>
  <c r="E41" i="9"/>
  <c r="J56" i="8"/>
  <c r="J43" i="8"/>
  <c r="J44" i="9"/>
  <c r="D52" i="9"/>
  <c r="D53" i="9" s="1"/>
  <c r="D38" i="7"/>
  <c r="E38" i="8"/>
  <c r="E52" i="10"/>
  <c r="E53" i="10" s="1"/>
  <c r="E50" i="9"/>
  <c r="D50" i="8"/>
  <c r="D43" i="37"/>
  <c r="E43" i="6"/>
  <c r="D46" i="8"/>
  <c r="E46" i="9"/>
  <c r="D48" i="7"/>
  <c r="E48" i="8"/>
  <c r="E42" i="9"/>
  <c r="D42" i="8"/>
  <c r="E47" i="7"/>
  <c r="D47" i="6"/>
  <c r="D40" i="7"/>
  <c r="E40" i="8"/>
  <c r="E45" i="6"/>
  <c r="D45" i="37"/>
  <c r="E44" i="7"/>
  <c r="D44" i="6"/>
  <c r="AA152" i="46" s="1"/>
  <c r="AB152" i="46" s="1"/>
  <c r="E51" i="8"/>
  <c r="D51" i="7"/>
  <c r="A35" i="2" s="1"/>
  <c r="D49" i="6"/>
  <c r="AA157" i="46" s="1"/>
  <c r="AB157" i="46" s="1"/>
  <c r="E49" i="7"/>
  <c r="J37" i="9"/>
  <c r="J39" i="10"/>
  <c r="M32" i="48"/>
  <c r="AI31" i="48"/>
  <c r="Q34" i="48"/>
  <c r="AC33" i="48"/>
  <c r="J47" i="8"/>
  <c r="J46" i="7"/>
  <c r="D39" i="37"/>
  <c r="E39" i="6"/>
  <c r="M7" i="6"/>
  <c r="Z165" i="57" l="1"/>
  <c r="X173" i="57" s="1"/>
  <c r="T2" i="56"/>
  <c r="AB147" i="57"/>
  <c r="AB164" i="57" s="1"/>
  <c r="AA164" i="57"/>
  <c r="Z164" i="46"/>
  <c r="AB147" i="46"/>
  <c r="AB164" i="46" s="1"/>
  <c r="AA164" i="46"/>
  <c r="S28" i="48"/>
  <c r="K27" i="48"/>
  <c r="BD27" i="48"/>
  <c r="AE27" i="48"/>
  <c r="AK27" i="48"/>
  <c r="BN29" i="2"/>
  <c r="F30" i="2"/>
  <c r="J48" i="11"/>
  <c r="K56" i="11"/>
  <c r="J40" i="10"/>
  <c r="K57" i="11"/>
  <c r="J41" i="11"/>
  <c r="J45" i="11"/>
  <c r="M8" i="8"/>
  <c r="M34" i="9"/>
  <c r="D41" i="7"/>
  <c r="E41" i="8"/>
  <c r="J56" i="7"/>
  <c r="J43" i="7"/>
  <c r="J44" i="8"/>
  <c r="D52" i="8"/>
  <c r="D53" i="8" s="1"/>
  <c r="D38" i="6"/>
  <c r="E38" i="7"/>
  <c r="E52" i="9"/>
  <c r="E53" i="9" s="1"/>
  <c r="D50" i="7"/>
  <c r="E50" i="8"/>
  <c r="D43" i="4"/>
  <c r="E43" i="37"/>
  <c r="D48" i="6"/>
  <c r="E48" i="7"/>
  <c r="D46" i="7"/>
  <c r="E46" i="8"/>
  <c r="E47" i="6"/>
  <c r="D47" i="37"/>
  <c r="E42" i="8"/>
  <c r="D42" i="7"/>
  <c r="D51" i="6"/>
  <c r="E51" i="7"/>
  <c r="D44" i="37"/>
  <c r="E44" i="6"/>
  <c r="D45" i="4"/>
  <c r="E45" i="37"/>
  <c r="D40" i="6"/>
  <c r="E40" i="7"/>
  <c r="A36" i="2" s="1"/>
  <c r="J39" i="9"/>
  <c r="J37" i="8"/>
  <c r="D49" i="37"/>
  <c r="E49" i="6"/>
  <c r="J47" i="7"/>
  <c r="J46" i="6"/>
  <c r="AC34" i="48"/>
  <c r="Q35" i="48"/>
  <c r="M7" i="37"/>
  <c r="E39" i="37"/>
  <c r="D39" i="4"/>
  <c r="M33" i="48"/>
  <c r="AI32" i="48"/>
  <c r="AA165" i="57" l="1"/>
  <c r="X175" i="57" s="1"/>
  <c r="T3" i="56"/>
  <c r="AB165" i="57"/>
  <c r="X176" i="57" s="1"/>
  <c r="T4" i="56"/>
  <c r="N12" i="55"/>
  <c r="U2" i="56"/>
  <c r="O12" i="55" s="1"/>
  <c r="X195" i="57"/>
  <c r="X198" i="57" s="1"/>
  <c r="Z165" i="46"/>
  <c r="X173" i="46" s="1"/>
  <c r="I2" i="56"/>
  <c r="E12" i="55" s="1"/>
  <c r="I3" i="56"/>
  <c r="AA165" i="46"/>
  <c r="X175" i="46" s="1"/>
  <c r="I4" i="56"/>
  <c r="AB165" i="46"/>
  <c r="X176" i="46" s="1"/>
  <c r="J2" i="56"/>
  <c r="AE28" i="48"/>
  <c r="AK28" i="48"/>
  <c r="S29" i="48"/>
  <c r="K28" i="48"/>
  <c r="BD28" i="48"/>
  <c r="BN30" i="2"/>
  <c r="F31" i="2"/>
  <c r="J48" i="10"/>
  <c r="J40" i="9"/>
  <c r="K57" i="10"/>
  <c r="J41" i="10"/>
  <c r="J45" i="10"/>
  <c r="K56" i="10"/>
  <c r="M8" i="7"/>
  <c r="M34" i="8"/>
  <c r="E41" i="7"/>
  <c r="D41" i="6"/>
  <c r="J56" i="6"/>
  <c r="J43" i="6"/>
  <c r="J44" i="7"/>
  <c r="D38" i="37"/>
  <c r="E38" i="6"/>
  <c r="E52" i="8"/>
  <c r="E53" i="8" s="1"/>
  <c r="E50" i="7"/>
  <c r="D50" i="6"/>
  <c r="E43" i="4"/>
  <c r="D43" i="43"/>
  <c r="E43" i="43" s="1"/>
  <c r="E42" i="7"/>
  <c r="D42" i="6"/>
  <c r="E47" i="37"/>
  <c r="D47" i="4"/>
  <c r="E46" i="7"/>
  <c r="D46" i="6"/>
  <c r="D48" i="37"/>
  <c r="E48" i="6"/>
  <c r="D52" i="7"/>
  <c r="D53" i="7" s="1"/>
  <c r="E51" i="6"/>
  <c r="D51" i="37"/>
  <c r="D40" i="37"/>
  <c r="E40" i="6"/>
  <c r="E45" i="4"/>
  <c r="D45" i="43"/>
  <c r="E45" i="43" s="1"/>
  <c r="D44" i="4"/>
  <c r="E44" i="37"/>
  <c r="A37" i="2" s="1"/>
  <c r="E49" i="37"/>
  <c r="D49" i="4"/>
  <c r="J39" i="8"/>
  <c r="J37" i="7"/>
  <c r="M34" i="48"/>
  <c r="AI33" i="48"/>
  <c r="J47" i="6"/>
  <c r="J46" i="37"/>
  <c r="D39" i="43"/>
  <c r="E39" i="43" s="1"/>
  <c r="E39" i="4"/>
  <c r="M7" i="4"/>
  <c r="Q36" i="48"/>
  <c r="AC35" i="48"/>
  <c r="P12" i="55" l="1"/>
  <c r="U4" i="56"/>
  <c r="O14" i="55" s="1"/>
  <c r="P14" i="55" s="1"/>
  <c r="Q14" i="55" s="1"/>
  <c r="N14" i="55"/>
  <c r="N13" i="55"/>
  <c r="U3" i="56"/>
  <c r="O13" i="55" s="1"/>
  <c r="P13" i="55" s="1"/>
  <c r="X195" i="46"/>
  <c r="X198" i="46" s="1"/>
  <c r="F12" i="55"/>
  <c r="E14" i="55"/>
  <c r="F14" i="55" s="1"/>
  <c r="G14" i="55" s="1"/>
  <c r="H14" i="55" s="1"/>
  <c r="J4" i="56"/>
  <c r="E13" i="55"/>
  <c r="F13" i="55" s="1"/>
  <c r="G13" i="55" s="1"/>
  <c r="J3" i="56"/>
  <c r="R144" i="56" s="1"/>
  <c r="AE29" i="48"/>
  <c r="AK29" i="48"/>
  <c r="BD29" i="48"/>
  <c r="K29" i="48"/>
  <c r="S30" i="48"/>
  <c r="BN31" i="2"/>
  <c r="F32" i="2"/>
  <c r="J48" i="9"/>
  <c r="K57" i="9"/>
  <c r="J45" i="9"/>
  <c r="J40" i="8"/>
  <c r="K56" i="9"/>
  <c r="J41" i="9"/>
  <c r="D52" i="6"/>
  <c r="D53" i="6" s="1"/>
  <c r="M8" i="6"/>
  <c r="M34" i="7"/>
  <c r="D41" i="37"/>
  <c r="E41" i="6"/>
  <c r="J44" i="6"/>
  <c r="J43" i="37"/>
  <c r="J56" i="37"/>
  <c r="E38" i="37"/>
  <c r="D38" i="4"/>
  <c r="D50" i="37"/>
  <c r="E50" i="6"/>
  <c r="E52" i="7"/>
  <c r="E53" i="7" s="1"/>
  <c r="D46" i="37"/>
  <c r="E46" i="6"/>
  <c r="E47" i="4"/>
  <c r="D47" i="43"/>
  <c r="E47" i="43" s="1"/>
  <c r="E42" i="6"/>
  <c r="D42" i="37"/>
  <c r="E48" i="37"/>
  <c r="D48" i="4"/>
  <c r="D40" i="4"/>
  <c r="E40" i="37"/>
  <c r="D44" i="43"/>
  <c r="E44" i="43" s="1"/>
  <c r="E44" i="4"/>
  <c r="E51" i="37"/>
  <c r="D51" i="4"/>
  <c r="A38" i="2" s="1"/>
  <c r="J39" i="7"/>
  <c r="J37" i="6"/>
  <c r="D49" i="43"/>
  <c r="E49" i="43" s="1"/>
  <c r="E49" i="4"/>
  <c r="M7" i="43"/>
  <c r="M35" i="48"/>
  <c r="AI34" i="48"/>
  <c r="AC36" i="48"/>
  <c r="Q37" i="48"/>
  <c r="J47" i="37"/>
  <c r="J46" i="4"/>
  <c r="N40" i="55" l="1"/>
  <c r="O40" i="55"/>
  <c r="O42" i="55" s="1"/>
  <c r="P40" i="55"/>
  <c r="P42" i="55" s="1"/>
  <c r="Q12" i="55"/>
  <c r="Q40" i="55" s="1"/>
  <c r="Q42" i="55" s="1"/>
  <c r="R15" i="56" s="1"/>
  <c r="E40" i="55"/>
  <c r="G12" i="55"/>
  <c r="F40" i="55"/>
  <c r="F42" i="55" s="1"/>
  <c r="AK30" i="48"/>
  <c r="BD30" i="48"/>
  <c r="K30" i="48"/>
  <c r="S31" i="48"/>
  <c r="AE30" i="48"/>
  <c r="J48" i="8"/>
  <c r="K57" i="8"/>
  <c r="J41" i="8"/>
  <c r="J40" i="7"/>
  <c r="K56" i="8"/>
  <c r="J45" i="8"/>
  <c r="BN32" i="2"/>
  <c r="F33" i="2"/>
  <c r="M8" i="37"/>
  <c r="M34" i="6"/>
  <c r="E41" i="37"/>
  <c r="D41" i="4"/>
  <c r="J43" i="4"/>
  <c r="J44" i="37"/>
  <c r="J56" i="4"/>
  <c r="E38" i="4"/>
  <c r="D38" i="43"/>
  <c r="E38" i="43" s="1"/>
  <c r="D52" i="37"/>
  <c r="D53" i="37" s="1"/>
  <c r="E50" i="37"/>
  <c r="D50" i="4"/>
  <c r="E52" i="6"/>
  <c r="E53" i="6" s="1"/>
  <c r="D46" i="4"/>
  <c r="E46" i="37"/>
  <c r="D48" i="43"/>
  <c r="E48" i="43" s="1"/>
  <c r="E48" i="4"/>
  <c r="E42" i="37"/>
  <c r="D42" i="4"/>
  <c r="E40" i="4"/>
  <c r="D40" i="43"/>
  <c r="D51" i="43"/>
  <c r="E51" i="43" s="1"/>
  <c r="E51" i="4"/>
  <c r="A39" i="2" s="1"/>
  <c r="J39" i="6"/>
  <c r="J37" i="37"/>
  <c r="M36" i="48"/>
  <c r="AI35" i="48"/>
  <c r="J47" i="4"/>
  <c r="J46" i="43"/>
  <c r="AC37" i="48"/>
  <c r="Q38" i="48"/>
  <c r="G40" i="55" l="1"/>
  <c r="G42" i="55" s="1"/>
  <c r="H12" i="55"/>
  <c r="H40" i="55" s="1"/>
  <c r="H42" i="55" s="1"/>
  <c r="G15" i="56" s="1"/>
  <c r="AK31" i="48"/>
  <c r="AE31" i="48"/>
  <c r="K31" i="48"/>
  <c r="S32" i="48"/>
  <c r="BD31" i="48"/>
  <c r="J48" i="7"/>
  <c r="K56" i="7"/>
  <c r="J41" i="7"/>
  <c r="J40" i="6"/>
  <c r="J45" i="7"/>
  <c r="K57" i="7"/>
  <c r="BN33" i="2"/>
  <c r="F34" i="2"/>
  <c r="M8" i="4"/>
  <c r="M34" i="37"/>
  <c r="D41" i="43"/>
  <c r="E41" i="43" s="1"/>
  <c r="E41" i="4"/>
  <c r="J56" i="43"/>
  <c r="Z168" i="46" s="1"/>
  <c r="J43" i="43"/>
  <c r="J44" i="4"/>
  <c r="D52" i="4"/>
  <c r="D53" i="4" s="1"/>
  <c r="E52" i="37"/>
  <c r="E53" i="37" s="1"/>
  <c r="E50" i="4"/>
  <c r="D50" i="43"/>
  <c r="E50" i="43" s="1"/>
  <c r="D46" i="43"/>
  <c r="E46" i="43" s="1"/>
  <c r="E46" i="4"/>
  <c r="D42" i="43"/>
  <c r="E42" i="43" s="1"/>
  <c r="E42" i="4"/>
  <c r="E40" i="43"/>
  <c r="A40" i="2" s="1"/>
  <c r="J37" i="4"/>
  <c r="J39" i="37"/>
  <c r="Q39" i="48"/>
  <c r="AC38" i="48"/>
  <c r="J47" i="43"/>
  <c r="M37" i="48"/>
  <c r="AI36" i="48"/>
  <c r="AK32" i="48" l="1"/>
  <c r="K32" i="48"/>
  <c r="S33" i="48"/>
  <c r="BD32" i="48"/>
  <c r="AE32" i="48"/>
  <c r="J48" i="6"/>
  <c r="J41" i="6"/>
  <c r="K57" i="6"/>
  <c r="K56" i="6"/>
  <c r="J45" i="6"/>
  <c r="J40" i="37"/>
  <c r="BN34" i="2"/>
  <c r="F35" i="2"/>
  <c r="M8" i="43"/>
  <c r="M34" i="43" s="1"/>
  <c r="W168" i="46" s="1"/>
  <c r="M34" i="4"/>
  <c r="J44" i="43"/>
  <c r="E52" i="43"/>
  <c r="E53" i="43" s="1"/>
  <c r="E52" i="4"/>
  <c r="E53" i="4" s="1"/>
  <c r="D52" i="43"/>
  <c r="AD168" i="46" s="1"/>
  <c r="J37" i="43"/>
  <c r="J39" i="43" s="1"/>
  <c r="J39" i="4"/>
  <c r="M38" i="48"/>
  <c r="AI37" i="48"/>
  <c r="AC39" i="48"/>
  <c r="AK33" i="48" l="1"/>
  <c r="K33" i="48"/>
  <c r="BD33" i="48"/>
  <c r="S34" i="48"/>
  <c r="AE33" i="48"/>
  <c r="D53" i="43"/>
  <c r="F36" i="2"/>
  <c r="BN35" i="2"/>
  <c r="J48" i="37"/>
  <c r="K57" i="37"/>
  <c r="J40" i="4"/>
  <c r="K56" i="37"/>
  <c r="J41" i="37"/>
  <c r="J45" i="37"/>
  <c r="M39" i="48"/>
  <c r="AI38" i="48"/>
  <c r="BD34" i="48" l="1"/>
  <c r="AE34" i="48"/>
  <c r="S35" i="48"/>
  <c r="AK34" i="48"/>
  <c r="K34" i="48"/>
  <c r="J48" i="4"/>
  <c r="K57" i="4"/>
  <c r="J41" i="4"/>
  <c r="J40" i="43"/>
  <c r="K56" i="4"/>
  <c r="J45" i="4"/>
  <c r="BN36" i="2"/>
  <c r="F37" i="2"/>
  <c r="AI39" i="48"/>
  <c r="AE35" i="48" l="1"/>
  <c r="S36" i="48"/>
  <c r="K35" i="48"/>
  <c r="AK35" i="48"/>
  <c r="BD35" i="48"/>
  <c r="BN37" i="2"/>
  <c r="F38" i="2"/>
  <c r="J48" i="43"/>
  <c r="J45" i="43"/>
  <c r="J41" i="43"/>
  <c r="K56" i="43"/>
  <c r="K57" i="43"/>
  <c r="I49" i="27"/>
  <c r="AK36" i="48" l="1"/>
  <c r="S37" i="48"/>
  <c r="K36" i="48"/>
  <c r="BD36" i="48"/>
  <c r="AE36" i="48"/>
  <c r="BN38" i="2"/>
  <c r="F39" i="2"/>
  <c r="I50" i="27"/>
  <c r="I51" i="27"/>
  <c r="J49" i="27"/>
  <c r="X14" i="48"/>
  <c r="V14" i="48"/>
  <c r="U14" i="48"/>
  <c r="AK37" i="48" l="1"/>
  <c r="S38" i="48"/>
  <c r="K37" i="48"/>
  <c r="BD37" i="48"/>
  <c r="AE37" i="48"/>
  <c r="BN39" i="2"/>
  <c r="F40" i="2"/>
  <c r="BN40" i="2" s="1"/>
  <c r="J50" i="27"/>
  <c r="J49" i="28"/>
  <c r="J51" i="27"/>
  <c r="Y14" i="48"/>
  <c r="W14" i="48"/>
  <c r="U15" i="48"/>
  <c r="K38" i="48" l="1"/>
  <c r="AE38" i="48"/>
  <c r="AK38" i="48"/>
  <c r="BD38" i="48"/>
  <c r="S39" i="48"/>
  <c r="J50" i="28"/>
  <c r="J51" i="28"/>
  <c r="Y15" i="48"/>
  <c r="W15" i="48"/>
  <c r="AK39" i="48" l="1"/>
  <c r="K39" i="48"/>
  <c r="AE39" i="48"/>
  <c r="BD39" i="48"/>
  <c r="I49" i="26"/>
  <c r="I50" i="26" l="1"/>
  <c r="I51" i="26"/>
  <c r="J49" i="26"/>
  <c r="X16" i="48"/>
  <c r="V16" i="48"/>
  <c r="U16" i="48"/>
  <c r="J50" i="26" l="1"/>
  <c r="J51" i="26"/>
  <c r="Y16" i="48"/>
  <c r="W16" i="48"/>
  <c r="I49" i="24" l="1"/>
  <c r="I49" i="25"/>
  <c r="I50" i="25" l="1"/>
  <c r="I51" i="25"/>
  <c r="J49" i="25"/>
  <c r="J49" i="24" s="1"/>
  <c r="I50" i="24"/>
  <c r="I51" i="24"/>
  <c r="X18" i="48"/>
  <c r="V18" i="48"/>
  <c r="X17" i="48"/>
  <c r="V17" i="48"/>
  <c r="U17" i="48"/>
  <c r="J50" i="25" l="1"/>
  <c r="J51" i="25"/>
  <c r="J50" i="24"/>
  <c r="J51" i="24"/>
  <c r="W17" i="48"/>
  <c r="U18" i="48"/>
  <c r="Y17" i="48"/>
  <c r="W18" i="48" l="1"/>
  <c r="Y18" i="48"/>
  <c r="I49" i="23" l="1"/>
  <c r="I50" i="23" l="1"/>
  <c r="I51" i="23"/>
  <c r="J49" i="23"/>
  <c r="X19" i="48"/>
  <c r="V19" i="48"/>
  <c r="U19" i="48"/>
  <c r="J50" i="23" l="1"/>
  <c r="J51" i="23"/>
  <c r="W19" i="48"/>
  <c r="Y19" i="48"/>
  <c r="I49" i="21" l="1"/>
  <c r="I50" i="21" l="1"/>
  <c r="I51" i="21"/>
  <c r="J49" i="21"/>
  <c r="X20" i="48"/>
  <c r="V20" i="48"/>
  <c r="U20" i="48"/>
  <c r="J49" i="22" l="1"/>
  <c r="J50" i="21"/>
  <c r="J51" i="21"/>
  <c r="W20" i="48"/>
  <c r="Y20" i="48"/>
  <c r="U21" i="48"/>
  <c r="J50" i="22" l="1"/>
  <c r="J51" i="22"/>
  <c r="W21" i="48"/>
  <c r="Y21" i="48"/>
  <c r="I49" i="20" l="1"/>
  <c r="I50" i="20" l="1"/>
  <c r="I51" i="20"/>
  <c r="J49" i="20"/>
  <c r="X22" i="48"/>
  <c r="V22" i="48"/>
  <c r="U22" i="48"/>
  <c r="J50" i="20" l="1"/>
  <c r="J51" i="20"/>
  <c r="W22" i="48"/>
  <c r="Y22" i="48"/>
  <c r="I49" i="19" l="1"/>
  <c r="I50" i="19" l="1"/>
  <c r="I51" i="19"/>
  <c r="J49" i="19"/>
  <c r="X23" i="48"/>
  <c r="V23" i="48"/>
  <c r="U23" i="48"/>
  <c r="J50" i="19" l="1"/>
  <c r="J49" i="18"/>
  <c r="J51" i="19"/>
  <c r="W23" i="48"/>
  <c r="Y23" i="48"/>
  <c r="U24" i="48"/>
  <c r="J49" i="17" l="1"/>
  <c r="J50" i="18"/>
  <c r="J51" i="18"/>
  <c r="U25" i="48"/>
  <c r="W24" i="48"/>
  <c r="Y24" i="48"/>
  <c r="J50" i="17" l="1"/>
  <c r="J51" i="17"/>
  <c r="W25" i="48"/>
  <c r="Y25" i="48"/>
  <c r="I49" i="16" l="1"/>
  <c r="I50" i="16" l="1"/>
  <c r="I51" i="16"/>
  <c r="J49" i="16"/>
  <c r="V26" i="48"/>
  <c r="X26" i="48"/>
  <c r="U26" i="48"/>
  <c r="J50" i="16" l="1"/>
  <c r="J51" i="16"/>
  <c r="W26" i="48"/>
  <c r="Y26" i="48"/>
  <c r="I49" i="15" l="1"/>
  <c r="I50" i="15" l="1"/>
  <c r="I51" i="15"/>
  <c r="J49" i="15"/>
  <c r="V27" i="48"/>
  <c r="X27" i="48"/>
  <c r="U27" i="48"/>
  <c r="J50" i="15" l="1"/>
  <c r="J51" i="15"/>
  <c r="W27" i="48"/>
  <c r="Y27" i="48"/>
  <c r="I49" i="14" l="1"/>
  <c r="I50" i="14" l="1"/>
  <c r="I51" i="14"/>
  <c r="J49" i="14"/>
  <c r="X28" i="48"/>
  <c r="V28" i="48"/>
  <c r="U28" i="48"/>
  <c r="J50" i="14" l="1"/>
  <c r="J51" i="14"/>
  <c r="Y28" i="48"/>
  <c r="W28" i="48"/>
  <c r="I49" i="13" l="1"/>
  <c r="I50" i="13" l="1"/>
  <c r="I51" i="13"/>
  <c r="J49" i="13"/>
  <c r="V29" i="48"/>
  <c r="X29" i="48"/>
  <c r="U29" i="48"/>
  <c r="J50" i="13" l="1"/>
  <c r="J51" i="13"/>
  <c r="W29" i="48"/>
  <c r="Y29" i="48"/>
  <c r="I49" i="12" l="1"/>
  <c r="I50" i="12" l="1"/>
  <c r="I51" i="12"/>
  <c r="J49" i="12"/>
  <c r="V30" i="48"/>
  <c r="X30" i="48"/>
  <c r="U30" i="48"/>
  <c r="J50" i="12" l="1"/>
  <c r="J51" i="12"/>
  <c r="W30" i="48"/>
  <c r="Y30" i="48"/>
  <c r="I49" i="10" l="1"/>
  <c r="I50" i="10" l="1"/>
  <c r="I51" i="10"/>
  <c r="V32" i="48"/>
  <c r="X32" i="48"/>
  <c r="I49" i="11"/>
  <c r="I50" i="11" l="1"/>
  <c r="I51" i="11"/>
  <c r="J49" i="11"/>
  <c r="X31" i="48"/>
  <c r="V31" i="48"/>
  <c r="U31" i="48"/>
  <c r="J50" i="11" l="1"/>
  <c r="J51" i="11"/>
  <c r="J49" i="10"/>
  <c r="W31" i="48"/>
  <c r="U32" i="48"/>
  <c r="Y31" i="48"/>
  <c r="J50" i="10" l="1"/>
  <c r="J51" i="10"/>
  <c r="W32" i="48"/>
  <c r="Y32" i="48"/>
  <c r="I49" i="9" l="1"/>
  <c r="I50" i="9" l="1"/>
  <c r="I51" i="9"/>
  <c r="J49" i="9"/>
  <c r="V33" i="48"/>
  <c r="X33" i="48"/>
  <c r="T41" i="48"/>
  <c r="U33" i="48"/>
  <c r="J49" i="8" l="1"/>
  <c r="J50" i="9"/>
  <c r="J51" i="9"/>
  <c r="U34" i="48"/>
  <c r="Y33" i="48"/>
  <c r="W33" i="48"/>
  <c r="X41" i="48"/>
  <c r="V41" i="48"/>
  <c r="J50" i="8" l="1"/>
  <c r="J49" i="7"/>
  <c r="J51" i="8"/>
  <c r="W34" i="48"/>
  <c r="Y34" i="48"/>
  <c r="U35" i="48"/>
  <c r="J50" i="7" l="1"/>
  <c r="J49" i="6"/>
  <c r="J51" i="7"/>
  <c r="Y35" i="48"/>
  <c r="U36" i="48"/>
  <c r="W35" i="48"/>
  <c r="J49" i="37" l="1"/>
  <c r="J50" i="6"/>
  <c r="J51" i="6"/>
  <c r="U37" i="48"/>
  <c r="Y36" i="48"/>
  <c r="W36" i="48"/>
  <c r="J49" i="4" l="1"/>
  <c r="J50" i="37"/>
  <c r="J51" i="37"/>
  <c r="U38" i="48"/>
  <c r="Y37" i="48"/>
  <c r="W37" i="48"/>
  <c r="J49" i="43" l="1"/>
  <c r="J50" i="4"/>
  <c r="J51" i="4"/>
  <c r="U39" i="48"/>
  <c r="Y38" i="48"/>
  <c r="W38" i="48"/>
  <c r="J50" i="43" l="1"/>
  <c r="J51" i="43"/>
  <c r="W39" i="48"/>
  <c r="Y39" i="48"/>
  <c r="O41" i="1" l="1"/>
  <c r="KV41" i="1" s="1"/>
  <c r="Q11" i="1"/>
  <c r="KT11" i="1" s="1"/>
  <c r="P11" i="1"/>
  <c r="P41" i="1" l="1"/>
  <c r="Q41" i="1"/>
  <c r="KT41" i="1" s="1"/>
</calcChain>
</file>

<file path=xl/comments1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comments2.xml><?xml version="1.0" encoding="utf-8"?>
<comments xmlns="http://schemas.openxmlformats.org/spreadsheetml/2006/main">
  <authors>
    <author>win10</author>
  </authors>
  <commentList>
    <comment ref="J8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HB</t>
        </r>
      </text>
    </comment>
  </commentList>
</comments>
</file>

<file path=xl/sharedStrings.xml><?xml version="1.0" encoding="utf-8"?>
<sst xmlns="http://schemas.openxmlformats.org/spreadsheetml/2006/main" count="6174" uniqueCount="656">
  <si>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</si>
  <si>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</si>
  <si>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</si>
  <si>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</si>
  <si>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</si>
  <si>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</si>
  <si>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</si>
  <si>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</si>
  <si>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</si>
  <si>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</si>
  <si>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</si>
  <si>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</si>
  <si>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</si>
  <si>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</si>
  <si>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</si>
  <si>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</si>
  <si>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</si>
  <si>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</si>
  <si>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</si>
  <si>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</si>
  <si>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</si>
  <si>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</si>
  <si>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</si>
  <si>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</si>
  <si>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</si>
  <si>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</si>
  <si>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</si>
  <si>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</si>
  <si>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</si>
  <si>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</si>
  <si>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</si>
  <si>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</si>
  <si>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</si>
  <si>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</si>
  <si>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</si>
  <si>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</si>
  <si>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</si>
  <si>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</si>
  <si>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</si>
  <si>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</si>
  <si>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</si>
  <si>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Albacell</t>
  </si>
  <si>
    <t>TOTAL NBKP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</si>
  <si>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</si>
  <si>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</si>
  <si>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</si>
  <si>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</si>
  <si>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</si>
  <si>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</si>
  <si>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</si>
  <si>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</si>
  <si>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</si>
  <si>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</si>
  <si>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</si>
  <si>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</si>
  <si>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</si>
  <si>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</si>
  <si>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</si>
  <si>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</si>
  <si>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</si>
  <si>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</si>
  <si>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</si>
  <si>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</si>
  <si>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</si>
  <si>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</si>
  <si>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</si>
  <si>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</si>
  <si>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</si>
  <si>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</si>
  <si>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</si>
  <si>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</si>
  <si>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</si>
  <si>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</si>
  <si>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</si>
  <si>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</si>
  <si>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</si>
  <si>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</si>
  <si>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</si>
  <si>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</si>
  <si>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</si>
  <si>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</si>
  <si>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</si>
  <si>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</si>
  <si>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</si>
  <si>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</si>
  <si>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</si>
  <si>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</si>
  <si>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</si>
  <si>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</si>
  <si>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</si>
  <si>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</si>
  <si>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</si>
  <si>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</si>
  <si>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</si>
  <si>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</si>
  <si>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</si>
  <si>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</si>
  <si>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</si>
  <si>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</si>
  <si>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</si>
  <si>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</si>
  <si>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</si>
  <si>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</si>
  <si>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</si>
  <si>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</si>
  <si>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</si>
  <si>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</si>
  <si>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</si>
  <si>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</si>
  <si>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</si>
  <si>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</si>
  <si>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</si>
  <si>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</si>
  <si>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</si>
  <si>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</si>
  <si>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</si>
  <si>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</si>
  <si>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</si>
  <si>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</si>
  <si>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</si>
  <si>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</si>
  <si>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</si>
  <si>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</si>
  <si>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</si>
  <si>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</si>
  <si>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</si>
  <si>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</si>
  <si>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</si>
  <si>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</si>
  <si>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</si>
  <si>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</si>
  <si>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</si>
  <si>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</si>
  <si>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</si>
  <si>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Selisih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</si>
  <si>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</si>
  <si>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</si>
  <si>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</si>
  <si>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</si>
  <si>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</si>
  <si>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</si>
  <si>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</si>
  <si>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</si>
  <si>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</si>
  <si>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</si>
  <si>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NBKP BOTNIA</t>
  </si>
  <si>
    <t>EBKP DOUBLE A</t>
  </si>
  <si>
    <t>EBKP MONDE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</si>
  <si>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</si>
  <si>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</si>
  <si>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</si>
  <si>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</si>
  <si>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</si>
  <si>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</si>
  <si>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</si>
  <si>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</si>
  <si>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</si>
  <si>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</si>
  <si>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</si>
  <si>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</si>
  <si>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</si>
  <si>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</si>
  <si>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</si>
  <si>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</si>
  <si>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</si>
  <si>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</si>
  <si>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</si>
  <si>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</si>
  <si>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</si>
  <si>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</si>
  <si>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</si>
  <si>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Off Reel</t>
  </si>
  <si>
    <t>Off Rewinder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</si>
  <si>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</si>
  <si>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</si>
  <si>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</si>
  <si>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</si>
  <si>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</si>
  <si>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</si>
  <si>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</si>
  <si>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</si>
  <si>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</si>
  <si>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</si>
  <si>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</si>
  <si>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TISSUE MACHINE 14</t>
  </si>
  <si>
    <t>PAPER MACHINE 14 DAILY REPORT 1</t>
  </si>
  <si>
    <t>Total PM14</t>
  </si>
  <si>
    <t>PM 14</t>
  </si>
  <si>
    <t xml:space="preserve">PM14 Efficiency Report </t>
  </si>
  <si>
    <t>trim</t>
  </si>
  <si>
    <t>Eff</t>
  </si>
  <si>
    <t>yankee</t>
  </si>
  <si>
    <t>reel</t>
  </si>
  <si>
    <t>creeping</t>
  </si>
  <si>
    <t>time</t>
  </si>
  <si>
    <t>Teori</t>
  </si>
  <si>
    <t>Accept</t>
  </si>
  <si>
    <t>Baklog</t>
  </si>
  <si>
    <t>Sisa spool popereel</t>
  </si>
  <si>
    <t xml:space="preserve">Sisa Spool seset </t>
  </si>
  <si>
    <t>Pending</t>
  </si>
  <si>
    <t>Ngelokor</t>
  </si>
  <si>
    <t>Keriput</t>
  </si>
  <si>
    <t>Start up</t>
  </si>
  <si>
    <t>Potongan jelek</t>
  </si>
  <si>
    <t>Hole</t>
  </si>
  <si>
    <t>Trim</t>
  </si>
  <si>
    <t>Kertas sobek pinggir</t>
  </si>
  <si>
    <t>Joint</t>
  </si>
  <si>
    <t>Formasi jelek</t>
  </si>
  <si>
    <t>Lembab</t>
  </si>
  <si>
    <t>Diameter &lt; std</t>
  </si>
  <si>
    <t>Gelembung</t>
  </si>
  <si>
    <t>soping</t>
  </si>
  <si>
    <t>Bw &lt; std</t>
  </si>
  <si>
    <t>crushing</t>
  </si>
  <si>
    <t>White spot</t>
  </si>
  <si>
    <t>Thickness &lt; std</t>
  </si>
  <si>
    <t>Bulky &lt; std</t>
  </si>
  <si>
    <t>Bw &gt; std</t>
  </si>
  <si>
    <t>Kertas melipat</t>
  </si>
  <si>
    <t>Sisa Spool rewinder</t>
  </si>
  <si>
    <t>Change Grade</t>
  </si>
  <si>
    <t>Loss time sheet break</t>
  </si>
  <si>
    <t>Loss time change blade</t>
  </si>
  <si>
    <t>Loss time change grade</t>
  </si>
  <si>
    <t>NGR 900</t>
  </si>
  <si>
    <t>total</t>
  </si>
  <si>
    <t>LBKP CAKRAWALA</t>
  </si>
  <si>
    <t>-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</si>
  <si>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</si>
  <si>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</si>
  <si>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</si>
  <si>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</si>
  <si>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</si>
  <si>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</si>
  <si>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</si>
  <si>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</si>
  <si>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</si>
  <si>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</si>
  <si>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</si>
  <si>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</si>
  <si>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</si>
  <si>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</si>
  <si>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</si>
  <si>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</si>
  <si>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</si>
  <si>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</si>
  <si>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</si>
  <si>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</si>
  <si>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</si>
  <si>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</si>
  <si>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</si>
  <si>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</si>
  <si>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</si>
  <si>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</si>
  <si>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</si>
  <si>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</si>
  <si>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</si>
  <si>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</si>
  <si>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</si>
  <si>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</si>
  <si>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</si>
  <si>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</si>
  <si>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</si>
  <si>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</si>
  <si>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</si>
  <si>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</si>
  <si>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</si>
  <si>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PM 14 Summary</t>
  </si>
  <si>
    <t>Gas ConsumptionHood PM 14</t>
  </si>
  <si>
    <t>Gas ConsumptionHood PM14</t>
  </si>
  <si>
    <t>Gas based on report DCS</t>
  </si>
  <si>
    <t>Flowmeter</t>
  </si>
  <si>
    <t>% pengali</t>
  </si>
  <si>
    <t>Adjust</t>
  </si>
  <si>
    <t>PGN</t>
  </si>
  <si>
    <t>Total Prosentase</t>
  </si>
  <si>
    <t>creeping mark</t>
  </si>
  <si>
    <t>Warisan</t>
  </si>
  <si>
    <t>Dirt</t>
  </si>
  <si>
    <t>kertas lembab</t>
  </si>
  <si>
    <t>Seset Change Grade</t>
  </si>
  <si>
    <t>potongan lari lari</t>
  </si>
  <si>
    <t>Potongan serabut</t>
  </si>
  <si>
    <t>UNKNOWN</t>
  </si>
  <si>
    <t>- Change Blade (0x)</t>
  </si>
  <si>
    <t>Sinergy</t>
  </si>
  <si>
    <t>MDT rendah</t>
  </si>
  <si>
    <t>PEMAKAIAN GAS</t>
  </si>
  <si>
    <t>PULP AND BROKE DAILY REPORT PM 14</t>
  </si>
  <si>
    <t>CHEMICAL DAILY REPORT PM 14</t>
  </si>
  <si>
    <t>Marketing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</si>
  <si>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</si>
  <si>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</si>
  <si>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</si>
  <si>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</si>
  <si>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</si>
  <si>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</si>
  <si>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</si>
  <si>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</si>
  <si>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</si>
  <si>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</si>
  <si>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</si>
  <si>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VP OW</t>
  </si>
  <si>
    <t>Trafo (2500 A)</t>
  </si>
  <si>
    <t>Trafo (2500 B)</t>
  </si>
  <si>
    <t>Kehilangan Effisiensi PM 14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</si>
  <si>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</si>
  <si>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</si>
  <si>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</si>
  <si>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</si>
  <si>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</si>
  <si>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</si>
  <si>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</si>
  <si>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</si>
  <si>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</si>
  <si>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</si>
  <si>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</si>
  <si>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</si>
  <si>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</si>
  <si>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</si>
  <si>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</si>
  <si>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</si>
  <si>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</si>
  <si>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</si>
  <si>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</si>
  <si>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</si>
  <si>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</si>
  <si>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</si>
  <si>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</si>
  <si>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</si>
  <si>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</si>
  <si>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</si>
  <si>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</si>
  <si>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</si>
  <si>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</si>
  <si>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</si>
  <si>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</si>
  <si>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</si>
  <si>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</si>
  <si>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</si>
  <si>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</si>
  <si>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</si>
  <si>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</si>
  <si>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</si>
  <si>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</si>
  <si>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</si>
  <si>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</si>
  <si>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</si>
  <si>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</si>
  <si>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</si>
  <si>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</si>
  <si>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</si>
  <si>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</si>
  <si>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</si>
  <si>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</si>
  <si>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</si>
  <si>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</si>
  <si>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</si>
  <si>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</si>
  <si>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</si>
  <si>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</si>
  <si>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</si>
  <si>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</si>
  <si>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</si>
  <si>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</si>
  <si>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</si>
  <si>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</si>
  <si>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</si>
  <si>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</si>
  <si>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</si>
  <si>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</si>
  <si>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</si>
  <si>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Running</t>
  </si>
  <si>
    <t>PM 14 Running Time</t>
  </si>
  <si>
    <t>Down Time PLN</t>
  </si>
  <si>
    <t xml:space="preserve">Kapasitas Running (ton) </t>
  </si>
  <si>
    <t>Eff FG vs Target  Running(%)</t>
  </si>
  <si>
    <t>SCA</t>
  </si>
  <si>
    <t>- Cleaning</t>
  </si>
  <si>
    <t>Sample QC</t>
  </si>
  <si>
    <t>Change Grade/Cleaning</t>
  </si>
  <si>
    <t>TEL PELITA</t>
  </si>
  <si>
    <t>EPOSTRONG</t>
  </si>
  <si>
    <t>DFR 810S</t>
  </si>
  <si>
    <t>0</t>
  </si>
  <si>
    <t>- Sheet Breaks (0x)</t>
  </si>
  <si>
    <t>- Change Blade (3x)</t>
  </si>
  <si>
    <t>- Change Spool (10x)</t>
  </si>
  <si>
    <t>F 12</t>
  </si>
  <si>
    <t>SUZANO</t>
  </si>
  <si>
    <t>SS</t>
  </si>
  <si>
    <t>PHP PM</t>
  </si>
  <si>
    <t xml:space="preserve">PM14 Efficiency Running Report </t>
  </si>
  <si>
    <t>Steam, &amp; gangguan sinergy (X)</t>
  </si>
  <si>
    <t>Freq, Trip PLN (X)</t>
  </si>
  <si>
    <t>Cleaning Holes (X)</t>
  </si>
  <si>
    <t>Per hari</t>
  </si>
  <si>
    <t>.08.25</t>
  </si>
  <si>
    <t xml:space="preserve">- Awal Shift PM Produksi T 13 Speed 1230/-23% </t>
  </si>
  <si>
    <t>- Sensor lengh saat kertas putus masih baca</t>
  </si>
  <si>
    <t>- Awal Shift PM Produksi T13 Speed 1230mpm/-23%</t>
  </si>
  <si>
    <t>Nb: air compressor drop 4x sampai 5,1 bar</t>
  </si>
  <si>
    <t>STOP</t>
  </si>
  <si>
    <t>1230/947,1</t>
  </si>
  <si>
    <t>- Change Blade (6x)</t>
  </si>
  <si>
    <t>- Sheet Breaks (3x)</t>
  </si>
  <si>
    <t>- Change Spool (9x)</t>
  </si>
  <si>
    <t>Toilet</t>
  </si>
  <si>
    <t>- Change Blade (9x)</t>
  </si>
  <si>
    <t>- Change Spool (29x)</t>
  </si>
  <si>
    <t>T 13</t>
  </si>
  <si>
    <t>129+140</t>
  </si>
  <si>
    <t>T 13 VP OW</t>
  </si>
  <si>
    <t>EBKP GHN</t>
  </si>
  <si>
    <t>SODIUM HYPOCHLORID</t>
  </si>
  <si>
    <t>Detac DC779F</t>
  </si>
  <si>
    <t>CHEMZYME CL</t>
  </si>
  <si>
    <t>- Awal Shift PM stop ( repair refiner 2 Bruno)
03:00 pm on reel : 1100/23%</t>
  </si>
  <si>
    <t>Awal shift pm stop perbaikan refiner 2 bocor 
23:20 coba jalan refiner 2 masih bocor stop bongkar ( modif ganti baut cover refiner)
23:24 refiner ganti seal oring 
00:24 refiner 2 coba jalan masih bocor stop bongkar.
01:28 refiner 2 coba jalan masih bocor stop bongkar ( pasang Doble O ring)
02:28 refiner 2 coba jalan sudah tidak bocor 
02:38 pm start up 
03:09 on reel 1100/23% 
- speed up secara bertahap 
03:43 tambor turun masih hole acak 
- sikat felt dan HPP up 20 bar
04:17 tambor turun hole berkurang QC acc
04:50 speed up 1120 
05:11 speed up 1160 
akhir shift  speed 1190 mpm</t>
  </si>
  <si>
    <t>- Awal Shift PM Produksi  T 13 Speed 1230/-23%</t>
  </si>
  <si>
    <t>- awal shift outlet flow refiner gak bisa set point presure transmitter outlet refiner drop 
- level machine chest cenderung turun
- eid cek valve back flow dan outlet dilapangan
- flushing jalur buburan dump chest 
19:31 refiner 1 (over) stop coba jalan refiner 2 (Bruno)
- pas mau jalan valve outlet buntu ( info meid + eid )
19:38 terpaksa jalan lagi refiner 1
19:51 tambor turun hole acak + dirt 
20:10 pm stop cleaning felt + wire 
- tim meid + eid bongkar valve buntu reviner 
22:00 coba jalan refiner 2 ternyata masih bocor.
- tim med + eid bongkar refiner
akhir shift pm belum jalan</t>
  </si>
  <si>
    <t>- Awal Shift PM Produksi  T13
Speed 1230mpm/-23%</t>
  </si>
  <si>
    <t>- Awal Shift PM Produksi T13 Speed 1230mpm /-23%</t>
  </si>
  <si>
    <t>- 20.30 mandrel rew a posisi down ndak bisa di up, dalam pemantauan eid, rew masih bisa jalan penampang roll masih aman gulung 3ply</t>
  </si>
  <si>
    <t>- Pm sensor length masih error saat tissue putus, sensor msh baca</t>
  </si>
  <si>
    <t>Dr awal shift Mandrel rew a saat posisi dibawah tidak bisa up, 
Info med
Sementara rew masih bisa jalan</t>
  </si>
  <si>
    <t>- Change Spool (11x)</t>
  </si>
  <si>
    <t>- Change Blade (4x)</t>
  </si>
  <si>
    <t>T13</t>
  </si>
  <si>
    <t>1137,92/876,2</t>
  </si>
  <si>
    <t>1209,17/931,06</t>
  </si>
  <si>
    <t>- Sheet Breaks (5x)</t>
  </si>
  <si>
    <t>- Change Spool (8x)</t>
  </si>
  <si>
    <t>- Change Spool (6x)</t>
  </si>
  <si>
    <t>- Sheet Breaks (6x)</t>
  </si>
  <si>
    <t>- Change Blade (7x)</t>
  </si>
  <si>
    <t>- Change Spool (31x)</t>
  </si>
  <si>
    <t xml:space="preserve">- 20:10 pm stop cleaning felt + wire </t>
  </si>
  <si>
    <t xml:space="preserve">- tim meid + eid bongkar valve buntu reviner </t>
  </si>
  <si>
    <t>- Change Spool (23x)</t>
  </si>
  <si>
    <t>Agus K</t>
  </si>
  <si>
    <t>Agus K &amp; Hadi F</t>
  </si>
  <si>
    <t>Hadi F</t>
  </si>
  <si>
    <t>Agus K &amp; Erwin R</t>
  </si>
  <si>
    <t>Erwin R</t>
  </si>
  <si>
    <t>- Awal Shift PM Produksi  T 13
Speed 1230/-23%</t>
  </si>
  <si>
    <t>- Awal Shift PM Produksi   T 13
Speed 1230/-23%
Speed actual 1210
Loss speed 20 mpm/1.6%</t>
  </si>
  <si>
    <t>16:41 jumbo turun ada hole 38 cm dari tepi ds dan kertas brosot , blade bagian DS aus  kertas lembab 
- turun speed 1220
- seting temperatur hood 
- soda wire
17:31 jumbo roll turun hole blade hilang 
19:20 turun speed 1210 ( muncul hole bagian ds )
- seting temperatur hood 
19:58 jumbo turun hole hilang</t>
  </si>
  <si>
    <t>- Awal Shift PM Produksi T13 *Speed 1230 mpm / 23% *</t>
  </si>
  <si>
    <t xml:space="preserve">07:51 Speed up 1210mpm
09:40 Speed up 1230mpm
Nb: MED ganti pisau Refiner 1 </t>
  </si>
  <si>
    <t>- Change Spool (32x)</t>
  </si>
  <si>
    <t>- Awal Shift PM Produksi   T 13 Speed 1230/-23%</t>
  </si>
  <si>
    <t>1225,46/943,603</t>
  </si>
  <si>
    <t>1217,52/937,491</t>
  </si>
  <si>
    <t>Hadi F &amp; Erwin R</t>
  </si>
  <si>
    <t>- Change Spool (30x)</t>
  </si>
  <si>
    <t>- rewind jalan pelan
- 13:55 rewind mulai lancar</t>
  </si>
  <si>
    <t>- awal shift rewind tidak lancar potongan geser</t>
  </si>
  <si>
    <t>- 08:20 rewind mulai lancar
- 12:35 potongan rewind geser lagi, Chuck tidak bisa naik, kertas penyet</t>
  </si>
  <si>
    <t>T 15,5</t>
  </si>
  <si>
    <t>256*1</t>
  </si>
  <si>
    <t>13/15,5</t>
  </si>
  <si>
    <t>- 05:35 change gride T 15,5 speed 1180/-21%</t>
  </si>
  <si>
    <t>- Nb: bagian DS rawan Brosot , speed down 1160mpm</t>
  </si>
  <si>
    <t xml:space="preserve">- Awal Shift PM Produksi  T 15,5
Speed 1180mpm/-21% </t>
  </si>
  <si>
    <t>- 7:16 ganti blade kertas Brosot, seting temperatur hood, naikan flow release. pm naik speed 40mpm
- 7:40 kertas oke</t>
  </si>
  <si>
    <t>- Awal Shift PM Produksi T15,5
*Speed  1180mpm/-21% *
*Speed target 1230mpm/23%
Lost Speed 50mpm(4%)</t>
  </si>
  <si>
    <t>- Awal Shift PM Produksi  T15,5
*Speed aktual 1180mpm/-21% *
Speed target 1230mpm/-23%
Lost Speed 50mpm(4%)</t>
  </si>
  <si>
    <t>1180/932,2</t>
  </si>
  <si>
    <t>1170/924,3</t>
  </si>
  <si>
    <t>1176,67/929,57</t>
  </si>
  <si>
    <t>15,5</t>
  </si>
  <si>
    <t>- Sheet Breaks (13x)</t>
  </si>
  <si>
    <t>T 15,5 VP OW</t>
  </si>
  <si>
    <t xml:space="preserve">- Awal Shift PM Produksi T 15,5
Speed 1160mpm/-23% </t>
  </si>
  <si>
    <t>- awal shift jumbo on reel hole blade bagian Ds, dan hole felt satu putaran felt bagian center
- pm turun speed 10mpm, nyalakan amiclean dan naikan hpp 17bar
- ganti blade hole hilang
- jumbo backlog, di parkiran ada hole blade dan hole felt, seset jumbo setengah turunan ( 330kg ) 
- 9:46 hole bagian center berkurang turukan hpp felt jadi 8 bar
- 13:10 kertas Brosot. Turunkan hpp jadi 5 bar
- ganti blade kertas oke</t>
  </si>
  <si>
    <t>- Awal Shift PM Produksi T15,5
*Speed 1160mpm/-23% *</t>
  </si>
  <si>
    <t>21:39 Change grade T19
            Speed 955mpm/-20%</t>
  </si>
  <si>
    <t>- Awal Shift PM Produksi T19
*Speed 950mpm/-20% *</t>
  </si>
  <si>
    <t>03:48 Change F15
            Speed 1160mpm/-23%  wsr on amisoft on 2kg
06:32 Speed up 1170mpm</t>
  </si>
  <si>
    <t>T 19</t>
  </si>
  <si>
    <t>F 15</t>
  </si>
  <si>
    <t>1160/893,2</t>
  </si>
  <si>
    <t>1125,41/871,398</t>
  </si>
  <si>
    <t>1034,58/813,729</t>
  </si>
  <si>
    <t>1106,66/859,44</t>
  </si>
  <si>
    <t>Toilet/Facial</t>
  </si>
  <si>
    <t>15,5/19/15</t>
  </si>
  <si>
    <t>Facial</t>
  </si>
  <si>
    <t>- Change Spool (33x)</t>
  </si>
  <si>
    <t>232+30</t>
  </si>
  <si>
    <t>117+136,5</t>
  </si>
  <si>
    <t>T 19 VP OW</t>
  </si>
  <si>
    <t>F 15 VP OW</t>
  </si>
  <si>
    <t xml:space="preserve">- Awal Shift PM Produksi F12 Speed 1230mpm /-23% </t>
  </si>
  <si>
    <t>23:50 amisoft on 2kg</t>
  </si>
  <si>
    <t>- Awal Shift PM Produksi F12
Speed 1230mpm /-23%</t>
  </si>
  <si>
    <t>- Awal Shift PM Produksi F13,5
Speed 1230mpm /-23%</t>
  </si>
  <si>
    <t>16:43 Change grade F13 HB
            Speed 1230mpm/-24%
21:46 Change gride F12
            Speed 1230mpm/-23%.
21.47 amisoft stop</t>
  </si>
  <si>
    <t>09:44 change grade F 13,5  speed 1210/23%</t>
  </si>
  <si>
    <t>- Awal Shift PM Produksi F 15 1160-21%</t>
  </si>
  <si>
    <t>F 13</t>
  </si>
  <si>
    <t>F 13,5</t>
  </si>
  <si>
    <t>1192,92/926,473</t>
  </si>
  <si>
    <t>1230/939,336</t>
  </si>
  <si>
    <t>1217,64/937,64</t>
  </si>
  <si>
    <t>- Change Blade (2x)</t>
  </si>
  <si>
    <t>15/13,5/13/12</t>
  </si>
  <si>
    <t>12</t>
  </si>
  <si>
    <t>- Sheet Breaks (8x)</t>
  </si>
  <si>
    <t>- Change Blade (8x)</t>
  </si>
  <si>
    <t>- Change Spool (26x)</t>
  </si>
  <si>
    <t>133*2</t>
  </si>
  <si>
    <t>136,5+117</t>
  </si>
  <si>
    <t>130*2</t>
  </si>
  <si>
    <t>140+126</t>
  </si>
  <si>
    <t>F 15  VP OW</t>
  </si>
  <si>
    <t>F 13,5 VP OW</t>
  </si>
  <si>
    <t>F 13 VP OW</t>
  </si>
  <si>
    <t>F 12 VP OW</t>
  </si>
  <si>
    <t>Cleaning felt &amp; wire</t>
  </si>
  <si>
    <t>MED bongkar valve</t>
  </si>
  <si>
    <t>EID bongkar valve</t>
  </si>
  <si>
    <t>- 22:30 change grade F13 3ply speed 1230/23%</t>
  </si>
  <si>
    <t>- 22.45 rewinder ganti pot gulung 3ply</t>
  </si>
  <si>
    <t xml:space="preserve">- Awal Shift PM Produksi F13 Speed 1230mpm /-23% </t>
  </si>
  <si>
    <t>12/13</t>
  </si>
  <si>
    <t>140+122,5</t>
  </si>
  <si>
    <t>140+124</t>
  </si>
  <si>
    <t xml:space="preserve">- Awal Shift PM Produksi  F13 Speed 1230/-23% </t>
  </si>
  <si>
    <t>- 18:40 change grade F12 speed 1230 /23%</t>
  </si>
  <si>
    <t xml:space="preserve">- Awal Shift PM Produksi F12 Speed 1230/-23% </t>
  </si>
  <si>
    <t>13/12</t>
  </si>
  <si>
    <t>- Change Spool (12x)</t>
  </si>
  <si>
    <t>- Change Blade (5x)</t>
  </si>
  <si>
    <t>274*1</t>
  </si>
  <si>
    <t>266*1</t>
  </si>
  <si>
    <t>09:30 trial off reel F 13 200cm target thicknes 1,20 mm speed 1230/29%
12:30 trayer off reel selsai</t>
  </si>
  <si>
    <t>1230/919,425</t>
  </si>
  <si>
    <t xml:space="preserve">- Awal Shift PM Produksi F13 Speed 1230/-23% </t>
  </si>
  <si>
    <t>- Awal Shift PM Produksi F12 *Speed 1230mpm/-23% *</t>
  </si>
  <si>
    <t>Pm
09.40 Change grade F13
            Speed 1230mpm/-23%</t>
  </si>
  <si>
    <t>- Sheet Breaks (9x)</t>
  </si>
  <si>
    <t>124+140</t>
  </si>
  <si>
    <t xml:space="preserve">- Awal Shift PM Produksi 12,5 Speed 1230/-23% </t>
  </si>
  <si>
    <t>2:30 change grade F13 speed 1230/-23%
4:20 rewind C jalan, gulung F13,5 potongan 133 x 2
6:20 rewind A gulung F13,5 potongan 133 x 2</t>
  </si>
  <si>
    <t xml:space="preserve">- Awal Shift PM Produksi   F12,5 Speed 1230/-23% </t>
  </si>
  <si>
    <t>19:15 rewind tidak lancar rewind jalan speed 300mpn
Kertas ngeple dan soping soping
20:40 rewind mulai lancar</t>
  </si>
  <si>
    <t>- Awal Shift PM Produksi  F13 *Speed 1230mpm/-23% *</t>
  </si>
  <si>
    <t>12.56 amisoft on 2 kg
13.03 Change grade F12,5
            Speed 1230mpm/-23%</t>
  </si>
  <si>
    <t>F 12,5</t>
  </si>
  <si>
    <t>13/12,5</t>
  </si>
  <si>
    <t>120+40</t>
  </si>
  <si>
    <t>F 12,5 VP OW</t>
  </si>
  <si>
    <t>- Awal Shift PM Produksi F 13,5 speed 1230/-23%</t>
  </si>
  <si>
    <t>- Awal Shift PM Produksi  F 13,5 speed 1230/-23%</t>
  </si>
  <si>
    <t>- Awal Shift PM Produksi F13,5 *Speed 1230mpm/-23% *</t>
  </si>
  <si>
    <t>13,5</t>
  </si>
  <si>
    <t xml:space="preserve">- Awal Shift PM Produksi F 13,5 Speed 1230mpm/-23% </t>
  </si>
  <si>
    <t>21:55 change grade F12 speed 1230/23%</t>
  </si>
  <si>
    <t>- Awal Shift PM Produksi F 12 speed 1230/-23%</t>
  </si>
  <si>
    <t>- Sheet Breaks (4x)</t>
  </si>
  <si>
    <t xml:space="preserve">- Awal Shift PM Produksi  F 13,5
Speed 1230mpm/-23% </t>
  </si>
  <si>
    <t>13,5/12</t>
  </si>
  <si>
    <t>- Change Spool (28x)</t>
  </si>
  <si>
    <t>- Change Spool (27x)</t>
  </si>
  <si>
    <t>122,5+140</t>
  </si>
  <si>
    <t>- Awal Shift PM Produksi F 12
Speed 1230mpm/-23% 
Deckle 2.625</t>
  </si>
  <si>
    <t>- bagian DS ngeple</t>
  </si>
  <si>
    <t>- 04:16 change gride F13 speed 1230/23%</t>
  </si>
  <si>
    <t>117+140</t>
  </si>
  <si>
    <t>- Awal Shift PM Produksi F13
Speed target 1230mpm/-23%
Speed aktual 1210mpm/-23%
Lost Speed 20mpm(1,6%)</t>
  </si>
  <si>
    <t>- Awal Shift PM Produksi 15:00 Awal shift pm stop , cleaning felt dan wire
15:44 cleaning selesai, bilas felt dan wire
16:00 selesai bilas felt dan wire , MED ganti crossjoint SPR
17:30 MED selesai ganti crossjoint , pm start up
17:55 on reel , produksi F13
Speed target 1230mpm /-23%
Speed aktual 1200mpm/-23%
lost speed 30mpm(2,4%)</t>
  </si>
  <si>
    <t>- 18:02 jumbo roll su turun masih ada hole
- Hpp felt up 17bar
- lanjut kacet wire
- amiclean on
18:20 jumbo roll , hole mulai berkurang
19:34 hole mulai berkurang jauh , Hpp felt down 12bar</t>
  </si>
  <si>
    <t>- 13:51 kertas muncul hole acak, naikan hpp felt jadi 18 bar dan turun speed
- 14:30 hole makin banyak, pm stop cleaning felt dengan solar dan karcer wire</t>
  </si>
  <si>
    <t>1200/924</t>
  </si>
  <si>
    <t>1210/931,7</t>
  </si>
  <si>
    <t>1215,18/935,69</t>
  </si>
  <si>
    <t>- Change Spool (7x)</t>
  </si>
  <si>
    <t>- Sheet Breaks (2x)</t>
  </si>
  <si>
    <t xml:space="preserve">- Awal Shift PM Produksi F 13
Speed 1230mpm/-22% </t>
  </si>
  <si>
    <t>13</t>
  </si>
  <si>
    <t>- 16:00 selesai bilas felt dan wire , MED ganti crossjoint SPR</t>
  </si>
  <si>
    <t>- Cleaning hole</t>
  </si>
  <si>
    <t>- Awal Shift PM Produksi F12
Speed 1230mpm/-23%</t>
  </si>
  <si>
    <t>23:28 Change grade F13
            Speed 1230mpm/-23%</t>
  </si>
  <si>
    <t xml:space="preserve">- Awal Shift PM Produksi F13
Speed 1230/-23% </t>
  </si>
  <si>
    <t>8:50 change grade F12 speed 1230-23%</t>
  </si>
  <si>
    <t>- Sheet Breaks (12x)</t>
  </si>
  <si>
    <t>180+77,5</t>
  </si>
  <si>
    <t>12:44 change grade F12 speed 1230/23%</t>
  </si>
  <si>
    <t>- Awal Shift PM Produksi F13
Speed 1230mpm/-23%</t>
  </si>
  <si>
    <t>- Change Spool (37x)</t>
  </si>
  <si>
    <t>- Awal Shift PM Produksi T13
Speed 1230mpm/-21%</t>
  </si>
  <si>
    <t>18:30 amisoft dan wsr off, proses transisi wsr
20:41 Change grade T13
           Speed 1230mpm/-22%</t>
  </si>
  <si>
    <t>Awal shift tambor warisan kontaminasi OBA minim, drain WW dan CW ganti air baru
10.55 Amisoft on</t>
  </si>
  <si>
    <t>1230/950,662</t>
  </si>
  <si>
    <t>1230/971,7</t>
  </si>
  <si>
    <t>1230/956,49</t>
  </si>
  <si>
    <t>Facial/Toilet</t>
  </si>
  <si>
    <t>129*2</t>
  </si>
  <si>
    <t xml:space="preserve">- Awal Shift PM Produksi T13
Speed 1230/-23% </t>
  </si>
  <si>
    <t xml:space="preserve">- Awal Shift PM Produksi T13
Speed 1230/-21% </t>
  </si>
  <si>
    <t>- Awal Shift PM Produksi T13
Speed 1230mpm/-23%</t>
  </si>
  <si>
    <t>1230/955,3</t>
  </si>
  <si>
    <t>- Change Blade (1x)</t>
  </si>
  <si>
    <t>- Sheet Breaks (7x)</t>
  </si>
  <si>
    <t xml:space="preserve">T 13 VP OW </t>
  </si>
  <si>
    <t xml:space="preserve">- Awal Shift PM Produksi  T13
Speed 1230/-23% </t>
  </si>
  <si>
    <t>17:47 jumbu turun ada hole crusing bagian Dari, pm turun speed 30mpm. Amiclean on, hpp up 15bar
20:00 pm naik speed 20mpm</t>
  </si>
  <si>
    <t>1220,44/939,737</t>
  </si>
  <si>
    <t>1226,81/947,38</t>
  </si>
  <si>
    <t xml:space="preserve">- Awal Shift PM Produksi  T13
Speed 1210/-23% </t>
  </si>
  <si>
    <t>- CG F12 spped 1210 00:38</t>
  </si>
  <si>
    <t>1214,08/934,844</t>
  </si>
  <si>
    <t>1218,03/937,88</t>
  </si>
  <si>
    <t>132*1</t>
  </si>
  <si>
    <t>- Awal Shift PM Produksi T13
Speed 1230mpm/-22%</t>
  </si>
  <si>
    <t>1230/959,4</t>
  </si>
  <si>
    <t xml:space="preserve">- Awal Shift PM Produksi  F12
Speed 1230/-23% </t>
  </si>
  <si>
    <t>- 9:27 speed down 1220 mpm</t>
  </si>
  <si>
    <t>- 9:50 speed down 1230 mpm</t>
  </si>
  <si>
    <t>1229,52/946,731</t>
  </si>
  <si>
    <t>1229,84/946,98</t>
  </si>
  <si>
    <t>- Change Spool (24x)</t>
  </si>
  <si>
    <t>- Awal Shift PM Produksi  F 12
Speed 1230/-23%</t>
  </si>
  <si>
    <t>- 16:03 muncul hole blade bagian TS ( kertas lembab )
- turun speed 1200 + hpp down 12 bar + new blade no 2
16:14 hole blade hilang ,temperatur kertas naik</t>
  </si>
  <si>
    <t>- Awal Shift PM Produksi  F12 *Speed 1230mpm/-23% *</t>
  </si>
  <si>
    <t>- 07:00 awal shift kertas cekung bagian center
- cek dan ganti spray Coating release 
- ganti Blade no.2
- adjust temperatur
08:33 cekungan mulai mengecil
- adjust bukaan dumper hood wet
09:24 kertas mulai membaik dan lebih rata
13:01 jumbo roll turun ada hole acak merata, seset sampe hole minim
- speed down 1200mpm
- HPP up 17bar
- strobo dan Kacer wire
13:37 jumbo roll turun hole mulai berkurang banyak dan membaik, speed up 1210mpm
14:31 jumbo roll turun hole hilang</t>
  </si>
  <si>
    <t>04:14 tambor turun  tiba2 muncul hole acak 
- drain hpp felt + wire.
- amiclean on
04:39 kertas tiba2 brosot rata 
- stock off buburan + turun speed 1200 
- kalibarasi coating release ( flow coating eror sampai 47 ml/mnt
05:11 stock on ( lostime 33 mnt )
- new blade no 2 aman tidak brosot 
05:20 kertas sambung speed 1200/23%</t>
  </si>
  <si>
    <t>1224,29/942,705</t>
  </si>
  <si>
    <t>1203,94/927,032</t>
  </si>
  <si>
    <t>1221,19/940,314</t>
  </si>
  <si>
    <t>1216,47/936,68</t>
  </si>
  <si>
    <t>132*2</t>
  </si>
  <si>
    <t>- 18:30 Change grade F 13 speed 1230/23%</t>
  </si>
  <si>
    <t xml:space="preserve">- Awal Shift PM Produksi  F 12
Speed 1230mpm/-23% </t>
  </si>
  <si>
    <t>- Awal Shift PM Produksi  F 13 Speed 1230/-23%</t>
  </si>
  <si>
    <t>- Change Blade (11x)</t>
  </si>
  <si>
    <t>- Awal Shift PM Produksi   F12,5
*Speed 1230mpm/-23% *</t>
  </si>
  <si>
    <t>00.00 Change grade F13
           Speed 1230mpm/-23
06.25 Change grade F12
           Speed 1230mpm/-23% amisoft off</t>
  </si>
  <si>
    <t>Nb: sprai Coating release sering buntu</t>
  </si>
  <si>
    <t>- Awal Shift PM Produksi  F12
Speed 1230/-23%</t>
  </si>
  <si>
    <t>- 10:00 change grade F12,5 speed 1230/-23%</t>
  </si>
  <si>
    <t>- Awal Shift PM Produksi  F12
Speed 1230mpm/-23%</t>
  </si>
  <si>
    <t xml:space="preserve">- Awal Shift PM Produksi  F13
Speed 1230mpm/-23% </t>
  </si>
  <si>
    <t>- Awal Shift PM Produksi  F 13
Speed 1230mpm/-23%</t>
  </si>
  <si>
    <t>- 21.30
- Amisoft on
- Change grade F12 speed 1230/23%
- 22.15 rew ganti potongan</t>
  </si>
  <si>
    <t>12/12,5/13</t>
  </si>
  <si>
    <t>Cleaning hole</t>
  </si>
  <si>
    <t>MED ganti cross joint</t>
  </si>
  <si>
    <t>140+120</t>
  </si>
  <si>
    <t>126*2</t>
  </si>
  <si>
    <t>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</si>
</sst>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[$-409]mmm\-yy;@"/>
    <numFmt numFmtId="180" formatCode="_(* #,##0.000_);_(* \(#,##0.000\);_(* &quot;-&quot;_);_(@_)"/>
    <numFmt numFmtId="181" formatCode="_(* #,##0.0_);_(* \(#,##0.0\);_(* &quot;-&quot;_);_(@_)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sz val="10"/>
      <color indexed="12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C3441"/>
        <bgColor indexed="64"/>
      </patternFill>
    </fill>
    <fill>
      <patternFill patternType="solid">
        <fgColor rgb="FFC41F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9" fillId="0" borderId="0"/>
    <xf numFmtId="0" fontId="4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83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28" fillId="24" borderId="11" xfId="0" quotePrefix="1" applyFont="1" applyFill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7" fontId="43" fillId="0" borderId="0" xfId="0" applyNumberFormat="1" applyFont="1" applyAlignment="1">
      <alignment horizontal="center" vertical="center" wrapText="1"/>
    </xf>
    <xf numFmtId="178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1" applyNumberFormat="1" applyFont="1" applyFill="1" applyBorder="1" applyAlignment="1">
      <alignment horizontal="center" vertical="center" wrapText="1"/>
    </xf>
    <xf numFmtId="0" fontId="44" fillId="0" borderId="0" xfId="0" applyFont="1"/>
    <xf numFmtId="178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7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7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8" fontId="43" fillId="0" borderId="11" xfId="29" applyNumberFormat="1" applyFont="1" applyFill="1" applyBorder="1" applyAlignment="1">
      <alignment vertical="center"/>
    </xf>
    <xf numFmtId="166" fontId="43" fillId="0" borderId="11" xfId="51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3" fontId="40" fillId="0" borderId="11" xfId="45" applyNumberFormat="1" applyFont="1" applyBorder="1" applyAlignment="1">
      <alignment horizontal="center"/>
    </xf>
    <xf numFmtId="0" fontId="40" fillId="0" borderId="11" xfId="45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1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8" fontId="40" fillId="0" borderId="11" xfId="29" applyNumberFormat="1" applyFont="1" applyFill="1" applyBorder="1" applyAlignment="1">
      <alignment horizontal="center"/>
    </xf>
    <xf numFmtId="178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7" applyNumberFormat="1" applyFont="1" applyBorder="1"/>
    <xf numFmtId="178" fontId="44" fillId="0" borderId="11" xfId="29" applyNumberFormat="1" applyFont="1" applyFill="1" applyBorder="1" applyAlignment="1">
      <alignment vertical="center"/>
    </xf>
    <xf numFmtId="0" fontId="43" fillId="0" borderId="11" xfId="0" applyFont="1" applyBorder="1" applyAlignment="1">
      <alignment horizontal="center" wrapText="1"/>
    </xf>
    <xf numFmtId="9" fontId="43" fillId="0" borderId="11" xfId="0" applyNumberFormat="1" applyFont="1" applyBorder="1" applyAlignment="1">
      <alignment horizontal="center" wrapText="1"/>
    </xf>
    <xf numFmtId="0" fontId="24" fillId="24" borderId="11" xfId="44" applyFont="1" applyFill="1" applyBorder="1"/>
    <xf numFmtId="178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7" fontId="43" fillId="0" borderId="0" xfId="0" applyNumberFormat="1" applyFont="1"/>
    <xf numFmtId="173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8" fontId="44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8" applyFont="1" applyBorder="1"/>
    <xf numFmtId="10" fontId="44" fillId="25" borderId="11" xfId="51" applyNumberFormat="1" applyFont="1" applyFill="1" applyBorder="1" applyAlignment="1">
      <alignment vertical="center"/>
    </xf>
    <xf numFmtId="166" fontId="44" fillId="25" borderId="11" xfId="51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3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8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8" fontId="44" fillId="0" borderId="0" xfId="29" applyNumberFormat="1" applyFont="1" applyFill="1" applyBorder="1" applyAlignment="1">
      <alignment horizontal="right"/>
    </xf>
    <xf numFmtId="166" fontId="44" fillId="0" borderId="0" xfId="51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1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2" xfId="28" applyFont="1" applyFill="1" applyBorder="1" applyAlignment="1" applyProtection="1">
      <alignment horizontal="center" vertical="center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6" fontId="28" fillId="24" borderId="36" xfId="51" applyNumberFormat="1" applyFont="1" applyFill="1" applyBorder="1" applyAlignment="1" applyProtection="1">
      <alignment horizontal="center" vertical="center"/>
    </xf>
    <xf numFmtId="166" fontId="28" fillId="24" borderId="29" xfId="51" applyNumberFormat="1" applyFont="1" applyFill="1" applyBorder="1" applyAlignment="1" applyProtection="1">
      <alignment horizontal="center" vertical="center"/>
    </xf>
    <xf numFmtId="166" fontId="28" fillId="24" borderId="37" xfId="51" applyNumberFormat="1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/>
    </xf>
    <xf numFmtId="165" fontId="28" fillId="24" borderId="39" xfId="28" applyFont="1" applyFill="1" applyBorder="1" applyAlignment="1" applyProtection="1">
      <alignment horizontal="center"/>
    </xf>
    <xf numFmtId="166" fontId="28" fillId="24" borderId="40" xfId="51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1" xfId="28" applyFont="1" applyFill="1" applyBorder="1" applyAlignment="1" applyProtection="1">
      <alignment horizontal="center" vertical="center"/>
    </xf>
    <xf numFmtId="166" fontId="28" fillId="24" borderId="35" xfId="51" applyNumberFormat="1" applyFont="1" applyFill="1" applyBorder="1" applyAlignment="1" applyProtection="1">
      <alignment horizontal="center" vertical="center"/>
    </xf>
    <xf numFmtId="166" fontId="28" fillId="24" borderId="15" xfId="51" applyNumberFormat="1" applyFont="1" applyFill="1" applyBorder="1" applyAlignment="1" applyProtection="1">
      <alignment horizontal="center" vertical="center"/>
    </xf>
    <xf numFmtId="166" fontId="28" fillId="24" borderId="34" xfId="51" applyNumberFormat="1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/>
    </xf>
    <xf numFmtId="165" fontId="28" fillId="24" borderId="42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37" xfId="28" applyFont="1" applyFill="1" applyBorder="1" applyAlignment="1" applyProtection="1">
      <alignment horizontal="center"/>
    </xf>
    <xf numFmtId="0" fontId="28" fillId="24" borderId="44" xfId="0" applyFont="1" applyFill="1" applyBorder="1" applyAlignment="1">
      <alignment horizontal="left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165" fontId="28" fillId="24" borderId="26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7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49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5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49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7" xfId="28" applyFont="1" applyFill="1" applyBorder="1" applyAlignment="1" applyProtection="1">
      <alignment horizontal="center"/>
    </xf>
    <xf numFmtId="166" fontId="28" fillId="24" borderId="23" xfId="51" applyNumberFormat="1" applyFont="1" applyFill="1" applyBorder="1" applyProtection="1"/>
    <xf numFmtId="166" fontId="28" fillId="24" borderId="24" xfId="51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2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1" xfId="0" applyFont="1" applyFill="1" applyBorder="1" applyAlignment="1">
      <alignment horizontal="center" vertical="center"/>
    </xf>
    <xf numFmtId="0" fontId="28" fillId="24" borderId="5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 wrapText="1"/>
    </xf>
    <xf numFmtId="0" fontId="28" fillId="24" borderId="32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11" xfId="0" quotePrefix="1" applyFont="1" applyFill="1" applyBorder="1" applyAlignment="1">
      <alignment wrapText="1"/>
    </xf>
    <xf numFmtId="0" fontId="28" fillId="24" borderId="52" xfId="0" applyFont="1" applyFill="1" applyBorder="1" applyAlignment="1">
      <alignment horizontal="left" vertical="center"/>
    </xf>
    <xf numFmtId="0" fontId="28" fillId="24" borderId="53" xfId="0" quotePrefix="1" applyFont="1" applyFill="1" applyBorder="1"/>
    <xf numFmtId="0" fontId="28" fillId="24" borderId="34" xfId="0" applyFont="1" applyFill="1" applyBorder="1" applyAlignment="1">
      <alignment vertical="center" wrapText="1"/>
    </xf>
    <xf numFmtId="0" fontId="28" fillId="24" borderId="29" xfId="0" applyFont="1" applyFill="1" applyBorder="1" applyAlignment="1">
      <alignment horizontal="left" vertical="center"/>
    </xf>
    <xf numFmtId="0" fontId="28" fillId="24" borderId="40" xfId="0" applyFont="1" applyFill="1" applyBorder="1" applyAlignment="1">
      <alignment vertical="center" wrapText="1"/>
    </xf>
    <xf numFmtId="0" fontId="28" fillId="24" borderId="54" xfId="0" applyFont="1" applyFill="1" applyBorder="1" applyAlignment="1">
      <alignment horizontal="left" vertical="center"/>
    </xf>
    <xf numFmtId="0" fontId="28" fillId="24" borderId="53" xfId="0" applyFont="1" applyFill="1" applyBorder="1" applyAlignment="1">
      <alignment horizontal="center"/>
    </xf>
    <xf numFmtId="0" fontId="28" fillId="24" borderId="53" xfId="0" applyFont="1" applyFill="1" applyBorder="1"/>
    <xf numFmtId="0" fontId="28" fillId="24" borderId="55" xfId="0" applyFont="1" applyFill="1" applyBorder="1" applyAlignment="1">
      <alignment horizontal="center" vertical="center"/>
    </xf>
    <xf numFmtId="0" fontId="28" fillId="24" borderId="45" xfId="0" applyFont="1" applyFill="1" applyBorder="1" applyAlignment="1">
      <alignment horizontal="left" vertical="center"/>
    </xf>
    <xf numFmtId="0" fontId="28" fillId="24" borderId="28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40" xfId="0" applyFont="1" applyFill="1" applyBorder="1" applyAlignment="1">
      <alignment horizontal="center"/>
    </xf>
    <xf numFmtId="0" fontId="24" fillId="24" borderId="32" xfId="0" applyFont="1" applyFill="1" applyBorder="1"/>
    <xf numFmtId="0" fontId="24" fillId="24" borderId="41" xfId="0" applyFont="1" applyFill="1" applyBorder="1"/>
    <xf numFmtId="0" fontId="28" fillId="24" borderId="15" xfId="0" applyFont="1" applyFill="1" applyBorder="1"/>
    <xf numFmtId="0" fontId="28" fillId="24" borderId="41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6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7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8" xfId="0" applyFont="1" applyFill="1" applyBorder="1"/>
    <xf numFmtId="0" fontId="28" fillId="24" borderId="59" xfId="0" applyFont="1" applyFill="1" applyBorder="1" applyAlignment="1">
      <alignment horizontal="left"/>
    </xf>
    <xf numFmtId="0" fontId="24" fillId="24" borderId="59" xfId="0" applyFont="1" applyFill="1" applyBorder="1"/>
    <xf numFmtId="165" fontId="24" fillId="24" borderId="59" xfId="28" applyFont="1" applyFill="1" applyBorder="1" applyProtection="1"/>
    <xf numFmtId="0" fontId="24" fillId="24" borderId="31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1" applyNumberFormat="1" applyFont="1" applyFill="1" applyBorder="1" applyProtection="1"/>
    <xf numFmtId="0" fontId="28" fillId="24" borderId="28" xfId="0" applyFont="1" applyFill="1" applyBorder="1"/>
    <xf numFmtId="0" fontId="28" fillId="24" borderId="0" xfId="0" applyFont="1" applyFill="1" applyAlignment="1">
      <alignment horizontal="left"/>
    </xf>
    <xf numFmtId="0" fontId="24" fillId="24" borderId="60" xfId="0" applyFont="1" applyFill="1" applyBorder="1"/>
    <xf numFmtId="0" fontId="24" fillId="24" borderId="28" xfId="0" applyFont="1" applyFill="1" applyBorder="1"/>
    <xf numFmtId="0" fontId="24" fillId="24" borderId="30" xfId="0" applyFont="1" applyFill="1" applyBorder="1"/>
    <xf numFmtId="0" fontId="28" fillId="24" borderId="61" xfId="0" applyFont="1" applyFill="1" applyBorder="1"/>
    <xf numFmtId="165" fontId="28" fillId="24" borderId="61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1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2" xfId="0" applyFont="1" applyFill="1" applyBorder="1" applyAlignment="1" applyProtection="1">
      <alignment horizontal="left" vertical="center"/>
      <protection locked="0"/>
    </xf>
    <xf numFmtId="165" fontId="28" fillId="24" borderId="60" xfId="28" applyFont="1" applyFill="1" applyBorder="1" applyAlignment="1" applyProtection="1">
      <alignment horizontal="center" vertical="center"/>
      <protection locked="0"/>
    </xf>
    <xf numFmtId="165" fontId="28" fillId="24" borderId="62" xfId="28" applyFont="1" applyFill="1" applyBorder="1" applyAlignment="1" applyProtection="1">
      <alignment horizontal="center" vertical="center"/>
      <protection locked="0"/>
    </xf>
    <xf numFmtId="165" fontId="28" fillId="24" borderId="42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protection locked="0"/>
    </xf>
    <xf numFmtId="165" fontId="28" fillId="24" borderId="43" xfId="28" applyFont="1" applyFill="1" applyBorder="1" applyAlignment="1" applyProtection="1">
      <alignment horizontal="center"/>
      <protection locked="0"/>
    </xf>
    <xf numFmtId="0" fontId="28" fillId="24" borderId="63" xfId="0" applyFont="1" applyFill="1" applyBorder="1" applyAlignment="1" applyProtection="1">
      <alignment horizontal="left" vertical="center"/>
      <protection locked="0"/>
    </xf>
    <xf numFmtId="165" fontId="28" fillId="24" borderId="55" xfId="51" applyNumberFormat="1" applyFont="1" applyFill="1" applyBorder="1" applyAlignment="1" applyProtection="1">
      <alignment horizontal="center" vertical="center"/>
      <protection locked="0"/>
    </xf>
    <xf numFmtId="165" fontId="28" fillId="24" borderId="54" xfId="51" applyNumberFormat="1" applyFont="1" applyFill="1" applyBorder="1" applyAlignment="1" applyProtection="1">
      <alignment horizontal="center" vertical="center"/>
      <protection locked="0"/>
    </xf>
    <xf numFmtId="165" fontId="28" fillId="24" borderId="64" xfId="51" applyNumberFormat="1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3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7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3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4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78" fontId="43" fillId="0" borderId="17" xfId="29" applyNumberFormat="1" applyFont="1" applyBorder="1" applyAlignment="1">
      <alignment vertical="center"/>
    </xf>
    <xf numFmtId="178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7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5" xfId="0" applyBorder="1"/>
    <xf numFmtId="165" fontId="0" fillId="0" borderId="65" xfId="0" applyNumberFormat="1" applyBorder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9" fillId="0" borderId="0" xfId="41"/>
    <xf numFmtId="0" fontId="49" fillId="0" borderId="0" xfId="41" applyAlignment="1">
      <alignment horizontal="center"/>
    </xf>
    <xf numFmtId="2" fontId="49" fillId="0" borderId="0" xfId="41" applyNumberFormat="1" applyAlignment="1">
      <alignment horizontal="center"/>
    </xf>
    <xf numFmtId="2" fontId="49" fillId="0" borderId="0" xfId="41" applyNumberFormat="1"/>
    <xf numFmtId="16" fontId="49" fillId="0" borderId="10" xfId="41" applyNumberFormat="1" applyBorder="1"/>
    <xf numFmtId="0" fontId="49" fillId="0" borderId="11" xfId="41" applyBorder="1"/>
    <xf numFmtId="2" fontId="49" fillId="0" borderId="11" xfId="41" applyNumberFormat="1" applyBorder="1" applyAlignment="1">
      <alignment horizontal="center"/>
    </xf>
    <xf numFmtId="0" fontId="49" fillId="0" borderId="10" xfId="41" applyBorder="1"/>
    <xf numFmtId="0" fontId="49" fillId="0" borderId="11" xfId="41" applyBorder="1" applyAlignment="1">
      <alignment horizontal="left"/>
    </xf>
    <xf numFmtId="0" fontId="49" fillId="0" borderId="11" xfId="41" applyBorder="1" applyAlignment="1">
      <alignment horizontal="right"/>
    </xf>
    <xf numFmtId="0" fontId="49" fillId="0" borderId="0" xfId="42" applyAlignment="1">
      <alignment horizontal="center"/>
    </xf>
    <xf numFmtId="39" fontId="49" fillId="0" borderId="0" xfId="42" quotePrefix="1" applyNumberFormat="1" applyAlignment="1">
      <alignment horizontal="left"/>
    </xf>
    <xf numFmtId="0" fontId="49" fillId="0" borderId="0" xfId="41" quotePrefix="1"/>
    <xf numFmtId="39" fontId="49" fillId="0" borderId="0" xfId="42" applyNumberFormat="1"/>
    <xf numFmtId="39" fontId="49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1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1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9" fillId="0" borderId="66" xfId="0" applyNumberFormat="1" applyFont="1" applyBorder="1"/>
    <xf numFmtId="4" fontId="29" fillId="0" borderId="66" xfId="0" applyNumberFormat="1" applyFont="1" applyBorder="1" applyAlignment="1">
      <alignment vertical="justify"/>
    </xf>
    <xf numFmtId="171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2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4" fontId="29" fillId="0" borderId="17" xfId="28" applyNumberFormat="1" applyFont="1" applyBorder="1" applyProtection="1"/>
    <xf numFmtId="0" fontId="29" fillId="0" borderId="11" xfId="0" applyFont="1" applyBorder="1"/>
    <xf numFmtId="172" fontId="29" fillId="0" borderId="11" xfId="28" applyNumberFormat="1" applyFont="1" applyBorder="1" applyProtection="1"/>
    <xf numFmtId="174" fontId="32" fillId="0" borderId="0" xfId="28" applyNumberFormat="1" applyFont="1" applyBorder="1" applyProtection="1"/>
    <xf numFmtId="174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79" fontId="0" fillId="0" borderId="0" xfId="0" applyNumberFormat="1" applyAlignment="1">
      <alignment horizontal="right" vertical="center"/>
    </xf>
    <xf numFmtId="165" fontId="47" fillId="24" borderId="10" xfId="0" applyNumberFormat="1" applyFont="1" applyFill="1" applyBorder="1" applyAlignment="1">
      <alignment horizontal="left"/>
    </xf>
    <xf numFmtId="173" fontId="48" fillId="0" borderId="11" xfId="45" applyNumberFormat="1" applyFont="1" applyBorder="1" applyAlignment="1">
      <alignment horizontal="center"/>
    </xf>
    <xf numFmtId="16" fontId="24" fillId="24" borderId="0" xfId="28" applyNumberFormat="1" applyFont="1" applyFill="1" applyBorder="1" applyProtection="1">
      <protection locked="0"/>
    </xf>
    <xf numFmtId="164" fontId="43" fillId="0" borderId="11" xfId="29" applyFont="1" applyFill="1" applyBorder="1"/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8" fontId="44" fillId="0" borderId="0" xfId="29" applyNumberFormat="1" applyFont="1" applyFill="1" applyBorder="1" applyAlignment="1">
      <alignment vertical="center"/>
    </xf>
    <xf numFmtId="178" fontId="28" fillId="24" borderId="21" xfId="29" applyNumberFormat="1" applyFont="1" applyFill="1" applyBorder="1" applyAlignment="1" applyProtection="1">
      <alignment horizontal="right" vertical="center"/>
    </xf>
    <xf numFmtId="178" fontId="28" fillId="24" borderId="17" xfId="29" applyNumberFormat="1" applyFont="1" applyFill="1" applyBorder="1" applyAlignment="1" applyProtection="1">
      <alignment horizontal="right" vertical="center"/>
    </xf>
    <xf numFmtId="178" fontId="28" fillId="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 vertical="center"/>
    </xf>
    <xf numFmtId="178" fontId="24" fillId="2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/>
    </xf>
    <xf numFmtId="178" fontId="28" fillId="24" borderId="14" xfId="29" applyNumberFormat="1" applyFont="1" applyFill="1" applyBorder="1" applyAlignment="1" applyProtection="1">
      <alignment horizontal="right"/>
    </xf>
    <xf numFmtId="178" fontId="28" fillId="24" borderId="23" xfId="29" applyNumberFormat="1" applyFont="1" applyFill="1" applyBorder="1" applyAlignment="1" applyProtection="1">
      <alignment horizontal="right"/>
    </xf>
    <xf numFmtId="10" fontId="43" fillId="0" borderId="0" xfId="51" applyNumberFormat="1" applyFont="1" applyFill="1" applyBorder="1"/>
    <xf numFmtId="10" fontId="44" fillId="0" borderId="11" xfId="51" applyNumberFormat="1" applyFont="1" applyFill="1" applyBorder="1"/>
    <xf numFmtId="10" fontId="43" fillId="0" borderId="0" xfId="51" applyNumberFormat="1" applyFont="1" applyFill="1" applyBorder="1" applyAlignment="1">
      <alignment vertical="center"/>
    </xf>
    <xf numFmtId="10" fontId="44" fillId="27" borderId="0" xfId="51" applyNumberFormat="1" applyFont="1" applyFill="1" applyBorder="1"/>
    <xf numFmtId="10" fontId="44" fillId="0" borderId="11" xfId="51" applyNumberFormat="1" applyFont="1" applyFill="1" applyBorder="1" applyAlignment="1">
      <alignment vertical="center"/>
    </xf>
    <xf numFmtId="0" fontId="43" fillId="28" borderId="0" xfId="0" applyFont="1" applyFill="1"/>
    <xf numFmtId="0" fontId="51" fillId="28" borderId="0" xfId="0" applyFont="1" applyFill="1"/>
    <xf numFmtId="178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65" fontId="44" fillId="28" borderId="0" xfId="0" applyNumberFormat="1" applyFont="1" applyFill="1" applyAlignment="1">
      <alignment horizontal="right"/>
    </xf>
    <xf numFmtId="166" fontId="44" fillId="28" borderId="0" xfId="51" applyNumberFormat="1" applyFont="1" applyFill="1" applyBorder="1" applyAlignment="1">
      <alignment vertical="center"/>
    </xf>
    <xf numFmtId="178" fontId="44" fillId="25" borderId="13" xfId="29" applyNumberFormat="1" applyFont="1" applyFill="1" applyBorder="1" applyAlignment="1">
      <alignment vertical="center"/>
    </xf>
    <xf numFmtId="178" fontId="44" fillId="25" borderId="19" xfId="29" applyNumberFormat="1" applyFont="1" applyFill="1" applyBorder="1" applyAlignment="1">
      <alignment vertical="center"/>
    </xf>
    <xf numFmtId="166" fontId="44" fillId="25" borderId="19" xfId="51" applyNumberFormat="1" applyFont="1" applyFill="1" applyBorder="1" applyAlignment="1">
      <alignment vertical="center"/>
    </xf>
    <xf numFmtId="165" fontId="44" fillId="0" borderId="17" xfId="0" applyNumberFormat="1" applyFont="1" applyBorder="1" applyAlignment="1">
      <alignment horizontal="right"/>
    </xf>
    <xf numFmtId="0" fontId="43" fillId="0" borderId="17" xfId="0" applyFont="1" applyBorder="1"/>
    <xf numFmtId="178" fontId="44" fillId="4" borderId="11" xfId="29" applyNumberFormat="1" applyFont="1" applyFill="1" applyBorder="1" applyAlignment="1">
      <alignment horizontal="center"/>
    </xf>
    <xf numFmtId="0" fontId="46" fillId="0" borderId="0" xfId="0" applyFont="1"/>
    <xf numFmtId="0" fontId="0" fillId="0" borderId="67" xfId="0" applyBorder="1"/>
    <xf numFmtId="0" fontId="0" fillId="0" borderId="26" xfId="0" applyBorder="1"/>
    <xf numFmtId="0" fontId="46" fillId="0" borderId="26" xfId="0" applyFont="1" applyBorder="1"/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1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0" fontId="29" fillId="0" borderId="11" xfId="28" applyNumberFormat="1" applyFont="1" applyBorder="1" applyProtection="1"/>
    <xf numFmtId="178" fontId="53" fillId="0" borderId="0" xfId="29" applyNumberFormat="1" applyFont="1" applyProtection="1"/>
    <xf numFmtId="0" fontId="46" fillId="0" borderId="36" xfId="0" applyFont="1" applyBorder="1"/>
    <xf numFmtId="2" fontId="0" fillId="0" borderId="40" xfId="0" applyNumberFormat="1" applyBorder="1" applyAlignment="1">
      <alignment vertical="center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9" fillId="0" borderId="66" xfId="0" applyNumberFormat="1" applyFont="1" applyBorder="1" applyAlignment="1">
      <alignment vertical="center"/>
    </xf>
    <xf numFmtId="0" fontId="29" fillId="0" borderId="66" xfId="0" applyFont="1" applyBorder="1" applyAlignment="1">
      <alignment horizontal="center" vertical="center"/>
    </xf>
    <xf numFmtId="4" fontId="29" fillId="0" borderId="66" xfId="0" applyNumberFormat="1" applyFont="1" applyBorder="1" applyAlignment="1">
      <alignment vertical="center"/>
    </xf>
    <xf numFmtId="171" fontId="29" fillId="0" borderId="66" xfId="0" applyNumberFormat="1" applyFont="1" applyBorder="1" applyAlignment="1">
      <alignment vertical="center"/>
    </xf>
    <xf numFmtId="168" fontId="29" fillId="0" borderId="66" xfId="0" applyNumberFormat="1" applyFont="1" applyBorder="1" applyAlignment="1">
      <alignment vertical="center"/>
    </xf>
    <xf numFmtId="2" fontId="29" fillId="0" borderId="66" xfId="0" applyNumberFormat="1" applyFont="1" applyBorder="1" applyAlignment="1">
      <alignment vertical="center" wrapText="1"/>
    </xf>
    <xf numFmtId="4" fontId="29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1" applyFont="1" applyBorder="1" applyAlignment="1" applyProtection="1">
      <alignment horizontal="center" vertical="center"/>
      <protection locked="0"/>
    </xf>
    <xf numFmtId="9" fontId="0" fillId="0" borderId="62" xfId="51" applyFont="1" applyBorder="1" applyAlignment="1" applyProtection="1">
      <alignment horizontal="center" vertical="center"/>
    </xf>
    <xf numFmtId="9" fontId="29" fillId="0" borderId="66" xfId="51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10" fontId="46" fillId="0" borderId="11" xfId="51" applyNumberFormat="1" applyFont="1" applyFill="1" applyBorder="1" applyAlignment="1" applyProtection="1">
      <alignment horizontal="center" vertical="center"/>
      <protection locked="0"/>
    </xf>
    <xf numFmtId="10" fontId="46" fillId="27" borderId="11" xfId="51" applyNumberFormat="1" applyFont="1" applyFill="1" applyBorder="1" applyAlignment="1" applyProtection="1">
      <alignment horizontal="center" vertical="center"/>
      <protection locked="0"/>
    </xf>
    <xf numFmtId="2" fontId="40" fillId="0" borderId="11" xfId="45" applyNumberFormat="1" applyFont="1" applyBorder="1" applyAlignment="1">
      <alignment horizontal="center"/>
    </xf>
    <xf numFmtId="165" fontId="44" fillId="31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173" fontId="46" fillId="0" borderId="0" xfId="0" applyNumberFormat="1" applyFont="1" applyAlignment="1">
      <alignment vertical="center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2" xfId="51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54" fillId="0" borderId="0" xfId="0" applyFont="1"/>
    <xf numFmtId="0" fontId="24" fillId="24" borderId="15" xfId="0" applyFont="1" applyFill="1" applyBorder="1"/>
    <xf numFmtId="0" fontId="24" fillId="24" borderId="15" xfId="0" applyFont="1" applyFill="1" applyBorder="1" applyAlignment="1">
      <alignment horizontal="center" wrapText="1"/>
    </xf>
    <xf numFmtId="0" fontId="24" fillId="24" borderId="56" xfId="0" applyFont="1" applyFill="1" applyBorder="1"/>
    <xf numFmtId="9" fontId="24" fillId="0" borderId="21" xfId="51" applyFont="1" applyFill="1" applyBorder="1" applyAlignment="1">
      <alignment vertical="center"/>
    </xf>
    <xf numFmtId="0" fontId="24" fillId="24" borderId="21" xfId="0" applyFont="1" applyFill="1" applyBorder="1"/>
    <xf numFmtId="2" fontId="24" fillId="24" borderId="21" xfId="0" applyNumberFormat="1" applyFont="1" applyFill="1" applyBorder="1"/>
    <xf numFmtId="165" fontId="24" fillId="0" borderId="11" xfId="29" applyNumberFormat="1" applyFont="1" applyFill="1" applyBorder="1" applyAlignment="1">
      <alignment vertical="center"/>
    </xf>
    <xf numFmtId="165" fontId="24" fillId="24" borderId="21" xfId="0" applyNumberFormat="1" applyFont="1" applyFill="1" applyBorder="1"/>
    <xf numFmtId="10" fontId="43" fillId="0" borderId="13" xfId="51" applyNumberFormat="1" applyFont="1" applyFill="1" applyBorder="1" applyAlignment="1">
      <alignment vertical="center"/>
    </xf>
    <xf numFmtId="10" fontId="43" fillId="0" borderId="30" xfId="51" applyNumberFormat="1" applyFont="1" applyFill="1" applyBorder="1" applyAlignment="1">
      <alignment vertical="center"/>
    </xf>
    <xf numFmtId="0" fontId="24" fillId="24" borderId="68" xfId="0" applyFont="1" applyFill="1" applyBorder="1"/>
    <xf numFmtId="0" fontId="24" fillId="24" borderId="36" xfId="0" applyFont="1" applyFill="1" applyBorder="1"/>
    <xf numFmtId="0" fontId="24" fillId="24" borderId="26" xfId="0" applyFont="1" applyFill="1" applyBorder="1"/>
    <xf numFmtId="0" fontId="24" fillId="24" borderId="25" xfId="0" applyFont="1" applyFill="1" applyBorder="1"/>
    <xf numFmtId="0" fontId="24" fillId="24" borderId="17" xfId="0" applyFont="1" applyFill="1" applyBorder="1"/>
    <xf numFmtId="0" fontId="24" fillId="24" borderId="55" xfId="0" applyFont="1" applyFill="1" applyBorder="1"/>
    <xf numFmtId="0" fontId="24" fillId="24" borderId="45" xfId="0" applyFont="1" applyFill="1" applyBorder="1"/>
    <xf numFmtId="0" fontId="40" fillId="0" borderId="11" xfId="57" applyFont="1" applyBorder="1" applyAlignment="1">
      <alignment horizontal="left"/>
    </xf>
    <xf numFmtId="0" fontId="46" fillId="0" borderId="11" xfId="0" applyFont="1" applyBorder="1"/>
    <xf numFmtId="0" fontId="40" fillId="0" borderId="19" xfId="57" applyFont="1" applyBorder="1" applyAlignment="1">
      <alignment horizontal="left"/>
    </xf>
    <xf numFmtId="0" fontId="32" fillId="0" borderId="11" xfId="57" applyFont="1" applyBorder="1" applyAlignment="1">
      <alignment horizontal="left"/>
    </xf>
    <xf numFmtId="178" fontId="44" fillId="0" borderId="17" xfId="29" applyNumberFormat="1" applyFont="1" applyFill="1" applyBorder="1" applyAlignment="1">
      <alignment vertical="center" wrapText="1"/>
    </xf>
    <xf numFmtId="0" fontId="28" fillId="24" borderId="14" xfId="0" quotePrefix="1" applyFont="1" applyFill="1" applyBorder="1" applyAlignment="1" applyProtection="1">
      <alignment wrapText="1"/>
      <protection locked="0"/>
    </xf>
    <xf numFmtId="0" fontId="55" fillId="34" borderId="0" xfId="0" applyFont="1" applyFill="1"/>
    <xf numFmtId="180" fontId="44" fillId="25" borderId="11" xfId="29" applyNumberFormat="1" applyFont="1" applyFill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27" borderId="0" xfId="0" applyFill="1"/>
    <xf numFmtId="0" fontId="0" fillId="27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9" fontId="54" fillId="27" borderId="11" xfId="51" applyFont="1" applyFill="1" applyBorder="1" applyAlignment="1">
      <alignment horizontal="center" vertical="center" wrapText="1"/>
    </xf>
    <xf numFmtId="10" fontId="0" fillId="0" borderId="11" xfId="51" applyNumberFormat="1" applyFont="1" applyBorder="1" applyAlignment="1">
      <alignment horizontal="center"/>
    </xf>
    <xf numFmtId="2" fontId="54" fillId="33" borderId="11" xfId="0" applyNumberFormat="1" applyFont="1" applyFill="1" applyBorder="1" applyAlignment="1">
      <alignment horizontal="center"/>
    </xf>
    <xf numFmtId="10" fontId="54" fillId="33" borderId="11" xfId="51" applyNumberFormat="1" applyFont="1" applyFill="1" applyBorder="1" applyAlignment="1">
      <alignment horizontal="center"/>
    </xf>
    <xf numFmtId="10" fontId="0" fillId="0" borderId="11" xfId="51" applyNumberFormat="1" applyFont="1" applyBorder="1"/>
    <xf numFmtId="10" fontId="29" fillId="0" borderId="11" xfId="0" applyNumberFormat="1" applyFont="1" applyBorder="1"/>
    <xf numFmtId="0" fontId="54" fillId="27" borderId="11" xfId="0" applyFont="1" applyFill="1" applyBorder="1" applyAlignment="1">
      <alignment horizontal="center" vertical="center"/>
    </xf>
    <xf numFmtId="14" fontId="54" fillId="27" borderId="0" xfId="0" applyNumberFormat="1" applyFont="1" applyFill="1" applyAlignment="1">
      <alignment horizontal="center" vertical="center"/>
    </xf>
    <xf numFmtId="2" fontId="54" fillId="27" borderId="0" xfId="0" applyNumberFormat="1" applyFont="1" applyFill="1" applyAlignment="1">
      <alignment horizontal="center" vertical="center" wrapText="1"/>
    </xf>
    <xf numFmtId="0" fontId="54" fillId="27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51" applyNumberFormat="1" applyFont="1" applyBorder="1" applyAlignment="1">
      <alignment horizontal="center"/>
    </xf>
    <xf numFmtId="0" fontId="0" fillId="27" borderId="11" xfId="0" applyFill="1" applyBorder="1"/>
    <xf numFmtId="0" fontId="0" fillId="0" borderId="0" xfId="0" quotePrefix="1"/>
    <xf numFmtId="14" fontId="0" fillId="0" borderId="0" xfId="0" applyNumberFormat="1" applyAlignment="1">
      <alignment horizontal="center"/>
    </xf>
    <xf numFmtId="10" fontId="0" fillId="0" borderId="11" xfId="0" applyNumberFormat="1" applyBorder="1" applyAlignment="1">
      <alignment horizontal="right"/>
    </xf>
    <xf numFmtId="0" fontId="0" fillId="0" borderId="62" xfId="0" applyBorder="1"/>
    <xf numFmtId="10" fontId="0" fillId="0" borderId="11" xfId="0" applyNumberFormat="1" applyBorder="1" applyAlignment="1">
      <alignment horizontal="center"/>
    </xf>
    <xf numFmtId="0" fontId="0" fillId="35" borderId="0" xfId="0" applyFill="1"/>
    <xf numFmtId="0" fontId="46" fillId="27" borderId="0" xfId="0" applyFont="1" applyFill="1"/>
    <xf numFmtId="0" fontId="46" fillId="35" borderId="0" xfId="0" applyFont="1" applyFill="1"/>
    <xf numFmtId="0" fontId="46" fillId="27" borderId="0" xfId="0" applyFont="1" applyFill="1" applyAlignment="1">
      <alignment horizontal="center"/>
    </xf>
    <xf numFmtId="0" fontId="46" fillId="35" borderId="0" xfId="0" applyFont="1" applyFill="1" applyAlignment="1">
      <alignment horizontal="center"/>
    </xf>
    <xf numFmtId="4" fontId="0" fillId="34" borderId="0" xfId="0" applyNumberFormat="1" applyFill="1" applyAlignment="1">
      <alignment horizontal="center" vertical="center"/>
    </xf>
    <xf numFmtId="4" fontId="0" fillId="34" borderId="0" xfId="0" applyNumberFormat="1" applyFill="1" applyAlignment="1">
      <alignment vertical="center"/>
    </xf>
    <xf numFmtId="4" fontId="0" fillId="35" borderId="0" xfId="0" applyNumberFormat="1" applyFill="1" applyAlignment="1">
      <alignment vertical="center"/>
    </xf>
    <xf numFmtId="0" fontId="0" fillId="35" borderId="0" xfId="0" applyFill="1" applyAlignment="1">
      <alignment vertical="center"/>
    </xf>
    <xf numFmtId="4" fontId="46" fillId="0" borderId="0" xfId="0" applyNumberFormat="1" applyFont="1" applyAlignment="1">
      <alignment horizontal="center" vertical="center"/>
    </xf>
    <xf numFmtId="4" fontId="46" fillId="0" borderId="0" xfId="0" applyNumberFormat="1" applyFont="1" applyAlignment="1">
      <alignment vertical="center"/>
    </xf>
    <xf numFmtId="0" fontId="29" fillId="33" borderId="11" xfId="0" applyFont="1" applyFill="1" applyBorder="1"/>
    <xf numFmtId="0" fontId="40" fillId="38" borderId="11" xfId="57" applyFont="1" applyFill="1" applyBorder="1" applyAlignment="1">
      <alignment horizontal="left"/>
    </xf>
    <xf numFmtId="0" fontId="0" fillId="39" borderId="11" xfId="0" applyFill="1" applyBorder="1"/>
    <xf numFmtId="0" fontId="46" fillId="39" borderId="11" xfId="0" applyFont="1" applyFill="1" applyBorder="1"/>
    <xf numFmtId="10" fontId="0" fillId="38" borderId="17" xfId="51" applyNumberFormat="1" applyFont="1" applyFill="1" applyBorder="1"/>
    <xf numFmtId="10" fontId="0" fillId="0" borderId="17" xfId="51" applyNumberFormat="1" applyFont="1" applyBorder="1"/>
    <xf numFmtId="0" fontId="59" fillId="0" borderId="11" xfId="57" applyFont="1" applyBorder="1" applyAlignment="1">
      <alignment horizontal="left"/>
    </xf>
    <xf numFmtId="10" fontId="58" fillId="27" borderId="11" xfId="51" applyNumberFormat="1" applyFont="1" applyFill="1" applyBorder="1"/>
    <xf numFmtId="0" fontId="23" fillId="0" borderId="0" xfId="41" applyFont="1"/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0" fontId="44" fillId="29" borderId="11" xfId="51" applyNumberFormat="1" applyFont="1" applyFill="1" applyBorder="1" applyAlignment="1">
      <alignment vertical="center"/>
    </xf>
    <xf numFmtId="10" fontId="44" fillId="4" borderId="11" xfId="51" applyNumberFormat="1" applyFont="1" applyFill="1" applyBorder="1" applyAlignment="1">
      <alignment vertical="center"/>
    </xf>
    <xf numFmtId="10" fontId="44" fillId="25" borderId="11" xfId="51" applyNumberFormat="1" applyFont="1" applyFill="1" applyBorder="1"/>
    <xf numFmtId="166" fontId="44" fillId="0" borderId="0" xfId="52" applyNumberFormat="1" applyFont="1" applyFill="1" applyBorder="1" applyAlignment="1">
      <alignment vertical="center"/>
    </xf>
    <xf numFmtId="177" fontId="43" fillId="0" borderId="11" xfId="0" applyNumberFormat="1" applyFont="1" applyBorder="1" applyAlignment="1">
      <alignment horizontal="center" vertical="center" wrapText="1"/>
    </xf>
    <xf numFmtId="2" fontId="40" fillId="0" borderId="11" xfId="46" applyNumberFormat="1" applyFont="1" applyBorder="1" applyAlignment="1">
      <alignment horizontal="center"/>
    </xf>
    <xf numFmtId="10" fontId="43" fillId="0" borderId="11" xfId="51" applyNumberFormat="1" applyFont="1" applyFill="1" applyBorder="1" applyAlignment="1">
      <alignment vertical="center"/>
    </xf>
    <xf numFmtId="178" fontId="43" fillId="0" borderId="19" xfId="29" applyNumberFormat="1" applyFont="1" applyFill="1" applyBorder="1" applyAlignment="1">
      <alignment vertical="center"/>
    </xf>
    <xf numFmtId="2" fontId="37" fillId="0" borderId="11" xfId="47" applyNumberFormat="1" applyFont="1" applyBorder="1"/>
    <xf numFmtId="2" fontId="43" fillId="0" borderId="0" xfId="0" applyNumberFormat="1" applyFont="1"/>
    <xf numFmtId="181" fontId="44" fillId="0" borderId="11" xfId="29" applyNumberFormat="1" applyFont="1" applyFill="1" applyBorder="1" applyAlignment="1">
      <alignment vertical="center"/>
    </xf>
    <xf numFmtId="10" fontId="43" fillId="28" borderId="0" xfId="0" applyNumberFormat="1" applyFont="1" applyFill="1" applyAlignment="1">
      <alignment horizontal="right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5" fontId="28" fillId="24" borderId="17" xfId="0" applyNumberFormat="1" applyFont="1" applyFill="1" applyBorder="1" applyAlignment="1" applyProtection="1">
      <alignment horizontal="left"/>
      <protection locked="0"/>
    </xf>
    <xf numFmtId="2" fontId="0" fillId="0" borderId="11" xfId="28" applyNumberFormat="1" applyFont="1" applyBorder="1" applyAlignment="1">
      <alignment horizontal="center"/>
    </xf>
    <xf numFmtId="10" fontId="0" fillId="0" borderId="0" xfId="0" applyNumberFormat="1"/>
    <xf numFmtId="178" fontId="44" fillId="40" borderId="11" xfId="61" applyNumberFormat="1" applyFont="1" applyFill="1" applyBorder="1" applyAlignment="1">
      <alignment horizontal="center" vertical="center" wrapText="1"/>
    </xf>
    <xf numFmtId="178" fontId="44" fillId="26" borderId="14" xfId="61" applyNumberFormat="1" applyFont="1" applyFill="1" applyBorder="1" applyAlignment="1">
      <alignment horizontal="center" vertical="center" wrapText="1"/>
    </xf>
    <xf numFmtId="178" fontId="44" fillId="26" borderId="11" xfId="61" applyNumberFormat="1" applyFont="1" applyFill="1" applyBorder="1" applyAlignment="1">
      <alignment horizontal="center" vertical="center" wrapText="1"/>
    </xf>
    <xf numFmtId="178" fontId="44" fillId="40" borderId="14" xfId="61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20" xfId="28" applyNumberFormat="1" applyFont="1" applyFill="1" applyBorder="1" applyAlignment="1" applyProtection="1">
      <alignment horizontal="center" vertical="center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4" xfId="28" applyNumberFormat="1" applyFont="1" applyBorder="1" applyAlignment="1"/>
    <xf numFmtId="2" fontId="0" fillId="0" borderId="84" xfId="28" applyNumberFormat="1" applyFont="1" applyBorder="1" applyAlignment="1" applyProtection="1">
      <alignment horizontal="center" vertical="center"/>
      <protection hidden="1"/>
    </xf>
    <xf numFmtId="0" fontId="29" fillId="0" borderId="0" xfId="41" applyFont="1"/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wrapText="1"/>
    </xf>
    <xf numFmtId="0" fontId="46" fillId="27" borderId="0" xfId="0" applyFont="1" applyFill="1" applyAlignment="1">
      <alignment horizontal="center"/>
    </xf>
    <xf numFmtId="2" fontId="29" fillId="0" borderId="85" xfId="28" applyNumberFormat="1" applyFont="1" applyBorder="1" applyAlignment="1">
      <alignment horizontal="center" vertical="center"/>
    </xf>
    <xf numFmtId="2" fontId="29" fillId="0" borderId="85" xfId="28" applyNumberFormat="1" applyFont="1" applyFill="1" applyBorder="1" applyAlignment="1" applyProtection="1">
      <alignment horizontal="center" vertical="center"/>
    </xf>
    <xf numFmtId="0" fontId="29" fillId="0" borderId="78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54" fillId="27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1" applyNumberFormat="1" applyFont="1" applyFill="1" applyBorder="1" applyAlignment="1">
      <alignment horizontal="center" vertical="center"/>
    </xf>
    <xf numFmtId="10" fontId="0" fillId="0" borderId="11" xfId="51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54" fillId="0" borderId="60" xfId="0" applyFont="1" applyBorder="1" applyAlignment="1">
      <alignment vertical="center"/>
    </xf>
    <xf numFmtId="10" fontId="54" fillId="0" borderId="11" xfId="51" applyNumberFormat="1" applyFont="1" applyBorder="1" applyAlignment="1">
      <alignment horizontal="center"/>
    </xf>
    <xf numFmtId="0" fontId="21" fillId="0" borderId="0" xfId="41" applyFont="1"/>
    <xf numFmtId="0" fontId="22" fillId="0" borderId="0" xfId="41" applyFont="1"/>
    <xf numFmtId="165" fontId="46" fillId="11" borderId="11" xfId="28" applyFont="1" applyFill="1" applyBorder="1" applyAlignment="1" applyProtection="1">
      <alignment horizontal="center"/>
    </xf>
    <xf numFmtId="165" fontId="29" fillId="0" borderId="23" xfId="28" applyFont="1" applyBorder="1" applyProtection="1"/>
    <xf numFmtId="1" fontId="46" fillId="27" borderId="39" xfId="0" applyNumberFormat="1" applyFont="1" applyFill="1" applyBorder="1" applyAlignment="1">
      <alignment horizontal="center" vertical="center"/>
    </xf>
    <xf numFmtId="2" fontId="0" fillId="0" borderId="69" xfId="0" applyNumberFormat="1" applyBorder="1" applyAlignment="1">
      <alignment vertical="center"/>
    </xf>
    <xf numFmtId="0" fontId="46" fillId="0" borderId="68" xfId="0" applyFont="1" applyBorder="1"/>
    <xf numFmtId="0" fontId="0" fillId="0" borderId="0" xfId="0" applyFill="1" applyBorder="1"/>
    <xf numFmtId="0" fontId="46" fillId="0" borderId="0" xfId="0" applyFont="1" applyFill="1" applyBorder="1"/>
    <xf numFmtId="0" fontId="46" fillId="0" borderId="0" xfId="0" applyFont="1" applyBorder="1"/>
    <xf numFmtId="0" fontId="0" fillId="0" borderId="0" xfId="0" applyBorder="1"/>
    <xf numFmtId="173" fontId="49" fillId="0" borderId="86" xfId="0" applyNumberFormat="1" applyFont="1" applyBorder="1"/>
    <xf numFmtId="173" fontId="46" fillId="0" borderId="3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9" fillId="0" borderId="39" xfId="0" applyNumberFormat="1" applyFont="1" applyBorder="1" applyAlignment="1">
      <alignment horizontal="center" vertical="center"/>
    </xf>
    <xf numFmtId="1" fontId="0" fillId="0" borderId="11" xfId="0" applyNumberFormat="1" applyBorder="1"/>
    <xf numFmtId="0" fontId="46" fillId="27" borderId="0" xfId="0" applyFont="1" applyFill="1" applyAlignment="1">
      <alignment horizontal="center"/>
    </xf>
    <xf numFmtId="1" fontId="0" fillId="0" borderId="11" xfId="0" applyNumberFormat="1" applyBorder="1" applyAlignment="1">
      <alignment horizontal="right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0" fillId="0" borderId="69" xfId="0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28" fillId="24" borderId="17" xfId="0" quotePrefix="1" applyFont="1" applyFill="1" applyBorder="1" applyAlignment="1" applyProtection="1">
      <alignment wrapText="1"/>
      <protection locked="0"/>
    </xf>
    <xf numFmtId="0" fontId="28" fillId="24" borderId="23" xfId="0" quotePrefix="1" applyFont="1" applyFill="1" applyBorder="1" applyAlignment="1" applyProtection="1">
      <alignment wrapText="1"/>
      <protection locked="0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9" fontId="43" fillId="0" borderId="11" xfId="0" applyNumberFormat="1" applyFont="1" applyFill="1" applyBorder="1" applyAlignment="1">
      <alignment horizontal="center" vertical="center" wrapText="1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173" fontId="46" fillId="0" borderId="86" xfId="0" applyNumberFormat="1" applyFont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16" fontId="0" fillId="0" borderId="11" xfId="0" quotePrefix="1" applyNumberFormat="1" applyBorder="1" applyAlignment="1" applyProtection="1">
      <alignment horizontal="center" vertical="center"/>
      <protection locked="0"/>
    </xf>
    <xf numFmtId="14" fontId="0" fillId="0" borderId="11" xfId="0" applyNumberFormat="1" applyBorder="1" applyAlignment="1">
      <alignment horizontal="center"/>
    </xf>
    <xf numFmtId="169" fontId="36" fillId="0" borderId="0" xfId="0" applyNumberFormat="1" applyFont="1" applyAlignment="1">
      <alignment horizontal="center" vertical="center"/>
    </xf>
    <xf numFmtId="168" fontId="39" fillId="0" borderId="11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70" xfId="0" applyFont="1" applyBorder="1" applyAlignment="1">
      <alignment horizontal="center" vertical="center" wrapText="1"/>
    </xf>
    <xf numFmtId="0" fontId="39" fillId="0" borderId="7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27" borderId="58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8" xfId="0" applyFont="1" applyFill="1" applyBorder="1" applyAlignment="1">
      <alignment horizontal="center" vertical="center" wrapText="1"/>
    </xf>
    <xf numFmtId="0" fontId="39" fillId="27" borderId="60" xfId="0" applyFont="1" applyFill="1" applyBorder="1" applyAlignment="1">
      <alignment horizontal="center" vertical="center" wrapText="1"/>
    </xf>
    <xf numFmtId="171" fontId="39" fillId="0" borderId="11" xfId="0" applyNumberFormat="1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0" fontId="4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4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 vertical="center"/>
    </xf>
    <xf numFmtId="169" fontId="36" fillId="0" borderId="0" xfId="0" applyNumberFormat="1" applyFont="1" applyAlignment="1">
      <alignment horizontal="center" vertical="justify" wrapText="1"/>
    </xf>
    <xf numFmtId="167" fontId="34" fillId="0" borderId="20" xfId="28" applyNumberFormat="1" applyFont="1" applyFill="1" applyBorder="1" applyAlignment="1" applyProtection="1">
      <alignment horizontal="center"/>
    </xf>
    <xf numFmtId="167" fontId="34" fillId="27" borderId="58" xfId="28" applyNumberFormat="1" applyFont="1" applyFill="1" applyBorder="1" applyAlignment="1" applyProtection="1">
      <alignment horizontal="center"/>
    </xf>
    <xf numFmtId="167" fontId="34" fillId="27" borderId="59" xfId="28" applyNumberFormat="1" applyFont="1" applyFill="1" applyBorder="1" applyAlignment="1" applyProtection="1">
      <alignment horizontal="center"/>
    </xf>
    <xf numFmtId="167" fontId="34" fillId="27" borderId="31" xfId="28" applyNumberFormat="1" applyFont="1" applyFill="1" applyBorder="1" applyAlignment="1" applyProtection="1">
      <alignment horizontal="center"/>
    </xf>
    <xf numFmtId="167" fontId="34" fillId="27" borderId="30" xfId="28" applyNumberFormat="1" applyFont="1" applyFill="1" applyBorder="1" applyAlignment="1" applyProtection="1">
      <alignment horizontal="center"/>
    </xf>
    <xf numFmtId="167" fontId="34" fillId="27" borderId="61" xfId="28" applyNumberFormat="1" applyFont="1" applyFill="1" applyBorder="1" applyAlignment="1" applyProtection="1">
      <alignment horizontal="center"/>
    </xf>
    <xf numFmtId="167" fontId="34" fillId="27" borderId="16" xfId="28" applyNumberFormat="1" applyFont="1" applyFill="1" applyBorder="1" applyAlignment="1" applyProtection="1">
      <alignment horizontal="center"/>
    </xf>
    <xf numFmtId="0" fontId="41" fillId="4" borderId="14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20" xfId="28" applyNumberFormat="1" applyFont="1" applyFill="1" applyBorder="1" applyAlignment="1" applyProtection="1">
      <alignment horizontal="center"/>
    </xf>
    <xf numFmtId="167" fontId="34" fillId="30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20" xfId="28" applyNumberFormat="1" applyFont="1" applyFill="1" applyBorder="1" applyAlignment="1" applyProtection="1">
      <alignment horizontal="center"/>
    </xf>
    <xf numFmtId="167" fontId="34" fillId="31" borderId="19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7" fontId="34" fillId="32" borderId="20" xfId="28" applyNumberFormat="1" applyFont="1" applyFill="1" applyBorder="1" applyAlignment="1" applyProtection="1">
      <alignment horizontal="center"/>
    </xf>
    <xf numFmtId="167" fontId="34" fillId="32" borderId="19" xfId="28" applyNumberFormat="1" applyFont="1" applyFill="1" applyBorder="1" applyAlignment="1" applyProtection="1">
      <alignment horizontal="center"/>
    </xf>
    <xf numFmtId="178" fontId="44" fillId="0" borderId="62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178" fontId="44" fillId="40" borderId="58" xfId="61" applyNumberFormat="1" applyFont="1" applyFill="1" applyBorder="1" applyAlignment="1">
      <alignment horizontal="center" vertical="center" wrapText="1"/>
    </xf>
    <xf numFmtId="178" fontId="44" fillId="40" borderId="31" xfId="61" applyNumberFormat="1" applyFont="1" applyFill="1" applyBorder="1" applyAlignment="1">
      <alignment horizontal="center" vertical="center" wrapText="1"/>
    </xf>
    <xf numFmtId="178" fontId="44" fillId="26" borderId="13" xfId="61" applyNumberFormat="1" applyFont="1" applyFill="1" applyBorder="1" applyAlignment="1">
      <alignment horizontal="center" vertical="center" wrapText="1"/>
    </xf>
    <xf numFmtId="178" fontId="44" fillId="26" borderId="19" xfId="61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/>
    </xf>
    <xf numFmtId="178" fontId="44" fillId="4" borderId="11" xfId="29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 vertical="center" wrapText="1"/>
    </xf>
    <xf numFmtId="178" fontId="44" fillId="0" borderId="14" xfId="29" applyNumberFormat="1" applyFont="1" applyFill="1" applyBorder="1" applyAlignment="1">
      <alignment horizontal="center" vertical="center" wrapText="1"/>
    </xf>
    <xf numFmtId="178" fontId="44" fillId="26" borderId="14" xfId="29" applyNumberFormat="1" applyFont="1" applyFill="1" applyBorder="1" applyAlignment="1">
      <alignment horizontal="center" vertical="center" wrapText="1"/>
    </xf>
    <xf numFmtId="178" fontId="44" fillId="26" borderId="62" xfId="29" applyNumberFormat="1" applyFont="1" applyFill="1" applyBorder="1" applyAlignment="1">
      <alignment horizontal="center" vertical="center" wrapText="1"/>
    </xf>
    <xf numFmtId="178" fontId="44" fillId="26" borderId="17" xfId="29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178" fontId="44" fillId="25" borderId="11" xfId="29" applyNumberFormat="1" applyFont="1" applyFill="1" applyBorder="1" applyAlignment="1">
      <alignment horizontal="center" vertical="center" wrapText="1"/>
    </xf>
    <xf numFmtId="178" fontId="44" fillId="25" borderId="14" xfId="29" applyNumberFormat="1" applyFont="1" applyFill="1" applyBorder="1" applyAlignment="1">
      <alignment horizontal="center" vertical="center" wrapText="1"/>
    </xf>
    <xf numFmtId="178" fontId="44" fillId="4" borderId="58" xfId="29" applyNumberFormat="1" applyFont="1" applyFill="1" applyBorder="1" applyAlignment="1">
      <alignment horizontal="center" vertical="center" wrapText="1"/>
    </xf>
    <xf numFmtId="178" fontId="44" fillId="4" borderId="31" xfId="29" applyNumberFormat="1" applyFont="1" applyFill="1" applyBorder="1" applyAlignment="1">
      <alignment horizontal="center" vertical="center" wrapText="1"/>
    </xf>
    <xf numFmtId="178" fontId="44" fillId="4" borderId="30" xfId="29" applyNumberFormat="1" applyFont="1" applyFill="1" applyBorder="1" applyAlignment="1">
      <alignment horizontal="center" vertical="center" wrapText="1"/>
    </xf>
    <xf numFmtId="178" fontId="44" fillId="4" borderId="16" xfId="29" applyNumberFormat="1" applyFont="1" applyFill="1" applyBorder="1" applyAlignment="1">
      <alignment horizontal="center" vertical="center" wrapText="1"/>
    </xf>
    <xf numFmtId="178" fontId="44" fillId="22" borderId="14" xfId="29" applyNumberFormat="1" applyFont="1" applyFill="1" applyBorder="1" applyAlignment="1">
      <alignment horizontal="center" vertical="center" wrapText="1"/>
    </xf>
    <xf numFmtId="178" fontId="44" fillId="22" borderId="62" xfId="29" applyNumberFormat="1" applyFont="1" applyFill="1" applyBorder="1" applyAlignment="1">
      <alignment horizontal="center" vertical="center" wrapText="1"/>
    </xf>
    <xf numFmtId="178" fontId="44" fillId="22" borderId="17" xfId="29" applyNumberFormat="1" applyFont="1" applyFill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2" xfId="29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51" fillId="22" borderId="11" xfId="0" applyFont="1" applyFill="1" applyBorder="1" applyAlignment="1">
      <alignment horizontal="center"/>
    </xf>
    <xf numFmtId="164" fontId="44" fillId="0" borderId="58" xfId="29" applyFont="1" applyFill="1" applyBorder="1" applyAlignment="1">
      <alignment horizontal="center" vertic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30" xfId="29" applyFont="1" applyFill="1" applyBorder="1" applyAlignment="1">
      <alignment horizontal="center" vertical="center"/>
    </xf>
    <xf numFmtId="164" fontId="44" fillId="0" borderId="61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7" fontId="44" fillId="0" borderId="58" xfId="0" applyNumberFormat="1" applyFont="1" applyBorder="1" applyAlignment="1">
      <alignment horizontal="center" vertical="center"/>
    </xf>
    <xf numFmtId="177" fontId="44" fillId="0" borderId="59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177" fontId="44" fillId="0" borderId="30" xfId="0" applyNumberFormat="1" applyFont="1" applyBorder="1" applyAlignment="1">
      <alignment horizontal="center" vertical="center"/>
    </xf>
    <xf numFmtId="177" fontId="44" fillId="0" borderId="61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78" fontId="44" fillId="25" borderId="62" xfId="29" applyNumberFormat="1" applyFont="1" applyFill="1" applyBorder="1" applyAlignment="1">
      <alignment horizontal="center" vertical="center" wrapText="1"/>
    </xf>
    <xf numFmtId="178" fontId="44" fillId="40" borderId="85" xfId="61" applyNumberFormat="1" applyFont="1" applyFill="1" applyBorder="1" applyAlignment="1">
      <alignment horizontal="center" vertical="center" wrapText="1"/>
    </xf>
    <xf numFmtId="178" fontId="44" fillId="40" borderId="62" xfId="61" applyNumberFormat="1" applyFont="1" applyFill="1" applyBorder="1" applyAlignment="1">
      <alignment horizontal="center" vertical="center" wrapText="1"/>
    </xf>
    <xf numFmtId="178" fontId="44" fillId="40" borderId="17" xfId="61" applyNumberFormat="1" applyFont="1" applyFill="1" applyBorder="1" applyAlignment="1">
      <alignment horizontal="center" vertical="center" wrapText="1"/>
    </xf>
    <xf numFmtId="178" fontId="44" fillId="26" borderId="85" xfId="61" applyNumberFormat="1" applyFont="1" applyFill="1" applyBorder="1" applyAlignment="1">
      <alignment horizontal="center" vertical="center" wrapText="1"/>
    </xf>
    <xf numFmtId="178" fontId="44" fillId="26" borderId="62" xfId="61" applyNumberFormat="1" applyFont="1" applyFill="1" applyBorder="1" applyAlignment="1">
      <alignment horizontal="center" vertical="center" wrapText="1"/>
    </xf>
    <xf numFmtId="178" fontId="44" fillId="26" borderId="17" xfId="61" applyNumberFormat="1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85" xfId="0" applyFont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center" vertical="center" wrapText="1"/>
    </xf>
    <xf numFmtId="178" fontId="44" fillId="0" borderId="20" xfId="29" applyNumberFormat="1" applyFont="1" applyFill="1" applyBorder="1" applyAlignment="1">
      <alignment horizontal="center" vertical="center" wrapText="1"/>
    </xf>
    <xf numFmtId="178" fontId="44" fillId="0" borderId="19" xfId="29" applyNumberFormat="1" applyFont="1" applyFill="1" applyBorder="1" applyAlignment="1">
      <alignment horizontal="center" vertical="center" wrapText="1"/>
    </xf>
    <xf numFmtId="166" fontId="44" fillId="25" borderId="14" xfId="51" applyNumberFormat="1" applyFont="1" applyFill="1" applyBorder="1" applyAlignment="1">
      <alignment horizontal="center" vertical="center" wrapText="1"/>
    </xf>
    <xf numFmtId="166" fontId="44" fillId="25" borderId="62" xfId="51" applyNumberFormat="1" applyFont="1" applyFill="1" applyBorder="1" applyAlignment="1">
      <alignment horizontal="center" vertical="center" wrapText="1"/>
    </xf>
    <xf numFmtId="166" fontId="44" fillId="25" borderId="17" xfId="51" applyNumberFormat="1" applyFont="1" applyFill="1" applyBorder="1" applyAlignment="1">
      <alignment horizontal="center" vertical="center" wrapText="1"/>
    </xf>
    <xf numFmtId="2" fontId="29" fillId="0" borderId="13" xfId="28" applyNumberFormat="1" applyFont="1" applyBorder="1" applyAlignment="1">
      <alignment horizontal="center" vertical="center"/>
    </xf>
    <xf numFmtId="2" fontId="29" fillId="0" borderId="19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0" fontId="29" fillId="0" borderId="76" xfId="41" applyFont="1" applyBorder="1" applyAlignment="1">
      <alignment horizontal="center"/>
    </xf>
    <xf numFmtId="0" fontId="29" fillId="0" borderId="77" xfId="41" applyFont="1" applyBorder="1" applyAlignment="1">
      <alignment horizontal="center"/>
    </xf>
    <xf numFmtId="0" fontId="29" fillId="0" borderId="22" xfId="41" applyFont="1" applyBorder="1" applyAlignment="1">
      <alignment horizontal="center"/>
    </xf>
    <xf numFmtId="2" fontId="29" fillId="0" borderId="30" xfId="28" applyNumberFormat="1" applyFont="1" applyBorder="1" applyAlignment="1">
      <alignment horizontal="center" vertical="center"/>
    </xf>
    <xf numFmtId="2" fontId="29" fillId="0" borderId="61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2" fontId="29" fillId="0" borderId="20" xfId="28" applyNumberFormat="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0" fontId="29" fillId="0" borderId="44" xfId="41" applyFont="1" applyBorder="1" applyAlignment="1">
      <alignment horizontal="center" vertical="center"/>
    </xf>
    <xf numFmtId="0" fontId="29" fillId="0" borderId="74" xfId="41" applyFont="1" applyBorder="1" applyAlignment="1">
      <alignment horizontal="center" vertical="center"/>
    </xf>
    <xf numFmtId="0" fontId="29" fillId="0" borderId="46" xfId="41" applyFont="1" applyBorder="1" applyAlignment="1">
      <alignment horizontal="center" vertical="center"/>
    </xf>
    <xf numFmtId="0" fontId="29" fillId="0" borderId="54" xfId="41" applyFont="1" applyBorder="1" applyAlignment="1">
      <alignment horizontal="center" vertical="center"/>
    </xf>
    <xf numFmtId="0" fontId="29" fillId="0" borderId="62" xfId="41" applyFont="1" applyBorder="1" applyAlignment="1">
      <alignment horizontal="center" vertical="center"/>
    </xf>
    <xf numFmtId="0" fontId="29" fillId="0" borderId="29" xfId="4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11" borderId="54" xfId="41" applyFont="1" applyFill="1" applyBorder="1" applyAlignment="1">
      <alignment horizontal="center" vertical="center" wrapText="1"/>
    </xf>
    <xf numFmtId="0" fontId="29" fillId="11" borderId="62" xfId="41" applyFont="1" applyFill="1" applyBorder="1" applyAlignment="1">
      <alignment horizontal="center" vertical="center" wrapText="1"/>
    </xf>
    <xf numFmtId="0" fontId="29" fillId="11" borderId="29" xfId="41" applyFont="1" applyFill="1" applyBorder="1" applyAlignment="1">
      <alignment horizontal="center" vertical="center" wrapText="1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0" fontId="29" fillId="0" borderId="78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10" fontId="54" fillId="0" borderId="85" xfId="51" applyNumberFormat="1" applyFont="1" applyFill="1" applyBorder="1" applyAlignment="1">
      <alignment horizontal="center" vertical="center"/>
    </xf>
    <xf numFmtId="10" fontId="54" fillId="0" borderId="17" xfId="51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0" fontId="54" fillId="0" borderId="11" xfId="0" applyFont="1" applyBorder="1" applyAlignment="1">
      <alignment horizontal="center" vertical="center"/>
    </xf>
    <xf numFmtId="10" fontId="1" fillId="0" borderId="85" xfId="51" applyNumberFormat="1" applyFont="1" applyFill="1" applyBorder="1" applyAlignment="1">
      <alignment horizontal="center" vertical="center"/>
    </xf>
    <xf numFmtId="10" fontId="1" fillId="0" borderId="17" xfId="51" applyNumberFormat="1" applyFont="1" applyFill="1" applyBorder="1" applyAlignment="1">
      <alignment horizontal="center" vertical="center"/>
    </xf>
    <xf numFmtId="0" fontId="54" fillId="0" borderId="85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1" fillId="0" borderId="11" xfId="51" applyNumberFormat="1" applyFont="1" applyFill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4" fillId="0" borderId="85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62" xfId="51" applyNumberFormat="1" applyFont="1" applyFill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5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28" fillId="24" borderId="76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28" fillId="24" borderId="73" xfId="0" applyFont="1" applyFill="1" applyBorder="1" applyAlignment="1">
      <alignment horizontal="center"/>
    </xf>
    <xf numFmtId="0" fontId="24" fillId="24" borderId="76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28" fillId="24" borderId="27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68" xfId="0" applyFont="1" applyFill="1" applyBorder="1" applyAlignment="1">
      <alignment horizontal="center"/>
    </xf>
    <xf numFmtId="0" fontId="28" fillId="24" borderId="69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0" fontId="28" fillId="24" borderId="33" xfId="0" applyFont="1" applyFill="1" applyBorder="1" applyAlignment="1">
      <alignment horizontal="center"/>
    </xf>
    <xf numFmtId="0" fontId="28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6" fillId="0" borderId="74" xfId="0" applyFont="1" applyBorder="1" applyAlignment="1" applyProtection="1">
      <alignment horizontal="center" vertical="center" textRotation="180" wrapText="1"/>
      <protection locked="0"/>
    </xf>
    <xf numFmtId="0" fontId="46" fillId="0" borderId="46" xfId="0" applyFont="1" applyBorder="1" applyAlignment="1" applyProtection="1">
      <alignment horizontal="center" vertical="center" textRotation="180" wrapText="1"/>
      <protection locked="0"/>
    </xf>
    <xf numFmtId="0" fontId="28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4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47" fillId="24" borderId="27" xfId="0" applyFont="1" applyFill="1" applyBorder="1" applyAlignment="1">
      <alignment horizontal="center"/>
    </xf>
    <xf numFmtId="0" fontId="28" fillId="24" borderId="74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55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68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36" xfId="0" applyFont="1" applyFill="1" applyBorder="1" applyAlignment="1" applyProtection="1">
      <alignment horizontal="center" vertical="center" textRotation="180" wrapText="1"/>
      <protection locked="0"/>
    </xf>
  </cellXfs>
  <cellStyles count="6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61"/>
    <cellStyle name="Comma 2" xfId="59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 5" xfId="58"/>
    <cellStyle name="Normal_April_3" xfId="43"/>
    <cellStyle name="Normal_DES 11_1" xfId="57"/>
    <cellStyle name="Normal_Juli_37" xfId="44"/>
    <cellStyle name="Normal_Juni" xfId="45"/>
    <cellStyle name="Normal_Juni_4" xfId="46"/>
    <cellStyle name="Normal_Mar_18" xfId="47"/>
    <cellStyle name="Normal_Mar_6" xfId="48"/>
    <cellStyle name="Note" xfId="49" builtinId="10" customBuiltin="1"/>
    <cellStyle name="Output" xfId="50" builtinId="21" customBuiltin="1"/>
    <cellStyle name="Percent" xfId="51" builtinId="5"/>
    <cellStyle name="Percent 2" xfId="60"/>
    <cellStyle name="Percent_Okt_6" xfId="52"/>
    <cellStyle name="Title" xfId="53" builtinId="15" customBuiltin="1"/>
    <cellStyle name="Total" xfId="54" builtinId="25" customBuiltin="1"/>
    <cellStyle name="Warning Text" xfId="55" builtinId="11" customBuiltin="1"/>
  </cellStyles>
  <dxfs count="163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[2]Report1!$A$9:$A$39</c:f>
              <c:numCache>
                <c:formatCode>General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44.627000000000002</c:v>
                </c:pt>
                <c:pt idx="1">
                  <c:v>45.750999999999998</c:v>
                </c:pt>
                <c:pt idx="2">
                  <c:v>29.978999999999999</c:v>
                </c:pt>
                <c:pt idx="3">
                  <c:v>44.225000000000001</c:v>
                </c:pt>
                <c:pt idx="4">
                  <c:v>42.78</c:v>
                </c:pt>
                <c:pt idx="5">
                  <c:v>42.75</c:v>
                </c:pt>
                <c:pt idx="6">
                  <c:v>48.999000000000002</c:v>
                </c:pt>
                <c:pt idx="7">
                  <c:v>43.768999999999998</c:v>
                </c:pt>
                <c:pt idx="8">
                  <c:v>44.734000000000002</c:v>
                </c:pt>
                <c:pt idx="9">
                  <c:v>38.950000000000003</c:v>
                </c:pt>
                <c:pt idx="10">
                  <c:v>40.588999999999999</c:v>
                </c:pt>
                <c:pt idx="11">
                  <c:v>41.244999999999997</c:v>
                </c:pt>
                <c:pt idx="12">
                  <c:v>44.634999999999998</c:v>
                </c:pt>
                <c:pt idx="13">
                  <c:v>42.045999999999999</c:v>
                </c:pt>
                <c:pt idx="14">
                  <c:v>44.924999999999997</c:v>
                </c:pt>
                <c:pt idx="15">
                  <c:v>45.956000000000003</c:v>
                </c:pt>
                <c:pt idx="16">
                  <c:v>43.734999999999999</c:v>
                </c:pt>
                <c:pt idx="17">
                  <c:v>43.271999999999998</c:v>
                </c:pt>
                <c:pt idx="18">
                  <c:v>34.768000000000001</c:v>
                </c:pt>
                <c:pt idx="19">
                  <c:v>41.040999999999997</c:v>
                </c:pt>
                <c:pt idx="20">
                  <c:v>41.906999999999996</c:v>
                </c:pt>
                <c:pt idx="21">
                  <c:v>44.767000000000003</c:v>
                </c:pt>
                <c:pt idx="22">
                  <c:v>41.915999999999997</c:v>
                </c:pt>
                <c:pt idx="23">
                  <c:v>44.848999999999997</c:v>
                </c:pt>
                <c:pt idx="24">
                  <c:v>40.912999999999997</c:v>
                </c:pt>
                <c:pt idx="25">
                  <c:v>39.917000000000002</c:v>
                </c:pt>
                <c:pt idx="26">
                  <c:v>40.606000000000002</c:v>
                </c:pt>
                <c:pt idx="27">
                  <c:v>39.936999999999998</c:v>
                </c:pt>
                <c:pt idx="28">
                  <c:v>37.582000000000001</c:v>
                </c:pt>
                <c:pt idx="29">
                  <c:v>39.563000000000002</c:v>
                </c:pt>
                <c:pt idx="30">
                  <c:v>43.789000000000001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167168"/>
        <c:axId val="386168704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84D-4D4B-98D9-68728F9C0EDF}"/>
              </c:ext>
            </c:extLst>
          </c:dPt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0.93571530238499145</c:v>
                </c:pt>
                <c:pt idx="1">
                  <c:v>0.95928273913585382</c:v>
                </c:pt>
                <c:pt idx="2">
                  <c:v>0.62858379568870104</c:v>
                </c:pt>
                <c:pt idx="3">
                  <c:v>0.92728637927658697</c:v>
                </c:pt>
                <c:pt idx="4">
                  <c:v>0.89698838452125262</c:v>
                </c:pt>
                <c:pt idx="5">
                  <c:v>0.89021991201295658</c:v>
                </c:pt>
                <c:pt idx="6">
                  <c:v>0.92251305166472508</c:v>
                </c:pt>
                <c:pt idx="7">
                  <c:v>0.82670870787697237</c:v>
                </c:pt>
                <c:pt idx="8">
                  <c:v>0.95697160394552683</c:v>
                </c:pt>
                <c:pt idx="9">
                  <c:v>0.91104547274797243</c:v>
                </c:pt>
                <c:pt idx="10">
                  <c:v>0.90631824825211993</c:v>
                </c:pt>
                <c:pt idx="11">
                  <c:v>0.9163286374484596</c:v>
                </c:pt>
                <c:pt idx="12">
                  <c:v>0.95002271047008524</c:v>
                </c:pt>
                <c:pt idx="13">
                  <c:v>0.91292631390021106</c:v>
                </c:pt>
                <c:pt idx="14">
                  <c:v>0.90554591220211911</c:v>
                </c:pt>
                <c:pt idx="15">
                  <c:v>0.92632761137808772</c:v>
                </c:pt>
                <c:pt idx="16">
                  <c:v>0.92867599385729549</c:v>
                </c:pt>
                <c:pt idx="17">
                  <c:v>0.99878774754597022</c:v>
                </c:pt>
                <c:pt idx="18">
                  <c:v>0.75325327245909912</c:v>
                </c:pt>
                <c:pt idx="19">
                  <c:v>0.93323277801661286</c:v>
                </c:pt>
                <c:pt idx="20">
                  <c:v>0.9519032187092431</c:v>
                </c:pt>
                <c:pt idx="21">
                  <c:v>1.0052664550061756</c:v>
                </c:pt>
                <c:pt idx="22">
                  <c:v>0.90847818579762052</c:v>
                </c:pt>
                <c:pt idx="23">
                  <c:v>0.96789333551893486</c:v>
                </c:pt>
                <c:pt idx="24">
                  <c:v>0.89183625181888104</c:v>
                </c:pt>
                <c:pt idx="25">
                  <c:v>0.88567217476587146</c:v>
                </c:pt>
                <c:pt idx="26">
                  <c:v>0.93982438386848344</c:v>
                </c:pt>
                <c:pt idx="27">
                  <c:v>0.92386749820454228</c:v>
                </c:pt>
                <c:pt idx="28">
                  <c:v>0.82356973734924943</c:v>
                </c:pt>
                <c:pt idx="29">
                  <c:v>0.87476475753086813</c:v>
                </c:pt>
                <c:pt idx="30">
                  <c:v>0.96751081846380171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4D-4D4B-98D9-68728F9C0ED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0.93571530238499145</c:v>
                </c:pt>
                <c:pt idx="1">
                  <c:v>0.94749902076042258</c:v>
                </c:pt>
                <c:pt idx="2">
                  <c:v>0.8411939457365154</c:v>
                </c:pt>
                <c:pt idx="3">
                  <c:v>0.86271705412153321</c:v>
                </c:pt>
                <c:pt idx="4">
                  <c:v>0.86957132020147709</c:v>
                </c:pt>
                <c:pt idx="5">
                  <c:v>0.87303250780941077</c:v>
                </c:pt>
                <c:pt idx="6">
                  <c:v>0.88077142129555108</c:v>
                </c:pt>
                <c:pt idx="7">
                  <c:v>0.87347982399293889</c:v>
                </c:pt>
                <c:pt idx="8">
                  <c:v>0.88236428051111226</c:v>
                </c:pt>
                <c:pt idx="9">
                  <c:v>0.88490805469823708</c:v>
                </c:pt>
                <c:pt idx="10">
                  <c:v>0.88672808887952603</c:v>
                </c:pt>
                <c:pt idx="11">
                  <c:v>0.88905803611785295</c:v>
                </c:pt>
                <c:pt idx="12">
                  <c:v>0.89368668299888032</c:v>
                </c:pt>
                <c:pt idx="13">
                  <c:v>0.89501941715941469</c:v>
                </c:pt>
                <c:pt idx="14">
                  <c:v>0.8957503301660138</c:v>
                </c:pt>
                <c:pt idx="15">
                  <c:v>0.89773563019657709</c:v>
                </c:pt>
                <c:pt idx="16">
                  <c:v>0.89953187494877029</c:v>
                </c:pt>
                <c:pt idx="17">
                  <c:v>0.9045641968662177</c:v>
                </c:pt>
                <c:pt idx="18">
                  <c:v>0.8968099347849593</c:v>
                </c:pt>
                <c:pt idx="19">
                  <c:v>0.89850555846028046</c:v>
                </c:pt>
                <c:pt idx="20">
                  <c:v>0.90088328206332746</c:v>
                </c:pt>
                <c:pt idx="21">
                  <c:v>0.90538231031683081</c:v>
                </c:pt>
                <c:pt idx="22">
                  <c:v>0.90551464907843149</c:v>
                </c:pt>
                <c:pt idx="23">
                  <c:v>0.90808235022413608</c:v>
                </c:pt>
                <c:pt idx="24">
                  <c:v>0.90744619864028198</c:v>
                </c:pt>
                <c:pt idx="25">
                  <c:v>0.90663958597811156</c:v>
                </c:pt>
                <c:pt idx="26">
                  <c:v>0.90777765513332431</c:v>
                </c:pt>
                <c:pt idx="27">
                  <c:v>0.90831142220689443</c:v>
                </c:pt>
                <c:pt idx="28">
                  <c:v>0.90544419463105841</c:v>
                </c:pt>
                <c:pt idx="29">
                  <c:v>0.90444877505057475</c:v>
                </c:pt>
                <c:pt idx="30">
                  <c:v>0.90643195002874466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180224"/>
        <c:axId val="386170240"/>
      </c:lineChart>
      <c:catAx>
        <c:axId val="38616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6168704"/>
        <c:crosses val="autoZero"/>
        <c:auto val="1"/>
        <c:lblAlgn val="ctr"/>
        <c:lblOffset val="100"/>
        <c:noMultiLvlLbl val="0"/>
      </c:catAx>
      <c:valAx>
        <c:axId val="38616870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386167168"/>
        <c:crosses val="autoZero"/>
        <c:crossBetween val="between"/>
      </c:valAx>
      <c:valAx>
        <c:axId val="38617024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6180224"/>
        <c:crosses val="max"/>
        <c:crossBetween val="between"/>
      </c:valAx>
      <c:catAx>
        <c:axId val="386180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861702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17</xdr:col>
      <xdr:colOff>504824</xdr:colOff>
      <xdr:row>28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oran%20Ga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025\5.%20MEI\Users\win7\Documents\PM%2014\5.%20MEI\DAILY%20REPORT%20PM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ug"/>
      <sheetName val="%error"/>
      <sheetName val="P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N4">
            <v>13245</v>
          </cell>
        </row>
        <row r="5">
          <cell r="N5">
            <v>13167</v>
          </cell>
        </row>
        <row r="6">
          <cell r="N6">
            <v>12164</v>
          </cell>
        </row>
        <row r="7">
          <cell r="N7">
            <v>13526</v>
          </cell>
        </row>
        <row r="8">
          <cell r="N8">
            <v>13514</v>
          </cell>
        </row>
        <row r="9">
          <cell r="N9">
            <v>13323</v>
          </cell>
        </row>
        <row r="10">
          <cell r="N10">
            <v>13287</v>
          </cell>
        </row>
        <row r="11">
          <cell r="N11">
            <v>7212</v>
          </cell>
        </row>
        <row r="12">
          <cell r="N12">
            <v>13428</v>
          </cell>
        </row>
        <row r="13">
          <cell r="N13">
            <v>13042</v>
          </cell>
        </row>
        <row r="14">
          <cell r="N14">
            <v>12437</v>
          </cell>
        </row>
        <row r="15">
          <cell r="N15">
            <v>12331</v>
          </cell>
        </row>
        <row r="16">
          <cell r="N16">
            <v>11706</v>
          </cell>
        </row>
        <row r="17">
          <cell r="N17">
            <v>12072</v>
          </cell>
        </row>
        <row r="18">
          <cell r="N18">
            <v>13124</v>
          </cell>
        </row>
        <row r="19">
          <cell r="N19">
            <v>13548</v>
          </cell>
        </row>
        <row r="20">
          <cell r="N20">
            <v>13405</v>
          </cell>
        </row>
        <row r="21">
          <cell r="N21">
            <v>9882</v>
          </cell>
        </row>
        <row r="22">
          <cell r="N22">
            <v>12137</v>
          </cell>
        </row>
        <row r="23">
          <cell r="N23">
            <v>12230</v>
          </cell>
        </row>
        <row r="24">
          <cell r="N24">
            <v>12152</v>
          </cell>
        </row>
        <row r="25">
          <cell r="N25">
            <v>12178</v>
          </cell>
        </row>
        <row r="26">
          <cell r="N26">
            <v>12476</v>
          </cell>
        </row>
        <row r="27">
          <cell r="N27">
            <v>12564</v>
          </cell>
        </row>
        <row r="28">
          <cell r="N28">
            <v>13344</v>
          </cell>
        </row>
        <row r="29">
          <cell r="N29">
            <v>13469</v>
          </cell>
        </row>
        <row r="30">
          <cell r="N30">
            <v>13625</v>
          </cell>
        </row>
        <row r="31">
          <cell r="N31">
            <v>11015</v>
          </cell>
        </row>
        <row r="32">
          <cell r="N32">
            <v>12513</v>
          </cell>
        </row>
        <row r="33">
          <cell r="N33">
            <v>12923</v>
          </cell>
        </row>
        <row r="34">
          <cell r="N34">
            <v>12426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master"/>
      <sheetName val="VERSI PAK VENTJE"/>
      <sheetName val="Report1"/>
      <sheetName val="GRAFIK"/>
      <sheetName val="Listrik"/>
      <sheetName val="Trim Rwd"/>
      <sheetName val="Efficiency1"/>
      <sheetName val="Efficiency2"/>
      <sheetName val="Efficiency"/>
      <sheetName val="Problem"/>
      <sheetName val="prod"/>
      <sheetName val="BB"/>
      <sheetName val="Chem"/>
      <sheetName val="RBP"/>
      <sheetName val="Sheet1"/>
      <sheetName val="summary"/>
      <sheetName val="1"/>
      <sheetName val="2"/>
      <sheetName val="3"/>
      <sheetName val="4"/>
      <sheetName val="5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/>
      <sheetData sheetId="1"/>
      <sheetData sheetId="2"/>
      <sheetData sheetId="3">
        <row r="9">
          <cell r="A9">
            <v>45444</v>
          </cell>
        </row>
        <row r="10">
          <cell r="A10">
            <v>45445</v>
          </cell>
        </row>
        <row r="11">
          <cell r="A11">
            <v>45446</v>
          </cell>
        </row>
        <row r="12">
          <cell r="A12">
            <v>45447</v>
          </cell>
        </row>
        <row r="13">
          <cell r="A13">
            <v>45448</v>
          </cell>
        </row>
        <row r="14">
          <cell r="A14">
            <v>45449</v>
          </cell>
        </row>
        <row r="15">
          <cell r="A15">
            <v>45450</v>
          </cell>
        </row>
        <row r="16">
          <cell r="A16">
            <v>45451</v>
          </cell>
        </row>
        <row r="17">
          <cell r="A17">
            <v>45452</v>
          </cell>
        </row>
        <row r="18">
          <cell r="A18">
            <v>45453</v>
          </cell>
        </row>
        <row r="19">
          <cell r="A19">
            <v>45454</v>
          </cell>
        </row>
        <row r="20">
          <cell r="A20">
            <v>45455</v>
          </cell>
        </row>
        <row r="21">
          <cell r="A21">
            <v>45456</v>
          </cell>
        </row>
        <row r="22">
          <cell r="A22">
            <v>45457</v>
          </cell>
        </row>
        <row r="23">
          <cell r="A23">
            <v>45458</v>
          </cell>
        </row>
        <row r="24">
          <cell r="A24">
            <v>45459</v>
          </cell>
        </row>
        <row r="25">
          <cell r="A25">
            <v>45460</v>
          </cell>
        </row>
        <row r="26">
          <cell r="A26">
            <v>45461</v>
          </cell>
        </row>
        <row r="27">
          <cell r="A27">
            <v>45462</v>
          </cell>
        </row>
        <row r="28">
          <cell r="A28">
            <v>45463</v>
          </cell>
        </row>
        <row r="29">
          <cell r="A29">
            <v>45464</v>
          </cell>
        </row>
        <row r="30">
          <cell r="A30">
            <v>45465</v>
          </cell>
        </row>
        <row r="31">
          <cell r="A31">
            <v>45466</v>
          </cell>
        </row>
        <row r="32">
          <cell r="A32">
            <v>45467</v>
          </cell>
        </row>
        <row r="33">
          <cell r="A33">
            <v>45468</v>
          </cell>
        </row>
        <row r="34">
          <cell r="A34">
            <v>45469</v>
          </cell>
        </row>
        <row r="35">
          <cell r="A35">
            <v>45470</v>
          </cell>
        </row>
        <row r="36">
          <cell r="A36">
            <v>45471</v>
          </cell>
        </row>
        <row r="37">
          <cell r="A37">
            <v>45472</v>
          </cell>
        </row>
        <row r="38">
          <cell r="A38">
            <v>45473</v>
          </cell>
        </row>
        <row r="39">
          <cell r="A39">
            <v>45474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D7">
            <v>105.82000000029802</v>
          </cell>
          <cell r="AH7">
            <v>4700.0000000007276</v>
          </cell>
          <cell r="AI7">
            <v>7853.01</v>
          </cell>
          <cell r="AJ7">
            <v>25013.01</v>
          </cell>
        </row>
        <row r="8">
          <cell r="AH8">
            <v>4500</v>
          </cell>
          <cell r="AI8">
            <v>8690.73</v>
          </cell>
          <cell r="AJ8">
            <v>25850.73</v>
          </cell>
        </row>
        <row r="9">
          <cell r="AH9">
            <v>3399.9999999996362</v>
          </cell>
          <cell r="AI9">
            <v>6256.75</v>
          </cell>
          <cell r="AJ9">
            <v>19416.75</v>
          </cell>
        </row>
        <row r="10">
          <cell r="AH10">
            <v>4399.9999999996362</v>
          </cell>
          <cell r="AI10">
            <v>8032.23</v>
          </cell>
          <cell r="AJ10">
            <v>24192.23</v>
          </cell>
        </row>
        <row r="11">
          <cell r="AH11">
            <v>4400.0000000014552</v>
          </cell>
          <cell r="AI11">
            <v>8368.9500000000007</v>
          </cell>
          <cell r="AJ11">
            <v>23528.95</v>
          </cell>
        </row>
        <row r="12">
          <cell r="AH12">
            <v>4699.9999999989086</v>
          </cell>
          <cell r="AI12">
            <v>8619.49</v>
          </cell>
          <cell r="AJ12">
            <v>25779.49</v>
          </cell>
        </row>
        <row r="13">
          <cell r="AH13">
            <v>4399.9999999996362</v>
          </cell>
          <cell r="AI13">
            <v>8099.67</v>
          </cell>
          <cell r="AJ13">
            <v>23259.67</v>
          </cell>
        </row>
        <row r="14">
          <cell r="AH14">
            <v>4400.0000000014552</v>
          </cell>
          <cell r="AI14">
            <v>7970.27</v>
          </cell>
          <cell r="AJ14">
            <v>23130.27</v>
          </cell>
        </row>
        <row r="15">
          <cell r="AH15">
            <v>4299.9999999992724</v>
          </cell>
          <cell r="AI15">
            <v>8226.7099999999991</v>
          </cell>
          <cell r="AJ15">
            <v>26386.71</v>
          </cell>
        </row>
        <row r="16">
          <cell r="AH16">
            <v>4200.0000000007276</v>
          </cell>
          <cell r="AI16">
            <v>7671.27</v>
          </cell>
          <cell r="AJ16">
            <v>24831.27</v>
          </cell>
        </row>
        <row r="17">
          <cell r="AH17">
            <v>4099.9999999985448</v>
          </cell>
          <cell r="AI17">
            <v>8434.11</v>
          </cell>
          <cell r="AJ17">
            <v>26594.11</v>
          </cell>
        </row>
        <row r="18">
          <cell r="AH18">
            <v>4400.0000000014552</v>
          </cell>
          <cell r="AI18">
            <v>8401.76</v>
          </cell>
          <cell r="AJ18">
            <v>26561.759999999998</v>
          </cell>
        </row>
        <row r="19">
          <cell r="AH19">
            <v>4099.9999999985448</v>
          </cell>
          <cell r="AI19">
            <v>8151.91</v>
          </cell>
          <cell r="AJ19">
            <v>25311.91</v>
          </cell>
        </row>
        <row r="20">
          <cell r="AH20">
            <v>4200.0000000007276</v>
          </cell>
          <cell r="AI20">
            <v>9036.08</v>
          </cell>
          <cell r="AJ20">
            <v>25196.080000000002</v>
          </cell>
        </row>
        <row r="21">
          <cell r="AH21">
            <v>4000</v>
          </cell>
          <cell r="AI21">
            <v>8529.23</v>
          </cell>
          <cell r="AJ21">
            <v>24689.23</v>
          </cell>
        </row>
        <row r="22">
          <cell r="AH22">
            <v>4000</v>
          </cell>
          <cell r="AI22">
            <v>8443.4</v>
          </cell>
          <cell r="AJ22">
            <v>24603.4</v>
          </cell>
        </row>
        <row r="23">
          <cell r="AH23">
            <v>4200.0000000007276</v>
          </cell>
          <cell r="AI23">
            <v>7924.77</v>
          </cell>
          <cell r="AJ23">
            <v>25084.77</v>
          </cell>
        </row>
        <row r="24">
          <cell r="AH24">
            <v>4000</v>
          </cell>
          <cell r="AI24">
            <v>8159.29</v>
          </cell>
          <cell r="AJ24">
            <v>24319.29</v>
          </cell>
        </row>
        <row r="25">
          <cell r="AH25">
            <v>4000</v>
          </cell>
          <cell r="AI25">
            <v>8093.23</v>
          </cell>
          <cell r="AJ25">
            <v>22253.23</v>
          </cell>
        </row>
        <row r="26">
          <cell r="AH26">
            <v>4500</v>
          </cell>
          <cell r="AI26">
            <v>8608.4</v>
          </cell>
          <cell r="AJ26">
            <v>23768.400000000001</v>
          </cell>
        </row>
        <row r="27">
          <cell r="AH27">
            <v>4099.9999999985448</v>
          </cell>
          <cell r="AI27">
            <v>8070.95</v>
          </cell>
          <cell r="AJ27">
            <v>23230.95</v>
          </cell>
        </row>
        <row r="28">
          <cell r="AH28">
            <v>4300.0000000010914</v>
          </cell>
          <cell r="AI28">
            <v>8057.56</v>
          </cell>
          <cell r="AJ28">
            <v>25217.56</v>
          </cell>
        </row>
        <row r="29">
          <cell r="AH29">
            <v>4299.9999999992724</v>
          </cell>
          <cell r="AI29">
            <v>8324.77</v>
          </cell>
          <cell r="AJ29">
            <v>24484.77</v>
          </cell>
        </row>
        <row r="30">
          <cell r="AH30">
            <v>4399.9999999996362</v>
          </cell>
          <cell r="AI30">
            <v>8041.56</v>
          </cell>
          <cell r="AJ30">
            <v>24201.56</v>
          </cell>
        </row>
        <row r="31">
          <cell r="AH31">
            <v>4300.0000000010914</v>
          </cell>
          <cell r="AI31">
            <v>8674.59</v>
          </cell>
          <cell r="AJ31">
            <v>22674.59</v>
          </cell>
        </row>
        <row r="32">
          <cell r="AH32">
            <v>4500</v>
          </cell>
          <cell r="AI32">
            <v>9206.5300000000007</v>
          </cell>
          <cell r="AJ32">
            <v>24206.53</v>
          </cell>
        </row>
        <row r="33">
          <cell r="AH33">
            <v>4600.0000000003638</v>
          </cell>
          <cell r="AI33">
            <v>8480.31</v>
          </cell>
          <cell r="AJ33">
            <v>21480.31</v>
          </cell>
        </row>
        <row r="34">
          <cell r="AH34">
            <v>4399.9999999996362</v>
          </cell>
          <cell r="AI34">
            <v>9352.2999999999993</v>
          </cell>
          <cell r="AJ34">
            <v>21352.3</v>
          </cell>
        </row>
        <row r="35">
          <cell r="AH35">
            <v>4000</v>
          </cell>
          <cell r="AI35">
            <v>8630.34</v>
          </cell>
          <cell r="AJ35">
            <v>21630.34</v>
          </cell>
        </row>
        <row r="36">
          <cell r="AH36">
            <v>4199.9999999989086</v>
          </cell>
          <cell r="AI36">
            <v>9732.4699999999993</v>
          </cell>
          <cell r="AJ36">
            <v>22732.47</v>
          </cell>
        </row>
        <row r="37">
          <cell r="AH37">
            <v>4000</v>
          </cell>
          <cell r="AI37">
            <v>8596.57</v>
          </cell>
          <cell r="AJ37">
            <v>20596.57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5536"/>
  <sheetViews>
    <sheetView zoomScaleNormal="100" workbookViewId="0">
      <pane xSplit="3" ySplit="8" topLeftCell="P18" activePane="bottomRight" state="frozen"/>
      <selection pane="topRight" activeCell="E1" sqref="E1"/>
      <selection pane="bottomLeft" activeCell="A9" sqref="A9"/>
      <selection pane="bottomRight" activeCell="AU23" sqref="AU23"/>
    </sheetView>
  </sheetViews>
  <sheetFormatPr defaultColWidth="9.140625" defaultRowHeight="12.75"/>
  <cols>
    <col min="1" max="1" width="7.5703125" style="281" customWidth="1"/>
    <col min="2" max="2" width="12" style="280" customWidth="1"/>
    <col min="3" max="3" width="12.28515625" style="280" bestFit="1" customWidth="1"/>
    <col min="4" max="4" width="8.28515625" style="280" customWidth="1"/>
    <col min="5" max="5" width="8" style="280" customWidth="1"/>
    <col min="6" max="6" width="6.85546875" style="280" customWidth="1"/>
    <col min="7" max="11" width="8.7109375" style="280" customWidth="1"/>
    <col min="12" max="12" width="8.7109375" style="282" customWidth="1"/>
    <col min="13" max="15" width="8.7109375" style="283" customWidth="1"/>
    <col min="16" max="16" width="8.7109375" style="282" customWidth="1"/>
    <col min="17" max="17" width="8.7109375" style="283" customWidth="1"/>
    <col min="18" max="18" width="8.7109375" style="282" customWidth="1"/>
    <col min="19" max="19" width="8.7109375" style="284" customWidth="1"/>
    <col min="20" max="21" width="10.140625" style="284" bestFit="1" customWidth="1"/>
    <col min="22" max="25" width="8.7109375" style="284" customWidth="1"/>
    <col min="26" max="27" width="7.7109375" style="284" customWidth="1"/>
    <col min="28" max="29" width="7.7109375" style="285" customWidth="1"/>
    <col min="30" max="30" width="7.7109375" style="284" customWidth="1"/>
    <col min="31" max="31" width="7.7109375" style="285" customWidth="1"/>
    <col min="32" max="32" width="8.85546875" style="284" customWidth="1"/>
    <col min="33" max="33" width="11.140625" style="284" customWidth="1"/>
    <col min="34" max="37" width="7.5703125" style="285" customWidth="1"/>
    <col min="38" max="38" width="10.140625" bestFit="1" customWidth="1"/>
    <col min="42" max="42" width="10.28515625" style="446" bestFit="1" customWidth="1"/>
    <col min="43" max="43" width="9.7109375" style="470" bestFit="1" customWidth="1"/>
    <col min="50" max="52" width="9.5703125" bestFit="1" customWidth="1"/>
    <col min="53" max="53" width="8.7109375" style="282" customWidth="1"/>
    <col min="54" max="54" width="8.7109375" style="283" customWidth="1"/>
    <col min="55" max="56" width="8.7109375" style="280" customWidth="1"/>
  </cols>
  <sheetData>
    <row r="1" spans="1:56" ht="12.75" customHeight="1">
      <c r="A1" s="279"/>
    </row>
    <row r="2" spans="1:56">
      <c r="A2" s="279"/>
    </row>
    <row r="3" spans="1:56" ht="12.75" customHeight="1">
      <c r="A3" s="602" t="s">
        <v>185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2"/>
      <c r="U3" s="602"/>
      <c r="V3" s="602"/>
      <c r="W3" s="602"/>
      <c r="X3" s="602"/>
      <c r="Y3" s="602"/>
      <c r="Z3" s="602"/>
      <c r="AA3" s="602"/>
      <c r="AB3" s="602"/>
      <c r="AC3" s="602"/>
      <c r="AD3" s="602"/>
      <c r="AE3" s="602"/>
      <c r="AF3" s="602"/>
      <c r="AG3" s="602"/>
      <c r="AH3" s="602"/>
      <c r="AI3" s="602"/>
      <c r="AJ3" s="602"/>
      <c r="AK3" s="602"/>
      <c r="BA3"/>
      <c r="BB3"/>
      <c r="BC3"/>
      <c r="BD3"/>
    </row>
    <row r="4" spans="1:56" ht="12.75" customHeight="1">
      <c r="A4" s="602"/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2"/>
      <c r="V4" s="602"/>
      <c r="W4" s="602"/>
      <c r="X4" s="602"/>
      <c r="Y4" s="602"/>
      <c r="Z4" s="602"/>
      <c r="AA4" s="602"/>
      <c r="AB4" s="602"/>
      <c r="AC4" s="602"/>
      <c r="AD4" s="602"/>
      <c r="AE4" s="602"/>
      <c r="AF4" s="602"/>
      <c r="AG4" s="602"/>
      <c r="AH4" s="602"/>
      <c r="AI4" s="602"/>
      <c r="AJ4" s="602"/>
      <c r="AK4" s="602"/>
      <c r="AL4" s="444"/>
      <c r="AM4" s="445"/>
      <c r="AN4" s="445"/>
      <c r="BA4"/>
      <c r="BB4"/>
      <c r="BC4"/>
      <c r="BD4"/>
    </row>
    <row r="5" spans="1:56">
      <c r="H5" s="282"/>
      <c r="I5" s="283"/>
      <c r="J5" s="283"/>
      <c r="K5" s="283"/>
      <c r="BC5" s="283"/>
      <c r="BD5" s="283"/>
    </row>
    <row r="6" spans="1:56" ht="22.7" customHeight="1">
      <c r="A6" s="605" t="s">
        <v>7</v>
      </c>
      <c r="B6" s="604" t="s">
        <v>8</v>
      </c>
      <c r="C6" s="604" t="s">
        <v>5</v>
      </c>
      <c r="D6" s="604" t="s">
        <v>178</v>
      </c>
      <c r="E6" s="604" t="s">
        <v>179</v>
      </c>
      <c r="F6" s="604" t="s">
        <v>175</v>
      </c>
      <c r="G6" s="604" t="s">
        <v>174</v>
      </c>
      <c r="H6" s="604" t="s">
        <v>176</v>
      </c>
      <c r="I6" s="604" t="s">
        <v>177</v>
      </c>
      <c r="J6" s="608" t="s">
        <v>181</v>
      </c>
      <c r="K6" s="609"/>
      <c r="L6" s="612" t="s">
        <v>180</v>
      </c>
      <c r="M6" s="612"/>
      <c r="N6" s="612" t="s">
        <v>182</v>
      </c>
      <c r="O6" s="612"/>
      <c r="P6" s="614" t="s">
        <v>29</v>
      </c>
      <c r="Q6" s="614"/>
      <c r="R6" s="603" t="s">
        <v>22</v>
      </c>
      <c r="S6" s="603"/>
      <c r="T6" s="603" t="s">
        <v>30</v>
      </c>
      <c r="U6" s="603"/>
      <c r="V6" s="603"/>
      <c r="W6" s="603"/>
      <c r="X6" s="603"/>
      <c r="Y6" s="603"/>
      <c r="Z6" s="603" t="s">
        <v>31</v>
      </c>
      <c r="AA6" s="603"/>
      <c r="AB6" s="603"/>
      <c r="AC6" s="603"/>
      <c r="AD6" s="603"/>
      <c r="AE6" s="603"/>
      <c r="AF6" s="603" t="s">
        <v>32</v>
      </c>
      <c r="AG6" s="603"/>
      <c r="AH6" s="603"/>
      <c r="AI6" s="603"/>
      <c r="AJ6" s="603"/>
      <c r="AK6" s="603"/>
      <c r="BA6" s="612" t="s">
        <v>377</v>
      </c>
      <c r="BB6" s="612"/>
      <c r="BC6" s="608" t="s">
        <v>378</v>
      </c>
      <c r="BD6" s="609"/>
    </row>
    <row r="7" spans="1:56" ht="22.7" customHeight="1">
      <c r="A7" s="606"/>
      <c r="B7" s="604"/>
      <c r="C7" s="604"/>
      <c r="D7" s="604"/>
      <c r="E7" s="604"/>
      <c r="F7" s="604"/>
      <c r="G7" s="604"/>
      <c r="H7" s="604"/>
      <c r="I7" s="604"/>
      <c r="J7" s="610"/>
      <c r="K7" s="611"/>
      <c r="L7" s="612"/>
      <c r="M7" s="612"/>
      <c r="N7" s="612"/>
      <c r="O7" s="612"/>
      <c r="P7" s="614"/>
      <c r="Q7" s="614"/>
      <c r="R7" s="603"/>
      <c r="S7" s="603"/>
      <c r="T7" s="603" t="s">
        <v>35</v>
      </c>
      <c r="U7" s="603"/>
      <c r="V7" s="603" t="s">
        <v>33</v>
      </c>
      <c r="W7" s="603"/>
      <c r="X7" s="603" t="s">
        <v>34</v>
      </c>
      <c r="Y7" s="603"/>
      <c r="Z7" s="603" t="s">
        <v>35</v>
      </c>
      <c r="AA7" s="603"/>
      <c r="AB7" s="613" t="s">
        <v>33</v>
      </c>
      <c r="AC7" s="613"/>
      <c r="AD7" s="603" t="s">
        <v>34</v>
      </c>
      <c r="AE7" s="603"/>
      <c r="AF7" s="603" t="s">
        <v>35</v>
      </c>
      <c r="AG7" s="603"/>
      <c r="AH7" s="603" t="s">
        <v>25</v>
      </c>
      <c r="AI7" s="603"/>
      <c r="AJ7" s="603" t="s">
        <v>26</v>
      </c>
      <c r="AK7" s="603"/>
      <c r="AL7" s="620" t="s">
        <v>272</v>
      </c>
      <c r="AM7" s="621"/>
      <c r="AN7" s="621"/>
      <c r="AO7" s="622" t="s">
        <v>227</v>
      </c>
      <c r="AP7" s="471" t="s">
        <v>273</v>
      </c>
      <c r="AQ7" s="472" t="s">
        <v>134</v>
      </c>
      <c r="AR7" s="615" t="s">
        <v>274</v>
      </c>
      <c r="AS7" s="616"/>
      <c r="AT7" s="616"/>
      <c r="AU7" s="617" t="s">
        <v>275</v>
      </c>
      <c r="AV7" s="618"/>
      <c r="AW7" s="618"/>
      <c r="AX7" s="619" t="s">
        <v>289</v>
      </c>
      <c r="AY7" s="619"/>
      <c r="AZ7" s="619"/>
      <c r="BA7" s="612"/>
      <c r="BB7" s="612"/>
      <c r="BC7" s="610"/>
      <c r="BD7" s="611"/>
    </row>
    <row r="8" spans="1:56" s="1" customFormat="1">
      <c r="A8" s="607"/>
      <c r="B8" s="604"/>
      <c r="C8" s="604"/>
      <c r="D8" s="604"/>
      <c r="E8" s="604"/>
      <c r="F8" s="604"/>
      <c r="G8" s="604"/>
      <c r="H8" s="604"/>
      <c r="I8" s="604"/>
      <c r="J8" s="417" t="s">
        <v>36</v>
      </c>
      <c r="K8" s="415" t="s">
        <v>37</v>
      </c>
      <c r="L8" s="286" t="s">
        <v>36</v>
      </c>
      <c r="M8" s="287" t="s">
        <v>37</v>
      </c>
      <c r="N8" s="286" t="s">
        <v>36</v>
      </c>
      <c r="O8" s="287" t="s">
        <v>37</v>
      </c>
      <c r="P8" s="286" t="s">
        <v>36</v>
      </c>
      <c r="Q8" s="287" t="s">
        <v>37</v>
      </c>
      <c r="R8" s="286" t="s">
        <v>36</v>
      </c>
      <c r="S8" s="288" t="s">
        <v>37</v>
      </c>
      <c r="T8" s="291" t="s">
        <v>36</v>
      </c>
      <c r="U8" s="287" t="s">
        <v>37</v>
      </c>
      <c r="V8" s="292" t="s">
        <v>36</v>
      </c>
      <c r="W8" s="287" t="s">
        <v>37</v>
      </c>
      <c r="X8" s="292" t="s">
        <v>36</v>
      </c>
      <c r="Y8" s="287" t="s">
        <v>37</v>
      </c>
      <c r="Z8" s="289" t="s">
        <v>36</v>
      </c>
      <c r="AA8" s="288" t="s">
        <v>37</v>
      </c>
      <c r="AB8" s="290" t="s">
        <v>36</v>
      </c>
      <c r="AC8" s="293" t="s">
        <v>37</v>
      </c>
      <c r="AD8" s="289" t="s">
        <v>36</v>
      </c>
      <c r="AE8" s="293" t="s">
        <v>37</v>
      </c>
      <c r="AF8" s="289" t="s">
        <v>36</v>
      </c>
      <c r="AG8" s="288" t="s">
        <v>37</v>
      </c>
      <c r="AH8" s="290" t="s">
        <v>36</v>
      </c>
      <c r="AI8" s="293" t="s">
        <v>37</v>
      </c>
      <c r="AJ8" s="290" t="s">
        <v>36</v>
      </c>
      <c r="AK8" s="293" t="s">
        <v>37</v>
      </c>
      <c r="AL8" s="1">
        <v>14</v>
      </c>
      <c r="AM8" s="1">
        <v>15</v>
      </c>
      <c r="AN8" s="1">
        <v>17</v>
      </c>
      <c r="AO8" s="622"/>
      <c r="AP8" s="473" t="s">
        <v>276</v>
      </c>
      <c r="AQ8" s="474"/>
      <c r="AU8" s="1">
        <v>14</v>
      </c>
      <c r="AV8" s="1">
        <v>15</v>
      </c>
      <c r="AW8" s="1">
        <v>17</v>
      </c>
      <c r="AX8" s="1">
        <v>14</v>
      </c>
      <c r="AY8" s="1">
        <v>15</v>
      </c>
      <c r="AZ8" s="1">
        <v>17</v>
      </c>
      <c r="BA8" s="286" t="s">
        <v>36</v>
      </c>
      <c r="BB8" s="287" t="s">
        <v>37</v>
      </c>
      <c r="BC8" s="417" t="s">
        <v>36</v>
      </c>
      <c r="BD8" s="415" t="s">
        <v>37</v>
      </c>
    </row>
    <row r="9" spans="1:56" s="390" customFormat="1" ht="12.75" customHeight="1">
      <c r="A9" s="404">
        <v>45870</v>
      </c>
      <c r="B9" s="413" t="s">
        <v>409</v>
      </c>
      <c r="C9" s="391">
        <v>13</v>
      </c>
      <c r="D9" s="383">
        <f>+'1'!F42</f>
        <v>1230</v>
      </c>
      <c r="E9" s="383">
        <f>+'1'!G42</f>
        <v>947.09999999999991</v>
      </c>
      <c r="F9" s="47">
        <f t="shared" ref="F9:F39" si="0">1-(E9/D9)</f>
        <v>0.23000000000000009</v>
      </c>
      <c r="G9" s="409">
        <f>+P9/N9</f>
        <v>0.95571826916463798</v>
      </c>
      <c r="H9" s="405">
        <f>+P9/L9</f>
        <v>0.95571826916463798</v>
      </c>
      <c r="I9" s="405">
        <f>+R9/P9</f>
        <v>0.9790702266295167</v>
      </c>
      <c r="J9" s="410">
        <f>+R9/L9</f>
        <v>0.93571530238499145</v>
      </c>
      <c r="K9" s="410">
        <f>+S9/M9</f>
        <v>0.93571530238499145</v>
      </c>
      <c r="L9" s="384">
        <f>+Efficiency1!K6</f>
        <v>47.692925279999997</v>
      </c>
      <c r="M9" s="385">
        <f>L9</f>
        <v>47.692925279999997</v>
      </c>
      <c r="N9" s="384">
        <f>+Efficiency1!C6</f>
        <v>47.692925279999997</v>
      </c>
      <c r="O9" s="385">
        <f>N9</f>
        <v>47.692925279999997</v>
      </c>
      <c r="P9" s="385">
        <f>'1'!I38</f>
        <v>45.581000000000003</v>
      </c>
      <c r="Q9" s="385">
        <f>P9</f>
        <v>45.581000000000003</v>
      </c>
      <c r="R9" s="385">
        <f>'1'!I40</f>
        <v>44.627000000000002</v>
      </c>
      <c r="S9" s="385">
        <f>R9</f>
        <v>44.627000000000002</v>
      </c>
      <c r="T9" s="99">
        <f t="shared" ref="T9:T39" si="1">+AX9</f>
        <v>4127.5495501299147</v>
      </c>
      <c r="U9" s="294">
        <f>T9</f>
        <v>4127.5495501299147</v>
      </c>
      <c r="V9" s="294">
        <f>T9/P9</f>
        <v>90.55416840635165</v>
      </c>
      <c r="W9" s="294">
        <f>U9/Q9</f>
        <v>90.55416840635165</v>
      </c>
      <c r="X9" s="295">
        <f>IF(AND(R9&gt;0,T9&gt;0),(T9/(R9*1000))*1000,0)</f>
        <v>92.489962357539497</v>
      </c>
      <c r="Y9" s="294">
        <f>IF(AND(S9&gt;0,U9&gt;0),U9/S9,0)</f>
        <v>92.489962357539483</v>
      </c>
      <c r="Z9" s="387">
        <v>59.5</v>
      </c>
      <c r="AA9" s="388">
        <f>Z9</f>
        <v>59.5</v>
      </c>
      <c r="AB9" s="389">
        <f t="shared" ref="AB9:AB39" si="2">Z9/(P9)</f>
        <v>1.305368464930563</v>
      </c>
      <c r="AC9" s="389">
        <f t="shared" ref="AC9:AC39" si="3">AA9/(Q9)</f>
        <v>1.305368464930563</v>
      </c>
      <c r="AD9" s="384">
        <f t="shared" ref="AD9:AD39" si="4">IF(AND(R9&gt;0,Z9&gt;0),Z9/(R9),0)</f>
        <v>1.3332735787751808</v>
      </c>
      <c r="AE9" s="389">
        <f t="shared" ref="AE9:AE39" si="5">IF(AND(S9&gt;0,AA9&gt;0),AA9/(S9),0)</f>
        <v>1.3332735787751808</v>
      </c>
      <c r="AF9" s="388">
        <f>'1'!I46</f>
        <v>37566.020000000724</v>
      </c>
      <c r="AG9" s="388">
        <f>AF9</f>
        <v>37566.020000000724</v>
      </c>
      <c r="AH9" s="389">
        <f t="shared" ref="AH9:AH39" si="6">IF(AND(L9&gt;0,AF9&gt;0),(AF9/(P9*1000)*1000),0)</f>
        <v>824.15962791515597</v>
      </c>
      <c r="AI9" s="389">
        <f t="shared" ref="AI9:AI39" si="7">IF(AND(M9&gt;0,AG9&gt;0),(AG9/(Q9*1000)*1000),0)</f>
        <v>824.15962791515597</v>
      </c>
      <c r="AJ9" s="389">
        <f t="shared" ref="AJ9:AJ39" si="8">IF(AND(R9&gt;0,AF9&gt;0),(AF9/(R9*1000)*1000),0)</f>
        <v>841.77784749144519</v>
      </c>
      <c r="AK9" s="389">
        <f t="shared" ref="AK9:AK39" si="9">IF(AND(S9&gt;0,AG9&gt;0),(AG9/(S9*1000)*1000),0)</f>
        <v>841.77784749144519</v>
      </c>
      <c r="AL9" s="475">
        <v>4353.7</v>
      </c>
      <c r="AM9" s="476">
        <v>5728.1</v>
      </c>
      <c r="AN9" s="445">
        <v>3888.9</v>
      </c>
      <c r="AO9" s="445">
        <f>SUM(AL9:AN9)</f>
        <v>13970.699999999999</v>
      </c>
      <c r="AP9" s="532">
        <f>+[1]Aug!N4</f>
        <v>13245</v>
      </c>
      <c r="AQ9" s="477">
        <f t="shared" ref="AQ9:AQ39" si="10">+AP9-AO9</f>
        <v>-725.69999999999891</v>
      </c>
      <c r="AR9" s="448">
        <f t="shared" ref="AR9:AR37" si="11">+AL9/AO9</f>
        <v>0.31163077011173385</v>
      </c>
      <c r="AS9" s="448">
        <f t="shared" ref="AS9:AS37" si="12">+AM9/AO9</f>
        <v>0.41000808835634583</v>
      </c>
      <c r="AT9" s="448">
        <f>1-AR9-AS9</f>
        <v>0.27836114153192038</v>
      </c>
      <c r="AU9" s="448">
        <f>+AR9*AQ9</f>
        <v>-226.15044987008491</v>
      </c>
      <c r="AV9" s="448">
        <f>+AS9*AQ9</f>
        <v>-297.54286972019975</v>
      </c>
      <c r="AW9" s="448">
        <f>+AT9*AQ9</f>
        <v>-202.00668040971431</v>
      </c>
      <c r="AX9" s="390">
        <f t="shared" ref="AX9:AX37" si="13">+AL9+AU9</f>
        <v>4127.5495501299147</v>
      </c>
      <c r="AY9" s="390">
        <f t="shared" ref="AY9:AY37" si="14">+AM9+AV9</f>
        <v>5430.5571302798007</v>
      </c>
      <c r="AZ9" s="390">
        <f t="shared" ref="AZ9:AZ37" si="15">+AN9+AW9</f>
        <v>3686.893319590286</v>
      </c>
      <c r="BA9" s="384">
        <f>+Efficiency2!K6</f>
        <v>47.692925279999997</v>
      </c>
      <c r="BB9" s="385">
        <f>BA9</f>
        <v>47.692925279999997</v>
      </c>
      <c r="BC9" s="410">
        <f>+R9/BA9</f>
        <v>0.93571530238499145</v>
      </c>
      <c r="BD9" s="410">
        <f>+S9/BB9</f>
        <v>0.93571530238499145</v>
      </c>
    </row>
    <row r="10" spans="1:56" s="390" customFormat="1" ht="12.75" customHeight="1">
      <c r="A10" s="404">
        <f t="shared" ref="A10:A38" si="16">A9+1</f>
        <v>45871</v>
      </c>
      <c r="B10" s="413" t="s">
        <v>409</v>
      </c>
      <c r="C10" s="391">
        <v>13</v>
      </c>
      <c r="D10" s="383">
        <f>+'2'!F42</f>
        <v>1230</v>
      </c>
      <c r="E10" s="383">
        <f>+'2'!G42</f>
        <v>947.0999999999998</v>
      </c>
      <c r="F10" s="47">
        <f t="shared" si="0"/>
        <v>0.2300000000000002</v>
      </c>
      <c r="G10" s="409">
        <f t="shared" ref="G10:G41" si="17">+P10/N10</f>
        <v>0.99442421955795823</v>
      </c>
      <c r="H10" s="405">
        <f t="shared" ref="H10:H41" si="18">+P10/L10</f>
        <v>0.99442421955795823</v>
      </c>
      <c r="I10" s="405">
        <f t="shared" ref="I10:I41" si="19">+R10/P10</f>
        <v>0.96466147974782279</v>
      </c>
      <c r="J10" s="410">
        <f t="shared" ref="J10:J41" si="20">+R10/L10</f>
        <v>0.95928273913585382</v>
      </c>
      <c r="K10" s="410">
        <f t="shared" ref="K10:K39" si="21">+S10/M10</f>
        <v>0.94749902076042258</v>
      </c>
      <c r="L10" s="384">
        <f>+Efficiency1!K11</f>
        <v>47.69292527999999</v>
      </c>
      <c r="M10" s="385">
        <f t="shared" ref="M10:O38" si="22">M9+L10</f>
        <v>95.385850559999994</v>
      </c>
      <c r="N10" s="384">
        <f>+Efficiency1!C11</f>
        <v>47.69292527999999</v>
      </c>
      <c r="O10" s="385">
        <f t="shared" si="22"/>
        <v>95.385850559999994</v>
      </c>
      <c r="P10" s="385">
        <f>'2'!I38</f>
        <v>47.427000000000007</v>
      </c>
      <c r="Q10" s="385">
        <f t="shared" ref="Q10:Q38" si="23">Q9+P10</f>
        <v>93.00800000000001</v>
      </c>
      <c r="R10" s="385">
        <f>'2'!I40</f>
        <v>45.750999999999998</v>
      </c>
      <c r="S10" s="385">
        <f t="shared" ref="S10:S38" si="24">S9+R10</f>
        <v>90.378</v>
      </c>
      <c r="T10" s="99">
        <f t="shared" si="1"/>
        <v>4040.0905607099635</v>
      </c>
      <c r="U10" s="13">
        <f t="shared" ref="U10:U38" si="25">T10+U9</f>
        <v>8167.6401108398786</v>
      </c>
      <c r="V10" s="294">
        <f t="shared" ref="V10:V39" si="26">T10/P10</f>
        <v>85.185454713769857</v>
      </c>
      <c r="W10" s="294">
        <f t="shared" ref="W10:W39" si="27">U10/Q10</f>
        <v>87.816533102957564</v>
      </c>
      <c r="X10" s="295">
        <f t="shared" ref="X10:X39" si="28">IF(AND(R10&gt;0,T10&gt;0),(T10/(R10*1000))*1000,0)</f>
        <v>88.306060210923548</v>
      </c>
      <c r="Y10" s="294">
        <f t="shared" ref="Y10:Y39" si="29">IF(AND(S10&gt;0,U10&gt;0),U10/S10,0)</f>
        <v>90.371994410585302</v>
      </c>
      <c r="Z10" s="387">
        <v>60.7</v>
      </c>
      <c r="AA10" s="386">
        <f t="shared" ref="AA10:AA38" si="30">Z10+AA9</f>
        <v>120.2</v>
      </c>
      <c r="AB10" s="389">
        <f t="shared" si="2"/>
        <v>1.279861682164168</v>
      </c>
      <c r="AC10" s="389">
        <f t="shared" si="3"/>
        <v>1.2923619473593668</v>
      </c>
      <c r="AD10" s="384">
        <f t="shared" si="4"/>
        <v>1.3267469563506811</v>
      </c>
      <c r="AE10" s="389">
        <f t="shared" si="5"/>
        <v>1.3299696828874283</v>
      </c>
      <c r="AF10" s="388">
        <f>'2'!I46</f>
        <v>39041.46</v>
      </c>
      <c r="AG10" s="386">
        <f t="shared" ref="AG10:AG38" si="31">AF10+AG9</f>
        <v>76607.480000000724</v>
      </c>
      <c r="AH10" s="389">
        <f t="shared" si="6"/>
        <v>823.19058763995179</v>
      </c>
      <c r="AI10" s="389">
        <f t="shared" si="7"/>
        <v>823.66549114055465</v>
      </c>
      <c r="AJ10" s="389">
        <f t="shared" si="8"/>
        <v>853.34659351708149</v>
      </c>
      <c r="AK10" s="389">
        <f t="shared" si="9"/>
        <v>847.63415875545729</v>
      </c>
      <c r="AL10" s="444">
        <v>4259.6000000000004</v>
      </c>
      <c r="AM10" s="445">
        <v>5714.8</v>
      </c>
      <c r="AN10" s="445">
        <v>3908</v>
      </c>
      <c r="AO10" s="445">
        <f t="shared" ref="AO10:AO11" si="32">SUM(AL10:AN10)</f>
        <v>13882.400000000001</v>
      </c>
      <c r="AP10" s="573">
        <f>+[1]Aug!N5</f>
        <v>13167</v>
      </c>
      <c r="AQ10" s="477">
        <f t="shared" si="10"/>
        <v>-715.40000000000146</v>
      </c>
      <c r="AR10" s="448">
        <f t="shared" si="11"/>
        <v>0.30683455310320984</v>
      </c>
      <c r="AS10" s="448">
        <f t="shared" si="12"/>
        <v>0.41165792658329969</v>
      </c>
      <c r="AT10" s="448">
        <f t="shared" ref="AT10:AT37" si="33">1-AR10-AS10</f>
        <v>0.28150752031349047</v>
      </c>
      <c r="AU10" s="448">
        <f t="shared" ref="AU10:AU37" si="34">+AR10*AQ10</f>
        <v>-219.50943929003677</v>
      </c>
      <c r="AV10" s="448">
        <f t="shared" ref="AV10:AV37" si="35">+AS10*AQ10</f>
        <v>-294.50008067769318</v>
      </c>
      <c r="AW10" s="448">
        <f>+AT10*AQ10</f>
        <v>-201.39048003227148</v>
      </c>
      <c r="AX10" s="390">
        <f t="shared" si="13"/>
        <v>4040.0905607099635</v>
      </c>
      <c r="AY10" s="390">
        <f t="shared" si="14"/>
        <v>5420.2999193223068</v>
      </c>
      <c r="AZ10" s="390">
        <f t="shared" si="15"/>
        <v>3706.6095199677284</v>
      </c>
      <c r="BA10" s="384">
        <f>+Efficiency2!K11</f>
        <v>47.69292527999999</v>
      </c>
      <c r="BB10" s="385">
        <f t="shared" ref="BB10:BB38" si="36">BB9+BA10</f>
        <v>95.385850559999994</v>
      </c>
      <c r="BC10" s="410">
        <f t="shared" ref="BC10:BC41" si="37">+R10/BA10</f>
        <v>0.95928273913585382</v>
      </c>
      <c r="BD10" s="410">
        <f t="shared" ref="BD10:BD39" si="38">+S10/BB10</f>
        <v>0.94749902076042258</v>
      </c>
    </row>
    <row r="11" spans="1:56" s="390" customFormat="1" ht="12.75" customHeight="1">
      <c r="A11" s="404">
        <f t="shared" si="16"/>
        <v>45872</v>
      </c>
      <c r="B11" s="413" t="s">
        <v>409</v>
      </c>
      <c r="C11" s="391">
        <v>13</v>
      </c>
      <c r="D11" s="383">
        <f>+'3'!F42</f>
        <v>1209.1674828599412</v>
      </c>
      <c r="E11" s="383">
        <f>+'3'!G42</f>
        <v>931.05896180215473</v>
      </c>
      <c r="F11" s="47">
        <f t="shared" si="0"/>
        <v>0.22999999999999998</v>
      </c>
      <c r="G11" s="409">
        <f t="shared" si="17"/>
        <v>0.61904359664809405</v>
      </c>
      <c r="H11" s="405">
        <f>+P11/L11</f>
        <v>0.61904359664809405</v>
      </c>
      <c r="I11" s="405">
        <f t="shared" si="19"/>
        <v>1.0154111908955425</v>
      </c>
      <c r="J11" s="410">
        <f t="shared" si="20"/>
        <v>0.62858379568870104</v>
      </c>
      <c r="K11" s="410">
        <f t="shared" si="21"/>
        <v>0.8411939457365154</v>
      </c>
      <c r="L11" s="384">
        <f>+Efficiency1!K16</f>
        <v>47.69292527999999</v>
      </c>
      <c r="M11" s="385">
        <f t="shared" si="22"/>
        <v>143.07877583999999</v>
      </c>
      <c r="N11" s="384">
        <f>+Efficiency1!C16</f>
        <v>47.69292527999999</v>
      </c>
      <c r="O11" s="385">
        <f t="shared" si="22"/>
        <v>143.07877583999999</v>
      </c>
      <c r="P11" s="385">
        <f>'3'!I38</f>
        <v>29.524000000000001</v>
      </c>
      <c r="Q11" s="385">
        <f t="shared" si="23"/>
        <v>122.53200000000001</v>
      </c>
      <c r="R11" s="385">
        <f>'3'!I40</f>
        <v>29.978999999999999</v>
      </c>
      <c r="S11" s="385">
        <f t="shared" si="24"/>
        <v>120.357</v>
      </c>
      <c r="T11" s="99">
        <f t="shared" si="1"/>
        <v>2905.2291783993496</v>
      </c>
      <c r="U11" s="13">
        <f t="shared" si="25"/>
        <v>11072.869289239228</v>
      </c>
      <c r="V11" s="294">
        <f t="shared" si="26"/>
        <v>98.402288931017125</v>
      </c>
      <c r="W11" s="294">
        <f t="shared" si="27"/>
        <v>90.36716359187173</v>
      </c>
      <c r="X11" s="295">
        <f t="shared" si="28"/>
        <v>96.908808779457274</v>
      </c>
      <c r="Y11" s="294">
        <f t="shared" si="29"/>
        <v>92.000210118557533</v>
      </c>
      <c r="Z11" s="387">
        <v>47.3</v>
      </c>
      <c r="AA11" s="386">
        <f t="shared" si="30"/>
        <v>167.5</v>
      </c>
      <c r="AB11" s="389">
        <f t="shared" si="2"/>
        <v>1.6020864381520117</v>
      </c>
      <c r="AC11" s="389">
        <f t="shared" si="3"/>
        <v>1.3669898475500277</v>
      </c>
      <c r="AD11" s="384">
        <f t="shared" si="4"/>
        <v>1.5777711064411755</v>
      </c>
      <c r="AE11" s="389">
        <f t="shared" si="5"/>
        <v>1.3916930465199366</v>
      </c>
      <c r="AF11" s="388">
        <f>'3'!I46</f>
        <v>29073.499999999636</v>
      </c>
      <c r="AG11" s="386">
        <f t="shared" si="31"/>
        <v>105680.98000000036</v>
      </c>
      <c r="AH11" s="389">
        <f t="shared" si="6"/>
        <v>984.74122747593935</v>
      </c>
      <c r="AI11" s="389">
        <f t="shared" si="7"/>
        <v>862.47657754709257</v>
      </c>
      <c r="AJ11" s="389">
        <f t="shared" si="8"/>
        <v>969.79552353312772</v>
      </c>
      <c r="AK11" s="389">
        <f t="shared" si="9"/>
        <v>878.06259710694314</v>
      </c>
      <c r="AL11" s="444">
        <v>3053.5</v>
      </c>
      <c r="AM11" s="445">
        <v>5703.1</v>
      </c>
      <c r="AN11" s="445">
        <v>4028.2</v>
      </c>
      <c r="AO11" s="445">
        <f t="shared" si="32"/>
        <v>12784.8</v>
      </c>
      <c r="AP11" s="573">
        <f>+[1]Aug!N6</f>
        <v>12164</v>
      </c>
      <c r="AQ11" s="477">
        <f t="shared" si="10"/>
        <v>-620.79999999999927</v>
      </c>
      <c r="AR11" s="448">
        <f t="shared" si="11"/>
        <v>0.23883830799073902</v>
      </c>
      <c r="AS11" s="448">
        <f t="shared" si="12"/>
        <v>0.44608441274012894</v>
      </c>
      <c r="AT11" s="448">
        <f t="shared" si="33"/>
        <v>0.31507727926913204</v>
      </c>
      <c r="AU11" s="448">
        <f t="shared" si="34"/>
        <v>-148.27082160065061</v>
      </c>
      <c r="AV11" s="448">
        <f t="shared" si="35"/>
        <v>-276.92920342907172</v>
      </c>
      <c r="AW11" s="448">
        <f t="shared" ref="AW11:AW37" si="39">+AT11*AQ11</f>
        <v>-195.59997497027695</v>
      </c>
      <c r="AX11" s="390">
        <f t="shared" si="13"/>
        <v>2905.2291783993496</v>
      </c>
      <c r="AY11" s="390">
        <f t="shared" si="14"/>
        <v>5426.1707965709284</v>
      </c>
      <c r="AZ11" s="390">
        <f t="shared" si="15"/>
        <v>3832.6000250297229</v>
      </c>
      <c r="BA11" s="384">
        <f>+Efficiency2!K16</f>
        <v>47.69292527999999</v>
      </c>
      <c r="BB11" s="385">
        <f t="shared" si="36"/>
        <v>143.07877583999999</v>
      </c>
      <c r="BC11" s="410">
        <f t="shared" si="37"/>
        <v>0.62858379568870104</v>
      </c>
      <c r="BD11" s="410">
        <f t="shared" si="38"/>
        <v>0.8411939457365154</v>
      </c>
    </row>
    <row r="12" spans="1:56" s="390" customFormat="1" ht="12.75" customHeight="1">
      <c r="A12" s="404">
        <f t="shared" si="16"/>
        <v>45873</v>
      </c>
      <c r="B12" s="413" t="s">
        <v>409</v>
      </c>
      <c r="C12" s="391">
        <v>13</v>
      </c>
      <c r="D12" s="383">
        <f>+'4'!F42</f>
        <v>1224.3263888888889</v>
      </c>
      <c r="E12" s="383">
        <f>+'4'!G42</f>
        <v>942.73131944444447</v>
      </c>
      <c r="F12" s="47">
        <f t="shared" si="0"/>
        <v>0.22999999999999998</v>
      </c>
      <c r="G12" s="409">
        <f t="shared" si="17"/>
        <v>0.95231108786746688</v>
      </c>
      <c r="H12" s="405">
        <f t="shared" si="18"/>
        <v>0.94791837016880087</v>
      </c>
      <c r="I12" s="405">
        <f t="shared" si="19"/>
        <v>0.97823442234953228</v>
      </c>
      <c r="J12" s="410">
        <f t="shared" si="20"/>
        <v>0.92728637927658697</v>
      </c>
      <c r="K12" s="410">
        <f t="shared" si="21"/>
        <v>0.86271705412153321</v>
      </c>
      <c r="L12" s="384">
        <f>+Efficiency1!K23</f>
        <v>47.692925279999997</v>
      </c>
      <c r="M12" s="385">
        <f t="shared" si="22"/>
        <v>190.77170111999999</v>
      </c>
      <c r="N12" s="384">
        <f>+Efficiency1!C23</f>
        <v>47.472932506999996</v>
      </c>
      <c r="O12" s="385">
        <f t="shared" si="22"/>
        <v>190.55170834699999</v>
      </c>
      <c r="P12" s="385">
        <f>'4'!I38</f>
        <v>45.208999999999996</v>
      </c>
      <c r="Q12" s="385">
        <f t="shared" si="23"/>
        <v>167.74100000000001</v>
      </c>
      <c r="R12" s="385">
        <f>'4'!I40</f>
        <v>44.225000000000001</v>
      </c>
      <c r="S12" s="385">
        <f t="shared" si="24"/>
        <v>164.58199999999999</v>
      </c>
      <c r="T12" s="99">
        <f t="shared" si="1"/>
        <v>4264.5632509825946</v>
      </c>
      <c r="U12" s="13">
        <f t="shared" si="25"/>
        <v>15337.432540221824</v>
      </c>
      <c r="V12" s="294">
        <f t="shared" si="26"/>
        <v>94.329961976212587</v>
      </c>
      <c r="W12" s="294">
        <f t="shared" si="27"/>
        <v>91.435203916882713</v>
      </c>
      <c r="X12" s="295">
        <f t="shared" si="28"/>
        <v>96.428790299210732</v>
      </c>
      <c r="Y12" s="294">
        <f t="shared" si="29"/>
        <v>93.19021849425711</v>
      </c>
      <c r="Z12" s="387">
        <v>59.3</v>
      </c>
      <c r="AA12" s="386">
        <f t="shared" si="30"/>
        <v>226.8</v>
      </c>
      <c r="AB12" s="389">
        <f t="shared" si="2"/>
        <v>1.3116857262934372</v>
      </c>
      <c r="AC12" s="389">
        <f t="shared" si="3"/>
        <v>1.3520844635479699</v>
      </c>
      <c r="AD12" s="384">
        <f t="shared" si="4"/>
        <v>1.3408705483323911</v>
      </c>
      <c r="AE12" s="389">
        <f t="shared" si="5"/>
        <v>1.3780364802955367</v>
      </c>
      <c r="AF12" s="388">
        <f>'4'!I46</f>
        <v>36624.459999999635</v>
      </c>
      <c r="AG12" s="386">
        <f t="shared" si="31"/>
        <v>142305.44</v>
      </c>
      <c r="AH12" s="389">
        <f t="shared" si="6"/>
        <v>810.11435776061489</v>
      </c>
      <c r="AI12" s="389">
        <f t="shared" si="7"/>
        <v>848.36408510739773</v>
      </c>
      <c r="AJ12" s="389">
        <f t="shared" si="8"/>
        <v>828.13928773317434</v>
      </c>
      <c r="AK12" s="389">
        <f t="shared" si="9"/>
        <v>864.64765284174462</v>
      </c>
      <c r="AL12" s="444">
        <v>4492.2</v>
      </c>
      <c r="AM12" s="445">
        <v>5688.4</v>
      </c>
      <c r="AN12" s="445">
        <v>4067.4</v>
      </c>
      <c r="AO12" s="445">
        <f>SUM(AL12:AN12)</f>
        <v>14247.999999999998</v>
      </c>
      <c r="AP12" s="573">
        <f>+[1]Aug!N7</f>
        <v>13526</v>
      </c>
      <c r="AQ12" s="477">
        <f t="shared" si="10"/>
        <v>-721.99999999999818</v>
      </c>
      <c r="AR12" s="448">
        <f t="shared" si="11"/>
        <v>0.31528635597978666</v>
      </c>
      <c r="AS12" s="448">
        <f t="shared" si="12"/>
        <v>0.39924199887703538</v>
      </c>
      <c r="AT12" s="448">
        <f t="shared" si="33"/>
        <v>0.28547164514317791</v>
      </c>
      <c r="AU12" s="448">
        <f t="shared" si="34"/>
        <v>-227.63674901740541</v>
      </c>
      <c r="AV12" s="448">
        <f t="shared" si="35"/>
        <v>-288.25272318921884</v>
      </c>
      <c r="AW12" s="448">
        <f t="shared" si="39"/>
        <v>-206.11052779337393</v>
      </c>
      <c r="AX12" s="390">
        <f t="shared" si="13"/>
        <v>4264.5632509825946</v>
      </c>
      <c r="AY12" s="390">
        <f t="shared" si="14"/>
        <v>5400.1472768107806</v>
      </c>
      <c r="AZ12" s="390">
        <f t="shared" si="15"/>
        <v>3861.2894722066262</v>
      </c>
      <c r="BA12" s="384">
        <f>+Efficiency2!K23</f>
        <v>47.692925279999997</v>
      </c>
      <c r="BB12" s="385">
        <f t="shared" si="36"/>
        <v>190.77170111999999</v>
      </c>
      <c r="BC12" s="410">
        <f t="shared" si="37"/>
        <v>0.92728637927658697</v>
      </c>
      <c r="BD12" s="410">
        <f t="shared" si="38"/>
        <v>0.86271705412153321</v>
      </c>
    </row>
    <row r="13" spans="1:56" s="390" customFormat="1" ht="12.75" customHeight="1">
      <c r="A13" s="404">
        <f t="shared" si="16"/>
        <v>45874</v>
      </c>
      <c r="B13" s="413" t="s">
        <v>409</v>
      </c>
      <c r="C13" s="391">
        <v>13</v>
      </c>
      <c r="D13" s="383">
        <f>+'5'!F42</f>
        <v>1230</v>
      </c>
      <c r="E13" s="383">
        <f>+'5'!G42</f>
        <v>947.0999999999998</v>
      </c>
      <c r="F13" s="47">
        <f t="shared" si="0"/>
        <v>0.2300000000000002</v>
      </c>
      <c r="G13" s="409">
        <f t="shared" si="17"/>
        <v>0.9650907284418937</v>
      </c>
      <c r="H13" s="405">
        <f t="shared" si="18"/>
        <v>0.9650907284418937</v>
      </c>
      <c r="I13" s="405">
        <f t="shared" si="19"/>
        <v>0.92943425740853403</v>
      </c>
      <c r="J13" s="410">
        <f t="shared" si="20"/>
        <v>0.89698838452125262</v>
      </c>
      <c r="K13" s="410">
        <f t="shared" si="21"/>
        <v>0.86957132020147709</v>
      </c>
      <c r="L13" s="384">
        <f>+Efficiency1!K28</f>
        <v>47.69292527999999</v>
      </c>
      <c r="M13" s="385">
        <f t="shared" si="22"/>
        <v>238.46462639999999</v>
      </c>
      <c r="N13" s="384">
        <f>+Efficiency1!C28</f>
        <v>47.69292527999999</v>
      </c>
      <c r="O13" s="385">
        <f t="shared" si="22"/>
        <v>238.24463362699998</v>
      </c>
      <c r="P13" s="385">
        <f>'5'!I38</f>
        <v>46.027999999999999</v>
      </c>
      <c r="Q13" s="385">
        <f t="shared" si="23"/>
        <v>213.76900000000001</v>
      </c>
      <c r="R13" s="385">
        <f>'5'!I40</f>
        <v>42.78</v>
      </c>
      <c r="S13" s="385">
        <f t="shared" si="24"/>
        <v>207.36199999999999</v>
      </c>
      <c r="T13" s="99">
        <f t="shared" si="1"/>
        <v>4143.0469602741468</v>
      </c>
      <c r="U13" s="13">
        <f t="shared" si="25"/>
        <v>19480.479500495971</v>
      </c>
      <c r="V13" s="294">
        <f t="shared" si="26"/>
        <v>90.01144868936619</v>
      </c>
      <c r="W13" s="294">
        <f t="shared" si="27"/>
        <v>91.128645877072771</v>
      </c>
      <c r="X13" s="295">
        <f t="shared" si="28"/>
        <v>96.845417491214278</v>
      </c>
      <c r="Y13" s="294">
        <f t="shared" si="29"/>
        <v>93.94430754186385</v>
      </c>
      <c r="Z13" s="387">
        <v>55.5</v>
      </c>
      <c r="AA13" s="386">
        <f t="shared" si="30"/>
        <v>282.3</v>
      </c>
      <c r="AB13" s="389">
        <f t="shared" si="2"/>
        <v>1.2057877813504823</v>
      </c>
      <c r="AC13" s="389">
        <f t="shared" si="3"/>
        <v>1.3205843691087109</v>
      </c>
      <c r="AD13" s="384">
        <f t="shared" si="4"/>
        <v>1.2973352033660588</v>
      </c>
      <c r="AE13" s="389">
        <f t="shared" si="5"/>
        <v>1.3613873322981067</v>
      </c>
      <c r="AF13" s="388">
        <f>'5'!I46</f>
        <v>36297.900000001457</v>
      </c>
      <c r="AG13" s="386">
        <f t="shared" si="31"/>
        <v>178603.34000000145</v>
      </c>
      <c r="AH13" s="389">
        <f t="shared" si="6"/>
        <v>788.60476231862026</v>
      </c>
      <c r="AI13" s="389">
        <f t="shared" si="7"/>
        <v>835.49691489412146</v>
      </c>
      <c r="AJ13" s="389">
        <f t="shared" si="8"/>
        <v>848.47826086959935</v>
      </c>
      <c r="AK13" s="389">
        <f t="shared" si="9"/>
        <v>861.31181219317648</v>
      </c>
      <c r="AL13" s="444">
        <v>4347.8999999999996</v>
      </c>
      <c r="AM13" s="445">
        <v>5768.9</v>
      </c>
      <c r="AN13" s="445">
        <v>4065.4</v>
      </c>
      <c r="AO13" s="445">
        <f t="shared" ref="AO13:AO39" si="40">SUM(AL13:AN13)</f>
        <v>14182.199999999999</v>
      </c>
      <c r="AP13" s="573">
        <f>+[1]Aug!N8</f>
        <v>13514</v>
      </c>
      <c r="AQ13" s="477">
        <f t="shared" si="10"/>
        <v>-668.19999999999891</v>
      </c>
      <c r="AR13" s="448">
        <f t="shared" si="11"/>
        <v>0.30657443838050513</v>
      </c>
      <c r="AS13" s="448">
        <f t="shared" si="12"/>
        <v>0.40677045874405948</v>
      </c>
      <c r="AT13" s="448">
        <f t="shared" si="33"/>
        <v>0.28665510287543539</v>
      </c>
      <c r="AU13" s="448">
        <f t="shared" si="34"/>
        <v>-204.85303972585319</v>
      </c>
      <c r="AV13" s="448">
        <f t="shared" si="35"/>
        <v>-271.8040205327801</v>
      </c>
      <c r="AW13" s="448">
        <f t="shared" si="39"/>
        <v>-191.54293974136561</v>
      </c>
      <c r="AX13" s="390">
        <f t="shared" si="13"/>
        <v>4143.0469602741468</v>
      </c>
      <c r="AY13" s="390">
        <f t="shared" si="14"/>
        <v>5497.0959794672199</v>
      </c>
      <c r="AZ13" s="390">
        <f t="shared" si="15"/>
        <v>3873.8570602586346</v>
      </c>
      <c r="BA13" s="384">
        <f>+Efficiency2!K28</f>
        <v>47.69292527999999</v>
      </c>
      <c r="BB13" s="385">
        <f t="shared" si="36"/>
        <v>238.46462639999999</v>
      </c>
      <c r="BC13" s="410">
        <f t="shared" si="37"/>
        <v>0.89698838452125262</v>
      </c>
      <c r="BD13" s="410">
        <f t="shared" si="38"/>
        <v>0.86957132020147709</v>
      </c>
    </row>
    <row r="14" spans="1:56" s="390" customFormat="1" ht="12.75" customHeight="1">
      <c r="A14" s="404">
        <f t="shared" si="16"/>
        <v>45875</v>
      </c>
      <c r="B14" s="413" t="s">
        <v>409</v>
      </c>
      <c r="C14" s="391" t="s">
        <v>463</v>
      </c>
      <c r="D14" s="383">
        <f>+'6'!F42</f>
        <v>1213.3333333333333</v>
      </c>
      <c r="E14" s="383">
        <f>+'6'!G42</f>
        <v>942.13333333333333</v>
      </c>
      <c r="F14" s="47">
        <f t="shared" si="0"/>
        <v>0.22351648351648346</v>
      </c>
      <c r="G14" s="409">
        <f t="shared" si="17"/>
        <v>0.94998438329897272</v>
      </c>
      <c r="H14" s="405">
        <f t="shared" si="18"/>
        <v>0.94998438329897272</v>
      </c>
      <c r="I14" s="405">
        <f t="shared" si="19"/>
        <v>0.93708899605436202</v>
      </c>
      <c r="J14" s="410">
        <f t="shared" si="20"/>
        <v>0.89021991201295658</v>
      </c>
      <c r="K14" s="410">
        <f t="shared" si="21"/>
        <v>0.87303250780941077</v>
      </c>
      <c r="L14" s="384">
        <f>+SUM(Efficiency1!K33:K34)</f>
        <v>48.021842045</v>
      </c>
      <c r="M14" s="385">
        <f t="shared" si="22"/>
        <v>286.48646844500001</v>
      </c>
      <c r="N14" s="384">
        <f>+SUM(Efficiency1!C33:C34)</f>
        <v>48.021842045</v>
      </c>
      <c r="O14" s="385">
        <f t="shared" si="22"/>
        <v>286.26647567199996</v>
      </c>
      <c r="P14" s="385">
        <f>'6'!I38</f>
        <v>45.620000000000005</v>
      </c>
      <c r="Q14" s="385">
        <f t="shared" si="23"/>
        <v>259.38900000000001</v>
      </c>
      <c r="R14" s="385">
        <f>'6'!I40</f>
        <v>42.75</v>
      </c>
      <c r="S14" s="385">
        <f t="shared" si="24"/>
        <v>250.11199999999999</v>
      </c>
      <c r="T14" s="99">
        <f t="shared" si="1"/>
        <v>4058.9853112264195</v>
      </c>
      <c r="U14" s="13">
        <f t="shared" si="25"/>
        <v>23539.464811722391</v>
      </c>
      <c r="V14" s="294">
        <f t="shared" si="26"/>
        <v>88.973812170679949</v>
      </c>
      <c r="W14" s="294">
        <f t="shared" si="27"/>
        <v>90.749664834369966</v>
      </c>
      <c r="X14" s="295">
        <f t="shared" si="28"/>
        <v>94.947024824009816</v>
      </c>
      <c r="Y14" s="294">
        <f t="shared" si="29"/>
        <v>94.115695415343495</v>
      </c>
      <c r="Z14" s="387">
        <v>57.9</v>
      </c>
      <c r="AA14" s="386">
        <f t="shared" si="30"/>
        <v>340.2</v>
      </c>
      <c r="AB14" s="389">
        <f t="shared" si="2"/>
        <v>1.2691801841297674</v>
      </c>
      <c r="AC14" s="389">
        <f t="shared" si="3"/>
        <v>1.3115436660768189</v>
      </c>
      <c r="AD14" s="384">
        <f t="shared" si="4"/>
        <v>1.3543859649122807</v>
      </c>
      <c r="AE14" s="389">
        <f t="shared" si="5"/>
        <v>1.3601906345957011</v>
      </c>
      <c r="AF14" s="388">
        <f>'6'!I46</f>
        <v>39098.979999998912</v>
      </c>
      <c r="AG14" s="386">
        <f t="shared" si="31"/>
        <v>217702.32000000036</v>
      </c>
      <c r="AH14" s="389">
        <f t="shared" si="6"/>
        <v>857.05786935552192</v>
      </c>
      <c r="AI14" s="389">
        <f t="shared" si="7"/>
        <v>839.28894440396607</v>
      </c>
      <c r="AJ14" s="389">
        <f t="shared" si="8"/>
        <v>914.59602339178741</v>
      </c>
      <c r="AK14" s="389">
        <f t="shared" si="9"/>
        <v>870.41933213920311</v>
      </c>
      <c r="AL14" s="444">
        <v>4268.5</v>
      </c>
      <c r="AM14" s="445">
        <v>5830</v>
      </c>
      <c r="AN14" s="445">
        <v>3912.2</v>
      </c>
      <c r="AO14" s="445">
        <f t="shared" si="40"/>
        <v>14010.7</v>
      </c>
      <c r="AP14" s="573">
        <f>+[1]Aug!N9</f>
        <v>13323</v>
      </c>
      <c r="AQ14" s="477">
        <f t="shared" si="10"/>
        <v>-687.70000000000073</v>
      </c>
      <c r="AR14" s="448">
        <f t="shared" si="11"/>
        <v>0.30466000984961494</v>
      </c>
      <c r="AS14" s="448">
        <f t="shared" si="12"/>
        <v>0.4161105440841642</v>
      </c>
      <c r="AT14" s="448">
        <f>1-AR14-AS14</f>
        <v>0.27922944606622085</v>
      </c>
      <c r="AU14" s="448">
        <f t="shared" si="34"/>
        <v>-209.51468877358042</v>
      </c>
      <c r="AV14" s="448">
        <f t="shared" si="35"/>
        <v>-286.15922116668003</v>
      </c>
      <c r="AW14" s="448">
        <f t="shared" si="39"/>
        <v>-192.02609005974028</v>
      </c>
      <c r="AX14" s="390">
        <f t="shared" si="13"/>
        <v>4058.9853112264195</v>
      </c>
      <c r="AY14" s="390">
        <f t="shared" si="14"/>
        <v>5543.8407788333197</v>
      </c>
      <c r="AZ14" s="390">
        <f t="shared" si="15"/>
        <v>3720.1739099402594</v>
      </c>
      <c r="BA14" s="384">
        <f>+SUM(Efficiency2!K33:K34)</f>
        <v>48.021842045</v>
      </c>
      <c r="BB14" s="385">
        <f t="shared" si="36"/>
        <v>286.48646844500001</v>
      </c>
      <c r="BC14" s="410">
        <f t="shared" si="37"/>
        <v>0.89021991201295658</v>
      </c>
      <c r="BD14" s="410">
        <f t="shared" si="38"/>
        <v>0.87303250780941077</v>
      </c>
    </row>
    <row r="15" spans="1:56" s="390" customFormat="1" ht="12.75" customHeight="1">
      <c r="A15" s="404">
        <f t="shared" si="16"/>
        <v>45876</v>
      </c>
      <c r="B15" s="413" t="s">
        <v>409</v>
      </c>
      <c r="C15" s="391" t="s">
        <v>473</v>
      </c>
      <c r="D15" s="383">
        <f>+'7'!F42</f>
        <v>1176.6666666666667</v>
      </c>
      <c r="E15" s="383">
        <f>+'7'!G42</f>
        <v>929.56666666666672</v>
      </c>
      <c r="F15" s="47">
        <f t="shared" si="0"/>
        <v>0.20999999999999996</v>
      </c>
      <c r="G15" s="409">
        <f t="shared" si="17"/>
        <v>0.93258559360722648</v>
      </c>
      <c r="H15" s="405">
        <f t="shared" si="18"/>
        <v>0.93258559360722648</v>
      </c>
      <c r="I15" s="405">
        <f t="shared" si="19"/>
        <v>0.98919933782856229</v>
      </c>
      <c r="J15" s="410">
        <f t="shared" si="20"/>
        <v>0.92251305166472508</v>
      </c>
      <c r="K15" s="410">
        <f t="shared" si="21"/>
        <v>0.88077142129555108</v>
      </c>
      <c r="L15" s="384">
        <f>+Efficiency1!K38</f>
        <v>53.114695680000011</v>
      </c>
      <c r="M15" s="385">
        <f t="shared" si="22"/>
        <v>339.60116412500003</v>
      </c>
      <c r="N15" s="384">
        <f>+Efficiency1!C38</f>
        <v>53.114695680000011</v>
      </c>
      <c r="O15" s="385">
        <f t="shared" si="22"/>
        <v>339.38117135199997</v>
      </c>
      <c r="P15" s="385">
        <f>'7'!I38</f>
        <v>49.533999999999999</v>
      </c>
      <c r="Q15" s="385">
        <f t="shared" si="23"/>
        <v>308.923</v>
      </c>
      <c r="R15" s="385">
        <f>'7'!I40</f>
        <v>48.999000000000002</v>
      </c>
      <c r="S15" s="385">
        <f t="shared" si="24"/>
        <v>299.11099999999999</v>
      </c>
      <c r="T15" s="99">
        <f t="shared" si="1"/>
        <v>4697.9636943509986</v>
      </c>
      <c r="U15" s="13">
        <f t="shared" si="25"/>
        <v>28237.428506073389</v>
      </c>
      <c r="V15" s="294">
        <f t="shared" si="26"/>
        <v>94.843212628719641</v>
      </c>
      <c r="W15" s="294">
        <f t="shared" si="27"/>
        <v>91.406041330925149</v>
      </c>
      <c r="X15" s="295">
        <f t="shared" si="28"/>
        <v>95.878766798322388</v>
      </c>
      <c r="Y15" s="294">
        <f t="shared" si="29"/>
        <v>94.404513729262348</v>
      </c>
      <c r="Z15" s="387">
        <v>61.7</v>
      </c>
      <c r="AA15" s="386">
        <f t="shared" si="30"/>
        <v>401.9</v>
      </c>
      <c r="AB15" s="389">
        <f t="shared" si="2"/>
        <v>1.2456090765938548</v>
      </c>
      <c r="AC15" s="389">
        <f t="shared" si="3"/>
        <v>1.3009714394849201</v>
      </c>
      <c r="AD15" s="384">
        <f t="shared" si="4"/>
        <v>1.2592093716198289</v>
      </c>
      <c r="AE15" s="389">
        <f t="shared" si="5"/>
        <v>1.3436483445944816</v>
      </c>
      <c r="AF15" s="388">
        <f>'7'!I46</f>
        <v>35759.339999999633</v>
      </c>
      <c r="AG15" s="386">
        <f t="shared" si="31"/>
        <v>253461.65999999997</v>
      </c>
      <c r="AH15" s="389">
        <f t="shared" si="6"/>
        <v>721.91504824967967</v>
      </c>
      <c r="AI15" s="389">
        <f t="shared" si="7"/>
        <v>820.46872521631599</v>
      </c>
      <c r="AJ15" s="389">
        <f t="shared" si="8"/>
        <v>729.79734280290688</v>
      </c>
      <c r="AK15" s="389">
        <f t="shared" si="9"/>
        <v>847.38327911711701</v>
      </c>
      <c r="AL15" s="444">
        <v>4855.8</v>
      </c>
      <c r="AM15" s="445">
        <v>5240.2</v>
      </c>
      <c r="AN15" s="445">
        <v>3637.4</v>
      </c>
      <c r="AO15" s="445">
        <f t="shared" si="40"/>
        <v>13733.4</v>
      </c>
      <c r="AP15" s="575">
        <f>+[1]Aug!N10</f>
        <v>13287</v>
      </c>
      <c r="AQ15" s="477">
        <f t="shared" si="10"/>
        <v>-446.39999999999964</v>
      </c>
      <c r="AR15" s="448">
        <f t="shared" si="11"/>
        <v>0.35357595351478877</v>
      </c>
      <c r="AS15" s="448">
        <f t="shared" si="12"/>
        <v>0.38156610890238396</v>
      </c>
      <c r="AT15" s="448">
        <f>1-AR15-AS15</f>
        <v>0.26485793758282727</v>
      </c>
      <c r="AU15" s="448">
        <f t="shared" si="34"/>
        <v>-157.83630564900159</v>
      </c>
      <c r="AV15" s="448">
        <f t="shared" si="35"/>
        <v>-170.33111101402406</v>
      </c>
      <c r="AW15" s="448">
        <f t="shared" si="39"/>
        <v>-118.232583336974</v>
      </c>
      <c r="AX15" s="390">
        <f t="shared" si="13"/>
        <v>4697.9636943509986</v>
      </c>
      <c r="AY15" s="390">
        <f t="shared" si="14"/>
        <v>5069.8688889859759</v>
      </c>
      <c r="AZ15" s="390">
        <f t="shared" si="15"/>
        <v>3519.167416663026</v>
      </c>
      <c r="BA15" s="384">
        <f>+Efficiency2!K38</f>
        <v>53.114695680000011</v>
      </c>
      <c r="BB15" s="385">
        <f t="shared" si="36"/>
        <v>339.60116412500003</v>
      </c>
      <c r="BC15" s="410">
        <f t="shared" si="37"/>
        <v>0.92251305166472508</v>
      </c>
      <c r="BD15" s="410">
        <f t="shared" si="38"/>
        <v>0.88077142129555108</v>
      </c>
    </row>
    <row r="16" spans="1:56" s="390" customFormat="1" ht="12.75" customHeight="1">
      <c r="A16" s="404">
        <f t="shared" si="16"/>
        <v>45877</v>
      </c>
      <c r="B16" s="413" t="s">
        <v>488</v>
      </c>
      <c r="C16" s="391" t="s">
        <v>489</v>
      </c>
      <c r="D16" s="383">
        <f>+'8'!F42</f>
        <v>1106.6631944444443</v>
      </c>
      <c r="E16" s="383">
        <f>+'8'!G42</f>
        <v>859.4422222222222</v>
      </c>
      <c r="F16" s="47">
        <f t="shared" si="0"/>
        <v>0.22339314568632551</v>
      </c>
      <c r="G16" s="409">
        <f t="shared" si="17"/>
        <v>0.94575278455813461</v>
      </c>
      <c r="H16" s="405">
        <f t="shared" si="18"/>
        <v>0.92281083279821885</v>
      </c>
      <c r="I16" s="405">
        <f t="shared" si="19"/>
        <v>0.89585934461796668</v>
      </c>
      <c r="J16" s="410">
        <f t="shared" si="20"/>
        <v>0.82670870787697237</v>
      </c>
      <c r="K16" s="410">
        <f t="shared" si="21"/>
        <v>0.87347982399293889</v>
      </c>
      <c r="L16" s="384">
        <f>+SUM(Efficiency1!K43:K45)</f>
        <v>52.943678448000007</v>
      </c>
      <c r="M16" s="385">
        <f t="shared" si="22"/>
        <v>392.54484257300004</v>
      </c>
      <c r="N16" s="384">
        <f>+SUM(Efficiency1!C43:C45)</f>
        <v>51.659377374000002</v>
      </c>
      <c r="O16" s="385">
        <f t="shared" si="22"/>
        <v>391.040548726</v>
      </c>
      <c r="P16" s="385">
        <f>'8'!I38</f>
        <v>48.856999999999999</v>
      </c>
      <c r="Q16" s="385">
        <f t="shared" si="23"/>
        <v>357.78</v>
      </c>
      <c r="R16" s="385">
        <f>'8'!I40</f>
        <v>43.768999999999998</v>
      </c>
      <c r="S16" s="385">
        <f t="shared" si="24"/>
        <v>342.88</v>
      </c>
      <c r="T16" s="99">
        <f t="shared" si="1"/>
        <v>4524.3757799861341</v>
      </c>
      <c r="U16" s="13">
        <f t="shared" si="25"/>
        <v>32761.804286059523</v>
      </c>
      <c r="V16" s="294">
        <f t="shared" si="26"/>
        <v>92.604453404550711</v>
      </c>
      <c r="W16" s="294">
        <f t="shared" si="27"/>
        <v>91.569691671025566</v>
      </c>
      <c r="X16" s="295">
        <f t="shared" si="28"/>
        <v>103.36941168375184</v>
      </c>
      <c r="Y16" s="294">
        <f t="shared" si="29"/>
        <v>95.548892574835293</v>
      </c>
      <c r="Z16" s="387">
        <v>56.9</v>
      </c>
      <c r="AA16" s="386">
        <f t="shared" si="30"/>
        <v>458.79999999999995</v>
      </c>
      <c r="AB16" s="389">
        <f t="shared" si="2"/>
        <v>1.1646232883721883</v>
      </c>
      <c r="AC16" s="389">
        <f t="shared" si="3"/>
        <v>1.2823522835261894</v>
      </c>
      <c r="AD16" s="384">
        <f t="shared" si="4"/>
        <v>1.3000068541661907</v>
      </c>
      <c r="AE16" s="389">
        <f t="shared" si="5"/>
        <v>1.3380774615025663</v>
      </c>
      <c r="AF16" s="388">
        <f>'8'!I46</f>
        <v>35500.540000001456</v>
      </c>
      <c r="AG16" s="386">
        <f t="shared" si="31"/>
        <v>288962.20000000141</v>
      </c>
      <c r="AH16" s="389">
        <f t="shared" si="6"/>
        <v>726.62136438998414</v>
      </c>
      <c r="AI16" s="389">
        <f t="shared" si="7"/>
        <v>807.65330650120586</v>
      </c>
      <c r="AJ16" s="389">
        <f t="shared" si="8"/>
        <v>811.08867006332014</v>
      </c>
      <c r="AK16" s="389">
        <f t="shared" si="9"/>
        <v>842.75023331778289</v>
      </c>
      <c r="AL16" s="444">
        <v>4886.1000000000004</v>
      </c>
      <c r="AM16" s="445">
        <v>1910.8</v>
      </c>
      <c r="AN16" s="445">
        <v>991.7</v>
      </c>
      <c r="AO16" s="445">
        <f t="shared" si="40"/>
        <v>7788.6</v>
      </c>
      <c r="AP16" s="576">
        <f>+[1]Aug!N11</f>
        <v>7212</v>
      </c>
      <c r="AQ16" s="477">
        <f t="shared" si="10"/>
        <v>-576.60000000000036</v>
      </c>
      <c r="AR16" s="448">
        <f t="shared" si="11"/>
        <v>0.62733995840073953</v>
      </c>
      <c r="AS16" s="448">
        <f t="shared" si="12"/>
        <v>0.2453329224764399</v>
      </c>
      <c r="AT16" s="448">
        <f>1-AR16-AS16</f>
        <v>0.12732711912282058</v>
      </c>
      <c r="AU16" s="448">
        <f>+AR16*AQ16</f>
        <v>-361.72422001386661</v>
      </c>
      <c r="AV16" s="448">
        <f t="shared" si="35"/>
        <v>-141.45896309991534</v>
      </c>
      <c r="AW16" s="448">
        <f t="shared" si="39"/>
        <v>-73.416816886218385</v>
      </c>
      <c r="AX16" s="390">
        <f t="shared" si="13"/>
        <v>4524.3757799861341</v>
      </c>
      <c r="AY16" s="390">
        <f t="shared" si="14"/>
        <v>1769.3410369000846</v>
      </c>
      <c r="AZ16" s="390">
        <f t="shared" si="15"/>
        <v>918.28318311378166</v>
      </c>
      <c r="BA16" s="384">
        <f>+SUM(Efficiency2!K43:K45)</f>
        <v>52.943678448000007</v>
      </c>
      <c r="BB16" s="385">
        <f t="shared" si="36"/>
        <v>392.54484257300004</v>
      </c>
      <c r="BC16" s="410">
        <f t="shared" si="37"/>
        <v>0.82670870787697237</v>
      </c>
      <c r="BD16" s="410">
        <f t="shared" si="38"/>
        <v>0.87347982399293889</v>
      </c>
    </row>
    <row r="17" spans="1:56" s="390" customFormat="1" ht="12.75" customHeight="1">
      <c r="A17" s="404">
        <f t="shared" si="16"/>
        <v>45878</v>
      </c>
      <c r="B17" s="413" t="s">
        <v>490</v>
      </c>
      <c r="C17" s="391" t="s">
        <v>509</v>
      </c>
      <c r="D17" s="383">
        <f>+'9'!F42</f>
        <v>1217.6388888888889</v>
      </c>
      <c r="E17" s="383">
        <f>+'9'!G42</f>
        <v>937.63604166666664</v>
      </c>
      <c r="F17" s="47">
        <f t="shared" si="0"/>
        <v>0.22995557203148176</v>
      </c>
      <c r="G17" s="409">
        <f t="shared" si="17"/>
        <v>0.91497455529692151</v>
      </c>
      <c r="H17" s="405">
        <f t="shared" si="18"/>
        <v>0.89951137843031059</v>
      </c>
      <c r="I17" s="405">
        <f t="shared" si="19"/>
        <v>1.0638793759512937</v>
      </c>
      <c r="J17" s="410">
        <f t="shared" si="20"/>
        <v>0.95697160394552683</v>
      </c>
      <c r="K17" s="410">
        <f t="shared" si="21"/>
        <v>0.88236428051111226</v>
      </c>
      <c r="L17" s="384">
        <f>+SUM(Efficiency1!K48:K51)</f>
        <v>46.745378666999997</v>
      </c>
      <c r="M17" s="385">
        <f t="shared" si="22"/>
        <v>439.29022124000005</v>
      </c>
      <c r="N17" s="384">
        <f>+SUM(Efficiency1!C48:C51)</f>
        <v>45.955376306999995</v>
      </c>
      <c r="O17" s="385">
        <f t="shared" si="22"/>
        <v>436.99592503299999</v>
      </c>
      <c r="P17" s="385">
        <f>'9'!I38</f>
        <v>42.048000000000002</v>
      </c>
      <c r="Q17" s="385">
        <f t="shared" si="23"/>
        <v>399.82799999999997</v>
      </c>
      <c r="R17" s="385">
        <f>'9'!I40</f>
        <v>44.734000000000002</v>
      </c>
      <c r="S17" s="385">
        <f t="shared" si="24"/>
        <v>387.61399999999998</v>
      </c>
      <c r="T17" s="99">
        <f t="shared" si="1"/>
        <v>4194.3674938922459</v>
      </c>
      <c r="U17" s="13">
        <f t="shared" si="25"/>
        <v>36956.171779951772</v>
      </c>
      <c r="V17" s="294">
        <f t="shared" si="26"/>
        <v>99.751890551090312</v>
      </c>
      <c r="W17" s="294">
        <f t="shared" si="27"/>
        <v>92.430174424882139</v>
      </c>
      <c r="X17" s="295">
        <f t="shared" si="28"/>
        <v>93.762406534006487</v>
      </c>
      <c r="Y17" s="294">
        <f t="shared" si="29"/>
        <v>95.342716671616031</v>
      </c>
      <c r="Z17" s="387">
        <v>54.1</v>
      </c>
      <c r="AA17" s="386">
        <f t="shared" si="30"/>
        <v>512.9</v>
      </c>
      <c r="AB17" s="389">
        <f t="shared" si="2"/>
        <v>1.286624809741248</v>
      </c>
      <c r="AC17" s="389">
        <f t="shared" si="3"/>
        <v>1.2828016046900168</v>
      </c>
      <c r="AD17" s="384">
        <f t="shared" si="4"/>
        <v>1.2093709482720079</v>
      </c>
      <c r="AE17" s="389">
        <f t="shared" si="5"/>
        <v>1.3232236193739133</v>
      </c>
      <c r="AF17" s="388">
        <f>'9'!I46</f>
        <v>38913.419999999271</v>
      </c>
      <c r="AG17" s="386">
        <f t="shared" si="31"/>
        <v>327875.62000000069</v>
      </c>
      <c r="AH17" s="389">
        <f t="shared" si="6"/>
        <v>925.45234018263102</v>
      </c>
      <c r="AI17" s="389">
        <f t="shared" si="7"/>
        <v>820.04166791720615</v>
      </c>
      <c r="AJ17" s="389">
        <f t="shared" si="8"/>
        <v>869.8846514954904</v>
      </c>
      <c r="AK17" s="389">
        <f t="shared" si="9"/>
        <v>845.88177929589926</v>
      </c>
      <c r="AL17" s="444">
        <v>4372.6000000000004</v>
      </c>
      <c r="AM17" s="445">
        <v>5399.8</v>
      </c>
      <c r="AN17" s="445">
        <v>4226.2</v>
      </c>
      <c r="AO17" s="445">
        <f t="shared" si="40"/>
        <v>13998.600000000002</v>
      </c>
      <c r="AP17" s="577">
        <f>+[1]Aug!N12</f>
        <v>13428</v>
      </c>
      <c r="AQ17" s="477">
        <f t="shared" si="10"/>
        <v>-570.60000000000218</v>
      </c>
      <c r="AR17" s="448">
        <f t="shared" si="11"/>
        <v>0.31235980740931235</v>
      </c>
      <c r="AS17" s="448">
        <f t="shared" si="12"/>
        <v>0.38573857385738569</v>
      </c>
      <c r="AT17" s="448">
        <f>1-AR17-AS17</f>
        <v>0.30190161873330196</v>
      </c>
      <c r="AU17" s="448">
        <f>+AR17*AQ17</f>
        <v>-178.23250610775432</v>
      </c>
      <c r="AV17" s="448">
        <f>+AS17*AQ17</f>
        <v>-220.10243024302511</v>
      </c>
      <c r="AW17" s="448">
        <f t="shared" si="39"/>
        <v>-172.26506364922275</v>
      </c>
      <c r="AX17" s="390">
        <f t="shared" si="13"/>
        <v>4194.3674938922459</v>
      </c>
      <c r="AY17" s="390">
        <f t="shared" si="14"/>
        <v>5179.6975697569751</v>
      </c>
      <c r="AZ17" s="390">
        <f t="shared" si="15"/>
        <v>4053.9349363507772</v>
      </c>
      <c r="BA17" s="384">
        <f>+SUM(Efficiency2!K48:K51)</f>
        <v>46.745378666999997</v>
      </c>
      <c r="BB17" s="385">
        <f t="shared" si="36"/>
        <v>439.29022124000005</v>
      </c>
      <c r="BC17" s="410">
        <f t="shared" si="37"/>
        <v>0.95697160394552683</v>
      </c>
      <c r="BD17" s="410">
        <f t="shared" si="38"/>
        <v>0.88236428051111226</v>
      </c>
    </row>
    <row r="18" spans="1:56" s="390" customFormat="1" ht="12.75" customHeight="1">
      <c r="A18" s="404">
        <f t="shared" si="16"/>
        <v>45879</v>
      </c>
      <c r="B18" s="413" t="s">
        <v>490</v>
      </c>
      <c r="C18" s="391" t="s">
        <v>510</v>
      </c>
      <c r="D18" s="383">
        <f>+'10'!F42</f>
        <v>1230</v>
      </c>
      <c r="E18" s="383">
        <f>+'10'!G42</f>
        <v>947.09999999999991</v>
      </c>
      <c r="F18" s="47">
        <f t="shared" si="0"/>
        <v>0.23000000000000009</v>
      </c>
      <c r="G18" s="409">
        <f t="shared" si="17"/>
        <v>0.9640708921759481</v>
      </c>
      <c r="H18" s="405">
        <f t="shared" si="18"/>
        <v>0.9640708921759481</v>
      </c>
      <c r="I18" s="405">
        <f>+R18/P18</f>
        <v>0.94499842298080894</v>
      </c>
      <c r="J18" s="410">
        <f t="shared" si="20"/>
        <v>0.91104547274797243</v>
      </c>
      <c r="K18" s="410">
        <f t="shared" si="21"/>
        <v>0.88490805469823708</v>
      </c>
      <c r="L18" s="384">
        <f>+Efficiency1!K54</f>
        <v>42.753080021917803</v>
      </c>
      <c r="M18" s="385">
        <f t="shared" si="22"/>
        <v>482.04330126191786</v>
      </c>
      <c r="N18" s="384">
        <f>+Efficiency1!C54</f>
        <v>42.753080021917803</v>
      </c>
      <c r="O18" s="385">
        <f t="shared" si="22"/>
        <v>479.7490050549178</v>
      </c>
      <c r="P18" s="385">
        <f>'10'!I38</f>
        <v>41.216999999999999</v>
      </c>
      <c r="Q18" s="385">
        <f t="shared" si="23"/>
        <v>441.04499999999996</v>
      </c>
      <c r="R18" s="385">
        <f>'10'!I40</f>
        <v>38.950000000000003</v>
      </c>
      <c r="S18" s="385">
        <f t="shared" si="24"/>
        <v>426.56399999999996</v>
      </c>
      <c r="T18" s="99">
        <f t="shared" si="1"/>
        <v>3959.0462297605432</v>
      </c>
      <c r="U18" s="13">
        <f t="shared" si="25"/>
        <v>40915.218009712313</v>
      </c>
      <c r="V18" s="294">
        <f t="shared" si="26"/>
        <v>96.053721274244694</v>
      </c>
      <c r="W18" s="294">
        <f t="shared" si="27"/>
        <v>92.76880592618059</v>
      </c>
      <c r="X18" s="295">
        <f t="shared" si="28"/>
        <v>101.64431912093821</v>
      </c>
      <c r="Y18" s="294">
        <f t="shared" si="29"/>
        <v>95.918122508491848</v>
      </c>
      <c r="Z18" s="387">
        <v>51.6</v>
      </c>
      <c r="AA18" s="386">
        <f t="shared" si="30"/>
        <v>564.5</v>
      </c>
      <c r="AB18" s="389">
        <f t="shared" si="2"/>
        <v>1.2519106194046146</v>
      </c>
      <c r="AC18" s="389">
        <f t="shared" si="3"/>
        <v>1.279914747928216</v>
      </c>
      <c r="AD18" s="384">
        <f t="shared" si="4"/>
        <v>1.3247753530166879</v>
      </c>
      <c r="AE18" s="389">
        <f t="shared" si="5"/>
        <v>1.3233653097776654</v>
      </c>
      <c r="AF18" s="388">
        <f>'10'!I46</f>
        <v>36702.540000000728</v>
      </c>
      <c r="AG18" s="386">
        <f t="shared" si="31"/>
        <v>364578.16000000143</v>
      </c>
      <c r="AH18" s="389">
        <f t="shared" si="6"/>
        <v>890.47092219231695</v>
      </c>
      <c r="AI18" s="389">
        <f t="shared" si="7"/>
        <v>826.62349646861765</v>
      </c>
      <c r="AJ18" s="389">
        <f t="shared" si="8"/>
        <v>942.29884467267595</v>
      </c>
      <c r="AK18" s="389">
        <f t="shared" si="9"/>
        <v>854.68572125167964</v>
      </c>
      <c r="AL18" s="444">
        <v>4220.2</v>
      </c>
      <c r="AM18" s="445">
        <v>5311.4</v>
      </c>
      <c r="AN18" s="445">
        <v>4370.7</v>
      </c>
      <c r="AO18" s="445">
        <f t="shared" si="40"/>
        <v>13902.3</v>
      </c>
      <c r="AP18" s="577">
        <f>+[1]Aug!N13</f>
        <v>13042</v>
      </c>
      <c r="AQ18" s="477">
        <f t="shared" si="10"/>
        <v>-860.29999999999927</v>
      </c>
      <c r="AR18" s="448">
        <f t="shared" si="11"/>
        <v>0.30356128122684733</v>
      </c>
      <c r="AS18" s="448">
        <f t="shared" si="12"/>
        <v>0.38205189069434553</v>
      </c>
      <c r="AT18" s="448">
        <f t="shared" si="33"/>
        <v>0.31438682807880713</v>
      </c>
      <c r="AU18" s="448">
        <f t="shared" si="34"/>
        <v>-261.15377023945655</v>
      </c>
      <c r="AV18" s="448">
        <f t="shared" si="35"/>
        <v>-328.6792415643452</v>
      </c>
      <c r="AW18" s="448">
        <f t="shared" si="39"/>
        <v>-270.46698819619758</v>
      </c>
      <c r="AX18" s="448">
        <f>+AL18+AU18</f>
        <v>3959.0462297605432</v>
      </c>
      <c r="AY18" s="390">
        <f t="shared" si="14"/>
        <v>4982.7207584356547</v>
      </c>
      <c r="AZ18" s="390">
        <f t="shared" si="15"/>
        <v>4100.2330118038026</v>
      </c>
      <c r="BA18" s="384">
        <f>+Efficiency2!K54</f>
        <v>42.753080021917803</v>
      </c>
      <c r="BB18" s="385">
        <f t="shared" si="36"/>
        <v>482.04330126191786</v>
      </c>
      <c r="BC18" s="410">
        <f t="shared" si="37"/>
        <v>0.91104547274797243</v>
      </c>
      <c r="BD18" s="410">
        <f t="shared" si="38"/>
        <v>0.88490805469823708</v>
      </c>
    </row>
    <row r="19" spans="1:56" s="390" customFormat="1" ht="12.75" customHeight="1">
      <c r="A19" s="404">
        <f t="shared" si="16"/>
        <v>45880</v>
      </c>
      <c r="B19" s="413" t="s">
        <v>490</v>
      </c>
      <c r="C19" s="391" t="s">
        <v>528</v>
      </c>
      <c r="D19" s="383">
        <f>+'11'!F42</f>
        <v>1230</v>
      </c>
      <c r="E19" s="383">
        <f>+'11'!G42</f>
        <v>947.09999999999991</v>
      </c>
      <c r="F19" s="47">
        <f t="shared" si="0"/>
        <v>0.23000000000000009</v>
      </c>
      <c r="G19" s="409">
        <f t="shared" si="17"/>
        <v>0.8807876279393112</v>
      </c>
      <c r="H19" s="405">
        <f t="shared" si="18"/>
        <v>0.87655347885844004</v>
      </c>
      <c r="I19" s="405">
        <f t="shared" si="19"/>
        <v>1.0339565926227838</v>
      </c>
      <c r="J19" s="410">
        <f t="shared" si="20"/>
        <v>0.90631824825211993</v>
      </c>
      <c r="K19" s="410">
        <f t="shared" si="21"/>
        <v>0.88672808887952603</v>
      </c>
      <c r="L19" s="384">
        <f>+SUM(Efficiency1!K59:K60)</f>
        <v>44.78448942</v>
      </c>
      <c r="M19" s="385">
        <f t="shared" si="22"/>
        <v>526.8277906819178</v>
      </c>
      <c r="N19" s="384">
        <f>+SUM(Efficiency1!C59:C60)</f>
        <v>44.569200059999993</v>
      </c>
      <c r="O19" s="385">
        <f t="shared" si="22"/>
        <v>524.31820511491776</v>
      </c>
      <c r="P19" s="385">
        <f>'11'!I38</f>
        <v>39.256</v>
      </c>
      <c r="Q19" s="385">
        <f t="shared" si="23"/>
        <v>480.30099999999993</v>
      </c>
      <c r="R19" s="385">
        <f>'11'!I40</f>
        <v>40.588999999999999</v>
      </c>
      <c r="S19" s="385">
        <f t="shared" si="24"/>
        <v>467.15299999999996</v>
      </c>
      <c r="T19" s="99">
        <f t="shared" si="1"/>
        <v>3997.9467808533414</v>
      </c>
      <c r="U19" s="13">
        <f t="shared" si="25"/>
        <v>44913.164790565657</v>
      </c>
      <c r="V19" s="294">
        <f t="shared" si="26"/>
        <v>101.84294836084526</v>
      </c>
      <c r="W19" s="294">
        <f t="shared" si="27"/>
        <v>93.510454466190296</v>
      </c>
      <c r="X19" s="295">
        <f t="shared" si="28"/>
        <v>98.498282314256116</v>
      </c>
      <c r="Y19" s="294">
        <f t="shared" si="29"/>
        <v>96.142301966519881</v>
      </c>
      <c r="Z19" s="387">
        <v>52.6</v>
      </c>
      <c r="AA19" s="386">
        <f t="shared" si="30"/>
        <v>617.1</v>
      </c>
      <c r="AB19" s="389">
        <f t="shared" si="2"/>
        <v>1.3399225596087223</v>
      </c>
      <c r="AC19" s="389">
        <f t="shared" si="3"/>
        <v>1.2848193112235871</v>
      </c>
      <c r="AD19" s="384">
        <f t="shared" si="4"/>
        <v>1.295917613146419</v>
      </c>
      <c r="AE19" s="389">
        <f t="shared" si="5"/>
        <v>1.3209804924724877</v>
      </c>
      <c r="AF19" s="388">
        <f>'11'!I46</f>
        <v>39128.219999998546</v>
      </c>
      <c r="AG19" s="386">
        <f t="shared" si="31"/>
        <v>403706.38</v>
      </c>
      <c r="AH19" s="389">
        <f t="shared" si="6"/>
        <v>996.74495618500464</v>
      </c>
      <c r="AI19" s="389">
        <f t="shared" si="7"/>
        <v>840.52787731027013</v>
      </c>
      <c r="AJ19" s="389">
        <f t="shared" si="8"/>
        <v>964.01044617996365</v>
      </c>
      <c r="AK19" s="389">
        <f t="shared" si="9"/>
        <v>864.18449629992756</v>
      </c>
      <c r="AL19" s="444">
        <v>4204</v>
      </c>
      <c r="AM19" s="445">
        <v>5216.3</v>
      </c>
      <c r="AN19" s="445">
        <v>3657.7</v>
      </c>
      <c r="AO19" s="445">
        <f t="shared" si="40"/>
        <v>13078</v>
      </c>
      <c r="AP19" s="579">
        <f>+[1]Aug!N14</f>
        <v>12437</v>
      </c>
      <c r="AQ19" s="477">
        <f t="shared" si="10"/>
        <v>-641</v>
      </c>
      <c r="AR19" s="448">
        <f t="shared" si="11"/>
        <v>0.32145588010399145</v>
      </c>
      <c r="AS19" s="448">
        <f t="shared" si="12"/>
        <v>0.39886068206147729</v>
      </c>
      <c r="AT19" s="448">
        <f>1-AR19-AS19</f>
        <v>0.2796834378345312</v>
      </c>
      <c r="AU19" s="448">
        <f t="shared" si="34"/>
        <v>-206.05321914665853</v>
      </c>
      <c r="AV19" s="448">
        <f t="shared" si="35"/>
        <v>-255.66969720140693</v>
      </c>
      <c r="AW19" s="448">
        <f>+AT19*AQ19</f>
        <v>-179.2770836519345</v>
      </c>
      <c r="AX19" s="390">
        <f t="shared" si="13"/>
        <v>3997.9467808533414</v>
      </c>
      <c r="AY19" s="390">
        <f t="shared" si="14"/>
        <v>4960.6303027985932</v>
      </c>
      <c r="AZ19" s="390">
        <f t="shared" si="15"/>
        <v>3478.4229163480654</v>
      </c>
      <c r="BA19" s="384">
        <f>+SUM(Efficiency2!K59:K60)</f>
        <v>44.78448942</v>
      </c>
      <c r="BB19" s="385">
        <f t="shared" si="36"/>
        <v>526.8277906819178</v>
      </c>
      <c r="BC19" s="410">
        <f t="shared" si="37"/>
        <v>0.90631824825211993</v>
      </c>
      <c r="BD19" s="410">
        <f t="shared" si="38"/>
        <v>0.88672808887952603</v>
      </c>
    </row>
    <row r="20" spans="1:56" s="390" customFormat="1" ht="12.75" customHeight="1">
      <c r="A20" s="404">
        <f t="shared" si="16"/>
        <v>45881</v>
      </c>
      <c r="B20" s="413" t="s">
        <v>490</v>
      </c>
      <c r="C20" s="391" t="s">
        <v>534</v>
      </c>
      <c r="D20" s="383">
        <f>+'12'!F42</f>
        <v>1230</v>
      </c>
      <c r="E20" s="383">
        <f>+'12'!G42</f>
        <v>947.09999999999991</v>
      </c>
      <c r="F20" s="47">
        <f t="shared" si="0"/>
        <v>0.23000000000000009</v>
      </c>
      <c r="G20" s="409">
        <f t="shared" si="17"/>
        <v>0.96777002960933745</v>
      </c>
      <c r="H20" s="405">
        <f t="shared" si="18"/>
        <v>0.96305040068167846</v>
      </c>
      <c r="I20" s="405">
        <f t="shared" si="19"/>
        <v>0.95148565101042726</v>
      </c>
      <c r="J20" s="410">
        <f t="shared" si="20"/>
        <v>0.9163286374484596</v>
      </c>
      <c r="K20" s="410">
        <f t="shared" si="21"/>
        <v>0.88905803611785295</v>
      </c>
      <c r="L20" s="384">
        <f>+SUM(Efficiency1!K64:K66)</f>
        <v>45.011143725517243</v>
      </c>
      <c r="M20" s="385">
        <f t="shared" si="22"/>
        <v>571.83893440743509</v>
      </c>
      <c r="N20" s="384">
        <f>+SUM(Efficiency1!C64:C66)</f>
        <v>44.791633005517241</v>
      </c>
      <c r="O20" s="385">
        <f t="shared" si="22"/>
        <v>569.10983812043503</v>
      </c>
      <c r="P20" s="385">
        <f>'12'!I38</f>
        <v>43.347999999999999</v>
      </c>
      <c r="Q20" s="385">
        <f t="shared" si="23"/>
        <v>523.64899999999989</v>
      </c>
      <c r="R20" s="385">
        <f>'12'!I40</f>
        <v>41.244999999999997</v>
      </c>
      <c r="S20" s="385">
        <f t="shared" si="24"/>
        <v>508.39799999999997</v>
      </c>
      <c r="T20" s="99">
        <f t="shared" si="1"/>
        <v>3796.7778914658179</v>
      </c>
      <c r="U20" s="13">
        <f t="shared" si="25"/>
        <v>48709.942682031477</v>
      </c>
      <c r="V20" s="294">
        <f t="shared" si="26"/>
        <v>87.58830606869563</v>
      </c>
      <c r="W20" s="294">
        <f t="shared" si="27"/>
        <v>93.020215224380237</v>
      </c>
      <c r="X20" s="295">
        <f t="shared" si="28"/>
        <v>92.05425849110965</v>
      </c>
      <c r="Y20" s="294">
        <f t="shared" si="29"/>
        <v>95.810649691838833</v>
      </c>
      <c r="Z20" s="387">
        <v>54.7</v>
      </c>
      <c r="AA20" s="386">
        <f t="shared" si="30"/>
        <v>671.80000000000007</v>
      </c>
      <c r="AB20" s="389">
        <f t="shared" si="2"/>
        <v>1.2618805942604043</v>
      </c>
      <c r="AC20" s="389">
        <f t="shared" si="3"/>
        <v>1.2829204295243575</v>
      </c>
      <c r="AD20" s="384">
        <f t="shared" si="4"/>
        <v>1.3262213601648687</v>
      </c>
      <c r="AE20" s="389">
        <f t="shared" si="5"/>
        <v>1.3214056703606232</v>
      </c>
      <c r="AF20" s="388">
        <f>'12'!I46</f>
        <v>39363.520000001452</v>
      </c>
      <c r="AG20" s="386">
        <f t="shared" si="31"/>
        <v>443069.90000000148</v>
      </c>
      <c r="AH20" s="389">
        <f t="shared" si="6"/>
        <v>908.08157239091656</v>
      </c>
      <c r="AI20" s="389">
        <f t="shared" si="7"/>
        <v>846.12001550657328</v>
      </c>
      <c r="AJ20" s="389">
        <f t="shared" si="8"/>
        <v>954.38283428297859</v>
      </c>
      <c r="AK20" s="389">
        <f t="shared" si="9"/>
        <v>871.50205154229866</v>
      </c>
      <c r="AL20" s="444">
        <v>4062.5</v>
      </c>
      <c r="AM20" s="445">
        <v>5115.8</v>
      </c>
      <c r="AN20" s="445">
        <v>4015.7</v>
      </c>
      <c r="AO20" s="445">
        <f t="shared" si="40"/>
        <v>13194</v>
      </c>
      <c r="AP20" s="580">
        <f>+[1]Aug!N15</f>
        <v>12331</v>
      </c>
      <c r="AQ20" s="477">
        <f t="shared" si="10"/>
        <v>-863</v>
      </c>
      <c r="AR20" s="448">
        <f t="shared" si="11"/>
        <v>0.30790510838259816</v>
      </c>
      <c r="AS20" s="448">
        <f t="shared" si="12"/>
        <v>0.38773685008337122</v>
      </c>
      <c r="AT20" s="448">
        <f t="shared" si="33"/>
        <v>0.30435804153403068</v>
      </c>
      <c r="AU20" s="448">
        <f t="shared" si="34"/>
        <v>-265.72210853418221</v>
      </c>
      <c r="AV20" s="448">
        <f t="shared" si="35"/>
        <v>-334.61690162194935</v>
      </c>
      <c r="AW20" s="448">
        <f t="shared" si="39"/>
        <v>-262.66098984386849</v>
      </c>
      <c r="AX20" s="390">
        <f t="shared" si="13"/>
        <v>3796.7778914658179</v>
      </c>
      <c r="AY20" s="390">
        <f t="shared" si="14"/>
        <v>4781.183098378051</v>
      </c>
      <c r="AZ20" s="390">
        <f t="shared" si="15"/>
        <v>3753.0390101561316</v>
      </c>
      <c r="BA20" s="384">
        <f>+SUM(Efficiency2!K64:K66)</f>
        <v>45.011143725517243</v>
      </c>
      <c r="BB20" s="385">
        <f t="shared" si="36"/>
        <v>571.83893440743509</v>
      </c>
      <c r="BC20" s="410">
        <f t="shared" si="37"/>
        <v>0.9163286374484596</v>
      </c>
      <c r="BD20" s="410">
        <f t="shared" si="38"/>
        <v>0.88905803611785295</v>
      </c>
    </row>
    <row r="21" spans="1:56" s="390" customFormat="1" ht="12.75" customHeight="1">
      <c r="A21" s="404">
        <f t="shared" si="16"/>
        <v>45882</v>
      </c>
      <c r="B21" s="413" t="s">
        <v>490</v>
      </c>
      <c r="C21" s="391" t="s">
        <v>534</v>
      </c>
      <c r="D21" s="383">
        <f>+'13'!F42</f>
        <v>1230</v>
      </c>
      <c r="E21" s="383">
        <f>+'13'!G42</f>
        <v>947.09999999999991</v>
      </c>
      <c r="F21" s="47">
        <f t="shared" si="0"/>
        <v>0.23000000000000009</v>
      </c>
      <c r="G21" s="409">
        <f t="shared" si="17"/>
        <v>0.96215225937612647</v>
      </c>
      <c r="H21" s="405">
        <f t="shared" si="18"/>
        <v>0.95108692320725352</v>
      </c>
      <c r="I21" s="405">
        <f t="shared" si="19"/>
        <v>0.99888105628286883</v>
      </c>
      <c r="J21" s="410">
        <f t="shared" si="20"/>
        <v>0.95002271047008524</v>
      </c>
      <c r="K21" s="410">
        <f t="shared" si="21"/>
        <v>0.89368668299888032</v>
      </c>
      <c r="L21" s="384">
        <f>+SUM(Efficiency1!K69:K70)</f>
        <v>46.983087359999999</v>
      </c>
      <c r="M21" s="385">
        <f t="shared" si="22"/>
        <v>618.8220217674351</v>
      </c>
      <c r="N21" s="384">
        <f>+SUM(Efficiency1!C69:C70)</f>
        <v>46.442753279999991</v>
      </c>
      <c r="O21" s="385">
        <f t="shared" si="22"/>
        <v>615.55259140043506</v>
      </c>
      <c r="P21" s="385">
        <f>'13'!I38</f>
        <v>44.685000000000002</v>
      </c>
      <c r="Q21" s="385">
        <f t="shared" si="23"/>
        <v>568.33399999999983</v>
      </c>
      <c r="R21" s="385">
        <f>'13'!I40</f>
        <v>44.634999999999998</v>
      </c>
      <c r="S21" s="385">
        <f t="shared" si="24"/>
        <v>553.03300000000002</v>
      </c>
      <c r="T21" s="99">
        <f t="shared" si="1"/>
        <v>3793.220517500039</v>
      </c>
      <c r="U21" s="13">
        <f t="shared" si="25"/>
        <v>52503.163199531518</v>
      </c>
      <c r="V21" s="294">
        <f t="shared" si="26"/>
        <v>84.888005314983531</v>
      </c>
      <c r="W21" s="294">
        <f t="shared" si="27"/>
        <v>92.380823951288392</v>
      </c>
      <c r="X21" s="295">
        <f t="shared" si="28"/>
        <v>84.983096617005472</v>
      </c>
      <c r="Y21" s="294">
        <f t="shared" si="29"/>
        <v>94.936763628086425</v>
      </c>
      <c r="Z21" s="387">
        <v>57.2</v>
      </c>
      <c r="AA21" s="386">
        <f t="shared" si="30"/>
        <v>729.00000000000011</v>
      </c>
      <c r="AB21" s="389">
        <f t="shared" si="2"/>
        <v>1.2800716123978964</v>
      </c>
      <c r="AC21" s="389">
        <f t="shared" si="3"/>
        <v>1.2826964425848186</v>
      </c>
      <c r="AD21" s="384">
        <f t="shared" si="4"/>
        <v>1.2815055449759158</v>
      </c>
      <c r="AE21" s="389">
        <f t="shared" si="5"/>
        <v>1.3181853524111582</v>
      </c>
      <c r="AF21" s="388">
        <f>'13'!I46</f>
        <v>37563.819999998545</v>
      </c>
      <c r="AG21" s="386">
        <f t="shared" si="31"/>
        <v>480633.72000000003</v>
      </c>
      <c r="AH21" s="389">
        <f t="shared" si="6"/>
        <v>840.63600760878467</v>
      </c>
      <c r="AI21" s="389">
        <f t="shared" si="7"/>
        <v>845.6888379016566</v>
      </c>
      <c r="AJ21" s="389">
        <f t="shared" si="8"/>
        <v>841.57768567264577</v>
      </c>
      <c r="AK21" s="389">
        <f t="shared" si="9"/>
        <v>869.08687185032363</v>
      </c>
      <c r="AL21" s="444">
        <v>4190.3</v>
      </c>
      <c r="AM21" s="445">
        <v>4609</v>
      </c>
      <c r="AN21" s="445">
        <v>4132.1000000000004</v>
      </c>
      <c r="AO21" s="445">
        <f t="shared" si="40"/>
        <v>12931.4</v>
      </c>
      <c r="AP21" s="581">
        <f>+[1]Aug!N16</f>
        <v>11706</v>
      </c>
      <c r="AQ21" s="477">
        <f t="shared" si="10"/>
        <v>-1225.3999999999996</v>
      </c>
      <c r="AR21" s="448">
        <f t="shared" si="11"/>
        <v>0.32404070711601218</v>
      </c>
      <c r="AS21" s="448">
        <f t="shared" si="12"/>
        <v>0.35641925854895834</v>
      </c>
      <c r="AT21" s="448">
        <f t="shared" si="33"/>
        <v>0.31954003433502948</v>
      </c>
      <c r="AU21" s="448">
        <f t="shared" si="34"/>
        <v>-397.07948249996122</v>
      </c>
      <c r="AV21" s="448">
        <f t="shared" si="35"/>
        <v>-436.75615942589343</v>
      </c>
      <c r="AW21" s="448">
        <f t="shared" si="39"/>
        <v>-391.56435807414499</v>
      </c>
      <c r="AX21" s="390">
        <f t="shared" si="13"/>
        <v>3793.220517500039</v>
      </c>
      <c r="AY21" s="390">
        <f t="shared" si="14"/>
        <v>4172.2438405741068</v>
      </c>
      <c r="AZ21" s="390">
        <f t="shared" si="15"/>
        <v>3740.5356419258555</v>
      </c>
      <c r="BA21" s="384">
        <f>+SUM(Efficiency2!K69:K70)</f>
        <v>46.983087359999999</v>
      </c>
      <c r="BB21" s="385">
        <f t="shared" si="36"/>
        <v>618.8220217674351</v>
      </c>
      <c r="BC21" s="410">
        <f t="shared" si="37"/>
        <v>0.95002271047008524</v>
      </c>
      <c r="BD21" s="410">
        <f t="shared" si="38"/>
        <v>0.89368668299888032</v>
      </c>
    </row>
    <row r="22" spans="1:56" s="390" customFormat="1" ht="12.75" customHeight="1">
      <c r="A22" s="404">
        <f t="shared" si="16"/>
        <v>45883</v>
      </c>
      <c r="B22" s="413" t="s">
        <v>490</v>
      </c>
      <c r="C22" s="391" t="s">
        <v>553</v>
      </c>
      <c r="D22" s="383">
        <f>+'14'!F42</f>
        <v>1230</v>
      </c>
      <c r="E22" s="383">
        <f>+'14'!G42</f>
        <v>947.09999999999991</v>
      </c>
      <c r="F22" s="47">
        <f t="shared" si="0"/>
        <v>0.23000000000000009</v>
      </c>
      <c r="G22" s="409">
        <f t="shared" si="17"/>
        <v>0.96102950449611313</v>
      </c>
      <c r="H22" s="405">
        <f t="shared" si="18"/>
        <v>0.94870861341282942</v>
      </c>
      <c r="I22" s="405">
        <f t="shared" si="19"/>
        <v>0.96228315100471451</v>
      </c>
      <c r="J22" s="410">
        <f t="shared" si="20"/>
        <v>0.91292631390021106</v>
      </c>
      <c r="K22" s="410">
        <f t="shared" si="21"/>
        <v>0.89501941715941469</v>
      </c>
      <c r="L22" s="384">
        <f>+SUM(Efficiency1!K74:K75)</f>
        <v>46.056291027882352</v>
      </c>
      <c r="M22" s="385">
        <f t="shared" si="22"/>
        <v>664.87831279531747</v>
      </c>
      <c r="N22" s="384">
        <f>+SUM(Efficiency1!C74:C75)</f>
        <v>45.465825758294109</v>
      </c>
      <c r="O22" s="385">
        <f t="shared" si="22"/>
        <v>661.01841715872922</v>
      </c>
      <c r="P22" s="385">
        <f>'14'!I38</f>
        <v>43.694000000000003</v>
      </c>
      <c r="Q22" s="385">
        <f t="shared" si="23"/>
        <v>612.02799999999979</v>
      </c>
      <c r="R22" s="385">
        <f>'14'!I40</f>
        <v>42.045999999999999</v>
      </c>
      <c r="S22" s="385">
        <f t="shared" si="24"/>
        <v>595.07900000000006</v>
      </c>
      <c r="T22" s="99">
        <f t="shared" si="1"/>
        <v>4189.5462134466388</v>
      </c>
      <c r="U22" s="13">
        <f t="shared" si="25"/>
        <v>56692.709412978154</v>
      </c>
      <c r="V22" s="294">
        <f t="shared" si="26"/>
        <v>95.883787555422686</v>
      </c>
      <c r="W22" s="294">
        <f t="shared" si="27"/>
        <v>92.630908084234989</v>
      </c>
      <c r="X22" s="295">
        <f t="shared" si="28"/>
        <v>99.641968640218778</v>
      </c>
      <c r="Y22" s="294">
        <f t="shared" si="29"/>
        <v>95.269215369687302</v>
      </c>
      <c r="Z22" s="387">
        <v>57.5</v>
      </c>
      <c r="AA22" s="386">
        <f t="shared" si="30"/>
        <v>786.50000000000011</v>
      </c>
      <c r="AB22" s="389">
        <f t="shared" si="2"/>
        <v>1.3159701560855037</v>
      </c>
      <c r="AC22" s="389">
        <f t="shared" si="3"/>
        <v>1.285071924813898</v>
      </c>
      <c r="AD22" s="384">
        <f t="shared" si="4"/>
        <v>1.3675498263806307</v>
      </c>
      <c r="AE22" s="389">
        <f t="shared" si="5"/>
        <v>1.3216732568280851</v>
      </c>
      <c r="AF22" s="388">
        <f>'14'!I46</f>
        <v>38432.160000000731</v>
      </c>
      <c r="AG22" s="386">
        <f t="shared" si="31"/>
        <v>519065.88000000076</v>
      </c>
      <c r="AH22" s="389">
        <f t="shared" si="6"/>
        <v>879.57522772006985</v>
      </c>
      <c r="AI22" s="389">
        <f t="shared" si="7"/>
        <v>848.10806041553815</v>
      </c>
      <c r="AJ22" s="389">
        <f t="shared" si="8"/>
        <v>914.05032583362822</v>
      </c>
      <c r="AK22" s="389">
        <f t="shared" si="9"/>
        <v>872.26381707302835</v>
      </c>
      <c r="AL22" s="444">
        <v>4165.6000000000004</v>
      </c>
      <c r="AM22" s="445">
        <v>3656.9</v>
      </c>
      <c r="AN22" s="445">
        <v>4180.5</v>
      </c>
      <c r="AO22" s="445">
        <f t="shared" si="40"/>
        <v>12003</v>
      </c>
      <c r="AP22" s="582">
        <f>+[1]Aug!N17</f>
        <v>12072</v>
      </c>
      <c r="AQ22" s="477">
        <f t="shared" si="10"/>
        <v>69</v>
      </c>
      <c r="AR22" s="448">
        <f t="shared" si="11"/>
        <v>0.34704657169041075</v>
      </c>
      <c r="AS22" s="448">
        <f t="shared" si="12"/>
        <v>0.30466550029159378</v>
      </c>
      <c r="AT22" s="448">
        <f t="shared" si="33"/>
        <v>0.34828792801799546</v>
      </c>
      <c r="AU22" s="448">
        <f t="shared" si="34"/>
        <v>23.946213446638343</v>
      </c>
      <c r="AV22" s="448">
        <f t="shared" si="35"/>
        <v>21.021919520119972</v>
      </c>
      <c r="AW22" s="448">
        <f t="shared" si="39"/>
        <v>24.031867033241689</v>
      </c>
      <c r="AX22" s="390">
        <f t="shared" si="13"/>
        <v>4189.5462134466388</v>
      </c>
      <c r="AY22" s="390">
        <f t="shared" si="14"/>
        <v>3677.9219195201199</v>
      </c>
      <c r="AZ22" s="390">
        <f t="shared" si="15"/>
        <v>4204.5318670332417</v>
      </c>
      <c r="BA22" s="384">
        <f>+SUM(Efficiency2!K74:K75)</f>
        <v>46.056291027882352</v>
      </c>
      <c r="BB22" s="385">
        <f t="shared" si="36"/>
        <v>664.87831279531747</v>
      </c>
      <c r="BC22" s="410">
        <f t="shared" si="37"/>
        <v>0.91292631390021106</v>
      </c>
      <c r="BD22" s="410">
        <f t="shared" si="38"/>
        <v>0.89501941715941469</v>
      </c>
    </row>
    <row r="23" spans="1:56" s="390" customFormat="1" ht="12.75" customHeight="1">
      <c r="A23" s="404">
        <f t="shared" si="16"/>
        <v>45884</v>
      </c>
      <c r="B23" s="413" t="s">
        <v>490</v>
      </c>
      <c r="C23" s="391" t="s">
        <v>559</v>
      </c>
      <c r="D23" s="383">
        <f>+'15'!F42</f>
        <v>1230</v>
      </c>
      <c r="E23" s="383">
        <f>+'15'!G42</f>
        <v>947.09999999999991</v>
      </c>
      <c r="F23" s="47">
        <f t="shared" si="0"/>
        <v>0.23000000000000009</v>
      </c>
      <c r="G23" s="409">
        <f t="shared" si="17"/>
        <v>0.94360542397980185</v>
      </c>
      <c r="H23" s="405">
        <f t="shared" si="18"/>
        <v>0.93150791854416326</v>
      </c>
      <c r="I23" s="405">
        <f t="shared" si="19"/>
        <v>0.9721290545950273</v>
      </c>
      <c r="J23" s="410">
        <f t="shared" si="20"/>
        <v>0.90554591220211911</v>
      </c>
      <c r="K23" s="410">
        <f t="shared" si="21"/>
        <v>0.8957503301660138</v>
      </c>
      <c r="L23" s="384">
        <f>+Efficiency1!K79</f>
        <v>49.610957759999998</v>
      </c>
      <c r="M23" s="385">
        <f t="shared" si="22"/>
        <v>714.48927055531749</v>
      </c>
      <c r="N23" s="384">
        <f>+Efficiency1!C79</f>
        <v>48.974919839999991</v>
      </c>
      <c r="O23" s="385">
        <f t="shared" si="22"/>
        <v>709.99333699872921</v>
      </c>
      <c r="P23" s="385">
        <f>'15'!I38</f>
        <v>46.213000000000001</v>
      </c>
      <c r="Q23" s="385">
        <f t="shared" si="23"/>
        <v>658.24099999999976</v>
      </c>
      <c r="R23" s="385">
        <f>'15'!I40</f>
        <v>44.924999999999997</v>
      </c>
      <c r="S23" s="385">
        <f t="shared" si="24"/>
        <v>640.00400000000002</v>
      </c>
      <c r="T23" s="99">
        <f t="shared" si="1"/>
        <v>4106.7766394818718</v>
      </c>
      <c r="U23" s="13">
        <f t="shared" si="25"/>
        <v>60799.486052460023</v>
      </c>
      <c r="V23" s="294">
        <f t="shared" si="26"/>
        <v>88.866263594267238</v>
      </c>
      <c r="W23" s="294">
        <f t="shared" si="27"/>
        <v>92.366604408506987</v>
      </c>
      <c r="X23" s="295">
        <f t="shared" si="28"/>
        <v>91.414059866040546</v>
      </c>
      <c r="Y23" s="294">
        <f t="shared" si="29"/>
        <v>94.998603215698679</v>
      </c>
      <c r="Z23" s="387">
        <v>60.6</v>
      </c>
      <c r="AA23" s="386">
        <f t="shared" si="30"/>
        <v>847.10000000000014</v>
      </c>
      <c r="AB23" s="389">
        <f t="shared" si="2"/>
        <v>1.3113193257308549</v>
      </c>
      <c r="AC23" s="389">
        <f t="shared" si="3"/>
        <v>1.286914671070323</v>
      </c>
      <c r="AD23" s="384">
        <f t="shared" si="4"/>
        <v>1.3489148580968282</v>
      </c>
      <c r="AE23" s="389">
        <f t="shared" si="5"/>
        <v>1.3235854775907652</v>
      </c>
      <c r="AF23" s="388">
        <f>'15'!I46</f>
        <v>37218.46</v>
      </c>
      <c r="AG23" s="386">
        <f t="shared" si="31"/>
        <v>556284.34000000078</v>
      </c>
      <c r="AH23" s="389">
        <f t="shared" si="6"/>
        <v>805.3677536623893</v>
      </c>
      <c r="AI23" s="389">
        <f t="shared" si="7"/>
        <v>845.10739987330021</v>
      </c>
      <c r="AJ23" s="389">
        <f t="shared" si="8"/>
        <v>828.45765164162492</v>
      </c>
      <c r="AK23" s="389">
        <f t="shared" si="9"/>
        <v>869.18884881969609</v>
      </c>
      <c r="AL23" s="444">
        <v>4193.8</v>
      </c>
      <c r="AM23" s="445">
        <v>5172.6000000000004</v>
      </c>
      <c r="AN23" s="445">
        <v>4035.7</v>
      </c>
      <c r="AO23" s="445">
        <f t="shared" si="40"/>
        <v>13402.100000000002</v>
      </c>
      <c r="AP23" s="583">
        <f>+[1]Aug!N18</f>
        <v>13124</v>
      </c>
      <c r="AQ23" s="477">
        <f t="shared" si="10"/>
        <v>-278.10000000000218</v>
      </c>
      <c r="AR23" s="448">
        <f t="shared" si="11"/>
        <v>0.31292110937838097</v>
      </c>
      <c r="AS23" s="448">
        <f t="shared" si="12"/>
        <v>0.38595443997582463</v>
      </c>
      <c r="AT23" s="448">
        <f t="shared" si="33"/>
        <v>0.30112445064579435</v>
      </c>
      <c r="AU23" s="448">
        <f t="shared" si="34"/>
        <v>-87.023360518128428</v>
      </c>
      <c r="AV23" s="448">
        <f t="shared" si="35"/>
        <v>-107.33392975727767</v>
      </c>
      <c r="AW23" s="448">
        <f t="shared" si="39"/>
        <v>-83.742709724596068</v>
      </c>
      <c r="AX23" s="390">
        <f t="shared" si="13"/>
        <v>4106.7766394818718</v>
      </c>
      <c r="AY23" s="390">
        <f t="shared" si="14"/>
        <v>5065.2660702427229</v>
      </c>
      <c r="AZ23" s="390">
        <f t="shared" si="15"/>
        <v>3951.9572902754039</v>
      </c>
      <c r="BA23" s="384">
        <f>+Efficiency2!K79</f>
        <v>49.610957759999998</v>
      </c>
      <c r="BB23" s="385">
        <f t="shared" si="36"/>
        <v>714.48927055531749</v>
      </c>
      <c r="BC23" s="410">
        <f t="shared" si="37"/>
        <v>0.90554591220211911</v>
      </c>
      <c r="BD23" s="410">
        <f t="shared" si="38"/>
        <v>0.8957503301660138</v>
      </c>
    </row>
    <row r="24" spans="1:56" s="390" customFormat="1" ht="12.75" customHeight="1">
      <c r="A24" s="404">
        <f t="shared" si="16"/>
        <v>45885</v>
      </c>
      <c r="B24" s="413" t="s">
        <v>490</v>
      </c>
      <c r="C24" s="391" t="s">
        <v>559</v>
      </c>
      <c r="D24" s="383">
        <f>+'16'!F42</f>
        <v>1230</v>
      </c>
      <c r="E24" s="383">
        <f>+'16'!G42</f>
        <v>947.0999999999998</v>
      </c>
      <c r="F24" s="47">
        <f t="shared" si="0"/>
        <v>0.2300000000000002</v>
      </c>
      <c r="G24" s="409">
        <f t="shared" si="17"/>
        <v>0.97515218311789698</v>
      </c>
      <c r="H24" s="405">
        <f t="shared" si="18"/>
        <v>0.96265023205228273</v>
      </c>
      <c r="I24" s="405">
        <f t="shared" si="19"/>
        <v>0.96226810167929999</v>
      </c>
      <c r="J24" s="410">
        <f t="shared" si="20"/>
        <v>0.92632761137808772</v>
      </c>
      <c r="K24" s="410">
        <f t="shared" si="21"/>
        <v>0.89773563019657709</v>
      </c>
      <c r="L24" s="384">
        <f>+Efficiency1!K84</f>
        <v>49.610957759999998</v>
      </c>
      <c r="M24" s="385">
        <f t="shared" si="22"/>
        <v>764.10022831531751</v>
      </c>
      <c r="N24" s="384">
        <f>+Efficiency1!C84</f>
        <v>48.974919839999991</v>
      </c>
      <c r="O24" s="385">
        <f t="shared" si="22"/>
        <v>758.96825683872919</v>
      </c>
      <c r="P24" s="385">
        <f>'16'!I38</f>
        <v>47.757999999999996</v>
      </c>
      <c r="Q24" s="385">
        <f t="shared" si="23"/>
        <v>705.9989999999998</v>
      </c>
      <c r="R24" s="385">
        <f>'16'!I40</f>
        <v>45.956000000000003</v>
      </c>
      <c r="S24" s="385">
        <f t="shared" si="24"/>
        <v>685.96</v>
      </c>
      <c r="T24" s="99">
        <f t="shared" si="1"/>
        <v>4247.3597849015123</v>
      </c>
      <c r="U24" s="13">
        <f t="shared" si="25"/>
        <v>65046.845837361536</v>
      </c>
      <c r="V24" s="294">
        <f t="shared" si="26"/>
        <v>88.935043027377873</v>
      </c>
      <c r="W24" s="294">
        <f t="shared" si="27"/>
        <v>92.134473047924359</v>
      </c>
      <c r="X24" s="295">
        <f t="shared" si="28"/>
        <v>92.422312318337376</v>
      </c>
      <c r="Y24" s="294">
        <f t="shared" si="29"/>
        <v>94.826004194649158</v>
      </c>
      <c r="Z24" s="387">
        <v>59.6</v>
      </c>
      <c r="AA24" s="386">
        <f t="shared" si="30"/>
        <v>906.70000000000016</v>
      </c>
      <c r="AB24" s="389">
        <f t="shared" si="2"/>
        <v>1.2479584572218267</v>
      </c>
      <c r="AC24" s="389">
        <f t="shared" si="3"/>
        <v>1.2842794394892916</v>
      </c>
      <c r="AD24" s="384">
        <f t="shared" si="4"/>
        <v>1.2968926799547393</v>
      </c>
      <c r="AE24" s="389">
        <f t="shared" si="5"/>
        <v>1.3217971893404865</v>
      </c>
      <c r="AF24" s="388">
        <f>'16'!I46</f>
        <v>37046.800000000003</v>
      </c>
      <c r="AG24" s="386">
        <f t="shared" si="31"/>
        <v>593331.14000000083</v>
      </c>
      <c r="AH24" s="389">
        <f t="shared" si="6"/>
        <v>775.71925122492576</v>
      </c>
      <c r="AI24" s="389">
        <f t="shared" si="7"/>
        <v>840.41356999089373</v>
      </c>
      <c r="AJ24" s="389">
        <f t="shared" si="8"/>
        <v>806.13630429106104</v>
      </c>
      <c r="AK24" s="389">
        <f t="shared" si="9"/>
        <v>864.96463350632814</v>
      </c>
      <c r="AL24" s="444">
        <v>4220.8999999999996</v>
      </c>
      <c r="AM24" s="445">
        <v>5385.2</v>
      </c>
      <c r="AN24" s="445">
        <v>3857.5</v>
      </c>
      <c r="AO24" s="445">
        <f t="shared" si="40"/>
        <v>13463.599999999999</v>
      </c>
      <c r="AP24" s="584">
        <f>+[1]Aug!N19</f>
        <v>13548</v>
      </c>
      <c r="AQ24" s="477">
        <f t="shared" si="10"/>
        <v>84.400000000001455</v>
      </c>
      <c r="AR24" s="448">
        <f t="shared" si="11"/>
        <v>0.31350456044445768</v>
      </c>
      <c r="AS24" s="448">
        <f t="shared" si="12"/>
        <v>0.39998217415847176</v>
      </c>
      <c r="AT24" s="448">
        <f t="shared" si="33"/>
        <v>0.2865132653970705</v>
      </c>
      <c r="AU24" s="448">
        <f t="shared" si="34"/>
        <v>26.459784901512684</v>
      </c>
      <c r="AV24" s="448">
        <f t="shared" si="35"/>
        <v>33.758495498975599</v>
      </c>
      <c r="AW24" s="448">
        <f t="shared" si="39"/>
        <v>24.181719599513169</v>
      </c>
      <c r="AX24" s="390">
        <f t="shared" si="13"/>
        <v>4247.3597849015123</v>
      </c>
      <c r="AY24" s="390">
        <f t="shared" si="14"/>
        <v>5418.958495498975</v>
      </c>
      <c r="AZ24" s="390">
        <f t="shared" si="15"/>
        <v>3881.6817195995131</v>
      </c>
      <c r="BA24" s="384">
        <f>+Efficiency2!K84</f>
        <v>49.610957759999998</v>
      </c>
      <c r="BB24" s="385">
        <f t="shared" si="36"/>
        <v>764.10022831531751</v>
      </c>
      <c r="BC24" s="410">
        <f t="shared" si="37"/>
        <v>0.92632761137808772</v>
      </c>
      <c r="BD24" s="410">
        <f t="shared" si="38"/>
        <v>0.89773563019657709</v>
      </c>
    </row>
    <row r="25" spans="1:56" s="390" customFormat="1" ht="12.75" customHeight="1">
      <c r="A25" s="404">
        <f t="shared" si="16"/>
        <v>45886</v>
      </c>
      <c r="B25" s="413" t="s">
        <v>490</v>
      </c>
      <c r="C25" s="391" t="s">
        <v>565</v>
      </c>
      <c r="D25" s="383">
        <f>+'17'!F42</f>
        <v>1230</v>
      </c>
      <c r="E25" s="383">
        <f>+'17'!G42</f>
        <v>947.0999999999998</v>
      </c>
      <c r="F25" s="47">
        <f t="shared" si="0"/>
        <v>0.2300000000000002</v>
      </c>
      <c r="G25" s="409">
        <f t="shared" si="17"/>
        <v>0.95478211794817758</v>
      </c>
      <c r="H25" s="405">
        <f t="shared" si="18"/>
        <v>0.9467674982991936</v>
      </c>
      <c r="I25" s="405">
        <f t="shared" si="19"/>
        <v>0.98089129118352891</v>
      </c>
      <c r="J25" s="410">
        <f t="shared" si="20"/>
        <v>0.92867599385729549</v>
      </c>
      <c r="K25" s="410">
        <f t="shared" si="21"/>
        <v>0.89953187494877029</v>
      </c>
      <c r="L25" s="384">
        <f>+SUM(Efficiency1!K89:K90)</f>
        <v>47.093927579999999</v>
      </c>
      <c r="M25" s="385">
        <f t="shared" si="22"/>
        <v>811.19415589531752</v>
      </c>
      <c r="N25" s="384">
        <f>+SUM(Efficiency1!C89:C90)</f>
        <v>46.698612344999987</v>
      </c>
      <c r="O25" s="385">
        <f t="shared" si="22"/>
        <v>805.6668691837292</v>
      </c>
      <c r="P25" s="385">
        <f>'17'!I38</f>
        <v>44.586999999999996</v>
      </c>
      <c r="Q25" s="385">
        <f t="shared" si="23"/>
        <v>750.58599999999979</v>
      </c>
      <c r="R25" s="385">
        <f>'17'!I40</f>
        <v>43.734999999999999</v>
      </c>
      <c r="S25" s="385">
        <f t="shared" si="24"/>
        <v>729.69500000000005</v>
      </c>
      <c r="T25" s="99">
        <f t="shared" si="1"/>
        <v>4164.439975063824</v>
      </c>
      <c r="U25" s="13">
        <f t="shared" si="25"/>
        <v>69211.285812425354</v>
      </c>
      <c r="V25" s="294">
        <f t="shared" si="26"/>
        <v>93.400317919210181</v>
      </c>
      <c r="W25" s="294">
        <f t="shared" si="27"/>
        <v>92.209667929358361</v>
      </c>
      <c r="X25" s="295">
        <f t="shared" si="28"/>
        <v>95.219846234453513</v>
      </c>
      <c r="Y25" s="294">
        <f t="shared" si="29"/>
        <v>94.84960951140593</v>
      </c>
      <c r="Z25" s="387">
        <v>59.2</v>
      </c>
      <c r="AA25" s="386">
        <f t="shared" si="30"/>
        <v>965.9000000000002</v>
      </c>
      <c r="AB25" s="389">
        <f t="shared" si="2"/>
        <v>1.32774126987687</v>
      </c>
      <c r="AC25" s="389">
        <f t="shared" si="3"/>
        <v>1.2868611991164243</v>
      </c>
      <c r="AD25" s="384">
        <f t="shared" si="4"/>
        <v>1.3536069509546131</v>
      </c>
      <c r="AE25" s="389">
        <f t="shared" si="5"/>
        <v>1.3237037392335156</v>
      </c>
      <c r="AF25" s="388">
        <f>'17'!I46</f>
        <v>37209.540000000728</v>
      </c>
      <c r="AG25" s="386">
        <f t="shared" si="31"/>
        <v>630540.68000000156</v>
      </c>
      <c r="AH25" s="389">
        <f t="shared" si="6"/>
        <v>834.53786978268852</v>
      </c>
      <c r="AI25" s="389">
        <f t="shared" si="7"/>
        <v>840.06453624235166</v>
      </c>
      <c r="AJ25" s="389">
        <f t="shared" si="8"/>
        <v>850.79547273352534</v>
      </c>
      <c r="AK25" s="389">
        <f t="shared" si="9"/>
        <v>864.11539067692877</v>
      </c>
      <c r="AL25" s="444">
        <v>4186</v>
      </c>
      <c r="AM25" s="445">
        <v>5353.1</v>
      </c>
      <c r="AN25" s="445">
        <v>3935.3</v>
      </c>
      <c r="AO25" s="445">
        <f t="shared" si="40"/>
        <v>13474.400000000001</v>
      </c>
      <c r="AP25" s="584">
        <f>+[1]Aug!N20</f>
        <v>13405</v>
      </c>
      <c r="AQ25" s="477">
        <f t="shared" si="10"/>
        <v>-69.400000000001455</v>
      </c>
      <c r="AR25" s="448">
        <f t="shared" si="11"/>
        <v>0.31066318351837557</v>
      </c>
      <c r="AS25" s="448">
        <f t="shared" si="12"/>
        <v>0.39727928516297573</v>
      </c>
      <c r="AT25" s="448">
        <f t="shared" si="33"/>
        <v>0.29205753131864876</v>
      </c>
      <c r="AU25" s="448">
        <f t="shared" si="34"/>
        <v>-21.560024936175719</v>
      </c>
      <c r="AV25" s="448">
        <f>+AS25*AQ25</f>
        <v>-27.571182390311094</v>
      </c>
      <c r="AW25" s="448">
        <f t="shared" si="39"/>
        <v>-20.26879267351465</v>
      </c>
      <c r="AX25" s="390">
        <f t="shared" si="13"/>
        <v>4164.439975063824</v>
      </c>
      <c r="AY25" s="390">
        <f t="shared" si="14"/>
        <v>5325.5288176096892</v>
      </c>
      <c r="AZ25" s="390">
        <f t="shared" si="15"/>
        <v>3915.0312073264854</v>
      </c>
      <c r="BA25" s="384">
        <f>+SUM(Efficiency2!K89:K90)</f>
        <v>47.093927579999999</v>
      </c>
      <c r="BB25" s="385">
        <f t="shared" si="36"/>
        <v>811.19415589531752</v>
      </c>
      <c r="BC25" s="410">
        <f t="shared" si="37"/>
        <v>0.92867599385729549</v>
      </c>
      <c r="BD25" s="410">
        <f t="shared" si="38"/>
        <v>0.89953187494877029</v>
      </c>
    </row>
    <row r="26" spans="1:56" s="390" customFormat="1" ht="12.75" customHeight="1">
      <c r="A26" s="404">
        <f t="shared" si="16"/>
        <v>45887</v>
      </c>
      <c r="B26" s="413" t="s">
        <v>490</v>
      </c>
      <c r="C26" s="391" t="s">
        <v>528</v>
      </c>
      <c r="D26" s="383">
        <f>+'18'!F42</f>
        <v>1230</v>
      </c>
      <c r="E26" s="383">
        <f>+'18'!G42</f>
        <v>947.0999999999998</v>
      </c>
      <c r="F26" s="47">
        <f t="shared" si="0"/>
        <v>0.2300000000000002</v>
      </c>
      <c r="G26" s="409">
        <f t="shared" si="17"/>
        <v>0.95140394617885549</v>
      </c>
      <c r="H26" s="405">
        <f t="shared" si="18"/>
        <v>0.94992396353887976</v>
      </c>
      <c r="I26" s="405">
        <f t="shared" si="19"/>
        <v>1.051439679261329</v>
      </c>
      <c r="J26" s="410">
        <f t="shared" si="20"/>
        <v>0.99878774754597022</v>
      </c>
      <c r="K26" s="410">
        <f t="shared" si="21"/>
        <v>0.9045641968662177</v>
      </c>
      <c r="L26" s="384">
        <f>+SUM(Efficiency1!K94:K95)</f>
        <v>43.324520256</v>
      </c>
      <c r="M26" s="385">
        <f t="shared" si="22"/>
        <v>854.51867615131755</v>
      </c>
      <c r="N26" s="384">
        <f>+SUM(Efficiency1!C94:C95)</f>
        <v>43.257125603999995</v>
      </c>
      <c r="O26" s="385">
        <f t="shared" si="22"/>
        <v>848.92399478772916</v>
      </c>
      <c r="P26" s="385">
        <f>'18'!I38</f>
        <v>41.155000000000001</v>
      </c>
      <c r="Q26" s="385">
        <f t="shared" si="23"/>
        <v>791.74099999999976</v>
      </c>
      <c r="R26" s="385">
        <f>'18'!I40</f>
        <v>43.271999999999998</v>
      </c>
      <c r="S26" s="385">
        <f t="shared" si="24"/>
        <v>772.9670000000001</v>
      </c>
      <c r="T26" s="99">
        <f t="shared" si="1"/>
        <v>3160.9695138609882</v>
      </c>
      <c r="U26" s="13">
        <f t="shared" si="25"/>
        <v>72372.255326286337</v>
      </c>
      <c r="V26" s="294">
        <f t="shared" si="26"/>
        <v>76.806451557793423</v>
      </c>
      <c r="W26" s="294">
        <f t="shared" si="27"/>
        <v>91.409002851041393</v>
      </c>
      <c r="X26" s="295">
        <f t="shared" si="28"/>
        <v>73.048842527754402</v>
      </c>
      <c r="Y26" s="294">
        <f t="shared" si="29"/>
        <v>93.629165703434083</v>
      </c>
      <c r="Z26" s="387">
        <v>55.8</v>
      </c>
      <c r="AA26" s="386">
        <f t="shared" si="30"/>
        <v>1021.7000000000002</v>
      </c>
      <c r="AB26" s="389">
        <f t="shared" si="2"/>
        <v>1.3558498359859068</v>
      </c>
      <c r="AC26" s="389">
        <f t="shared" si="3"/>
        <v>1.2904472548472297</v>
      </c>
      <c r="AD26" s="384">
        <f t="shared" si="4"/>
        <v>1.2895174708818635</v>
      </c>
      <c r="AE26" s="389">
        <f t="shared" si="5"/>
        <v>1.3217899341110293</v>
      </c>
      <c r="AF26" s="388">
        <f>'18'!I46</f>
        <v>36478.58</v>
      </c>
      <c r="AG26" s="386">
        <f t="shared" si="31"/>
        <v>667019.26000000152</v>
      </c>
      <c r="AH26" s="389">
        <f t="shared" si="6"/>
        <v>886.37055035840115</v>
      </c>
      <c r="AI26" s="389">
        <f t="shared" si="7"/>
        <v>842.47154056693</v>
      </c>
      <c r="AJ26" s="389">
        <f t="shared" si="8"/>
        <v>843.00656313551497</v>
      </c>
      <c r="AK26" s="389">
        <f t="shared" si="9"/>
        <v>862.93368280922914</v>
      </c>
      <c r="AL26" s="444">
        <v>3980.8</v>
      </c>
      <c r="AM26" s="445">
        <v>4424.1000000000004</v>
      </c>
      <c r="AN26" s="445">
        <v>4040.1</v>
      </c>
      <c r="AO26" s="445">
        <f t="shared" si="40"/>
        <v>12445.000000000002</v>
      </c>
      <c r="AP26" s="585">
        <f>+[1]Aug!N21</f>
        <v>9882</v>
      </c>
      <c r="AQ26" s="477">
        <f t="shared" si="10"/>
        <v>-2563.0000000000018</v>
      </c>
      <c r="AR26" s="448">
        <f t="shared" si="11"/>
        <v>0.31987143431096821</v>
      </c>
      <c r="AS26" s="448">
        <f t="shared" si="12"/>
        <v>0.35549216552832463</v>
      </c>
      <c r="AT26" s="448">
        <f t="shared" si="33"/>
        <v>0.32463640016070716</v>
      </c>
      <c r="AU26" s="448">
        <f t="shared" si="34"/>
        <v>-819.83048613901212</v>
      </c>
      <c r="AV26" s="448">
        <f t="shared" si="35"/>
        <v>-911.12642024909667</v>
      </c>
      <c r="AW26" s="448">
        <f t="shared" si="39"/>
        <v>-832.04309361189303</v>
      </c>
      <c r="AX26" s="390">
        <f t="shared" si="13"/>
        <v>3160.9695138609882</v>
      </c>
      <c r="AY26" s="390">
        <f t="shared" si="14"/>
        <v>3512.9735797509038</v>
      </c>
      <c r="AZ26" s="390">
        <f t="shared" si="15"/>
        <v>3208.0569063881067</v>
      </c>
      <c r="BA26" s="384">
        <f>+SUM(Efficiency2!K94:K95)</f>
        <v>43.324520256</v>
      </c>
      <c r="BB26" s="385">
        <f t="shared" si="36"/>
        <v>854.51867615131755</v>
      </c>
      <c r="BC26" s="410">
        <f t="shared" si="37"/>
        <v>0.99878774754597022</v>
      </c>
      <c r="BD26" s="410">
        <f t="shared" si="38"/>
        <v>0.9045641968662177</v>
      </c>
    </row>
    <row r="27" spans="1:56" s="390" customFormat="1" ht="12.75" customHeight="1">
      <c r="A27" s="404">
        <f t="shared" si="16"/>
        <v>45888</v>
      </c>
      <c r="B27" s="413" t="s">
        <v>490</v>
      </c>
      <c r="C27" s="391" t="s">
        <v>583</v>
      </c>
      <c r="D27" s="383">
        <f>+'19'!F42</f>
        <v>1214.8178137651821</v>
      </c>
      <c r="E27" s="383">
        <f>+'19'!G42</f>
        <v>935.40971659919023</v>
      </c>
      <c r="F27" s="47">
        <f t="shared" si="0"/>
        <v>0.22999999999999998</v>
      </c>
      <c r="G27" s="409">
        <f t="shared" si="17"/>
        <v>0.82381318816937266</v>
      </c>
      <c r="H27" s="405">
        <f t="shared" si="18"/>
        <v>0.80345138084289258</v>
      </c>
      <c r="I27" s="405">
        <f t="shared" si="19"/>
        <v>0.93752190912767963</v>
      </c>
      <c r="J27" s="410">
        <f t="shared" si="20"/>
        <v>0.75325327245909912</v>
      </c>
      <c r="K27" s="410">
        <f t="shared" si="21"/>
        <v>0.8968099347849593</v>
      </c>
      <c r="L27" s="384">
        <f>+Efficiency1!K99</f>
        <v>46.157117759999998</v>
      </c>
      <c r="M27" s="385">
        <f t="shared" si="22"/>
        <v>900.67579391131756</v>
      </c>
      <c r="N27" s="384">
        <f>+Efficiency1!C99</f>
        <v>45.016273753043478</v>
      </c>
      <c r="O27" s="385">
        <f t="shared" si="22"/>
        <v>893.94026854077265</v>
      </c>
      <c r="P27" s="385">
        <f>'19'!I38</f>
        <v>37.085000000000001</v>
      </c>
      <c r="Q27" s="385">
        <f t="shared" si="23"/>
        <v>828.82599999999979</v>
      </c>
      <c r="R27" s="385">
        <f>'19'!I40</f>
        <v>34.768000000000001</v>
      </c>
      <c r="S27" s="385">
        <f t="shared" si="24"/>
        <v>807.73500000000013</v>
      </c>
      <c r="T27" s="99">
        <f t="shared" si="1"/>
        <v>3462.3535284399341</v>
      </c>
      <c r="U27" s="13">
        <f t="shared" si="25"/>
        <v>75834.608854726277</v>
      </c>
      <c r="V27" s="294">
        <f t="shared" si="26"/>
        <v>93.362640648238752</v>
      </c>
      <c r="W27" s="294">
        <f t="shared" si="27"/>
        <v>91.496416442928066</v>
      </c>
      <c r="X27" s="295">
        <f t="shared" si="28"/>
        <v>99.584489428207959</v>
      </c>
      <c r="Y27" s="294">
        <f t="shared" si="29"/>
        <v>93.885505586270583</v>
      </c>
      <c r="Z27" s="387">
        <v>52.7</v>
      </c>
      <c r="AA27" s="386">
        <f t="shared" si="30"/>
        <v>1074.4000000000001</v>
      </c>
      <c r="AB27" s="389">
        <f t="shared" si="2"/>
        <v>1.4210597276526897</v>
      </c>
      <c r="AC27" s="389">
        <f t="shared" si="3"/>
        <v>1.2962913808205827</v>
      </c>
      <c r="AD27" s="384">
        <f t="shared" si="4"/>
        <v>1.5157616198803499</v>
      </c>
      <c r="AE27" s="389">
        <f t="shared" si="5"/>
        <v>1.3301392164509398</v>
      </c>
      <c r="AF27" s="388">
        <f>'19'!I46</f>
        <v>34346.46</v>
      </c>
      <c r="AG27" s="386">
        <f t="shared" si="31"/>
        <v>701365.72000000149</v>
      </c>
      <c r="AH27" s="389">
        <f t="shared" si="6"/>
        <v>926.15504921127138</v>
      </c>
      <c r="AI27" s="389">
        <f t="shared" si="7"/>
        <v>846.21587643244993</v>
      </c>
      <c r="AJ27" s="389">
        <f t="shared" si="8"/>
        <v>987.87563276576168</v>
      </c>
      <c r="AK27" s="389">
        <f t="shared" si="9"/>
        <v>868.31166162169689</v>
      </c>
      <c r="AL27" s="444">
        <v>3626.1</v>
      </c>
      <c r="AM27" s="445">
        <v>4975.5</v>
      </c>
      <c r="AN27" s="445">
        <v>4109.3999999999996</v>
      </c>
      <c r="AO27" s="445">
        <f t="shared" si="40"/>
        <v>12711</v>
      </c>
      <c r="AP27" s="586">
        <f>+[1]Aug!N22</f>
        <v>12137</v>
      </c>
      <c r="AQ27" s="477">
        <f t="shared" si="10"/>
        <v>-574</v>
      </c>
      <c r="AR27" s="448">
        <f t="shared" si="11"/>
        <v>0.28527259853670051</v>
      </c>
      <c r="AS27" s="448">
        <f t="shared" si="12"/>
        <v>0.39143261741798441</v>
      </c>
      <c r="AT27" s="448">
        <f t="shared" si="33"/>
        <v>0.32329478404531509</v>
      </c>
      <c r="AU27" s="448">
        <f t="shared" si="34"/>
        <v>-163.74647156006608</v>
      </c>
      <c r="AV27" s="448">
        <f t="shared" si="35"/>
        <v>-224.68232239792306</v>
      </c>
      <c r="AW27" s="448">
        <f>+AT27*AQ27</f>
        <v>-185.57120604201086</v>
      </c>
      <c r="AX27" s="390">
        <f t="shared" si="13"/>
        <v>3462.3535284399341</v>
      </c>
      <c r="AY27" s="390">
        <f t="shared" si="14"/>
        <v>4750.8176776020773</v>
      </c>
      <c r="AZ27" s="390">
        <f t="shared" si="15"/>
        <v>3923.8287939579886</v>
      </c>
      <c r="BA27" s="384">
        <f>+Efficiency2!K99</f>
        <v>46.157117759999998</v>
      </c>
      <c r="BB27" s="385">
        <f t="shared" si="36"/>
        <v>900.67579391131756</v>
      </c>
      <c r="BC27" s="410">
        <f t="shared" si="37"/>
        <v>0.75325327245909912</v>
      </c>
      <c r="BD27" s="410">
        <f t="shared" si="38"/>
        <v>0.8968099347849593</v>
      </c>
    </row>
    <row r="28" spans="1:56" s="390" customFormat="1" ht="12.75" customHeight="1">
      <c r="A28" s="404">
        <f t="shared" si="16"/>
        <v>45889</v>
      </c>
      <c r="B28" s="413" t="s">
        <v>490</v>
      </c>
      <c r="C28" s="391" t="s">
        <v>534</v>
      </c>
      <c r="D28" s="383">
        <f>+'20'!F42</f>
        <v>1230</v>
      </c>
      <c r="E28" s="383">
        <f>+'20'!G42</f>
        <v>947.09999999999991</v>
      </c>
      <c r="F28" s="47">
        <f t="shared" si="0"/>
        <v>0.23000000000000009</v>
      </c>
      <c r="G28" s="409">
        <f t="shared" si="17"/>
        <v>1.0108609218798945</v>
      </c>
      <c r="H28" s="405">
        <f t="shared" si="18"/>
        <v>1.0055201735799475</v>
      </c>
      <c r="I28" s="405">
        <f t="shared" si="19"/>
        <v>0.9281094527363184</v>
      </c>
      <c r="J28" s="410">
        <f t="shared" si="20"/>
        <v>0.93323277801661286</v>
      </c>
      <c r="K28" s="410">
        <f t="shared" si="21"/>
        <v>0.89850555846028046</v>
      </c>
      <c r="L28" s="384">
        <f>+SUM(Efficiency1!K105:K106)</f>
        <v>43.977238012603763</v>
      </c>
      <c r="M28" s="385">
        <f t="shared" si="22"/>
        <v>944.65303192392128</v>
      </c>
      <c r="N28" s="384">
        <f>+SUM(Efficiency1!C105:C106)</f>
        <v>43.744890165270434</v>
      </c>
      <c r="O28" s="385">
        <f t="shared" si="22"/>
        <v>937.68515870604313</v>
      </c>
      <c r="P28" s="385">
        <f>'20'!I38</f>
        <v>44.22</v>
      </c>
      <c r="Q28" s="385">
        <f t="shared" si="23"/>
        <v>873.04599999999982</v>
      </c>
      <c r="R28" s="385">
        <f>'20'!I40</f>
        <v>41.040999999999997</v>
      </c>
      <c r="S28" s="385">
        <f t="shared" si="24"/>
        <v>848.77600000000007</v>
      </c>
      <c r="T28" s="99">
        <f t="shared" si="1"/>
        <v>3761.0336378673346</v>
      </c>
      <c r="U28" s="13">
        <f t="shared" si="25"/>
        <v>79595.642492593615</v>
      </c>
      <c r="V28" s="294">
        <f t="shared" si="26"/>
        <v>85.052773357470258</v>
      </c>
      <c r="W28" s="294">
        <f t="shared" si="27"/>
        <v>91.170044296169536</v>
      </c>
      <c r="X28" s="295">
        <f t="shared" si="28"/>
        <v>91.640886865995824</v>
      </c>
      <c r="Y28" s="294">
        <f t="shared" si="29"/>
        <v>93.776971182730904</v>
      </c>
      <c r="Z28" s="387">
        <v>57.8</v>
      </c>
      <c r="AA28" s="386">
        <f t="shared" si="30"/>
        <v>1132.2</v>
      </c>
      <c r="AB28" s="389">
        <f t="shared" si="2"/>
        <v>1.3071008593396654</v>
      </c>
      <c r="AC28" s="389">
        <f t="shared" si="3"/>
        <v>1.2968388836327069</v>
      </c>
      <c r="AD28" s="384">
        <f t="shared" si="4"/>
        <v>1.4083477498111645</v>
      </c>
      <c r="AE28" s="389">
        <f t="shared" si="5"/>
        <v>1.3339208460182663</v>
      </c>
      <c r="AF28" s="388">
        <f>'20'!I46</f>
        <v>36876.800000000003</v>
      </c>
      <c r="AG28" s="386">
        <f t="shared" si="31"/>
        <v>738242.52000000153</v>
      </c>
      <c r="AH28" s="389">
        <f t="shared" si="6"/>
        <v>833.93939393939399</v>
      </c>
      <c r="AI28" s="389">
        <f t="shared" si="7"/>
        <v>845.59406949920356</v>
      </c>
      <c r="AJ28" s="389">
        <f t="shared" si="8"/>
        <v>898.53561073073274</v>
      </c>
      <c r="AK28" s="389">
        <f t="shared" si="9"/>
        <v>869.77308500711786</v>
      </c>
      <c r="AL28" s="479">
        <v>3978.7</v>
      </c>
      <c r="AM28" s="480">
        <v>4839.2</v>
      </c>
      <c r="AN28" s="445">
        <v>4119.8999999999996</v>
      </c>
      <c r="AO28" s="445">
        <f t="shared" si="40"/>
        <v>12937.8</v>
      </c>
      <c r="AP28" s="587">
        <f>+[1]Aug!N23</f>
        <v>12230</v>
      </c>
      <c r="AQ28" s="477">
        <f t="shared" si="10"/>
        <v>-707.79999999999927</v>
      </c>
      <c r="AR28" s="448">
        <f t="shared" si="11"/>
        <v>0.30752523612979021</v>
      </c>
      <c r="AS28" s="448">
        <f t="shared" si="12"/>
        <v>0.37403577115120035</v>
      </c>
      <c r="AT28" s="448">
        <f t="shared" si="33"/>
        <v>0.31843899271900944</v>
      </c>
      <c r="AU28" s="448">
        <f t="shared" si="34"/>
        <v>-217.66636213266528</v>
      </c>
      <c r="AV28" s="448">
        <f t="shared" si="35"/>
        <v>-264.74251882081933</v>
      </c>
      <c r="AW28" s="448">
        <f t="shared" si="39"/>
        <v>-225.39111904651466</v>
      </c>
      <c r="AX28" s="390">
        <f t="shared" si="13"/>
        <v>3761.0336378673346</v>
      </c>
      <c r="AY28" s="390">
        <f t="shared" si="14"/>
        <v>4574.4574811791808</v>
      </c>
      <c r="AZ28" s="390">
        <f t="shared" si="15"/>
        <v>3894.508880953485</v>
      </c>
      <c r="BA28" s="384">
        <f>+SUM(Efficiency2!K105:K106)</f>
        <v>43.977238012603763</v>
      </c>
      <c r="BB28" s="385">
        <f t="shared" si="36"/>
        <v>944.65303192392128</v>
      </c>
      <c r="BC28" s="410">
        <f t="shared" si="37"/>
        <v>0.93323277801661286</v>
      </c>
      <c r="BD28" s="410">
        <f t="shared" si="38"/>
        <v>0.89850555846028046</v>
      </c>
    </row>
    <row r="29" spans="1:56" s="390" customFormat="1" ht="12.75" customHeight="1">
      <c r="A29" s="404">
        <f t="shared" si="16"/>
        <v>45890</v>
      </c>
      <c r="B29" s="413" t="s">
        <v>490</v>
      </c>
      <c r="C29" s="391" t="s">
        <v>534</v>
      </c>
      <c r="D29" s="383">
        <f>+'21'!F42</f>
        <v>1230</v>
      </c>
      <c r="E29" s="383">
        <f>+'21'!G42</f>
        <v>947.09999999999991</v>
      </c>
      <c r="F29" s="47">
        <f t="shared" si="0"/>
        <v>0.23000000000000009</v>
      </c>
      <c r="G29" s="409">
        <f t="shared" si="17"/>
        <v>0.95986212112590286</v>
      </c>
      <c r="H29" s="405">
        <f t="shared" si="18"/>
        <v>0.95669601177836416</v>
      </c>
      <c r="I29" s="405">
        <f t="shared" si="19"/>
        <v>0.99499026544470281</v>
      </c>
      <c r="J29" s="410">
        <f t="shared" si="20"/>
        <v>0.9519032187092431</v>
      </c>
      <c r="K29" s="410">
        <f t="shared" si="21"/>
        <v>0.90088328206332746</v>
      </c>
      <c r="L29" s="384">
        <f>+SUM(Efficiency1!K109:K110)</f>
        <v>44.024433551999998</v>
      </c>
      <c r="M29" s="385">
        <f t="shared" si="22"/>
        <v>988.67746547592128</v>
      </c>
      <c r="N29" s="384">
        <f>+SUM(Efficiency1!C109:C110)</f>
        <v>43.879218767999994</v>
      </c>
      <c r="O29" s="385">
        <f t="shared" si="22"/>
        <v>981.56437747404311</v>
      </c>
      <c r="P29" s="385">
        <f>'21'!I38</f>
        <v>42.118000000000002</v>
      </c>
      <c r="Q29" s="385">
        <f t="shared" si="23"/>
        <v>915.16399999999987</v>
      </c>
      <c r="R29" s="385">
        <f>'21'!I40</f>
        <v>41.906999999999996</v>
      </c>
      <c r="S29" s="385">
        <f t="shared" si="24"/>
        <v>890.68300000000011</v>
      </c>
      <c r="T29" s="99">
        <f t="shared" si="1"/>
        <v>3638.8274487826138</v>
      </c>
      <c r="U29" s="13">
        <f t="shared" si="25"/>
        <v>83234.469941376228</v>
      </c>
      <c r="V29" s="294">
        <f t="shared" si="26"/>
        <v>86.396017113410267</v>
      </c>
      <c r="W29" s="294">
        <f t="shared" si="27"/>
        <v>90.950332335380594</v>
      </c>
      <c r="X29" s="295">
        <f t="shared" si="28"/>
        <v>86.831017462061567</v>
      </c>
      <c r="Y29" s="294">
        <f t="shared" si="29"/>
        <v>93.450161214906103</v>
      </c>
      <c r="Z29" s="387">
        <v>56.3</v>
      </c>
      <c r="AA29" s="386">
        <f t="shared" si="30"/>
        <v>1188.5</v>
      </c>
      <c r="AB29" s="389">
        <f t="shared" si="2"/>
        <v>1.3367206420057931</v>
      </c>
      <c r="AC29" s="389">
        <f t="shared" si="3"/>
        <v>1.2986743359660129</v>
      </c>
      <c r="AD29" s="384">
        <f t="shared" si="4"/>
        <v>1.3434509747774834</v>
      </c>
      <c r="AE29" s="389">
        <f t="shared" si="5"/>
        <v>1.3343692424802089</v>
      </c>
      <c r="AF29" s="388">
        <f>'21'!I46</f>
        <v>35401.899999998546</v>
      </c>
      <c r="AG29" s="386">
        <f t="shared" si="31"/>
        <v>773644.42</v>
      </c>
      <c r="AH29" s="389">
        <f t="shared" si="6"/>
        <v>840.54086138939522</v>
      </c>
      <c r="AI29" s="389">
        <f t="shared" si="7"/>
        <v>845.36150897544064</v>
      </c>
      <c r="AJ29" s="389">
        <f t="shared" si="8"/>
        <v>844.77294962651933</v>
      </c>
      <c r="AK29" s="389">
        <f t="shared" si="9"/>
        <v>868.5968183966686</v>
      </c>
      <c r="AL29" s="479">
        <v>3847</v>
      </c>
      <c r="AM29" s="480">
        <v>4860.1000000000004</v>
      </c>
      <c r="AN29" s="480">
        <v>4140.1000000000004</v>
      </c>
      <c r="AO29" s="445">
        <f t="shared" si="40"/>
        <v>12847.2</v>
      </c>
      <c r="AP29" s="588">
        <f>+[1]Aug!N24</f>
        <v>12152</v>
      </c>
      <c r="AQ29" s="477">
        <f t="shared" si="10"/>
        <v>-695.20000000000073</v>
      </c>
      <c r="AR29" s="448">
        <f t="shared" si="11"/>
        <v>0.29944268011706832</v>
      </c>
      <c r="AS29" s="448">
        <f t="shared" si="12"/>
        <v>0.37830033003300328</v>
      </c>
      <c r="AT29" s="448">
        <f t="shared" si="33"/>
        <v>0.3222569898499284</v>
      </c>
      <c r="AU29" s="448">
        <f t="shared" si="34"/>
        <v>-208.17255121738611</v>
      </c>
      <c r="AV29" s="448">
        <f t="shared" si="35"/>
        <v>-262.99438943894415</v>
      </c>
      <c r="AW29" s="448">
        <f t="shared" si="39"/>
        <v>-224.03305934367046</v>
      </c>
      <c r="AX29" s="390">
        <f t="shared" si="13"/>
        <v>3638.8274487826138</v>
      </c>
      <c r="AY29" s="390">
        <f t="shared" si="14"/>
        <v>4597.105610561056</v>
      </c>
      <c r="AZ29" s="390">
        <f t="shared" si="15"/>
        <v>3916.0669406563297</v>
      </c>
      <c r="BA29" s="384">
        <f>+SUM(Efficiency2!K109:K110)</f>
        <v>44.024433551999998</v>
      </c>
      <c r="BB29" s="385">
        <f t="shared" si="36"/>
        <v>988.67746547592128</v>
      </c>
      <c r="BC29" s="410">
        <f t="shared" si="37"/>
        <v>0.9519032187092431</v>
      </c>
      <c r="BD29" s="410">
        <f t="shared" si="38"/>
        <v>0.90088328206332746</v>
      </c>
    </row>
    <row r="30" spans="1:56" s="390" customFormat="1" ht="12.75" customHeight="1">
      <c r="A30" s="404">
        <f t="shared" si="16"/>
        <v>45891</v>
      </c>
      <c r="B30" s="413" t="s">
        <v>601</v>
      </c>
      <c r="C30" s="391" t="s">
        <v>528</v>
      </c>
      <c r="D30" s="383">
        <f>+'22'!F42</f>
        <v>1230</v>
      </c>
      <c r="E30" s="383">
        <f>+'22'!G42</f>
        <v>952.38729166666644</v>
      </c>
      <c r="F30" s="47">
        <f t="shared" si="0"/>
        <v>0.22570138888888902</v>
      </c>
      <c r="G30" s="409">
        <f t="shared" si="17"/>
        <v>1.0117785570445474</v>
      </c>
      <c r="H30" s="405">
        <f t="shared" si="18"/>
        <v>1.0117785570445474</v>
      </c>
      <c r="I30" s="405">
        <f t="shared" si="19"/>
        <v>0.99356370819184592</v>
      </c>
      <c r="J30" s="410">
        <f t="shared" si="20"/>
        <v>1.0052664550061756</v>
      </c>
      <c r="K30" s="410">
        <f t="shared" si="21"/>
        <v>0.90538231031683081</v>
      </c>
      <c r="L30" s="384">
        <f>+SUM(Efficiency1!K113:K114)</f>
        <v>44.532471741260863</v>
      </c>
      <c r="M30" s="385">
        <f t="shared" si="22"/>
        <v>1033.2099372171822</v>
      </c>
      <c r="N30" s="384">
        <f>+SUM(Efficiency1!C113:C114)</f>
        <v>44.532471741260863</v>
      </c>
      <c r="O30" s="385">
        <f t="shared" si="22"/>
        <v>1026.096849215304</v>
      </c>
      <c r="P30" s="385">
        <f>'22'!I38</f>
        <v>45.057000000000002</v>
      </c>
      <c r="Q30" s="385">
        <f t="shared" si="23"/>
        <v>960.22099999999989</v>
      </c>
      <c r="R30" s="385">
        <f>'22'!I40</f>
        <v>44.767000000000003</v>
      </c>
      <c r="S30" s="385">
        <f t="shared" si="24"/>
        <v>935.45000000000016</v>
      </c>
      <c r="T30" s="99">
        <f t="shared" si="1"/>
        <v>3777.3497595126541</v>
      </c>
      <c r="U30" s="13">
        <f t="shared" si="25"/>
        <v>87011.819700888882</v>
      </c>
      <c r="V30" s="294">
        <f t="shared" si="26"/>
        <v>83.834914874773148</v>
      </c>
      <c r="W30" s="294">
        <f t="shared" si="27"/>
        <v>90.616451526147515</v>
      </c>
      <c r="X30" s="295">
        <f t="shared" si="28"/>
        <v>84.377996281025176</v>
      </c>
      <c r="Y30" s="294">
        <f t="shared" si="29"/>
        <v>93.016002673460761</v>
      </c>
      <c r="Z30" s="387">
        <v>59.1</v>
      </c>
      <c r="AA30" s="386">
        <f t="shared" si="30"/>
        <v>1247.5999999999999</v>
      </c>
      <c r="AB30" s="389">
        <f t="shared" si="2"/>
        <v>1.3116718822824422</v>
      </c>
      <c r="AC30" s="389">
        <f t="shared" si="3"/>
        <v>1.2992842272768457</v>
      </c>
      <c r="AD30" s="384">
        <f t="shared" si="4"/>
        <v>1.3201688743940849</v>
      </c>
      <c r="AE30" s="389">
        <f t="shared" si="5"/>
        <v>1.3336896680741885</v>
      </c>
      <c r="AF30" s="388">
        <f>'22'!I46</f>
        <v>37575.120000001094</v>
      </c>
      <c r="AG30" s="386">
        <f t="shared" si="31"/>
        <v>811219.54000000108</v>
      </c>
      <c r="AH30" s="389">
        <f t="shared" si="6"/>
        <v>833.94633464281014</v>
      </c>
      <c r="AI30" s="389">
        <f t="shared" si="7"/>
        <v>844.82586821158998</v>
      </c>
      <c r="AJ30" s="389">
        <f t="shared" si="8"/>
        <v>839.34862733712544</v>
      </c>
      <c r="AK30" s="389">
        <f t="shared" si="9"/>
        <v>867.1971136886001</v>
      </c>
      <c r="AL30" s="479">
        <v>3991.9</v>
      </c>
      <c r="AM30" s="445">
        <v>4909.8999999999996</v>
      </c>
      <c r="AN30" s="445">
        <v>3967.9</v>
      </c>
      <c r="AO30" s="445">
        <f t="shared" si="40"/>
        <v>12869.699999999999</v>
      </c>
      <c r="AP30" s="591">
        <f>+[1]Aug!N25</f>
        <v>12178</v>
      </c>
      <c r="AQ30" s="477">
        <f t="shared" si="10"/>
        <v>-691.69999999999891</v>
      </c>
      <c r="AR30" s="448">
        <f>+AL30/AO30</f>
        <v>0.31017817043132323</v>
      </c>
      <c r="AS30" s="448">
        <f t="shared" si="12"/>
        <v>0.38150850447174373</v>
      </c>
      <c r="AT30" s="448">
        <f t="shared" si="33"/>
        <v>0.30831332509693304</v>
      </c>
      <c r="AU30" s="448">
        <f t="shared" si="34"/>
        <v>-214.55024048734595</v>
      </c>
      <c r="AV30" s="448">
        <f t="shared" si="35"/>
        <v>-263.8894325431047</v>
      </c>
      <c r="AW30" s="448">
        <f t="shared" si="39"/>
        <v>-213.26032696954826</v>
      </c>
      <c r="AX30" s="448">
        <f>+AL30+AU30</f>
        <v>3777.3497595126541</v>
      </c>
      <c r="AY30" s="390">
        <f t="shared" si="14"/>
        <v>4646.0105674568949</v>
      </c>
      <c r="AZ30" s="390">
        <f t="shared" si="15"/>
        <v>3754.6396730304518</v>
      </c>
      <c r="BA30" s="384">
        <f>++SUM(Efficiency2!K113:K114)</f>
        <v>44.532471741260863</v>
      </c>
      <c r="BB30" s="385">
        <f t="shared" si="36"/>
        <v>1033.2099372171822</v>
      </c>
      <c r="BC30" s="410">
        <f t="shared" si="37"/>
        <v>1.0052664550061756</v>
      </c>
      <c r="BD30" s="410">
        <f t="shared" si="38"/>
        <v>0.90538231031683081</v>
      </c>
    </row>
    <row r="31" spans="1:56" s="390" customFormat="1" ht="12.75" customHeight="1">
      <c r="A31" s="404">
        <f t="shared" si="16"/>
        <v>45892</v>
      </c>
      <c r="B31" s="413" t="s">
        <v>409</v>
      </c>
      <c r="C31" s="391" t="s">
        <v>583</v>
      </c>
      <c r="D31" s="383">
        <f>+'23'!F42</f>
        <v>1230</v>
      </c>
      <c r="E31" s="383">
        <f>+'23'!G42</f>
        <v>955.29999999999984</v>
      </c>
      <c r="F31" s="47">
        <f t="shared" si="0"/>
        <v>0.22333333333333349</v>
      </c>
      <c r="G31" s="409">
        <f t="shared" si="17"/>
        <v>0.98782589641421292</v>
      </c>
      <c r="H31" s="405">
        <f t="shared" si="18"/>
        <v>0.98782589641421292</v>
      </c>
      <c r="I31" s="405">
        <f t="shared" si="19"/>
        <v>0.91967439717401323</v>
      </c>
      <c r="J31" s="410">
        <f t="shared" si="20"/>
        <v>0.90847818579762052</v>
      </c>
      <c r="K31" s="410">
        <f t="shared" si="21"/>
        <v>0.90551464907843149</v>
      </c>
      <c r="L31" s="384">
        <f>+Efficiency1!K117</f>
        <v>46.138697279999988</v>
      </c>
      <c r="M31" s="385">
        <f t="shared" si="22"/>
        <v>1079.3486344971823</v>
      </c>
      <c r="N31" s="384">
        <f>+Efficiency1!C117</f>
        <v>46.138697279999988</v>
      </c>
      <c r="O31" s="385">
        <f t="shared" si="22"/>
        <v>1072.2355464953041</v>
      </c>
      <c r="P31" s="385">
        <f>'23'!I38</f>
        <v>45.576999999999998</v>
      </c>
      <c r="Q31" s="385">
        <f t="shared" si="23"/>
        <v>1005.7979999999999</v>
      </c>
      <c r="R31" s="385">
        <f>'23'!I40</f>
        <v>41.915999999999997</v>
      </c>
      <c r="S31" s="385">
        <f t="shared" si="24"/>
        <v>977.36600000000021</v>
      </c>
      <c r="T31" s="99">
        <f t="shared" si="1"/>
        <v>4005.5209420136894</v>
      </c>
      <c r="U31" s="13">
        <f t="shared" si="25"/>
        <v>91017.340642902578</v>
      </c>
      <c r="V31" s="294">
        <f t="shared" si="26"/>
        <v>87.884699344267716</v>
      </c>
      <c r="W31" s="294">
        <f t="shared" si="27"/>
        <v>90.492664176010081</v>
      </c>
      <c r="X31" s="295">
        <f t="shared" si="28"/>
        <v>95.56066757356831</v>
      </c>
      <c r="Y31" s="294">
        <f t="shared" si="29"/>
        <v>93.125134947299742</v>
      </c>
      <c r="Z31" s="387">
        <v>59.7</v>
      </c>
      <c r="AA31" s="386">
        <f t="shared" si="30"/>
        <v>1307.3</v>
      </c>
      <c r="AB31" s="389">
        <f t="shared" si="2"/>
        <v>1.3098712069684271</v>
      </c>
      <c r="AC31" s="389">
        <f t="shared" si="3"/>
        <v>1.2997639685105757</v>
      </c>
      <c r="AD31" s="384">
        <f t="shared" si="4"/>
        <v>1.4242771256799314</v>
      </c>
      <c r="AE31" s="389">
        <f t="shared" si="5"/>
        <v>1.3375746649668596</v>
      </c>
      <c r="AF31" s="388">
        <f>'23'!I46</f>
        <v>37109.539999999273</v>
      </c>
      <c r="AG31" s="386">
        <f t="shared" si="31"/>
        <v>848329.08000000031</v>
      </c>
      <c r="AH31" s="389">
        <f t="shared" si="6"/>
        <v>814.21638106938315</v>
      </c>
      <c r="AI31" s="389">
        <f t="shared" si="7"/>
        <v>843.43882171171595</v>
      </c>
      <c r="AJ31" s="389">
        <f t="shared" si="8"/>
        <v>885.33113846739366</v>
      </c>
      <c r="AK31" s="389">
        <f t="shared" si="9"/>
        <v>867.97482212395369</v>
      </c>
      <c r="AL31" s="444">
        <v>4258.8999999999996</v>
      </c>
      <c r="AM31" s="445">
        <v>4911.8</v>
      </c>
      <c r="AN31" s="445">
        <v>4094.5</v>
      </c>
      <c r="AO31" s="445">
        <f>SUM(AL31:AN31)</f>
        <v>13265.2</v>
      </c>
      <c r="AP31" s="591">
        <f>+[1]Aug!N26</f>
        <v>12476</v>
      </c>
      <c r="AQ31" s="477">
        <f t="shared" si="10"/>
        <v>-789.20000000000073</v>
      </c>
      <c r="AR31" s="448">
        <f>+AL31/AO31</f>
        <v>0.3210581069263938</v>
      </c>
      <c r="AS31" s="448">
        <f t="shared" si="12"/>
        <v>0.37027711606308233</v>
      </c>
      <c r="AT31" s="448">
        <f t="shared" si="33"/>
        <v>0.30866477701052386</v>
      </c>
      <c r="AU31" s="448">
        <f t="shared" si="34"/>
        <v>-253.37905798631022</v>
      </c>
      <c r="AV31" s="448">
        <f t="shared" si="35"/>
        <v>-292.22269999698483</v>
      </c>
      <c r="AW31" s="448">
        <f t="shared" si="39"/>
        <v>-243.59824201670565</v>
      </c>
      <c r="AX31" s="448">
        <f>+AL31+AU31</f>
        <v>4005.5209420136894</v>
      </c>
      <c r="AY31" s="390">
        <f t="shared" si="14"/>
        <v>4619.5773000030149</v>
      </c>
      <c r="AZ31" s="390">
        <f t="shared" si="15"/>
        <v>3850.9017579832944</v>
      </c>
      <c r="BA31" s="384">
        <f>+Efficiency2!K117</f>
        <v>46.138697279999988</v>
      </c>
      <c r="BB31" s="385">
        <f t="shared" si="36"/>
        <v>1079.3486344971823</v>
      </c>
      <c r="BC31" s="410">
        <f t="shared" si="37"/>
        <v>0.90847818579762052</v>
      </c>
      <c r="BD31" s="410">
        <f t="shared" si="38"/>
        <v>0.90551464907843149</v>
      </c>
    </row>
    <row r="32" spans="1:56" s="390" customFormat="1" ht="12.75" customHeight="1">
      <c r="A32" s="404">
        <f t="shared" si="16"/>
        <v>45893</v>
      </c>
      <c r="B32" s="413" t="s">
        <v>409</v>
      </c>
      <c r="C32" s="391" t="s">
        <v>583</v>
      </c>
      <c r="D32" s="383">
        <f>+'24'!F42</f>
        <v>1230</v>
      </c>
      <c r="E32" s="383">
        <f>+'24'!G42</f>
        <v>959.4</v>
      </c>
      <c r="F32" s="47">
        <f t="shared" si="0"/>
        <v>0.21999999999999997</v>
      </c>
      <c r="G32" s="409">
        <f t="shared" si="17"/>
        <v>0.95289443101302262</v>
      </c>
      <c r="H32" s="405">
        <f t="shared" si="18"/>
        <v>0.95289443101302262</v>
      </c>
      <c r="I32" s="405">
        <f t="shared" si="19"/>
        <v>1.0157403632739956</v>
      </c>
      <c r="J32" s="410">
        <f t="shared" si="20"/>
        <v>0.96789333551893486</v>
      </c>
      <c r="K32" s="410">
        <f t="shared" si="21"/>
        <v>0.90808235022413608</v>
      </c>
      <c r="L32" s="384">
        <f>+Efficiency1!K122</f>
        <v>46.336717439999994</v>
      </c>
      <c r="M32" s="385">
        <f t="shared" si="22"/>
        <v>1125.6853519371823</v>
      </c>
      <c r="N32" s="384">
        <f>+Efficiency1!C122</f>
        <v>46.336717439999994</v>
      </c>
      <c r="O32" s="385">
        <f t="shared" si="22"/>
        <v>1118.5722639353041</v>
      </c>
      <c r="P32" s="385">
        <f>'24'!I38</f>
        <v>44.153999999999996</v>
      </c>
      <c r="Q32" s="385">
        <f t="shared" si="23"/>
        <v>1049.9519999999998</v>
      </c>
      <c r="R32" s="385">
        <f>'24'!I40</f>
        <v>44.848999999999997</v>
      </c>
      <c r="S32" s="385">
        <f t="shared" si="24"/>
        <v>1022.2150000000003</v>
      </c>
      <c r="T32" s="99">
        <f t="shared" si="1"/>
        <v>3983.3025099075294</v>
      </c>
      <c r="U32" s="13">
        <f t="shared" si="25"/>
        <v>95000.643152810109</v>
      </c>
      <c r="V32" s="294">
        <f t="shared" si="26"/>
        <v>90.213854008867372</v>
      </c>
      <c r="W32" s="294">
        <f t="shared" si="27"/>
        <v>90.480939274185985</v>
      </c>
      <c r="X32" s="295">
        <f t="shared" si="28"/>
        <v>88.815860106301798</v>
      </c>
      <c r="Y32" s="294">
        <f t="shared" si="29"/>
        <v>92.936068393449602</v>
      </c>
      <c r="Z32" s="387">
        <v>60.1</v>
      </c>
      <c r="AA32" s="386">
        <f t="shared" si="30"/>
        <v>1367.3999999999999</v>
      </c>
      <c r="AB32" s="389">
        <f t="shared" si="2"/>
        <v>1.3611450831181775</v>
      </c>
      <c r="AC32" s="389">
        <f t="shared" si="3"/>
        <v>1.3023452500685748</v>
      </c>
      <c r="AD32" s="384">
        <f t="shared" si="4"/>
        <v>1.3400521750763674</v>
      </c>
      <c r="AE32" s="389">
        <f t="shared" si="5"/>
        <v>1.3376833640672456</v>
      </c>
      <c r="AF32" s="388">
        <f>+'24'!I46</f>
        <v>36643.119999999639</v>
      </c>
      <c r="AG32" s="386">
        <f t="shared" si="31"/>
        <v>884972.2</v>
      </c>
      <c r="AH32" s="389">
        <f t="shared" si="6"/>
        <v>829.89355437785116</v>
      </c>
      <c r="AI32" s="389">
        <f t="shared" si="7"/>
        <v>842.8691978299961</v>
      </c>
      <c r="AJ32" s="389">
        <f t="shared" si="8"/>
        <v>817.03315570023051</v>
      </c>
      <c r="AK32" s="389">
        <f t="shared" si="9"/>
        <v>865.73979055286782</v>
      </c>
      <c r="AL32" s="444">
        <v>4224</v>
      </c>
      <c r="AM32" s="445">
        <v>4952.1000000000004</v>
      </c>
      <c r="AN32" s="445">
        <v>4147.1000000000004</v>
      </c>
      <c r="AO32" s="445">
        <f t="shared" si="40"/>
        <v>13323.2</v>
      </c>
      <c r="AP32" s="591">
        <f>+[1]Aug!N27</f>
        <v>12564</v>
      </c>
      <c r="AQ32" s="477">
        <f t="shared" si="10"/>
        <v>-759.20000000000073</v>
      </c>
      <c r="AR32" s="448">
        <f t="shared" si="11"/>
        <v>0.31704095112285335</v>
      </c>
      <c r="AS32" s="448">
        <f t="shared" si="12"/>
        <v>0.371689984388135</v>
      </c>
      <c r="AT32" s="448">
        <f t="shared" si="33"/>
        <v>0.31126906448901165</v>
      </c>
      <c r="AU32" s="448">
        <f t="shared" si="34"/>
        <v>-240.6974900924705</v>
      </c>
      <c r="AV32" s="448">
        <f t="shared" si="35"/>
        <v>-282.18703614747238</v>
      </c>
      <c r="AW32" s="448">
        <f t="shared" si="39"/>
        <v>-236.31547376005787</v>
      </c>
      <c r="AX32" s="390">
        <f t="shared" si="13"/>
        <v>3983.3025099075294</v>
      </c>
      <c r="AY32" s="390">
        <f t="shared" si="14"/>
        <v>4669.9129638525283</v>
      </c>
      <c r="AZ32" s="390">
        <f t="shared" si="15"/>
        <v>3910.7845262399424</v>
      </c>
      <c r="BA32" s="384">
        <f>+Efficiency2!K122</f>
        <v>46.336717439999994</v>
      </c>
      <c r="BB32" s="385">
        <f t="shared" si="36"/>
        <v>1125.6853519371823</v>
      </c>
      <c r="BC32" s="410">
        <f t="shared" si="37"/>
        <v>0.96789333551893486</v>
      </c>
      <c r="BD32" s="410">
        <f t="shared" si="38"/>
        <v>0.90808235022413608</v>
      </c>
    </row>
    <row r="33" spans="1:56" s="390" customFormat="1" ht="12.75" customHeight="1">
      <c r="A33" s="404">
        <f t="shared" si="16"/>
        <v>45894</v>
      </c>
      <c r="B33" s="413" t="s">
        <v>409</v>
      </c>
      <c r="C33" s="391" t="s">
        <v>583</v>
      </c>
      <c r="D33" s="383">
        <f>+'25'!F42</f>
        <v>1226.8125</v>
      </c>
      <c r="E33" s="383">
        <f>+'25'!G42</f>
        <v>947.37895833333334</v>
      </c>
      <c r="F33" s="47">
        <f t="shared" si="0"/>
        <v>0.22777200400767572</v>
      </c>
      <c r="G33" s="409">
        <f t="shared" si="17"/>
        <v>0.96070187800269458</v>
      </c>
      <c r="H33" s="405">
        <f t="shared" si="18"/>
        <v>0.95821225423348022</v>
      </c>
      <c r="I33" s="405">
        <f t="shared" si="19"/>
        <v>0.93072933254470169</v>
      </c>
      <c r="J33" s="410">
        <f t="shared" si="20"/>
        <v>0.89183625181888104</v>
      </c>
      <c r="K33" s="410">
        <f t="shared" si="21"/>
        <v>0.90744619864028198</v>
      </c>
      <c r="L33" s="384">
        <f>+Efficiency1!K127</f>
        <v>45.875013396863835</v>
      </c>
      <c r="M33" s="385">
        <f t="shared" si="22"/>
        <v>1171.5603653340461</v>
      </c>
      <c r="N33" s="384">
        <f>+Efficiency1!C127</f>
        <v>45.756129978000004</v>
      </c>
      <c r="O33" s="385">
        <f t="shared" si="22"/>
        <v>1164.3283939133041</v>
      </c>
      <c r="P33" s="385">
        <f>'25'!I38</f>
        <v>43.957999999999998</v>
      </c>
      <c r="Q33" s="385">
        <f t="shared" si="23"/>
        <v>1093.9099999999999</v>
      </c>
      <c r="R33" s="385">
        <f>'25'!I40</f>
        <v>40.912999999999997</v>
      </c>
      <c r="S33" s="385">
        <f t="shared" si="24"/>
        <v>1063.1280000000002</v>
      </c>
      <c r="T33" s="99">
        <f t="shared" si="1"/>
        <v>4139.0120938365144</v>
      </c>
      <c r="U33" s="13">
        <f t="shared" si="25"/>
        <v>99139.655246646624</v>
      </c>
      <c r="V33" s="294">
        <f t="shared" si="26"/>
        <v>94.158335088869251</v>
      </c>
      <c r="W33" s="294">
        <f t="shared" si="27"/>
        <v>90.628712825229343</v>
      </c>
      <c r="X33" s="295">
        <f t="shared" si="28"/>
        <v>101.16618419173648</v>
      </c>
      <c r="Y33" s="294">
        <f t="shared" si="29"/>
        <v>93.25279293429071</v>
      </c>
      <c r="Z33" s="387">
        <v>60.7</v>
      </c>
      <c r="AA33" s="386">
        <f t="shared" si="30"/>
        <v>1428.1</v>
      </c>
      <c r="AB33" s="389">
        <f t="shared" si="2"/>
        <v>1.3808635515719552</v>
      </c>
      <c r="AC33" s="389">
        <f t="shared" si="3"/>
        <v>1.3055004525052336</v>
      </c>
      <c r="AD33" s="384">
        <f t="shared" si="4"/>
        <v>1.4836360081147804</v>
      </c>
      <c r="AE33" s="389">
        <f t="shared" si="5"/>
        <v>1.3433001482417919</v>
      </c>
      <c r="AF33" s="388">
        <f>+'25'!I46</f>
        <v>35649.180000001092</v>
      </c>
      <c r="AG33" s="386">
        <f t="shared" si="31"/>
        <v>920621.38000000105</v>
      </c>
      <c r="AH33" s="389">
        <f t="shared" si="6"/>
        <v>810.98275626737097</v>
      </c>
      <c r="AI33" s="389">
        <f t="shared" si="7"/>
        <v>841.58786371822293</v>
      </c>
      <c r="AJ33" s="389">
        <f t="shared" si="8"/>
        <v>871.34113851345762</v>
      </c>
      <c r="AK33" s="389">
        <f t="shared" si="9"/>
        <v>865.95535062570161</v>
      </c>
      <c r="AL33" s="444">
        <v>4257.5</v>
      </c>
      <c r="AM33" s="445">
        <v>5387</v>
      </c>
      <c r="AN33" s="445">
        <v>4081.5</v>
      </c>
      <c r="AO33" s="445">
        <f t="shared" si="40"/>
        <v>13726</v>
      </c>
      <c r="AP33" s="592">
        <f>+[1]Aug!N28</f>
        <v>13344</v>
      </c>
      <c r="AQ33" s="477">
        <f t="shared" si="10"/>
        <v>-382</v>
      </c>
      <c r="AR33" s="448">
        <f t="shared" si="11"/>
        <v>0.31017776482587789</v>
      </c>
      <c r="AS33" s="448">
        <f t="shared" si="12"/>
        <v>0.39246685123123998</v>
      </c>
      <c r="AT33" s="448">
        <f t="shared" si="33"/>
        <v>0.29735538394288213</v>
      </c>
      <c r="AU33" s="448">
        <f t="shared" si="34"/>
        <v>-118.48790616348535</v>
      </c>
      <c r="AV33" s="448">
        <f t="shared" si="35"/>
        <v>-149.92233717033366</v>
      </c>
      <c r="AW33" s="448">
        <f>+AT33*AQ33</f>
        <v>-113.58975666618097</v>
      </c>
      <c r="AX33" s="390">
        <f t="shared" si="13"/>
        <v>4139.0120938365144</v>
      </c>
      <c r="AY33" s="390">
        <f t="shared" si="14"/>
        <v>5237.0776628296662</v>
      </c>
      <c r="AZ33" s="390">
        <f t="shared" si="15"/>
        <v>3967.9102433338189</v>
      </c>
      <c r="BA33" s="384">
        <f>+Efficiency2!K127</f>
        <v>45.875013396863835</v>
      </c>
      <c r="BB33" s="385">
        <f t="shared" si="36"/>
        <v>1171.5603653340461</v>
      </c>
      <c r="BC33" s="410">
        <f t="shared" si="37"/>
        <v>0.89183625181888104</v>
      </c>
      <c r="BD33" s="410">
        <f t="shared" si="38"/>
        <v>0.90744619864028198</v>
      </c>
    </row>
    <row r="34" spans="1:56" s="390" customFormat="1" ht="12.75" customHeight="1">
      <c r="A34" s="404">
        <f t="shared" si="16"/>
        <v>45895</v>
      </c>
      <c r="B34" s="413" t="s">
        <v>488</v>
      </c>
      <c r="C34" s="408" t="s">
        <v>534</v>
      </c>
      <c r="D34" s="383">
        <f>+'26'!F42</f>
        <v>1218.0277777777778</v>
      </c>
      <c r="E34" s="383">
        <f>+'26'!G42</f>
        <v>937.88138888888886</v>
      </c>
      <c r="F34" s="47">
        <f t="shared" si="0"/>
        <v>0.23000000000000009</v>
      </c>
      <c r="G34" s="409">
        <f t="shared" si="17"/>
        <v>0.93728236142148924</v>
      </c>
      <c r="H34" s="405">
        <f t="shared" si="18"/>
        <v>0.92825064768156429</v>
      </c>
      <c r="I34" s="405">
        <f t="shared" si="19"/>
        <v>0.95413041399751397</v>
      </c>
      <c r="J34" s="410">
        <f t="shared" si="20"/>
        <v>0.88567217476587146</v>
      </c>
      <c r="K34" s="410">
        <f t="shared" si="21"/>
        <v>0.90663958597811156</v>
      </c>
      <c r="L34" s="384">
        <f>+SUM(Efficiency1!K132:K133)</f>
        <v>45.069723468000007</v>
      </c>
      <c r="M34" s="385">
        <f t="shared" si="22"/>
        <v>1216.630088802046</v>
      </c>
      <c r="N34" s="384">
        <f>+SUM(Efficiency1!C132:C133)</f>
        <v>44.635428684000011</v>
      </c>
      <c r="O34" s="385">
        <f t="shared" si="22"/>
        <v>1208.9638225973042</v>
      </c>
      <c r="P34" s="385">
        <f>'26'!I38</f>
        <v>41.836000000000006</v>
      </c>
      <c r="Q34" s="385">
        <f t="shared" si="23"/>
        <v>1135.7459999999999</v>
      </c>
      <c r="R34" s="385">
        <f>'26'!I40</f>
        <v>39.917000000000002</v>
      </c>
      <c r="S34" s="385">
        <f t="shared" si="24"/>
        <v>1103.0450000000001</v>
      </c>
      <c r="T34" s="99">
        <f t="shared" si="1"/>
        <v>4099.3081456365544</v>
      </c>
      <c r="U34" s="13">
        <f t="shared" si="25"/>
        <v>103238.96339228319</v>
      </c>
      <c r="V34" s="294">
        <f t="shared" si="26"/>
        <v>97.985183708685199</v>
      </c>
      <c r="W34" s="294">
        <f t="shared" si="27"/>
        <v>90.899693586667439</v>
      </c>
      <c r="X34" s="295">
        <f t="shared" si="28"/>
        <v>102.69579742056152</v>
      </c>
      <c r="Y34" s="294">
        <f t="shared" si="29"/>
        <v>93.594516445188702</v>
      </c>
      <c r="Z34" s="387">
        <v>59.9</v>
      </c>
      <c r="AA34" s="386">
        <f t="shared" si="30"/>
        <v>1488</v>
      </c>
      <c r="AB34" s="389">
        <f t="shared" si="2"/>
        <v>1.4317812410364277</v>
      </c>
      <c r="AC34" s="389">
        <f t="shared" si="3"/>
        <v>1.3101520938660582</v>
      </c>
      <c r="AD34" s="384">
        <f t="shared" si="4"/>
        <v>1.5006137735801788</v>
      </c>
      <c r="AE34" s="389">
        <f t="shared" si="5"/>
        <v>1.3489930147908742</v>
      </c>
      <c r="AF34" s="388">
        <f>'26'!I46</f>
        <v>37913.06</v>
      </c>
      <c r="AG34" s="386">
        <f t="shared" si="31"/>
        <v>958534.44000000111</v>
      </c>
      <c r="AH34" s="389">
        <f t="shared" si="6"/>
        <v>906.23051917009252</v>
      </c>
      <c r="AI34" s="389">
        <f t="shared" si="7"/>
        <v>843.96902124242683</v>
      </c>
      <c r="AJ34" s="389">
        <f t="shared" si="8"/>
        <v>949.79732945862656</v>
      </c>
      <c r="AK34" s="389">
        <f t="shared" si="9"/>
        <v>868.98942472881993</v>
      </c>
      <c r="AL34" s="444">
        <v>4147</v>
      </c>
      <c r="AM34" s="445">
        <v>5413</v>
      </c>
      <c r="AN34" s="445">
        <v>4065.7</v>
      </c>
      <c r="AO34" s="445">
        <v>13625.7</v>
      </c>
      <c r="AP34" s="593">
        <f>+[1]Aug!N29</f>
        <v>13469</v>
      </c>
      <c r="AQ34" s="477">
        <f t="shared" si="10"/>
        <v>-156.70000000000073</v>
      </c>
      <c r="AR34" s="448">
        <f t="shared" si="11"/>
        <v>0.30435133607814641</v>
      </c>
      <c r="AS34" s="448">
        <f t="shared" si="12"/>
        <v>0.39726399377646648</v>
      </c>
      <c r="AT34" s="448">
        <f t="shared" si="33"/>
        <v>0.29838467014538705</v>
      </c>
      <c r="AU34" s="448">
        <f t="shared" si="34"/>
        <v>-47.691854363445763</v>
      </c>
      <c r="AV34" s="448">
        <f t="shared" si="35"/>
        <v>-62.25126782477259</v>
      </c>
      <c r="AW34" s="448">
        <f>+AT34*AQ34</f>
        <v>-46.756877811782367</v>
      </c>
      <c r="AX34" s="390">
        <f t="shared" si="13"/>
        <v>4099.3081456365544</v>
      </c>
      <c r="AY34" s="390">
        <f t="shared" si="14"/>
        <v>5350.7487321752278</v>
      </c>
      <c r="AZ34" s="390">
        <f t="shared" si="15"/>
        <v>4018.9431221882173</v>
      </c>
      <c r="BA34" s="384">
        <f>+SUM(Efficiency2!K132:K133)</f>
        <v>45.069723468000007</v>
      </c>
      <c r="BB34" s="385">
        <f t="shared" si="36"/>
        <v>1216.630088802046</v>
      </c>
      <c r="BC34" s="410">
        <f t="shared" si="37"/>
        <v>0.88567217476587146</v>
      </c>
      <c r="BD34" s="410">
        <f t="shared" si="38"/>
        <v>0.90663958597811156</v>
      </c>
    </row>
    <row r="35" spans="1:56" s="390" customFormat="1" ht="12.75" customHeight="1">
      <c r="A35" s="404">
        <f t="shared" si="16"/>
        <v>45896</v>
      </c>
      <c r="B35" s="413" t="s">
        <v>490</v>
      </c>
      <c r="C35" s="408" t="s">
        <v>510</v>
      </c>
      <c r="D35" s="383">
        <f>+'27'!F42</f>
        <v>1229.8402777777778</v>
      </c>
      <c r="E35" s="383">
        <f>+'27'!G42</f>
        <v>946.97701388888879</v>
      </c>
      <c r="F35" s="47">
        <f t="shared" si="0"/>
        <v>0.23000000000000009</v>
      </c>
      <c r="G35" s="409">
        <f t="shared" si="17"/>
        <v>0.98191370937636857</v>
      </c>
      <c r="H35" s="405">
        <f t="shared" si="18"/>
        <v>0.98178620251483018</v>
      </c>
      <c r="I35" s="405">
        <f t="shared" si="19"/>
        <v>0.95725971852236036</v>
      </c>
      <c r="J35" s="410">
        <f t="shared" si="20"/>
        <v>0.93982438386848344</v>
      </c>
      <c r="K35" s="410">
        <f t="shared" si="21"/>
        <v>0.90777765513332431</v>
      </c>
      <c r="L35" s="384">
        <f>+Efficiency1!K137</f>
        <v>43.20594432</v>
      </c>
      <c r="M35" s="385">
        <f t="shared" si="22"/>
        <v>1259.836033122046</v>
      </c>
      <c r="N35" s="384">
        <f>+Efficiency1!C137</f>
        <v>43.200333791999995</v>
      </c>
      <c r="O35" s="385">
        <f t="shared" si="22"/>
        <v>1252.1641563893043</v>
      </c>
      <c r="P35" s="385">
        <f>'27'!I38</f>
        <v>42.418999999999997</v>
      </c>
      <c r="Q35" s="385">
        <f t="shared" si="23"/>
        <v>1178.165</v>
      </c>
      <c r="R35" s="385">
        <f>'27'!I40</f>
        <v>40.606000000000002</v>
      </c>
      <c r="S35" s="385">
        <f t="shared" si="24"/>
        <v>1143.6510000000001</v>
      </c>
      <c r="T35" s="99">
        <f t="shared" si="1"/>
        <v>4095.151346339348</v>
      </c>
      <c r="U35" s="13">
        <f t="shared" si="25"/>
        <v>107334.11473862253</v>
      </c>
      <c r="V35" s="294">
        <f t="shared" si="26"/>
        <v>96.540497096568714</v>
      </c>
      <c r="W35" s="294">
        <f t="shared" si="27"/>
        <v>91.10278673922798</v>
      </c>
      <c r="X35" s="295">
        <f t="shared" si="28"/>
        <v>100.85089263506249</v>
      </c>
      <c r="Y35" s="294">
        <f t="shared" si="29"/>
        <v>93.852158340807236</v>
      </c>
      <c r="Z35" s="387">
        <v>57.5</v>
      </c>
      <c r="AA35" s="386">
        <f t="shared" si="30"/>
        <v>1545.5</v>
      </c>
      <c r="AB35" s="389">
        <f t="shared" si="2"/>
        <v>1.3555246469742332</v>
      </c>
      <c r="AC35" s="389">
        <f t="shared" si="3"/>
        <v>1.3117857006446465</v>
      </c>
      <c r="AD35" s="384">
        <f t="shared" si="4"/>
        <v>1.4160468896222234</v>
      </c>
      <c r="AE35" s="389">
        <f t="shared" si="5"/>
        <v>1.3513738019728045</v>
      </c>
      <c r="AF35" s="388">
        <f>'27'!I46</f>
        <v>34560.620000000366</v>
      </c>
      <c r="AG35" s="386">
        <f t="shared" si="31"/>
        <v>993095.06000000145</v>
      </c>
      <c r="AH35" s="389">
        <f t="shared" si="6"/>
        <v>814.7438647775848</v>
      </c>
      <c r="AI35" s="389">
        <f t="shared" si="7"/>
        <v>842.91679009306972</v>
      </c>
      <c r="AJ35" s="389">
        <f t="shared" si="8"/>
        <v>851.12101659854125</v>
      </c>
      <c r="AK35" s="389">
        <f t="shared" si="9"/>
        <v>868.35499641061949</v>
      </c>
      <c r="AL35" s="475">
        <v>4019.5</v>
      </c>
      <c r="AM35" s="445">
        <v>5402.3</v>
      </c>
      <c r="AN35" s="445">
        <v>3951.5</v>
      </c>
      <c r="AO35" s="445">
        <f t="shared" si="40"/>
        <v>13373.3</v>
      </c>
      <c r="AP35" s="595">
        <f>+[1]Aug!N30</f>
        <v>13625</v>
      </c>
      <c r="AQ35" s="477">
        <f t="shared" si="10"/>
        <v>251.70000000000073</v>
      </c>
      <c r="AR35" s="448">
        <f t="shared" si="11"/>
        <v>0.30056156670380535</v>
      </c>
      <c r="AS35" s="448">
        <f t="shared" si="12"/>
        <v>0.4039616250289757</v>
      </c>
      <c r="AT35" s="448">
        <f t="shared" si="33"/>
        <v>0.295476808267219</v>
      </c>
      <c r="AU35" s="448">
        <f t="shared" si="34"/>
        <v>75.651346339348024</v>
      </c>
      <c r="AV35" s="448">
        <f t="shared" si="35"/>
        <v>101.67714101979348</v>
      </c>
      <c r="AW35" s="448">
        <f>+AT35*AQ35</f>
        <v>74.371512640859237</v>
      </c>
      <c r="AX35" s="390">
        <f t="shared" si="13"/>
        <v>4095.151346339348</v>
      </c>
      <c r="AY35" s="390">
        <f t="shared" si="14"/>
        <v>5503.9771410197936</v>
      </c>
      <c r="AZ35" s="390">
        <f t="shared" si="15"/>
        <v>4025.8715126408592</v>
      </c>
      <c r="BA35" s="384">
        <f>+Efficiency2!K137</f>
        <v>43.20594432</v>
      </c>
      <c r="BB35" s="385">
        <f t="shared" si="36"/>
        <v>1259.836033122046</v>
      </c>
      <c r="BC35" s="410">
        <f t="shared" si="37"/>
        <v>0.93982438386848344</v>
      </c>
      <c r="BD35" s="410">
        <f t="shared" si="38"/>
        <v>0.90777765513332431</v>
      </c>
    </row>
    <row r="36" spans="1:56" s="390" customFormat="1" ht="12.75" customHeight="1">
      <c r="A36" s="404">
        <f t="shared" si="16"/>
        <v>45897</v>
      </c>
      <c r="B36" s="413" t="s">
        <v>490</v>
      </c>
      <c r="C36" s="408" t="s">
        <v>510</v>
      </c>
      <c r="D36" s="383">
        <f>+'28'!F42</f>
        <v>1216.4722222222222</v>
      </c>
      <c r="E36" s="383">
        <f>+'28'!G42</f>
        <v>936.68361111111108</v>
      </c>
      <c r="F36" s="47">
        <f t="shared" si="0"/>
        <v>0.22999999999999998</v>
      </c>
      <c r="G36" s="409">
        <f t="shared" si="17"/>
        <v>0.9178382748642987</v>
      </c>
      <c r="H36" s="405">
        <f t="shared" si="18"/>
        <v>0.90774371208519034</v>
      </c>
      <c r="I36" s="405">
        <f t="shared" si="19"/>
        <v>1.0177624872579001</v>
      </c>
      <c r="J36" s="410">
        <f t="shared" si="20"/>
        <v>0.92386749820454228</v>
      </c>
      <c r="K36" s="410">
        <f t="shared" si="21"/>
        <v>0.90831142220689443</v>
      </c>
      <c r="L36" s="384">
        <f>+Efficiency1!K142</f>
        <v>43.228060384864875</v>
      </c>
      <c r="M36" s="385">
        <f t="shared" si="22"/>
        <v>1303.0640935069109</v>
      </c>
      <c r="N36" s="384">
        <f>+Efficiency1!C142</f>
        <v>42.752629820108112</v>
      </c>
      <c r="O36" s="385">
        <f t="shared" si="22"/>
        <v>1294.9167862094123</v>
      </c>
      <c r="P36" s="385">
        <f>'28'!I38</f>
        <v>39.24</v>
      </c>
      <c r="Q36" s="385">
        <f t="shared" si="23"/>
        <v>1217.405</v>
      </c>
      <c r="R36" s="385">
        <f>'28'!I40</f>
        <v>39.936999999999998</v>
      </c>
      <c r="S36" s="385">
        <f t="shared" si="24"/>
        <v>1183.588</v>
      </c>
      <c r="T36" s="99">
        <f t="shared" si="1"/>
        <v>3288.1688244857778</v>
      </c>
      <c r="U36" s="13">
        <f t="shared" si="25"/>
        <v>110622.28356310831</v>
      </c>
      <c r="V36" s="294">
        <f t="shared" si="26"/>
        <v>83.79635128658964</v>
      </c>
      <c r="W36" s="294">
        <f t="shared" si="27"/>
        <v>90.867282098486797</v>
      </c>
      <c r="X36" s="295">
        <f t="shared" si="28"/>
        <v>82.333896499130574</v>
      </c>
      <c r="Y36" s="294">
        <f t="shared" si="29"/>
        <v>93.463505512989585</v>
      </c>
      <c r="Z36" s="387">
        <v>56.9</v>
      </c>
      <c r="AA36" s="386">
        <f t="shared" si="30"/>
        <v>1602.4</v>
      </c>
      <c r="AB36" s="389">
        <f t="shared" si="2"/>
        <v>1.4500509683995921</v>
      </c>
      <c r="AC36" s="389">
        <f t="shared" si="3"/>
        <v>1.3162423351308727</v>
      </c>
      <c r="AD36" s="384">
        <f t="shared" si="4"/>
        <v>1.424743971755515</v>
      </c>
      <c r="AE36" s="389">
        <f t="shared" si="5"/>
        <v>1.3538494814073818</v>
      </c>
      <c r="AF36" s="388">
        <f>'28'!I46</f>
        <v>35104.599999999635</v>
      </c>
      <c r="AG36" s="386">
        <f t="shared" si="31"/>
        <v>1028199.6600000011</v>
      </c>
      <c r="AH36" s="389">
        <f t="shared" si="6"/>
        <v>894.61264016308962</v>
      </c>
      <c r="AI36" s="389">
        <f t="shared" si="7"/>
        <v>844.5830762975354</v>
      </c>
      <c r="AJ36" s="389">
        <f t="shared" si="8"/>
        <v>878.99942409293726</v>
      </c>
      <c r="AK36" s="389">
        <f t="shared" si="9"/>
        <v>868.71416405032915</v>
      </c>
      <c r="AL36" s="444">
        <v>4002.7</v>
      </c>
      <c r="AM36" s="480">
        <v>5460.9</v>
      </c>
      <c r="AN36" s="445">
        <v>3945</v>
      </c>
      <c r="AO36" s="445">
        <f t="shared" si="40"/>
        <v>13408.599999999999</v>
      </c>
      <c r="AP36" s="596">
        <f>+[1]Aug!N31</f>
        <v>11015</v>
      </c>
      <c r="AQ36" s="477">
        <f t="shared" si="10"/>
        <v>-2393.5999999999985</v>
      </c>
      <c r="AR36" s="448">
        <f t="shared" si="11"/>
        <v>0.29851736944945784</v>
      </c>
      <c r="AS36" s="448">
        <f t="shared" si="12"/>
        <v>0.4072684694897305</v>
      </c>
      <c r="AT36" s="448">
        <f t="shared" si="33"/>
        <v>0.29421416106081166</v>
      </c>
      <c r="AU36" s="448">
        <f>+AR36*AQ36</f>
        <v>-714.5311755142219</v>
      </c>
      <c r="AV36" s="448">
        <f t="shared" si="35"/>
        <v>-974.83780857061834</v>
      </c>
      <c r="AW36" s="448">
        <f>+AT36*AQ36</f>
        <v>-704.23101591515842</v>
      </c>
      <c r="AX36" s="390">
        <f t="shared" si="13"/>
        <v>3288.1688244857778</v>
      </c>
      <c r="AY36" s="390">
        <f t="shared" si="14"/>
        <v>4486.0621914293815</v>
      </c>
      <c r="AZ36" s="390">
        <f t="shared" si="15"/>
        <v>3240.7689840848416</v>
      </c>
      <c r="BA36" s="384">
        <f>+Efficiency2!K142</f>
        <v>43.228060384864875</v>
      </c>
      <c r="BB36" s="385">
        <f t="shared" si="36"/>
        <v>1303.0640935069109</v>
      </c>
      <c r="BC36" s="410">
        <f t="shared" si="37"/>
        <v>0.92386749820454228</v>
      </c>
      <c r="BD36" s="410">
        <f t="shared" si="38"/>
        <v>0.90831142220689443</v>
      </c>
    </row>
    <row r="37" spans="1:56" s="390" customFormat="1" ht="12.75" customHeight="1">
      <c r="A37" s="404">
        <f t="shared" si="16"/>
        <v>45898</v>
      </c>
      <c r="B37" s="413" t="s">
        <v>490</v>
      </c>
      <c r="C37" s="408" t="s">
        <v>528</v>
      </c>
      <c r="D37" s="383">
        <f>+'29'!F42</f>
        <v>1230</v>
      </c>
      <c r="E37" s="383">
        <f>+'29'!G42</f>
        <v>947.0999999999998</v>
      </c>
      <c r="F37" s="47">
        <f t="shared" si="0"/>
        <v>0.2300000000000002</v>
      </c>
      <c r="G37" s="409">
        <f t="shared" si="17"/>
        <v>0.90792976061768937</v>
      </c>
      <c r="H37" s="405">
        <f t="shared" si="18"/>
        <v>0.90160528188388511</v>
      </c>
      <c r="I37" s="405">
        <f t="shared" si="19"/>
        <v>0.91344821719369029</v>
      </c>
      <c r="J37" s="410">
        <f t="shared" si="20"/>
        <v>0.82356973734924943</v>
      </c>
      <c r="K37" s="410">
        <f t="shared" si="21"/>
        <v>0.90544419463105841</v>
      </c>
      <c r="L37" s="384">
        <f>+SUM(Efficiency1!K147:K148)</f>
        <v>45.633051210650159</v>
      </c>
      <c r="M37" s="385">
        <f t="shared" si="22"/>
        <v>1348.6971447175611</v>
      </c>
      <c r="N37" s="384">
        <f>+SUM(Efficiency1!C147:C148)</f>
        <v>45.315179416532501</v>
      </c>
      <c r="O37" s="385">
        <f t="shared" si="22"/>
        <v>1340.2319656259449</v>
      </c>
      <c r="P37" s="385">
        <f>'29'!I38</f>
        <v>41.143000000000001</v>
      </c>
      <c r="Q37" s="385">
        <f t="shared" si="23"/>
        <v>1258.548</v>
      </c>
      <c r="R37" s="385">
        <f>'29'!I40</f>
        <v>37.582000000000001</v>
      </c>
      <c r="S37" s="385">
        <f t="shared" si="24"/>
        <v>1221.17</v>
      </c>
      <c r="T37" s="99">
        <f t="shared" si="1"/>
        <v>3948.117088750962</v>
      </c>
      <c r="U37" s="13">
        <f t="shared" si="25"/>
        <v>114570.40065185928</v>
      </c>
      <c r="V37" s="294">
        <f t="shared" si="26"/>
        <v>95.960846043092673</v>
      </c>
      <c r="W37" s="294">
        <f t="shared" si="27"/>
        <v>91.033795017638809</v>
      </c>
      <c r="X37" s="295">
        <f t="shared" si="28"/>
        <v>105.05340558647656</v>
      </c>
      <c r="Y37" s="294">
        <f t="shared" si="29"/>
        <v>93.820189369096255</v>
      </c>
      <c r="Z37" s="387">
        <v>56</v>
      </c>
      <c r="AA37" s="386">
        <f t="shared" si="30"/>
        <v>1658.4</v>
      </c>
      <c r="AB37" s="389">
        <f t="shared" si="2"/>
        <v>1.3611063850472742</v>
      </c>
      <c r="AC37" s="389">
        <f t="shared" si="3"/>
        <v>1.3177089789185634</v>
      </c>
      <c r="AD37" s="384">
        <f t="shared" si="4"/>
        <v>1.4900750359214516</v>
      </c>
      <c r="AE37" s="389">
        <f t="shared" si="5"/>
        <v>1.3580418778712218</v>
      </c>
      <c r="AF37" s="388">
        <f>'29'!I46</f>
        <v>34260.68</v>
      </c>
      <c r="AG37" s="386">
        <f t="shared" si="31"/>
        <v>1062460.340000001</v>
      </c>
      <c r="AH37" s="389">
        <f t="shared" si="6"/>
        <v>832.7219697153829</v>
      </c>
      <c r="AI37" s="389">
        <f t="shared" si="7"/>
        <v>844.1953266780456</v>
      </c>
      <c r="AJ37" s="389">
        <f t="shared" si="8"/>
        <v>911.62471395881005</v>
      </c>
      <c r="AK37" s="389">
        <f t="shared" si="9"/>
        <v>870.03475355601677</v>
      </c>
      <c r="AL37" s="444">
        <v>4178.7</v>
      </c>
      <c r="AM37" s="445">
        <v>5108.5</v>
      </c>
      <c r="AN37" s="445">
        <v>3956.6</v>
      </c>
      <c r="AO37" s="445">
        <f t="shared" si="40"/>
        <v>13243.800000000001</v>
      </c>
      <c r="AP37" s="598">
        <f>+[1]Aug!N32</f>
        <v>12513</v>
      </c>
      <c r="AQ37" s="477">
        <f t="shared" si="10"/>
        <v>-730.80000000000109</v>
      </c>
      <c r="AR37" s="448">
        <f t="shared" si="11"/>
        <v>0.3155212250260499</v>
      </c>
      <c r="AS37" s="448">
        <f t="shared" si="12"/>
        <v>0.38572766124526192</v>
      </c>
      <c r="AT37" s="448">
        <f t="shared" si="33"/>
        <v>0.29875111372868812</v>
      </c>
      <c r="AU37" s="448">
        <f t="shared" si="34"/>
        <v>-230.58291124903761</v>
      </c>
      <c r="AV37" s="448">
        <f t="shared" si="35"/>
        <v>-281.88977483803785</v>
      </c>
      <c r="AW37" s="448">
        <f t="shared" si="39"/>
        <v>-218.3273139129256</v>
      </c>
      <c r="AX37" s="390">
        <f t="shared" si="13"/>
        <v>3948.117088750962</v>
      </c>
      <c r="AY37" s="390">
        <f t="shared" si="14"/>
        <v>4826.6102251619623</v>
      </c>
      <c r="AZ37" s="390">
        <f t="shared" si="15"/>
        <v>3738.2726860870744</v>
      </c>
      <c r="BA37" s="384">
        <f>+SUM(Efficiency2!K147:K148)</f>
        <v>45.633051210650159</v>
      </c>
      <c r="BB37" s="385">
        <f t="shared" si="36"/>
        <v>1348.6971447175611</v>
      </c>
      <c r="BC37" s="410">
        <f t="shared" si="37"/>
        <v>0.82356973734924943</v>
      </c>
      <c r="BD37" s="410">
        <f t="shared" si="38"/>
        <v>0.90544419463105841</v>
      </c>
    </row>
    <row r="38" spans="1:56" s="390" customFormat="1" ht="12.75" customHeight="1">
      <c r="A38" s="404">
        <f t="shared" si="16"/>
        <v>45899</v>
      </c>
      <c r="B38" s="413" t="s">
        <v>490</v>
      </c>
      <c r="C38" s="408" t="s">
        <v>534</v>
      </c>
      <c r="D38" s="383">
        <f>+'30'!F42</f>
        <v>1230</v>
      </c>
      <c r="E38" s="383">
        <f>+'30'!G42</f>
        <v>947.0999999999998</v>
      </c>
      <c r="F38" s="47">
        <f t="shared" si="0"/>
        <v>0.2300000000000002</v>
      </c>
      <c r="G38" s="409">
        <f t="shared" si="17"/>
        <v>0.9740995340752171</v>
      </c>
      <c r="H38" s="405">
        <f t="shared" si="18"/>
        <v>0.96636929688456696</v>
      </c>
      <c r="I38" s="405">
        <f t="shared" si="19"/>
        <v>0.90520752299455454</v>
      </c>
      <c r="J38" s="410">
        <f t="shared" si="20"/>
        <v>0.87476475753086813</v>
      </c>
      <c r="K38" s="410">
        <f t="shared" si="21"/>
        <v>0.90444877505057475</v>
      </c>
      <c r="L38" s="384">
        <f>+SUM(Efficiency1!K152:K153)</f>
        <v>45.227016359999993</v>
      </c>
      <c r="M38" s="385">
        <f t="shared" si="22"/>
        <v>1393.9241610775612</v>
      </c>
      <c r="N38" s="384">
        <f>+SUM(Efficiency1!C152:C153)</f>
        <v>44.868104819999999</v>
      </c>
      <c r="O38" s="385">
        <f t="shared" si="22"/>
        <v>1385.100070445945</v>
      </c>
      <c r="P38" s="385">
        <f>'30'!I38</f>
        <v>43.706000000000003</v>
      </c>
      <c r="Q38" s="385">
        <f t="shared" si="23"/>
        <v>1302.2539999999999</v>
      </c>
      <c r="R38" s="385">
        <f>'30'!I40</f>
        <v>39.563000000000002</v>
      </c>
      <c r="S38" s="385">
        <f t="shared" si="24"/>
        <v>1260.7330000000002</v>
      </c>
      <c r="T38" s="99">
        <f t="shared" si="1"/>
        <v>3954.7051942357289</v>
      </c>
      <c r="U38" s="13">
        <f t="shared" si="25"/>
        <v>118525.10584609502</v>
      </c>
      <c r="V38" s="294">
        <f t="shared" si="26"/>
        <v>90.484262898360143</v>
      </c>
      <c r="W38" s="294">
        <f t="shared" si="27"/>
        <v>91.015351725619595</v>
      </c>
      <c r="X38" s="295">
        <f t="shared" si="28"/>
        <v>99.959689463279545</v>
      </c>
      <c r="Y38" s="294">
        <f t="shared" si="29"/>
        <v>94.012852718295619</v>
      </c>
      <c r="Z38" s="387">
        <v>58.1</v>
      </c>
      <c r="AA38" s="386">
        <f t="shared" si="30"/>
        <v>1716.5</v>
      </c>
      <c r="AB38" s="389">
        <f t="shared" si="2"/>
        <v>1.3293369331441907</v>
      </c>
      <c r="AC38" s="389">
        <f t="shared" si="3"/>
        <v>1.3180992340971884</v>
      </c>
      <c r="AD38" s="384">
        <f t="shared" si="4"/>
        <v>1.4685438414680383</v>
      </c>
      <c r="AE38" s="389">
        <f t="shared" si="5"/>
        <v>1.3615095345326884</v>
      </c>
      <c r="AF38" s="388">
        <f>'30'!I46</f>
        <v>36664.939999998911</v>
      </c>
      <c r="AG38" s="386">
        <f t="shared" si="31"/>
        <v>1099125.28</v>
      </c>
      <c r="AH38" s="389">
        <f t="shared" si="6"/>
        <v>838.89946460437727</v>
      </c>
      <c r="AI38" s="389">
        <f t="shared" si="7"/>
        <v>844.01758796671004</v>
      </c>
      <c r="AJ38" s="389">
        <f t="shared" si="8"/>
        <v>926.74822435100759</v>
      </c>
      <c r="AK38" s="389">
        <f t="shared" si="9"/>
        <v>871.81447618171319</v>
      </c>
      <c r="AL38" s="444">
        <v>4117.6000000000004</v>
      </c>
      <c r="AM38" s="445">
        <v>5425.3</v>
      </c>
      <c r="AN38" s="445">
        <v>3912.4</v>
      </c>
      <c r="AO38" s="445">
        <f t="shared" si="40"/>
        <v>13455.300000000001</v>
      </c>
      <c r="AP38" s="599">
        <f>+[1]Aug!N33</f>
        <v>12923</v>
      </c>
      <c r="AQ38" s="477">
        <f t="shared" si="10"/>
        <v>-532.30000000000109</v>
      </c>
      <c r="AR38" s="448">
        <f t="shared" ref="AR38:AR39" si="41">+AL38/AO38</f>
        <v>0.30602067586750203</v>
      </c>
      <c r="AS38" s="448">
        <f t="shared" ref="AS38:AS39" si="42">+AM38/AO38</f>
        <v>0.40320914435203969</v>
      </c>
      <c r="AT38" s="448">
        <f t="shared" ref="AT38:AT39" si="43">1-AR38-AS38</f>
        <v>0.29077017978045827</v>
      </c>
      <c r="AU38" s="448">
        <f t="shared" ref="AU38:AU39" si="44">+AR38*AQ38</f>
        <v>-162.89480576427167</v>
      </c>
      <c r="AV38" s="448">
        <f t="shared" ref="AV38:AV39" si="45">+AS38*AQ38</f>
        <v>-214.62822753859118</v>
      </c>
      <c r="AW38" s="448">
        <f t="shared" ref="AW38:AW39" si="46">+AT38*AQ38</f>
        <v>-154.77696669713825</v>
      </c>
      <c r="AX38" s="390">
        <f t="shared" ref="AX38:AX39" si="47">+AL38+AU38</f>
        <v>3954.7051942357289</v>
      </c>
      <c r="AY38" s="390">
        <f t="shared" ref="AY38:AY39" si="48">+AM38+AV38</f>
        <v>5210.6717724614091</v>
      </c>
      <c r="AZ38" s="390">
        <f t="shared" ref="AZ38:AZ39" si="49">+AN38+AW38</f>
        <v>3757.623033302862</v>
      </c>
      <c r="BA38" s="384">
        <f>+SUM(Efficiency2!K152:K153)</f>
        <v>45.227016359999993</v>
      </c>
      <c r="BB38" s="385">
        <f t="shared" si="36"/>
        <v>1393.9241610775612</v>
      </c>
      <c r="BC38" s="410">
        <f t="shared" si="37"/>
        <v>0.87476475753086813</v>
      </c>
      <c r="BD38" s="410">
        <f t="shared" si="38"/>
        <v>0.90444877505057475</v>
      </c>
    </row>
    <row r="39" spans="1:56" s="390" customFormat="1" ht="12.75" customHeight="1">
      <c r="A39" s="404">
        <f>A38+1</f>
        <v>45900</v>
      </c>
      <c r="B39" s="413" t="s">
        <v>490</v>
      </c>
      <c r="C39" s="600" t="s">
        <v>650</v>
      </c>
      <c r="D39" s="383">
        <f>+'31'!F42</f>
        <v>1230</v>
      </c>
      <c r="E39" s="383">
        <f>+'31'!G42</f>
        <v>947.0999999999998</v>
      </c>
      <c r="F39" s="47">
        <f t="shared" si="0"/>
        <v>0.2300000000000002</v>
      </c>
      <c r="G39" s="409">
        <f t="shared" si="17"/>
        <v>0.95610001881639017</v>
      </c>
      <c r="H39" s="405">
        <f t="shared" si="18"/>
        <v>0.94559274013554362</v>
      </c>
      <c r="I39" s="405">
        <f t="shared" si="19"/>
        <v>1.0231791948033742</v>
      </c>
      <c r="J39" s="410">
        <f t="shared" si="20"/>
        <v>0.96751081846380171</v>
      </c>
      <c r="K39" s="410">
        <f t="shared" si="21"/>
        <v>0.90643195002874466</v>
      </c>
      <c r="L39" s="384">
        <f>+SUM(Efficiency1!K157:K159)</f>
        <v>45.259442234999995</v>
      </c>
      <c r="M39" s="385">
        <f>M38+L39</f>
        <v>1439.1836033125612</v>
      </c>
      <c r="N39" s="384">
        <f>+SUM(Efficiency1!C157:C159)</f>
        <v>44.762053297499989</v>
      </c>
      <c r="O39" s="385">
        <f>O38+N39</f>
        <v>1429.862123743445</v>
      </c>
      <c r="P39" s="385">
        <f>'31'!I38</f>
        <v>42.796999999999997</v>
      </c>
      <c r="Q39" s="385">
        <f>Q38+P39</f>
        <v>1345.0509999999999</v>
      </c>
      <c r="R39" s="385">
        <f>'31'!I40</f>
        <v>43.789000000000001</v>
      </c>
      <c r="S39" s="385">
        <f>S38+R39</f>
        <v>1304.5220000000002</v>
      </c>
      <c r="T39" s="99">
        <f t="shared" si="1"/>
        <v>3692.8376189799692</v>
      </c>
      <c r="U39" s="13">
        <f>T39+U38</f>
        <v>122217.94346507499</v>
      </c>
      <c r="V39" s="294">
        <f t="shared" si="26"/>
        <v>86.287300955206433</v>
      </c>
      <c r="W39" s="294">
        <f t="shared" si="27"/>
        <v>90.864914018185928</v>
      </c>
      <c r="X39" s="295">
        <f t="shared" si="28"/>
        <v>84.332540569091989</v>
      </c>
      <c r="Y39" s="294">
        <f t="shared" si="29"/>
        <v>93.687912863926385</v>
      </c>
      <c r="Z39" s="387">
        <v>57.9</v>
      </c>
      <c r="AA39" s="386">
        <f>Z39+AA38</f>
        <v>1774.4</v>
      </c>
      <c r="AB39" s="389">
        <f t="shared" si="2"/>
        <v>1.3528985676566114</v>
      </c>
      <c r="AC39" s="389">
        <f t="shared" si="3"/>
        <v>1.3192064836203239</v>
      </c>
      <c r="AD39" s="384">
        <f t="shared" si="4"/>
        <v>1.3222498801068761</v>
      </c>
      <c r="AE39" s="389">
        <f t="shared" si="5"/>
        <v>1.3601917024013392</v>
      </c>
      <c r="AF39" s="388">
        <f>'31'!I46</f>
        <v>33193.14</v>
      </c>
      <c r="AG39" s="386">
        <f>AF39+AG38</f>
        <v>1132318.42</v>
      </c>
      <c r="AH39" s="389">
        <f t="shared" si="6"/>
        <v>775.59501834240723</v>
      </c>
      <c r="AI39" s="389">
        <f t="shared" si="7"/>
        <v>841.84051013679027</v>
      </c>
      <c r="AJ39" s="389">
        <f t="shared" si="8"/>
        <v>758.02461805476264</v>
      </c>
      <c r="AK39" s="389">
        <f t="shared" si="9"/>
        <v>867.9948824167011</v>
      </c>
      <c r="AL39" s="444">
        <v>3974.6</v>
      </c>
      <c r="AM39" s="445">
        <v>5431.8</v>
      </c>
      <c r="AN39" s="445">
        <v>3967.7</v>
      </c>
      <c r="AO39" s="445">
        <f t="shared" si="40"/>
        <v>13374.099999999999</v>
      </c>
      <c r="AP39" s="599">
        <f>+[1]Aug!N34</f>
        <v>12426</v>
      </c>
      <c r="AQ39" s="477">
        <f t="shared" si="10"/>
        <v>-948.09999999999854</v>
      </c>
      <c r="AR39" s="448">
        <f t="shared" si="41"/>
        <v>0.29718635272653865</v>
      </c>
      <c r="AS39" s="448">
        <f t="shared" si="42"/>
        <v>0.40614321711367501</v>
      </c>
      <c r="AT39" s="448">
        <f t="shared" si="43"/>
        <v>0.29667043015978639</v>
      </c>
      <c r="AU39" s="448">
        <f t="shared" si="44"/>
        <v>-281.76238102003089</v>
      </c>
      <c r="AV39" s="448">
        <f t="shared" si="45"/>
        <v>-385.06438414547466</v>
      </c>
      <c r="AW39" s="448">
        <f t="shared" si="46"/>
        <v>-281.27323483449305</v>
      </c>
      <c r="AX39" s="390">
        <f t="shared" si="47"/>
        <v>3692.8376189799692</v>
      </c>
      <c r="AY39" s="390">
        <f t="shared" si="48"/>
        <v>5046.7356158545253</v>
      </c>
      <c r="AZ39" s="390">
        <f t="shared" si="49"/>
        <v>3686.4267651655068</v>
      </c>
      <c r="BA39" s="384">
        <f>+SUM(Efficiency2!K157:K159)</f>
        <v>45.259442234999995</v>
      </c>
      <c r="BB39" s="385">
        <f>BB38+BA39</f>
        <v>1439.1836033125612</v>
      </c>
      <c r="BC39" s="410">
        <f t="shared" si="37"/>
        <v>0.96751081846380171</v>
      </c>
      <c r="BD39" s="410">
        <f t="shared" si="38"/>
        <v>0.90643195002874466</v>
      </c>
    </row>
    <row r="40" spans="1:56" s="390" customFormat="1" ht="12.75" customHeight="1" thickBot="1">
      <c r="A40" s="404"/>
      <c r="B40" s="392"/>
      <c r="C40" s="392"/>
      <c r="D40" s="392"/>
      <c r="E40" s="392"/>
      <c r="F40" s="406"/>
      <c r="G40" s="409"/>
      <c r="H40" s="405"/>
      <c r="I40" s="405"/>
      <c r="J40" s="410"/>
      <c r="K40" s="416"/>
      <c r="L40" s="393"/>
      <c r="M40" s="394"/>
      <c r="N40" s="394"/>
      <c r="O40" s="394"/>
      <c r="P40" s="394"/>
      <c r="Q40" s="394"/>
      <c r="R40" s="394"/>
      <c r="S40" s="394"/>
      <c r="T40" s="297"/>
      <c r="U40" s="296"/>
      <c r="V40" s="298"/>
      <c r="W40" s="298"/>
      <c r="X40" s="295"/>
      <c r="Y40" s="298"/>
      <c r="Z40" s="395"/>
      <c r="AA40" s="395"/>
      <c r="AB40" s="396"/>
      <c r="AC40" s="396"/>
      <c r="AD40" s="393"/>
      <c r="AE40" s="396"/>
      <c r="AF40" s="395"/>
      <c r="AG40" s="395"/>
      <c r="AH40" s="396"/>
      <c r="AI40" s="396"/>
      <c r="AJ40" s="396"/>
      <c r="AK40" s="396"/>
      <c r="AP40" s="447"/>
      <c r="AQ40" s="478"/>
      <c r="AX40" s="448"/>
      <c r="AY40" s="448"/>
      <c r="AZ40" s="448"/>
      <c r="BA40" s="393"/>
      <c r="BB40" s="394"/>
      <c r="BC40" s="410"/>
      <c r="BD40" s="416"/>
    </row>
    <row r="41" spans="1:56" s="390" customFormat="1" ht="12.75" customHeight="1" thickTop="1" thickBot="1">
      <c r="A41" s="397"/>
      <c r="B41" s="398"/>
      <c r="C41" s="398"/>
      <c r="D41" s="398"/>
      <c r="E41" s="398"/>
      <c r="F41" s="407"/>
      <c r="G41" s="409">
        <f t="shared" si="17"/>
        <v>0.94068580296301185</v>
      </c>
      <c r="H41" s="405">
        <f t="shared" si="18"/>
        <v>0.93459305463465758</v>
      </c>
      <c r="I41" s="405">
        <f t="shared" si="19"/>
        <v>0.96986805704765111</v>
      </c>
      <c r="J41" s="410">
        <f t="shared" si="20"/>
        <v>0.90643195002874466</v>
      </c>
      <c r="K41" s="416"/>
      <c r="L41" s="399">
        <f>SUM(L9:L39)</f>
        <v>1439.1836033125612</v>
      </c>
      <c r="M41" s="400"/>
      <c r="N41" s="399">
        <f>SUM(N9:N39)</f>
        <v>1429.862123743445</v>
      </c>
      <c r="O41" s="400"/>
      <c r="P41" s="399">
        <f>SUM(P9:P39)</f>
        <v>1345.0509999999999</v>
      </c>
      <c r="Q41" s="400"/>
      <c r="R41" s="399">
        <f>SUM(R9:R39)</f>
        <v>1304.5220000000002</v>
      </c>
      <c r="S41" s="400"/>
      <c r="T41" s="299">
        <f>SUM(T9:T39)</f>
        <v>122217.94346507499</v>
      </c>
      <c r="U41" s="299"/>
      <c r="V41" s="300">
        <f>T41/P41</f>
        <v>90.864914018185928</v>
      </c>
      <c r="W41" s="300"/>
      <c r="X41" s="295">
        <f>IF(AND(R41&gt;0,T41&gt;0),(T41/(R41*1000))*1000,0)</f>
        <v>93.687912863926371</v>
      </c>
      <c r="Y41" s="300"/>
      <c r="Z41" s="401">
        <f>SUM(Z9:Z40)</f>
        <v>1774.4</v>
      </c>
      <c r="AA41" s="401"/>
      <c r="AB41" s="402">
        <f>Z41/P41</f>
        <v>1.3192064836203239</v>
      </c>
      <c r="AC41" s="402"/>
      <c r="AD41" s="403">
        <f>Z41/R41</f>
        <v>1.3601917024013392</v>
      </c>
      <c r="AE41" s="402"/>
      <c r="AF41" s="401">
        <f>SUM(AF9:AF39)</f>
        <v>1132318.42</v>
      </c>
      <c r="AG41" s="401"/>
      <c r="AH41" s="402">
        <f>AF41/P41</f>
        <v>841.84051013679039</v>
      </c>
      <c r="AI41" s="402"/>
      <c r="AJ41" s="402">
        <f>AF41/R41</f>
        <v>867.9948824167011</v>
      </c>
      <c r="AK41" s="402"/>
      <c r="AP41" s="447">
        <f>SUM(AP9:AP40)</f>
        <v>387465</v>
      </c>
      <c r="AQ41" s="478"/>
      <c r="AX41" s="448">
        <f>SUM(AX9:AX39)</f>
        <v>122217.94346507499</v>
      </c>
      <c r="AY41" s="448">
        <f>SUM(AY9:AY39)</f>
        <v>150154.21120132293</v>
      </c>
      <c r="AZ41" s="448">
        <f>SUM(AZ9:AZ39)</f>
        <v>115092.8453336021</v>
      </c>
      <c r="BA41" s="399">
        <f>SUM(BA9:BA39)</f>
        <v>1439.1836033125612</v>
      </c>
      <c r="BB41" s="400"/>
      <c r="BC41" s="410">
        <f t="shared" si="37"/>
        <v>0.90643195002874466</v>
      </c>
      <c r="BD41" s="416"/>
    </row>
    <row r="42" spans="1:56" ht="12.75" customHeight="1" thickTop="1">
      <c r="S42" s="283"/>
      <c r="T42" s="283"/>
      <c r="U42" s="283"/>
      <c r="V42" s="283"/>
      <c r="W42" s="283"/>
      <c r="X42" s="283"/>
      <c r="Y42" s="283"/>
      <c r="Z42" s="283"/>
      <c r="AA42" s="283"/>
      <c r="AD42" s="283"/>
      <c r="AF42" s="283"/>
      <c r="AG42" s="283"/>
    </row>
    <row r="43" spans="1:56" ht="12.75" customHeight="1">
      <c r="S43" s="283"/>
      <c r="T43" s="283"/>
      <c r="U43" s="283"/>
      <c r="V43" s="283"/>
      <c r="W43" s="283"/>
      <c r="X43" s="283"/>
      <c r="Y43" s="283"/>
      <c r="Z43" s="283"/>
      <c r="AA43" s="283"/>
      <c r="AD43" s="283"/>
      <c r="AF43" s="283"/>
      <c r="AG43" s="283"/>
      <c r="AY43" s="4">
        <f>SUM(AX41:AZ41)</f>
        <v>387465.00000000006</v>
      </c>
    </row>
    <row r="44" spans="1:56">
      <c r="S44" s="283"/>
      <c r="T44" s="283"/>
      <c r="U44" s="283"/>
      <c r="V44" s="283"/>
      <c r="W44" s="283"/>
      <c r="X44" s="283"/>
      <c r="Y44" s="283"/>
      <c r="Z44" s="283"/>
      <c r="AA44" s="283"/>
      <c r="AD44" s="283"/>
      <c r="AF44" s="283"/>
      <c r="AG44" s="283"/>
    </row>
    <row r="45" spans="1:56">
      <c r="R45" s="301"/>
      <c r="S45" s="302"/>
      <c r="T45" s="302"/>
      <c r="U45" s="302"/>
      <c r="V45" s="302"/>
      <c r="W45" s="302"/>
      <c r="X45" s="302"/>
      <c r="Y45" s="302"/>
    </row>
    <row r="46" spans="1:56">
      <c r="R46" s="303"/>
    </row>
    <row r="47" spans="1:56">
      <c r="R47" s="303"/>
    </row>
    <row r="48" spans="1:56">
      <c r="R48" s="303"/>
    </row>
    <row r="49" spans="18:56">
      <c r="R49" s="303"/>
      <c r="BC49"/>
      <c r="BD49"/>
    </row>
    <row r="50" spans="18:56">
      <c r="R50" s="303"/>
      <c r="BC50"/>
      <c r="BD50"/>
    </row>
    <row r="51" spans="18:56">
      <c r="R51" s="303"/>
      <c r="BC51"/>
      <c r="BD51"/>
    </row>
    <row r="52" spans="18:56">
      <c r="R52" s="303"/>
      <c r="BC52"/>
      <c r="BD52"/>
    </row>
    <row r="53" spans="18:56">
      <c r="R53" s="303"/>
      <c r="BC53"/>
      <c r="BD53"/>
    </row>
    <row r="54" spans="18:56">
      <c r="R54" s="303"/>
      <c r="BC54"/>
      <c r="BD54"/>
    </row>
    <row r="55" spans="18:56">
      <c r="R55" s="303"/>
      <c r="BC55"/>
      <c r="BD55"/>
    </row>
    <row r="56" spans="18:56">
      <c r="R56" s="303"/>
      <c r="BC56"/>
      <c r="BD56"/>
    </row>
    <row r="57" spans="18:56">
      <c r="R57" s="303"/>
      <c r="BC57"/>
      <c r="BD57"/>
    </row>
    <row r="58" spans="18:56">
      <c r="R58" s="303"/>
      <c r="BC58"/>
      <c r="BD58"/>
    </row>
    <row r="59" spans="18:56">
      <c r="R59" s="303"/>
      <c r="BC59"/>
      <c r="BD59"/>
    </row>
    <row r="60" spans="18:56">
      <c r="BC60"/>
      <c r="BD60"/>
    </row>
    <row r="65536" spans="3:54">
      <c r="C65536" s="304"/>
      <c r="BA65536"/>
      <c r="BB65536"/>
    </row>
  </sheetData>
  <mergeCells count="34">
    <mergeCell ref="AL7:AN7"/>
    <mergeCell ref="AO7:AO8"/>
    <mergeCell ref="F6:F8"/>
    <mergeCell ref="G6:G8"/>
    <mergeCell ref="BA6:BB7"/>
    <mergeCell ref="BC6:BD7"/>
    <mergeCell ref="N6:O7"/>
    <mergeCell ref="Z7:AA7"/>
    <mergeCell ref="AB7:AC7"/>
    <mergeCell ref="AD7:AE7"/>
    <mergeCell ref="Z6:AE6"/>
    <mergeCell ref="P6:Q7"/>
    <mergeCell ref="R6:S7"/>
    <mergeCell ref="T6:Y6"/>
    <mergeCell ref="T7:U7"/>
    <mergeCell ref="V7:W7"/>
    <mergeCell ref="X7:Y7"/>
    <mergeCell ref="AF6:AK6"/>
    <mergeCell ref="AR7:AT7"/>
    <mergeCell ref="AU7:AW7"/>
    <mergeCell ref="AX7:AZ7"/>
    <mergeCell ref="A3:AK4"/>
    <mergeCell ref="AF7:AG7"/>
    <mergeCell ref="AH7:AI7"/>
    <mergeCell ref="AJ7:AK7"/>
    <mergeCell ref="D6:D8"/>
    <mergeCell ref="A6:A8"/>
    <mergeCell ref="B6:B8"/>
    <mergeCell ref="C6:C8"/>
    <mergeCell ref="J6:K7"/>
    <mergeCell ref="L6:M7"/>
    <mergeCell ref="H6:H8"/>
    <mergeCell ref="I6:I8"/>
    <mergeCell ref="E6:E8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4"/>
  <sheetViews>
    <sheetView zoomScaleNormal="100" workbookViewId="0">
      <pane xSplit="3" ySplit="6" topLeftCell="I7" activePane="bottomRight" state="frozen"/>
      <selection pane="topRight" activeCell="D1" sqref="D1"/>
      <selection pane="bottomLeft" activeCell="A7" sqref="A7"/>
      <selection pane="bottomRight" activeCell="A11" sqref="A11"/>
    </sheetView>
  </sheetViews>
  <sheetFormatPr defaultColWidth="9.140625" defaultRowHeight="12.75"/>
  <cols>
    <col min="1" max="3" width="10.85546875" customWidth="1"/>
    <col min="4" max="4" width="18.85546875" customWidth="1"/>
    <col min="5" max="5" width="12.85546875" customWidth="1"/>
    <col min="6" max="6" width="11.5703125" customWidth="1"/>
    <col min="7" max="7" width="12" customWidth="1"/>
    <col min="8" max="8" width="12.28515625" customWidth="1"/>
    <col min="9" max="9" width="13" customWidth="1"/>
    <col min="10" max="11" width="11" customWidth="1"/>
    <col min="12" max="12" width="13.5703125" customWidth="1"/>
    <col min="13" max="13" width="12.42578125" customWidth="1"/>
    <col min="14" max="15" width="13.140625" customWidth="1"/>
    <col min="16" max="16" width="16.28515625" bestFit="1" customWidth="1"/>
    <col min="17" max="18" width="10.85546875" bestFit="1" customWidth="1"/>
    <col min="21" max="21" width="39" bestFit="1" customWidth="1"/>
  </cols>
  <sheetData>
    <row r="2" spans="1:23" ht="24.75" customHeight="1">
      <c r="A2" s="623" t="s">
        <v>20</v>
      </c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305"/>
      <c r="R2" s="305"/>
      <c r="S2" s="305"/>
      <c r="T2" s="305"/>
      <c r="U2" s="305"/>
    </row>
    <row r="3" spans="1:23" ht="12.75" customHeight="1">
      <c r="A3" s="305"/>
      <c r="B3" s="305"/>
      <c r="C3" s="305"/>
      <c r="D3" s="306"/>
      <c r="E3" s="307"/>
      <c r="F3" s="307"/>
      <c r="G3" s="307"/>
      <c r="H3" s="308"/>
      <c r="I3" s="307"/>
      <c r="J3" s="307"/>
      <c r="K3" s="307"/>
      <c r="L3" s="309"/>
      <c r="M3" s="307"/>
      <c r="N3" s="307"/>
      <c r="O3" s="307"/>
      <c r="P3" s="307"/>
      <c r="Q3" s="6"/>
      <c r="R3" s="6"/>
      <c r="S3" s="305"/>
      <c r="T3" s="305"/>
      <c r="U3" s="305"/>
    </row>
    <row r="4" spans="1:23">
      <c r="A4" s="631" t="s">
        <v>7</v>
      </c>
      <c r="B4" s="634" t="s">
        <v>21</v>
      </c>
      <c r="C4" s="634" t="s">
        <v>22</v>
      </c>
      <c r="D4" s="624"/>
      <c r="E4" s="624"/>
      <c r="F4" s="624"/>
      <c r="G4" s="624"/>
      <c r="H4" s="624"/>
      <c r="I4" s="624"/>
      <c r="J4" s="624"/>
      <c r="K4" s="624"/>
      <c r="L4" s="624"/>
      <c r="M4" s="624"/>
      <c r="N4" s="624"/>
      <c r="O4" s="624"/>
      <c r="P4" s="625" t="s">
        <v>186</v>
      </c>
      <c r="Q4" s="626"/>
      <c r="R4" s="627"/>
      <c r="U4" s="367" t="s">
        <v>0</v>
      </c>
    </row>
    <row r="5" spans="1:23" ht="14.25" customHeight="1">
      <c r="A5" s="632"/>
      <c r="B5" s="635"/>
      <c r="C5" s="635"/>
      <c r="D5" s="637" t="s">
        <v>305</v>
      </c>
      <c r="E5" s="638"/>
      <c r="F5" s="638"/>
      <c r="G5" s="639"/>
      <c r="H5" s="640" t="s">
        <v>306</v>
      </c>
      <c r="I5" s="641"/>
      <c r="J5" s="641"/>
      <c r="K5" s="642"/>
      <c r="L5" s="643" t="s">
        <v>305</v>
      </c>
      <c r="M5" s="644"/>
      <c r="N5" s="644"/>
      <c r="O5" s="645"/>
      <c r="P5" s="628"/>
      <c r="Q5" s="629"/>
      <c r="R5" s="630"/>
    </row>
    <row r="6" spans="1:23" ht="14.25" customHeight="1">
      <c r="A6" s="633"/>
      <c r="B6" s="636"/>
      <c r="C6" s="636"/>
      <c r="D6" s="504" t="s">
        <v>23</v>
      </c>
      <c r="E6" s="371" t="s">
        <v>24</v>
      </c>
      <c r="F6" s="372" t="s">
        <v>25</v>
      </c>
      <c r="G6" s="372" t="s">
        <v>26</v>
      </c>
      <c r="H6" s="505" t="s">
        <v>23</v>
      </c>
      <c r="I6" s="373" t="s">
        <v>24</v>
      </c>
      <c r="J6" s="374" t="s">
        <v>25</v>
      </c>
      <c r="K6" s="374" t="s">
        <v>26</v>
      </c>
      <c r="L6" s="506" t="s">
        <v>23</v>
      </c>
      <c r="M6" s="375" t="s">
        <v>24</v>
      </c>
      <c r="N6" s="376" t="s">
        <v>25</v>
      </c>
      <c r="O6" s="376" t="s">
        <v>26</v>
      </c>
      <c r="P6" s="377" t="s">
        <v>24</v>
      </c>
      <c r="Q6" s="378" t="s">
        <v>25</v>
      </c>
      <c r="R6" s="378" t="s">
        <v>26</v>
      </c>
      <c r="T6" s="367"/>
    </row>
    <row r="7" spans="1:23">
      <c r="A7" s="310">
        <f>A8-1</f>
        <v>45869</v>
      </c>
      <c r="B7" s="311">
        <v>0</v>
      </c>
      <c r="C7" s="311">
        <v>0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314"/>
      <c r="Q7" s="102"/>
      <c r="R7" s="102"/>
    </row>
    <row r="8" spans="1:23" ht="15">
      <c r="A8" s="310">
        <f>+Report1!A9</f>
        <v>45870</v>
      </c>
      <c r="B8" s="317">
        <f>+Report1!P9</f>
        <v>45.581000000000003</v>
      </c>
      <c r="C8" s="317">
        <f>+Report1!R9</f>
        <v>44.627000000000002</v>
      </c>
      <c r="D8" s="318">
        <f t="shared" ref="D8" si="0">+D7+E8</f>
        <v>4700.0000000007276</v>
      </c>
      <c r="E8" s="318">
        <f>+[3]DailyAug!AH7</f>
        <v>4700.0000000007276</v>
      </c>
      <c r="F8" s="318">
        <f t="shared" ref="F8:F38" si="1">E8/B8</f>
        <v>103.11313924663187</v>
      </c>
      <c r="G8" s="318">
        <f t="shared" ref="G8:G38" si="2">E8/C8</f>
        <v>105.31740874360202</v>
      </c>
      <c r="H8" s="318">
        <f t="shared" ref="H8" si="3">+H7+I8</f>
        <v>7853.01</v>
      </c>
      <c r="I8" s="318">
        <f>+[3]DailyAug!AI7</f>
        <v>7853.01</v>
      </c>
      <c r="J8" s="318">
        <f t="shared" ref="J8:J38" si="4">I8/B8</f>
        <v>172.28691779469514</v>
      </c>
      <c r="K8" s="318">
        <f t="shared" ref="K8:K38" si="5">I8/C8</f>
        <v>175.96992851860981</v>
      </c>
      <c r="L8" s="318">
        <f t="shared" ref="L8" si="6">+L7+M8</f>
        <v>25013.01</v>
      </c>
      <c r="M8" s="318">
        <f>+[3]DailyAug!AJ7</f>
        <v>25013.01</v>
      </c>
      <c r="N8" s="318">
        <f t="shared" ref="N8:N38" si="7">M8/B8</f>
        <v>548.75957087382892</v>
      </c>
      <c r="O8" s="318">
        <f t="shared" ref="O8:O38" si="8">M8/C8</f>
        <v>560.49051022923334</v>
      </c>
      <c r="P8" s="318">
        <f t="shared" ref="P8" si="9">+E8+I8+M8</f>
        <v>37566.020000000724</v>
      </c>
      <c r="Q8" s="7">
        <f t="shared" ref="Q8:Q38" si="10">P8/B8</f>
        <v>824.15962791515597</v>
      </c>
      <c r="R8" s="316">
        <f t="shared" ref="R8:R38" si="11">P8/C8</f>
        <v>841.77784749144519</v>
      </c>
      <c r="V8" s="380" t="s">
        <v>171</v>
      </c>
      <c r="W8" s="380" t="s">
        <v>172</v>
      </c>
    </row>
    <row r="9" spans="1:23" ht="15">
      <c r="A9" s="310">
        <v>45506</v>
      </c>
      <c r="B9" s="317">
        <f>+Report1!P10</f>
        <v>47.427000000000007</v>
      </c>
      <c r="C9" s="317">
        <f>+Report1!R10</f>
        <v>45.750999999999998</v>
      </c>
      <c r="D9" s="318">
        <f t="shared" ref="D9" si="12">+D8+E9</f>
        <v>9200.0000000007276</v>
      </c>
      <c r="E9" s="318">
        <f>+[3]DailyAug!AH8</f>
        <v>4500</v>
      </c>
      <c r="F9" s="318">
        <f t="shared" ref="F9" si="13">E9/B9</f>
        <v>94.882661774938313</v>
      </c>
      <c r="G9" s="318">
        <f t="shared" ref="G9" si="14">E9/C9</f>
        <v>98.358505825009289</v>
      </c>
      <c r="H9" s="318">
        <f t="shared" ref="H9" si="15">+H8+I9</f>
        <v>16543.739999999998</v>
      </c>
      <c r="I9" s="318">
        <f>+[3]DailyAug!AI8</f>
        <v>8690.73</v>
      </c>
      <c r="J9" s="318">
        <f t="shared" ref="J9" si="16">I9/B9</f>
        <v>183.24435448162436</v>
      </c>
      <c r="K9" s="318">
        <f t="shared" ref="K9" si="17">I9/C9</f>
        <v>189.95715940635176</v>
      </c>
      <c r="L9" s="318">
        <f t="shared" ref="L9" si="18">+L8+M9</f>
        <v>50863.74</v>
      </c>
      <c r="M9" s="318">
        <f>+[3]DailyAug!AJ8</f>
        <v>25850.73</v>
      </c>
      <c r="N9" s="318">
        <f t="shared" ref="N9" si="19">M9/B9</f>
        <v>545.0635713833891</v>
      </c>
      <c r="O9" s="318">
        <f t="shared" ref="O9" si="20">M9/C9</f>
        <v>565.03092828572051</v>
      </c>
      <c r="P9" s="318">
        <f t="shared" ref="P9" si="21">+E9+I9+M9</f>
        <v>39041.46</v>
      </c>
      <c r="Q9" s="7">
        <f t="shared" ref="Q9" si="22">P9/B9</f>
        <v>823.19058763995179</v>
      </c>
      <c r="R9" s="316">
        <f t="shared" ref="R9" si="23">P9/C9</f>
        <v>853.3465935170816</v>
      </c>
      <c r="V9" s="380" t="s">
        <v>171</v>
      </c>
      <c r="W9" s="380" t="s">
        <v>172</v>
      </c>
    </row>
    <row r="10" spans="1:23" ht="15">
      <c r="A10" s="310">
        <v>45507</v>
      </c>
      <c r="B10" s="317">
        <f>+Report1!P11</f>
        <v>29.524000000000001</v>
      </c>
      <c r="C10" s="317">
        <f>+Report1!R11</f>
        <v>29.978999999999999</v>
      </c>
      <c r="D10" s="318">
        <f t="shared" ref="D10" si="24">+D9+E10</f>
        <v>12600.000000000364</v>
      </c>
      <c r="E10" s="318">
        <f>+[3]DailyAug!AH9</f>
        <v>3399.9999999996362</v>
      </c>
      <c r="F10" s="318">
        <f t="shared" ref="F10" si="25">E10/B10</f>
        <v>115.16054735129508</v>
      </c>
      <c r="G10" s="318">
        <f t="shared" ref="G10" si="26">E10/C10</f>
        <v>113.41272223888843</v>
      </c>
      <c r="H10" s="318">
        <f t="shared" ref="H10" si="27">+H9+I10</f>
        <v>22800.489999999998</v>
      </c>
      <c r="I10" s="318">
        <f>+[3]DailyAug!AI9</f>
        <v>6256.75</v>
      </c>
      <c r="J10" s="318">
        <f t="shared" ref="J10" si="28">I10/B10</f>
        <v>211.92081018832135</v>
      </c>
      <c r="K10" s="318">
        <f t="shared" ref="K10" si="29">I10/C10</f>
        <v>208.70442643183563</v>
      </c>
      <c r="L10" s="318">
        <f t="shared" ref="L10" si="30">+L9+M10</f>
        <v>70280.489999999991</v>
      </c>
      <c r="M10" s="318">
        <f>+[3]DailyAug!AJ9</f>
        <v>19416.75</v>
      </c>
      <c r="N10" s="318">
        <f t="shared" ref="N10" si="31">M10/B10</f>
        <v>657.65986993632293</v>
      </c>
      <c r="O10" s="318">
        <f t="shared" ref="O10" si="32">M10/C10</f>
        <v>647.67837486240364</v>
      </c>
      <c r="P10" s="318">
        <f t="shared" ref="P10" si="33">+E10+I10+M10</f>
        <v>29073.499999999636</v>
      </c>
      <c r="Q10" s="7">
        <f t="shared" ref="Q10" si="34">P10/B10</f>
        <v>984.74122747593947</v>
      </c>
      <c r="R10" s="316">
        <f t="shared" ref="R10" si="35">P10/C10</f>
        <v>969.79552353312772</v>
      </c>
      <c r="V10" s="380" t="s">
        <v>171</v>
      </c>
      <c r="W10" s="380" t="s">
        <v>172</v>
      </c>
    </row>
    <row r="11" spans="1:23" ht="15">
      <c r="A11" s="310">
        <v>45508</v>
      </c>
      <c r="B11" s="317">
        <f>+Report1!P12</f>
        <v>45.208999999999996</v>
      </c>
      <c r="C11" s="317">
        <f>+Report1!R12</f>
        <v>44.225000000000001</v>
      </c>
      <c r="D11" s="318">
        <f t="shared" ref="D11" si="36">+D10+E11</f>
        <v>17000</v>
      </c>
      <c r="E11" s="318">
        <f>+[3]DailyAug!AH10</f>
        <v>4399.9999999996362</v>
      </c>
      <c r="F11" s="318">
        <f t="shared" ref="F11" si="37">E11/B11</f>
        <v>97.325753721596072</v>
      </c>
      <c r="G11" s="318">
        <f t="shared" ref="G11" si="38">E11/C11</f>
        <v>99.491237987555365</v>
      </c>
      <c r="H11" s="318">
        <f t="shared" ref="H11" si="39">+H10+I11</f>
        <v>30832.719999999998</v>
      </c>
      <c r="I11" s="318">
        <f>+[3]DailyAug!AI10</f>
        <v>8032.23</v>
      </c>
      <c r="J11" s="318">
        <f t="shared" ref="J11" si="40">I11/B11</f>
        <v>177.66882700347276</v>
      </c>
      <c r="K11" s="318">
        <f t="shared" ref="K11" si="41">I11/C11</f>
        <v>181.62193329564724</v>
      </c>
      <c r="L11" s="318">
        <f t="shared" ref="L11" si="42">+L10+M11</f>
        <v>94472.719999999987</v>
      </c>
      <c r="M11" s="318">
        <f>+[3]DailyAug!AJ10</f>
        <v>24192.23</v>
      </c>
      <c r="N11" s="318">
        <f t="shared" ref="N11" si="43">M11/B11</f>
        <v>535.11977703554601</v>
      </c>
      <c r="O11" s="318">
        <f t="shared" ref="O11" si="44">M11/C11</f>
        <v>547.02611644997171</v>
      </c>
      <c r="P11" s="318">
        <f t="shared" ref="P11" si="45">+E11+I11+M11</f>
        <v>36624.459999999635</v>
      </c>
      <c r="Q11" s="7">
        <f t="shared" ref="Q11" si="46">P11/B11</f>
        <v>810.11435776061489</v>
      </c>
      <c r="R11" s="316">
        <f t="shared" ref="R11" si="47">P11/C11</f>
        <v>828.13928773317434</v>
      </c>
      <c r="V11" s="380" t="s">
        <v>171</v>
      </c>
      <c r="W11" s="380" t="s">
        <v>172</v>
      </c>
    </row>
    <row r="12" spans="1:23" ht="15">
      <c r="A12" s="310">
        <v>45509</v>
      </c>
      <c r="B12" s="317">
        <f>+Report1!P13</f>
        <v>46.027999999999999</v>
      </c>
      <c r="C12" s="317">
        <f>+Report1!R13</f>
        <v>42.78</v>
      </c>
      <c r="D12" s="318">
        <f t="shared" ref="D12" si="48">+D11+E12</f>
        <v>21400.000000001455</v>
      </c>
      <c r="E12" s="318">
        <f>+[3]DailyAug!AH11</f>
        <v>4400.0000000014552</v>
      </c>
      <c r="F12" s="318">
        <f t="shared" ref="F12" si="49">E12/B12</f>
        <v>95.593986269259048</v>
      </c>
      <c r="G12" s="318">
        <f t="shared" ref="G12" si="50">E12/C12</f>
        <v>102.85179990653238</v>
      </c>
      <c r="H12" s="318">
        <f t="shared" ref="H12" si="51">+H11+I12</f>
        <v>39201.67</v>
      </c>
      <c r="I12" s="318">
        <f>+[3]DailyAug!AI11</f>
        <v>8368.9500000000007</v>
      </c>
      <c r="J12" s="318">
        <f t="shared" ref="J12" si="52">I12/B12</f>
        <v>181.82302076996612</v>
      </c>
      <c r="K12" s="318">
        <f t="shared" ref="K12" si="53">I12/C12</f>
        <v>195.62762973352034</v>
      </c>
      <c r="L12" s="318">
        <f t="shared" ref="L12" si="54">+L11+M12</f>
        <v>118001.66999999998</v>
      </c>
      <c r="M12" s="318">
        <f>+[3]DailyAug!AJ11</f>
        <v>23528.95</v>
      </c>
      <c r="N12" s="318">
        <f t="shared" ref="N12" si="55">M12/B12</f>
        <v>511.18775527939516</v>
      </c>
      <c r="O12" s="318">
        <f t="shared" ref="O12" si="56">M12/C12</f>
        <v>549.99883122954657</v>
      </c>
      <c r="P12" s="318">
        <f t="shared" ref="P12" si="57">+E12+I12+M12</f>
        <v>36297.900000001457</v>
      </c>
      <c r="Q12" s="7">
        <f t="shared" ref="Q12" si="58">P12/B12</f>
        <v>788.60476231862037</v>
      </c>
      <c r="R12" s="316">
        <f t="shared" ref="R12" si="59">P12/C12</f>
        <v>848.47826086959924</v>
      </c>
      <c r="V12" s="380" t="s">
        <v>171</v>
      </c>
      <c r="W12" s="380" t="s">
        <v>172</v>
      </c>
    </row>
    <row r="13" spans="1:23" ht="15">
      <c r="A13" s="310">
        <v>45510</v>
      </c>
      <c r="B13" s="317">
        <f>+Report1!P14</f>
        <v>45.620000000000005</v>
      </c>
      <c r="C13" s="317">
        <f>+Report1!R14</f>
        <v>42.75</v>
      </c>
      <c r="D13" s="318">
        <f t="shared" ref="D13" si="60">+D12+E13</f>
        <v>26100.000000000364</v>
      </c>
      <c r="E13" s="318">
        <f>+[3]DailyAug!AH12</f>
        <v>4699.9999999989086</v>
      </c>
      <c r="F13" s="318">
        <f t="shared" ref="F13" si="61">E13/B13</f>
        <v>103.02498903987085</v>
      </c>
      <c r="G13" s="318">
        <f t="shared" ref="G13" si="62">E13/C13</f>
        <v>109.94152046781073</v>
      </c>
      <c r="H13" s="318">
        <f t="shared" ref="H13" si="63">+H12+I13</f>
        <v>47821.159999999996</v>
      </c>
      <c r="I13" s="318">
        <f>+[3]DailyAug!AI12</f>
        <v>8619.49</v>
      </c>
      <c r="J13" s="318">
        <f t="shared" ref="J13" si="64">I13/B13</f>
        <v>188.94103463393247</v>
      </c>
      <c r="K13" s="318">
        <f t="shared" ref="K13" si="65">I13/C13</f>
        <v>201.62549707602338</v>
      </c>
      <c r="L13" s="318">
        <f t="shared" ref="L13" si="66">+L12+M13</f>
        <v>143781.15999999997</v>
      </c>
      <c r="M13" s="318">
        <f>+[3]DailyAug!AJ12</f>
        <v>25779.49</v>
      </c>
      <c r="N13" s="318">
        <f t="shared" ref="N13" si="67">M13/B13</f>
        <v>565.0918456817185</v>
      </c>
      <c r="O13" s="318">
        <f t="shared" ref="O13" si="68">M13/C13</f>
        <v>603.02900584795327</v>
      </c>
      <c r="P13" s="318">
        <f t="shared" ref="P13" si="69">+E13+I13+M13</f>
        <v>39098.979999998912</v>
      </c>
      <c r="Q13" s="7">
        <f t="shared" ref="Q13" si="70">P13/B13</f>
        <v>857.05786935552192</v>
      </c>
      <c r="R13" s="316">
        <f t="shared" ref="R13" si="71">P13/C13</f>
        <v>914.59602339178741</v>
      </c>
      <c r="V13" s="380" t="s">
        <v>171</v>
      </c>
      <c r="W13" s="380" t="s">
        <v>172</v>
      </c>
    </row>
    <row r="14" spans="1:23" ht="15">
      <c r="A14" s="310">
        <f t="shared" ref="A14:A38" si="72">+A13+1</f>
        <v>45511</v>
      </c>
      <c r="B14" s="317">
        <f>+Report1!P15</f>
        <v>49.533999999999999</v>
      </c>
      <c r="C14" s="317">
        <f>+Report1!R15</f>
        <v>48.999000000000002</v>
      </c>
      <c r="D14" s="318">
        <f t="shared" ref="D14" si="73">+D13+E14</f>
        <v>30500</v>
      </c>
      <c r="E14" s="318">
        <f>+[3]DailyAug!AH13</f>
        <v>4399.9999999996362</v>
      </c>
      <c r="F14" s="318">
        <f t="shared" ref="F14" si="74">E14/B14</f>
        <v>88.827875802471766</v>
      </c>
      <c r="G14" s="318">
        <f t="shared" ref="G14" si="75">E14/C14</f>
        <v>89.79775097450225</v>
      </c>
      <c r="H14" s="318">
        <f t="shared" ref="H14" si="76">+H13+I14</f>
        <v>55920.829999999994</v>
      </c>
      <c r="I14" s="318">
        <f>+[3]DailyAug!AI13</f>
        <v>8099.67</v>
      </c>
      <c r="J14" s="318">
        <f t="shared" ref="J14" si="77">I14/B14</f>
        <v>163.51738200024226</v>
      </c>
      <c r="K14" s="318">
        <f t="shared" ref="K14" si="78">I14/C14</f>
        <v>165.30276128084245</v>
      </c>
      <c r="L14" s="318">
        <f t="shared" ref="L14" si="79">+L13+M14</f>
        <v>167040.82999999996</v>
      </c>
      <c r="M14" s="318">
        <f>+[3]DailyAug!AJ13</f>
        <v>23259.67</v>
      </c>
      <c r="N14" s="318">
        <f t="shared" ref="N14" si="80">M14/B14</f>
        <v>469.56979044696567</v>
      </c>
      <c r="O14" s="318">
        <f t="shared" ref="O14" si="81">M14/C14</f>
        <v>474.69683054756212</v>
      </c>
      <c r="P14" s="318">
        <f t="shared" ref="P14" si="82">+E14+I14+M14</f>
        <v>35759.339999999633</v>
      </c>
      <c r="Q14" s="7">
        <f t="shared" ref="Q14" si="83">P14/B14</f>
        <v>721.91504824967967</v>
      </c>
      <c r="R14" s="316">
        <f t="shared" ref="R14" si="84">P14/C14</f>
        <v>729.79734280290677</v>
      </c>
      <c r="V14" s="380" t="s">
        <v>171</v>
      </c>
      <c r="W14" s="380" t="s">
        <v>172</v>
      </c>
    </row>
    <row r="15" spans="1:23" ht="15">
      <c r="A15" s="310">
        <f t="shared" si="72"/>
        <v>45512</v>
      </c>
      <c r="B15" s="317">
        <f>+Report1!P16</f>
        <v>48.856999999999999</v>
      </c>
      <c r="C15" s="317">
        <f>+Report1!R16</f>
        <v>43.768999999999998</v>
      </c>
      <c r="D15" s="318">
        <f t="shared" ref="D15" si="85">+D14+E15</f>
        <v>34900.000000001455</v>
      </c>
      <c r="E15" s="318">
        <f>+[3]DailyAug!AH14</f>
        <v>4400.0000000014552</v>
      </c>
      <c r="F15" s="318">
        <f t="shared" ref="F15" si="86">E15/B15</f>
        <v>90.058742861851016</v>
      </c>
      <c r="G15" s="318">
        <f t="shared" ref="G15" si="87">E15/C15</f>
        <v>100.52777079671583</v>
      </c>
      <c r="H15" s="318">
        <f t="shared" ref="H15" si="88">+H14+I15</f>
        <v>63891.099999999991</v>
      </c>
      <c r="I15" s="318">
        <f>+[3]DailyAug!AI14</f>
        <v>7970.27</v>
      </c>
      <c r="J15" s="318">
        <f t="shared" ref="J15" si="89">I15/B15</f>
        <v>163.13465828847453</v>
      </c>
      <c r="K15" s="318">
        <f t="shared" ref="K15" si="90">I15/C15</f>
        <v>182.09851721538075</v>
      </c>
      <c r="L15" s="318">
        <f t="shared" ref="L15" si="91">+L14+M15</f>
        <v>190171.09999999995</v>
      </c>
      <c r="M15" s="318">
        <f>+[3]DailyAug!AJ14</f>
        <v>23130.27</v>
      </c>
      <c r="N15" s="318">
        <f t="shared" ref="N15" si="92">M15/B15</f>
        <v>473.4279632396586</v>
      </c>
      <c r="O15" s="318">
        <f t="shared" ref="O15" si="93">M15/C15</f>
        <v>528.46238205122347</v>
      </c>
      <c r="P15" s="318">
        <f t="shared" ref="P15" si="94">+E15+I15+M15</f>
        <v>35500.540000001456</v>
      </c>
      <c r="Q15" s="7">
        <f t="shared" ref="Q15" si="95">P15/B15</f>
        <v>726.62136438998414</v>
      </c>
      <c r="R15" s="316">
        <f t="shared" ref="R15" si="96">P15/C15</f>
        <v>811.08867006332014</v>
      </c>
      <c r="V15" s="380" t="s">
        <v>171</v>
      </c>
      <c r="W15" s="380" t="s">
        <v>172</v>
      </c>
    </row>
    <row r="16" spans="1:23" ht="15">
      <c r="A16" s="310">
        <f t="shared" si="72"/>
        <v>45513</v>
      </c>
      <c r="B16" s="317">
        <f>+Report1!P17</f>
        <v>42.048000000000002</v>
      </c>
      <c r="C16" s="317">
        <f>+Report1!R17</f>
        <v>44.734000000000002</v>
      </c>
      <c r="D16" s="318">
        <f t="shared" ref="D16" si="97">+D15+E16</f>
        <v>39200.000000000728</v>
      </c>
      <c r="E16" s="318">
        <f>+[3]DailyAug!AH15</f>
        <v>4299.9999999992724</v>
      </c>
      <c r="F16" s="318">
        <f t="shared" ref="F16" si="98">E16/B16</f>
        <v>102.26407914762348</v>
      </c>
      <c r="G16" s="318">
        <f t="shared" ref="G16" si="99">E16/C16</f>
        <v>96.123753744339254</v>
      </c>
      <c r="H16" s="318">
        <f t="shared" ref="H16" si="100">+H15+I16</f>
        <v>72117.81</v>
      </c>
      <c r="I16" s="318">
        <f>+[3]DailyAug!AI15</f>
        <v>8226.7099999999991</v>
      </c>
      <c r="J16" s="318">
        <f t="shared" ref="J16" si="101">I16/B16</f>
        <v>195.65044710806694</v>
      </c>
      <c r="K16" s="318">
        <f t="shared" ref="K16" si="102">I16/C16</f>
        <v>183.90284794563416</v>
      </c>
      <c r="L16" s="318">
        <f t="shared" ref="L16" si="103">+L15+M16</f>
        <v>216557.80999999994</v>
      </c>
      <c r="M16" s="318">
        <f>+[3]DailyAug!AJ15</f>
        <v>26386.71</v>
      </c>
      <c r="N16" s="318">
        <f t="shared" ref="N16" si="104">M16/B16</f>
        <v>627.53781392694054</v>
      </c>
      <c r="O16" s="318">
        <f t="shared" ref="O16" si="105">M16/C16</f>
        <v>589.858049805517</v>
      </c>
      <c r="P16" s="318">
        <f t="shared" ref="P16" si="106">+E16+I16+M16</f>
        <v>38913.419999999271</v>
      </c>
      <c r="Q16" s="7">
        <f t="shared" ref="Q16" si="107">P16/B16</f>
        <v>925.45234018263102</v>
      </c>
      <c r="R16" s="316">
        <f t="shared" ref="R16" si="108">P16/C16</f>
        <v>869.8846514954904</v>
      </c>
      <c r="V16" s="380" t="s">
        <v>171</v>
      </c>
      <c r="W16" s="380" t="s">
        <v>172</v>
      </c>
    </row>
    <row r="17" spans="1:23" ht="15">
      <c r="A17" s="310">
        <f t="shared" si="72"/>
        <v>45514</v>
      </c>
      <c r="B17" s="317">
        <f>+Report1!P18</f>
        <v>41.216999999999999</v>
      </c>
      <c r="C17" s="317">
        <f>+Report1!R18</f>
        <v>38.950000000000003</v>
      </c>
      <c r="D17" s="318">
        <f t="shared" ref="D17" si="109">+D16+E17</f>
        <v>43400.000000001455</v>
      </c>
      <c r="E17" s="318">
        <f>+[3]DailyAug!AH16</f>
        <v>4200.0000000007276</v>
      </c>
      <c r="F17" s="318">
        <f t="shared" ref="F17" si="110">E17/B17</f>
        <v>101.89970157946303</v>
      </c>
      <c r="G17" s="318">
        <f t="shared" ref="G17" si="111">E17/C17</f>
        <v>107.8305519897491</v>
      </c>
      <c r="H17" s="318">
        <f t="shared" ref="H17" si="112">+H16+I17</f>
        <v>79789.08</v>
      </c>
      <c r="I17" s="318">
        <f>+[3]DailyAug!AI16</f>
        <v>7671.27</v>
      </c>
      <c r="J17" s="318">
        <f t="shared" ref="J17" si="113">I17/B17</f>
        <v>186.11907707984571</v>
      </c>
      <c r="K17" s="318">
        <f t="shared" ref="K17" si="114">I17/C17</f>
        <v>196.95173299101413</v>
      </c>
      <c r="L17" s="318">
        <f t="shared" ref="L17" si="115">+L16+M17</f>
        <v>241389.07999999993</v>
      </c>
      <c r="M17" s="318">
        <f>+[3]DailyAug!AJ16</f>
        <v>24831.27</v>
      </c>
      <c r="N17" s="318">
        <f t="shared" ref="N17" si="116">M17/B17</f>
        <v>602.45214353300821</v>
      </c>
      <c r="O17" s="318">
        <f t="shared" ref="O17" si="117">M17/C17</f>
        <v>637.51655969191268</v>
      </c>
      <c r="P17" s="318">
        <f t="shared" ref="P17" si="118">+E17+I17+M17</f>
        <v>36702.540000000728</v>
      </c>
      <c r="Q17" s="7">
        <f t="shared" ref="Q17" si="119">P17/B17</f>
        <v>890.47092219231695</v>
      </c>
      <c r="R17" s="316">
        <f t="shared" ref="R17" si="120">P17/C17</f>
        <v>942.29884467267584</v>
      </c>
      <c r="V17" s="380" t="s">
        <v>171</v>
      </c>
      <c r="W17" s="380" t="s">
        <v>172</v>
      </c>
    </row>
    <row r="18" spans="1:23" ht="15">
      <c r="A18" s="310">
        <f t="shared" si="72"/>
        <v>45515</v>
      </c>
      <c r="B18" s="317">
        <f>+Report1!P19</f>
        <v>39.256</v>
      </c>
      <c r="C18" s="317">
        <f>+Report1!R19</f>
        <v>40.588999999999999</v>
      </c>
      <c r="D18" s="318">
        <f t="shared" ref="D18" si="121">+D17+E18</f>
        <v>47500</v>
      </c>
      <c r="E18" s="318">
        <f>+[3]DailyAug!AH17</f>
        <v>4099.9999999985448</v>
      </c>
      <c r="F18" s="318">
        <f t="shared" ref="F18" si="122">E18/B18</f>
        <v>104.44263297326637</v>
      </c>
      <c r="G18" s="318">
        <f t="shared" ref="G18" si="123">E18/C18</f>
        <v>101.01258961784092</v>
      </c>
      <c r="H18" s="318">
        <f t="shared" ref="H18" si="124">+H17+I18</f>
        <v>88223.19</v>
      </c>
      <c r="I18" s="318">
        <f>+[3]DailyAug!AI17</f>
        <v>8434.11</v>
      </c>
      <c r="J18" s="318">
        <f t="shared" ref="J18" si="125">I18/B18</f>
        <v>214.84894028938254</v>
      </c>
      <c r="K18" s="318">
        <f t="shared" ref="K18" si="126">I18/C18</f>
        <v>207.79299810293432</v>
      </c>
      <c r="L18" s="318">
        <f t="shared" ref="L18" si="127">+L17+M18</f>
        <v>267983.18999999994</v>
      </c>
      <c r="M18" s="318">
        <f>+[3]DailyAug!AJ17</f>
        <v>26594.11</v>
      </c>
      <c r="N18" s="318">
        <f t="shared" ref="N18" si="128">M18/B18</f>
        <v>677.45338292235579</v>
      </c>
      <c r="O18" s="318">
        <f t="shared" ref="O18" si="129">M18/C18</f>
        <v>655.20485845918847</v>
      </c>
      <c r="P18" s="318">
        <f t="shared" ref="P18" si="130">+E18+I18+M18</f>
        <v>39128.219999998546</v>
      </c>
      <c r="Q18" s="7">
        <f t="shared" ref="Q18" si="131">P18/B18</f>
        <v>996.74495618500475</v>
      </c>
      <c r="R18" s="316">
        <f t="shared" ref="R18" si="132">P18/C18</f>
        <v>964.01044617996376</v>
      </c>
      <c r="V18" s="380" t="s">
        <v>171</v>
      </c>
      <c r="W18" s="380" t="s">
        <v>172</v>
      </c>
    </row>
    <row r="19" spans="1:23" ht="15">
      <c r="A19" s="310">
        <f t="shared" si="72"/>
        <v>45516</v>
      </c>
      <c r="B19" s="317">
        <f>+Report1!P20</f>
        <v>43.347999999999999</v>
      </c>
      <c r="C19" s="317">
        <f>+Report1!R20</f>
        <v>41.244999999999997</v>
      </c>
      <c r="D19" s="318">
        <f t="shared" ref="D19" si="133">+D18+E19</f>
        <v>51900.000000001455</v>
      </c>
      <c r="E19" s="318">
        <f>+[3]DailyAug!AH18</f>
        <v>4400.0000000014552</v>
      </c>
      <c r="F19" s="318">
        <f t="shared" ref="F19" si="134">E19/B19</f>
        <v>101.50410630251581</v>
      </c>
      <c r="G19" s="318">
        <f t="shared" ref="G19" si="135">E19/C19</f>
        <v>106.67959752700826</v>
      </c>
      <c r="H19" s="318">
        <f t="shared" ref="H19" si="136">+H18+I19</f>
        <v>96624.95</v>
      </c>
      <c r="I19" s="318">
        <f>+[3]DailyAug!AI18</f>
        <v>8401.76</v>
      </c>
      <c r="J19" s="318">
        <f t="shared" ref="J19" si="137">I19/B19</f>
        <v>193.8211682199871</v>
      </c>
      <c r="K19" s="318">
        <f t="shared" ref="K19" si="138">I19/C19</f>
        <v>203.70372166323193</v>
      </c>
      <c r="L19" s="318">
        <f t="shared" ref="L19" si="139">+L18+M19</f>
        <v>294544.94999999995</v>
      </c>
      <c r="M19" s="318">
        <f>+[3]DailyAug!AJ18</f>
        <v>26561.759999999998</v>
      </c>
      <c r="N19" s="318">
        <f t="shared" ref="N19" si="140">M19/B19</f>
        <v>612.75629786841375</v>
      </c>
      <c r="O19" s="318">
        <f t="shared" ref="O19" si="141">M19/C19</f>
        <v>643.99951509273853</v>
      </c>
      <c r="P19" s="318">
        <f t="shared" ref="P19" si="142">+E19+I19+M19</f>
        <v>39363.520000001452</v>
      </c>
      <c r="Q19" s="7">
        <f t="shared" ref="Q19" si="143">P19/B19</f>
        <v>908.08157239091656</v>
      </c>
      <c r="R19" s="316">
        <f t="shared" ref="R19" si="144">P19/C19</f>
        <v>954.38283428297871</v>
      </c>
      <c r="V19" s="380" t="s">
        <v>171</v>
      </c>
      <c r="W19" s="380" t="s">
        <v>172</v>
      </c>
    </row>
    <row r="20" spans="1:23" ht="15">
      <c r="A20" s="310">
        <f t="shared" si="72"/>
        <v>45517</v>
      </c>
      <c r="B20" s="317">
        <f>+Report1!P21</f>
        <v>44.685000000000002</v>
      </c>
      <c r="C20" s="317">
        <f>+Report1!R21</f>
        <v>44.634999999999998</v>
      </c>
      <c r="D20" s="318">
        <f t="shared" ref="D20" si="145">+D19+E20</f>
        <v>56000</v>
      </c>
      <c r="E20" s="318">
        <f>+[3]DailyAug!AH19</f>
        <v>4099.9999999985448</v>
      </c>
      <c r="F20" s="318">
        <f t="shared" ref="F20" si="146">E20/B20</f>
        <v>91.753384804711757</v>
      </c>
      <c r="G20" s="318">
        <f t="shared" ref="G20" si="147">E20/C20</f>
        <v>91.856166685304018</v>
      </c>
      <c r="H20" s="318">
        <f t="shared" ref="H20" si="148">+H19+I20</f>
        <v>104776.86</v>
      </c>
      <c r="I20" s="318">
        <f>+[3]DailyAug!AI19</f>
        <v>8151.91</v>
      </c>
      <c r="J20" s="318">
        <f t="shared" ref="J20" si="149">I20/B20</f>
        <v>182.430569542352</v>
      </c>
      <c r="K20" s="318">
        <f t="shared" ref="K20" si="150">I20/C20</f>
        <v>182.63492774728351</v>
      </c>
      <c r="L20" s="318">
        <f t="shared" ref="L20" si="151">+L19+M20</f>
        <v>319856.85999999993</v>
      </c>
      <c r="M20" s="318">
        <f>+[3]DailyAug!AJ19</f>
        <v>25311.91</v>
      </c>
      <c r="N20" s="318">
        <f t="shared" ref="N20" si="152">M20/B20</f>
        <v>566.45205326172095</v>
      </c>
      <c r="O20" s="318">
        <f t="shared" ref="O20" si="153">M20/C20</f>
        <v>567.08659124005828</v>
      </c>
      <c r="P20" s="318">
        <f t="shared" ref="P20" si="154">+E20+I20+M20</f>
        <v>37563.819999998545</v>
      </c>
      <c r="Q20" s="7">
        <f t="shared" ref="Q20" si="155">P20/B20</f>
        <v>840.63600760878467</v>
      </c>
      <c r="R20" s="316">
        <f t="shared" ref="R20" si="156">P20/C20</f>
        <v>841.57768567264577</v>
      </c>
      <c r="V20" s="380" t="s">
        <v>171</v>
      </c>
      <c r="W20" s="380" t="s">
        <v>172</v>
      </c>
    </row>
    <row r="21" spans="1:23" ht="15">
      <c r="A21" s="310">
        <f t="shared" si="72"/>
        <v>45518</v>
      </c>
      <c r="B21" s="317">
        <f>+Report1!P22</f>
        <v>43.694000000000003</v>
      </c>
      <c r="C21" s="317">
        <f>+Report1!R22</f>
        <v>42.045999999999999</v>
      </c>
      <c r="D21" s="318">
        <f t="shared" ref="D21" si="157">+D20+E21</f>
        <v>60200.000000000728</v>
      </c>
      <c r="E21" s="318">
        <f>+[3]DailyAug!AH20</f>
        <v>4200.0000000007276</v>
      </c>
      <c r="F21" s="318">
        <f t="shared" ref="F21" si="158">E21/B21</f>
        <v>96.123037488001273</v>
      </c>
      <c r="G21" s="318">
        <f t="shared" ref="G21" si="159">E21/C21</f>
        <v>99.890596013906858</v>
      </c>
      <c r="H21" s="318">
        <f t="shared" ref="H21" si="160">+H20+I21</f>
        <v>113812.94</v>
      </c>
      <c r="I21" s="318">
        <f>+[3]DailyAug!AI20</f>
        <v>9036.08</v>
      </c>
      <c r="J21" s="318">
        <f t="shared" ref="J21" si="161">I21/B21</f>
        <v>206.80368013914952</v>
      </c>
      <c r="K21" s="318">
        <f t="shared" ref="K21" si="162">I21/C21</f>
        <v>214.90938495933025</v>
      </c>
      <c r="L21" s="318">
        <f t="shared" ref="L21" si="163">+L20+M21</f>
        <v>345052.93999999994</v>
      </c>
      <c r="M21" s="318">
        <f>+[3]DailyAug!AJ20</f>
        <v>25196.080000000002</v>
      </c>
      <c r="N21" s="318">
        <f t="shared" ref="N21" si="164">M21/B21</f>
        <v>576.64851009291897</v>
      </c>
      <c r="O21" s="318">
        <f t="shared" ref="O21" si="165">M21/C21</f>
        <v>599.25034486039101</v>
      </c>
      <c r="P21" s="318">
        <f t="shared" ref="P21" si="166">+E21+I21+M21</f>
        <v>38432.160000000731</v>
      </c>
      <c r="Q21" s="7">
        <f t="shared" ref="Q21" si="167">P21/B21</f>
        <v>879.57522772006973</v>
      </c>
      <c r="R21" s="316">
        <f t="shared" ref="R21" si="168">P21/C21</f>
        <v>914.05032583362822</v>
      </c>
      <c r="V21" s="380" t="s">
        <v>171</v>
      </c>
      <c r="W21" s="380" t="s">
        <v>172</v>
      </c>
    </row>
    <row r="22" spans="1:23" ht="15">
      <c r="A22" s="310">
        <f t="shared" si="72"/>
        <v>45519</v>
      </c>
      <c r="B22" s="317">
        <f>+Report1!P23</f>
        <v>46.213000000000001</v>
      </c>
      <c r="C22" s="317">
        <f>+Report1!R23</f>
        <v>44.924999999999997</v>
      </c>
      <c r="D22" s="318">
        <f t="shared" ref="D22" si="169">+D21+E22</f>
        <v>64200.000000000728</v>
      </c>
      <c r="E22" s="318">
        <f>+[3]DailyAug!AH21</f>
        <v>4000</v>
      </c>
      <c r="F22" s="318">
        <f t="shared" ref="F22" si="170">E22/B22</f>
        <v>86.555731071343558</v>
      </c>
      <c r="G22" s="318">
        <f t="shared" ref="G22" si="171">E22/C22</f>
        <v>89.037284362826938</v>
      </c>
      <c r="H22" s="318">
        <f t="shared" ref="H22" si="172">+H21+I22</f>
        <v>122342.17</v>
      </c>
      <c r="I22" s="318">
        <f>+[3]DailyAug!AI21</f>
        <v>8529.23</v>
      </c>
      <c r="J22" s="318">
        <f t="shared" ref="J22" si="173">I22/B22</f>
        <v>184.56343453140889</v>
      </c>
      <c r="K22" s="318">
        <f t="shared" ref="K22" si="174">I22/C22</f>
        <v>189.8548692264886</v>
      </c>
      <c r="L22" s="318">
        <f t="shared" ref="L22" si="175">+L21+M22</f>
        <v>369742.16999999993</v>
      </c>
      <c r="M22" s="318">
        <f>+[3]DailyAug!AJ21</f>
        <v>24689.23</v>
      </c>
      <c r="N22" s="318">
        <f t="shared" ref="N22" si="176">M22/B22</f>
        <v>534.24858805963686</v>
      </c>
      <c r="O22" s="318">
        <f t="shared" ref="O22" si="177">M22/C22</f>
        <v>549.56549805230941</v>
      </c>
      <c r="P22" s="318">
        <f t="shared" ref="P22" si="178">+E22+I22+M22</f>
        <v>37218.46</v>
      </c>
      <c r="Q22" s="7">
        <f t="shared" ref="Q22" si="179">P22/B22</f>
        <v>805.3677536623893</v>
      </c>
      <c r="R22" s="316">
        <f t="shared" ref="R22" si="180">P22/C22</f>
        <v>828.45765164162492</v>
      </c>
      <c r="V22" s="380" t="s">
        <v>171</v>
      </c>
      <c r="W22" s="380" t="s">
        <v>172</v>
      </c>
    </row>
    <row r="23" spans="1:23" ht="15">
      <c r="A23" s="310">
        <f t="shared" si="72"/>
        <v>45520</v>
      </c>
      <c r="B23" s="317">
        <f>+Report1!P24</f>
        <v>47.757999999999996</v>
      </c>
      <c r="C23" s="317">
        <f>+Report1!R24</f>
        <v>45.956000000000003</v>
      </c>
      <c r="D23" s="318">
        <f t="shared" ref="D23" si="181">+D22+E23</f>
        <v>68200.000000000728</v>
      </c>
      <c r="E23" s="318">
        <f>+[3]DailyAug!AH22</f>
        <v>4000</v>
      </c>
      <c r="F23" s="318">
        <f t="shared" ref="F23" si="182">E23/B23</f>
        <v>83.755601155827307</v>
      </c>
      <c r="G23" s="318">
        <f t="shared" ref="G23" si="183">E23/C23</f>
        <v>87.039777178170425</v>
      </c>
      <c r="H23" s="318">
        <f t="shared" ref="H23" si="184">+H22+I23</f>
        <v>130785.56999999999</v>
      </c>
      <c r="I23" s="318">
        <f>+[3]DailyAug!AI22</f>
        <v>8443.4</v>
      </c>
      <c r="J23" s="318">
        <f t="shared" ref="J23" si="185">I23/B23</f>
        <v>176.79551069977805</v>
      </c>
      <c r="K23" s="318">
        <f t="shared" ref="K23" si="186">I23/C23</f>
        <v>183.72791365654101</v>
      </c>
      <c r="L23" s="318">
        <f t="shared" ref="L23" si="187">+L22+M23</f>
        <v>394345.56999999995</v>
      </c>
      <c r="M23" s="318">
        <f>+[3]DailyAug!AJ22</f>
        <v>24603.4</v>
      </c>
      <c r="N23" s="318">
        <f t="shared" ref="N23" si="188">M23/B23</f>
        <v>515.16813936932044</v>
      </c>
      <c r="O23" s="318">
        <f t="shared" ref="O23" si="189">M23/C23</f>
        <v>535.36861345634952</v>
      </c>
      <c r="P23" s="318">
        <f t="shared" ref="P23" si="190">+E23+I23+M23</f>
        <v>37046.800000000003</v>
      </c>
      <c r="Q23" s="7">
        <f t="shared" ref="Q23" si="191">P23/B23</f>
        <v>775.71925122492576</v>
      </c>
      <c r="R23" s="316">
        <f t="shared" ref="R23" si="192">P23/C23</f>
        <v>806.13630429106104</v>
      </c>
      <c r="V23" s="380" t="s">
        <v>171</v>
      </c>
      <c r="W23" s="380" t="s">
        <v>172</v>
      </c>
    </row>
    <row r="24" spans="1:23" ht="15">
      <c r="A24" s="310">
        <f t="shared" si="72"/>
        <v>45521</v>
      </c>
      <c r="B24" s="317">
        <f>+Report1!P25</f>
        <v>44.586999999999996</v>
      </c>
      <c r="C24" s="317">
        <f>+Report1!R25</f>
        <v>43.734999999999999</v>
      </c>
      <c r="D24" s="318">
        <f t="shared" ref="D24" si="193">+D23+E24</f>
        <v>72400.000000001455</v>
      </c>
      <c r="E24" s="318">
        <f>+[3]DailyAug!AH23</f>
        <v>4200.0000000007276</v>
      </c>
      <c r="F24" s="318">
        <f t="shared" ref="F24" si="194">E24/B24</f>
        <v>94.197860362902375</v>
      </c>
      <c r="G24" s="318">
        <f t="shared" ref="G24" si="195">E24/C24</f>
        <v>96.032925574499316</v>
      </c>
      <c r="H24" s="318">
        <f t="shared" ref="H24" si="196">+H23+I24</f>
        <v>138710.34</v>
      </c>
      <c r="I24" s="318">
        <f>+[3]DailyAug!AI23</f>
        <v>7924.77</v>
      </c>
      <c r="J24" s="318">
        <f t="shared" ref="J24" si="197">I24/B24</f>
        <v>177.73723282571154</v>
      </c>
      <c r="K24" s="318">
        <f t="shared" ref="K24" si="198">I24/C24</f>
        <v>181.19972562021266</v>
      </c>
      <c r="L24" s="318">
        <f t="shared" ref="L24" si="199">+L23+M24</f>
        <v>419430.33999999997</v>
      </c>
      <c r="M24" s="318">
        <f>+[3]DailyAug!AJ23</f>
        <v>25084.77</v>
      </c>
      <c r="N24" s="318">
        <f t="shared" ref="N24" si="200">M24/B24</f>
        <v>562.60277659407461</v>
      </c>
      <c r="O24" s="318">
        <f t="shared" ref="O24" si="201">M24/C24</f>
        <v>573.5628215388133</v>
      </c>
      <c r="P24" s="318">
        <f t="shared" ref="P24" si="202">+E24+I24+M24</f>
        <v>37209.540000000728</v>
      </c>
      <c r="Q24" s="7">
        <f t="shared" ref="Q24" si="203">P24/B24</f>
        <v>834.53786978268852</v>
      </c>
      <c r="R24" s="316">
        <f t="shared" ref="R24" si="204">P24/C24</f>
        <v>850.79547273352534</v>
      </c>
      <c r="V24" s="380" t="s">
        <v>171</v>
      </c>
      <c r="W24" s="380" t="s">
        <v>172</v>
      </c>
    </row>
    <row r="25" spans="1:23" ht="15">
      <c r="A25" s="310">
        <f t="shared" si="72"/>
        <v>45522</v>
      </c>
      <c r="B25" s="317">
        <f>+Report1!P26</f>
        <v>41.155000000000001</v>
      </c>
      <c r="C25" s="317">
        <f>+Report1!R26</f>
        <v>43.271999999999998</v>
      </c>
      <c r="D25" s="318">
        <f t="shared" ref="D25" si="205">+D24+E25</f>
        <v>76400.000000001455</v>
      </c>
      <c r="E25" s="318">
        <f>+[3]DailyAug!AH24</f>
        <v>4000</v>
      </c>
      <c r="F25" s="318">
        <f t="shared" ref="F25" si="206">E25/B25</f>
        <v>97.193536629814119</v>
      </c>
      <c r="G25" s="318">
        <f t="shared" ref="G25" si="207">E25/C25</f>
        <v>92.43852837862822</v>
      </c>
      <c r="H25" s="318">
        <f t="shared" ref="H25" si="208">+H24+I25</f>
        <v>146869.63</v>
      </c>
      <c r="I25" s="318">
        <f>+[3]DailyAug!AI24</f>
        <v>8159.29</v>
      </c>
      <c r="J25" s="318">
        <f t="shared" ref="J25" si="209">I25/B25</f>
        <v>198.257562872069</v>
      </c>
      <c r="K25" s="318">
        <f t="shared" ref="K25" si="210">I25/C25</f>
        <v>188.55819005361434</v>
      </c>
      <c r="L25" s="318">
        <f t="shared" ref="L25" si="211">+L24+M25</f>
        <v>443749.62999999995</v>
      </c>
      <c r="M25" s="318">
        <f>+[3]DailyAug!AJ24</f>
        <v>24319.29</v>
      </c>
      <c r="N25" s="318">
        <f t="shared" ref="N25" si="212">M25/B25</f>
        <v>590.9194508565181</v>
      </c>
      <c r="O25" s="318">
        <f t="shared" ref="O25" si="213">M25/C25</f>
        <v>562.00984470327239</v>
      </c>
      <c r="P25" s="318">
        <f t="shared" ref="P25" si="214">+E25+I25+M25</f>
        <v>36478.58</v>
      </c>
      <c r="Q25" s="7">
        <f t="shared" ref="Q25" si="215">P25/B25</f>
        <v>886.37055035840115</v>
      </c>
      <c r="R25" s="316">
        <f t="shared" ref="R25" si="216">P25/C25</f>
        <v>843.00656313551497</v>
      </c>
      <c r="V25" s="380" t="s">
        <v>171</v>
      </c>
      <c r="W25" s="380" t="s">
        <v>172</v>
      </c>
    </row>
    <row r="26" spans="1:23" ht="15">
      <c r="A26" s="310">
        <f t="shared" si="72"/>
        <v>45523</v>
      </c>
      <c r="B26" s="317">
        <f>+Report1!P27</f>
        <v>37.085000000000001</v>
      </c>
      <c r="C26" s="317">
        <f>+Report1!R27</f>
        <v>34.768000000000001</v>
      </c>
      <c r="D26" s="318">
        <f t="shared" ref="D26" si="217">+D25+E26</f>
        <v>80400.000000001455</v>
      </c>
      <c r="E26" s="318">
        <f>+[3]DailyAug!AH25</f>
        <v>4000</v>
      </c>
      <c r="F26" s="318">
        <f t="shared" ref="F26" si="218">E26/B26</f>
        <v>107.86032088445462</v>
      </c>
      <c r="G26" s="318">
        <f t="shared" ref="G26" si="219">E26/C26</f>
        <v>115.04832029452369</v>
      </c>
      <c r="H26" s="318">
        <f t="shared" ref="H26" si="220">+H25+I26</f>
        <v>154962.86000000002</v>
      </c>
      <c r="I26" s="318">
        <f>+[3]DailyAug!AI25</f>
        <v>8093.23</v>
      </c>
      <c r="J26" s="318">
        <f t="shared" ref="J26" si="221">I26/B26</f>
        <v>218.23459619792368</v>
      </c>
      <c r="K26" s="318">
        <f t="shared" ref="K26" si="222">I26/C26</f>
        <v>232.778129314312</v>
      </c>
      <c r="L26" s="318">
        <f t="shared" ref="L26" si="223">+L25+M26</f>
        <v>466002.85999999993</v>
      </c>
      <c r="M26" s="318">
        <f>+[3]DailyAug!AJ25</f>
        <v>22253.23</v>
      </c>
      <c r="N26" s="318">
        <f t="shared" ref="N26" si="224">M26/B26</f>
        <v>600.06013212889309</v>
      </c>
      <c r="O26" s="318">
        <f t="shared" ref="O26" si="225">M26/C26</f>
        <v>640.04918315692589</v>
      </c>
      <c r="P26" s="318">
        <f t="shared" ref="P26" si="226">+E26+I26+M26</f>
        <v>34346.46</v>
      </c>
      <c r="Q26" s="7">
        <f t="shared" ref="Q26" si="227">P26/B26</f>
        <v>926.15504921127138</v>
      </c>
      <c r="R26" s="316">
        <f t="shared" ref="R26" si="228">P26/C26</f>
        <v>987.87563276576157</v>
      </c>
      <c r="V26" s="380" t="s">
        <v>171</v>
      </c>
      <c r="W26" s="380" t="s">
        <v>172</v>
      </c>
    </row>
    <row r="27" spans="1:23" ht="15">
      <c r="A27" s="310">
        <f t="shared" si="72"/>
        <v>45524</v>
      </c>
      <c r="B27" s="317">
        <f>+Report1!P28</f>
        <v>44.22</v>
      </c>
      <c r="C27" s="317">
        <f>+Report1!R28</f>
        <v>41.040999999999997</v>
      </c>
      <c r="D27" s="318">
        <f t="shared" ref="D27" si="229">+D26+E27</f>
        <v>84900.000000001455</v>
      </c>
      <c r="E27" s="318">
        <f>+[3]DailyAug!AH26</f>
        <v>4500</v>
      </c>
      <c r="F27" s="318">
        <f t="shared" ref="F27" si="230">E27/B27</f>
        <v>101.76390773405699</v>
      </c>
      <c r="G27" s="318">
        <f t="shared" ref="G27" si="231">E27/C27</f>
        <v>109.64645110986575</v>
      </c>
      <c r="H27" s="318">
        <f t="shared" ref="H27" si="232">+H26+I27</f>
        <v>163571.26</v>
      </c>
      <c r="I27" s="318">
        <f>+[3]DailyAug!AI26</f>
        <v>8608.4</v>
      </c>
      <c r="J27" s="318">
        <f t="shared" ref="J27" si="233">I27/B27</f>
        <v>194.67209407507914</v>
      </c>
      <c r="K27" s="318">
        <f t="shared" ref="K27" si="234">I27/C27</f>
        <v>209.75122438537073</v>
      </c>
      <c r="L27" s="318">
        <f t="shared" ref="L27" si="235">+L26+M27</f>
        <v>489771.25999999995</v>
      </c>
      <c r="M27" s="318">
        <f>+[3]DailyAug!AJ26</f>
        <v>23768.400000000001</v>
      </c>
      <c r="N27" s="318">
        <f t="shared" ref="N27" si="236">M27/B27</f>
        <v>537.50339213025779</v>
      </c>
      <c r="O27" s="318">
        <f t="shared" ref="O27" si="237">M27/C27</f>
        <v>579.13793523549634</v>
      </c>
      <c r="P27" s="318">
        <f t="shared" ref="P27" si="238">+E27+I27+M27</f>
        <v>36876.800000000003</v>
      </c>
      <c r="Q27" s="7">
        <f t="shared" ref="Q27" si="239">P27/B27</f>
        <v>833.93939393939399</v>
      </c>
      <c r="R27" s="316">
        <f t="shared" ref="R27" si="240">P27/C27</f>
        <v>898.53561073073286</v>
      </c>
      <c r="V27" s="380" t="s">
        <v>171</v>
      </c>
      <c r="W27" s="380" t="s">
        <v>172</v>
      </c>
    </row>
    <row r="28" spans="1:23" ht="15">
      <c r="A28" s="310">
        <f t="shared" si="72"/>
        <v>45525</v>
      </c>
      <c r="B28" s="317">
        <f>+Report1!P29</f>
        <v>42.118000000000002</v>
      </c>
      <c r="C28" s="317">
        <f>+Report1!R29</f>
        <v>41.906999999999996</v>
      </c>
      <c r="D28" s="318">
        <f t="shared" ref="D28" si="241">+D27+E28</f>
        <v>89000</v>
      </c>
      <c r="E28" s="318">
        <f>+[3]DailyAug!AH27</f>
        <v>4099.9999999985448</v>
      </c>
      <c r="F28" s="318">
        <f t="shared" ref="F28" si="242">E28/B28</f>
        <v>97.345552970191946</v>
      </c>
      <c r="G28" s="318">
        <f t="shared" ref="G28" si="243">E28/C28</f>
        <v>97.835683775945427</v>
      </c>
      <c r="H28" s="318">
        <f t="shared" ref="H28" si="244">+H27+I28</f>
        <v>171642.21000000002</v>
      </c>
      <c r="I28" s="318">
        <f>+[3]DailyAug!AI27</f>
        <v>8070.95</v>
      </c>
      <c r="J28" s="318">
        <f t="shared" ref="J28" si="245">I28/B28</f>
        <v>191.62709530367061</v>
      </c>
      <c r="K28" s="318">
        <f t="shared" ref="K28" si="246">I28/C28</f>
        <v>192.5919297492066</v>
      </c>
      <c r="L28" s="318">
        <f t="shared" ref="L28" si="247">+L27+M28</f>
        <v>513002.20999999996</v>
      </c>
      <c r="M28" s="318">
        <f>+[3]DailyAug!AJ27</f>
        <v>23230.95</v>
      </c>
      <c r="N28" s="318">
        <f t="shared" ref="N28" si="248">M28/B28</f>
        <v>551.56821311553256</v>
      </c>
      <c r="O28" s="318">
        <f t="shared" ref="O28" si="249">M28/C28</f>
        <v>554.34533610136737</v>
      </c>
      <c r="P28" s="318">
        <f t="shared" ref="P28" si="250">+E28+I28+M28</f>
        <v>35401.899999998546</v>
      </c>
      <c r="Q28" s="7">
        <f t="shared" ref="Q28" si="251">P28/B28</f>
        <v>840.5408613893951</v>
      </c>
      <c r="R28" s="316">
        <f t="shared" ref="R28" si="252">P28/C28</f>
        <v>844.77294962651945</v>
      </c>
      <c r="V28" s="380" t="s">
        <v>171</v>
      </c>
      <c r="W28" s="380" t="s">
        <v>172</v>
      </c>
    </row>
    <row r="29" spans="1:23" ht="15">
      <c r="A29" s="310">
        <f t="shared" si="72"/>
        <v>45526</v>
      </c>
      <c r="B29" s="317">
        <f>+Report1!P30</f>
        <v>45.057000000000002</v>
      </c>
      <c r="C29" s="317">
        <f>+Report1!R30</f>
        <v>44.767000000000003</v>
      </c>
      <c r="D29" s="318">
        <f t="shared" ref="D29" si="253">+D28+E29</f>
        <v>93300.000000001091</v>
      </c>
      <c r="E29" s="318">
        <f>+[3]DailyAug!AH28</f>
        <v>4300.0000000010914</v>
      </c>
      <c r="F29" s="318">
        <f t="shared" ref="F29" si="254">E29/B29</f>
        <v>95.434671638171451</v>
      </c>
      <c r="G29" s="318">
        <f t="shared" ref="G29" si="255">E29/C29</f>
        <v>96.052896106531392</v>
      </c>
      <c r="H29" s="318">
        <f t="shared" ref="H29" si="256">+H28+I29</f>
        <v>179699.77000000002</v>
      </c>
      <c r="I29" s="318">
        <f>+[3]DailyAug!AI28</f>
        <v>8057.56</v>
      </c>
      <c r="J29" s="318">
        <f t="shared" ref="J29" si="257">I29/B29</f>
        <v>178.83037041969061</v>
      </c>
      <c r="K29" s="318">
        <f t="shared" ref="K29" si="258">I29/C29</f>
        <v>179.98883105859227</v>
      </c>
      <c r="L29" s="318">
        <f t="shared" ref="L29" si="259">+L28+M29</f>
        <v>538219.77</v>
      </c>
      <c r="M29" s="318">
        <f>+[3]DailyAug!AJ28</f>
        <v>25217.56</v>
      </c>
      <c r="N29" s="318">
        <f t="shared" ref="N29" si="260">M29/B29</f>
        <v>559.68129258494798</v>
      </c>
      <c r="O29" s="318">
        <f t="shared" ref="O29" si="261">M29/C29</f>
        <v>563.30690017200163</v>
      </c>
      <c r="P29" s="318">
        <f t="shared" ref="P29" si="262">+E29+I29+M29</f>
        <v>37575.120000001094</v>
      </c>
      <c r="Q29" s="7">
        <f t="shared" ref="Q29" si="263">P29/B29</f>
        <v>833.94633464281003</v>
      </c>
      <c r="R29" s="316">
        <f t="shared" ref="R29" si="264">P29/C29</f>
        <v>839.34862733712532</v>
      </c>
      <c r="V29" s="380" t="s">
        <v>171</v>
      </c>
      <c r="W29" s="380" t="s">
        <v>172</v>
      </c>
    </row>
    <row r="30" spans="1:23" ht="15">
      <c r="A30" s="310">
        <f t="shared" si="72"/>
        <v>45527</v>
      </c>
      <c r="B30" s="317">
        <f>+Report1!P31</f>
        <v>45.576999999999998</v>
      </c>
      <c r="C30" s="317">
        <f>+Report1!R31</f>
        <v>41.915999999999997</v>
      </c>
      <c r="D30" s="318">
        <f t="shared" ref="D30" si="265">+D29+E30</f>
        <v>97600.000000000364</v>
      </c>
      <c r="E30" s="318">
        <f>+[3]DailyAug!AH29</f>
        <v>4299.9999999992724</v>
      </c>
      <c r="F30" s="318">
        <f t="shared" ref="F30" si="266">E30/B30</f>
        <v>94.345832327693188</v>
      </c>
      <c r="G30" s="318">
        <f t="shared" ref="G30" si="267">E30/C30</f>
        <v>102.58612463019546</v>
      </c>
      <c r="H30" s="318">
        <f t="shared" ref="H30" si="268">+H29+I30</f>
        <v>188024.54</v>
      </c>
      <c r="I30" s="318">
        <f>+[3]DailyAug!AI29</f>
        <v>8324.77</v>
      </c>
      <c r="J30" s="318">
        <f t="shared" ref="J30" si="269">I30/B30</f>
        <v>182.65287315970775</v>
      </c>
      <c r="K30" s="318">
        <f t="shared" ref="K30" si="270">I30/C30</f>
        <v>198.60602156694344</v>
      </c>
      <c r="L30" s="318">
        <f t="shared" ref="L30" si="271">+L29+M30</f>
        <v>562704.54</v>
      </c>
      <c r="M30" s="318">
        <f>+[3]DailyAug!AJ29</f>
        <v>24484.77</v>
      </c>
      <c r="N30" s="318">
        <f t="shared" ref="N30" si="272">M30/B30</f>
        <v>537.21767558198212</v>
      </c>
      <c r="O30" s="318">
        <f t="shared" ref="O30" si="273">M30/C30</f>
        <v>584.1389922702549</v>
      </c>
      <c r="P30" s="318">
        <f t="shared" ref="P30" si="274">+E30+I30+M30</f>
        <v>37109.539999999273</v>
      </c>
      <c r="Q30" s="7">
        <f t="shared" ref="Q30" si="275">P30/B30</f>
        <v>814.21638106938315</v>
      </c>
      <c r="R30" s="316">
        <f t="shared" ref="R30" si="276">P30/C30</f>
        <v>885.33113846739377</v>
      </c>
      <c r="V30" s="380" t="s">
        <v>171</v>
      </c>
      <c r="W30" s="380" t="s">
        <v>172</v>
      </c>
    </row>
    <row r="31" spans="1:23" ht="15">
      <c r="A31" s="310">
        <f t="shared" si="72"/>
        <v>45528</v>
      </c>
      <c r="B31" s="317">
        <f>+Report1!P32</f>
        <v>44.153999999999996</v>
      </c>
      <c r="C31" s="317">
        <f>+Report1!R32</f>
        <v>44.848999999999997</v>
      </c>
      <c r="D31" s="318">
        <f t="shared" ref="D31" si="277">+D30+E31</f>
        <v>102000</v>
      </c>
      <c r="E31" s="318">
        <f>+[3]DailyAug!AH30</f>
        <v>4399.9999999996362</v>
      </c>
      <c r="F31" s="318">
        <f t="shared" ref="F31" si="278">E31/B31</f>
        <v>99.651220727445676</v>
      </c>
      <c r="G31" s="318">
        <f t="shared" ref="G31" si="279">E31/C31</f>
        <v>98.106981203586173</v>
      </c>
      <c r="H31" s="318">
        <f t="shared" ref="H31" si="280">+H30+I31</f>
        <v>196066.1</v>
      </c>
      <c r="I31" s="318">
        <f>+[3]DailyAug!AI30</f>
        <v>8041.56</v>
      </c>
      <c r="J31" s="318">
        <f t="shared" ref="J31" si="281">I31/B31</f>
        <v>182.12528876206008</v>
      </c>
      <c r="K31" s="318">
        <f t="shared" ref="K31" si="282">I31/C31</f>
        <v>179.30299449263086</v>
      </c>
      <c r="L31" s="318">
        <f t="shared" ref="L31" si="283">+L30+M31</f>
        <v>586906.10000000009</v>
      </c>
      <c r="M31" s="318">
        <f>+[3]DailyAug!AJ30</f>
        <v>24201.56</v>
      </c>
      <c r="N31" s="318">
        <f t="shared" ref="N31" si="284">M31/B31</f>
        <v>548.11704488834539</v>
      </c>
      <c r="O31" s="318">
        <f t="shared" ref="O31" si="285">M31/C31</f>
        <v>539.62318000401353</v>
      </c>
      <c r="P31" s="318">
        <f t="shared" ref="P31" si="286">+E31+I31+M31</f>
        <v>36643.119999999639</v>
      </c>
      <c r="Q31" s="7">
        <f t="shared" ref="Q31" si="287">P31/B31</f>
        <v>829.89355437785116</v>
      </c>
      <c r="R31" s="316">
        <f t="shared" ref="R31" si="288">P31/C31</f>
        <v>817.03315570023062</v>
      </c>
      <c r="V31" s="380" t="s">
        <v>171</v>
      </c>
      <c r="W31" s="380" t="s">
        <v>172</v>
      </c>
    </row>
    <row r="32" spans="1:23" ht="15">
      <c r="A32" s="310">
        <f t="shared" si="72"/>
        <v>45529</v>
      </c>
      <c r="B32" s="317">
        <f>+Report1!P33</f>
        <v>43.957999999999998</v>
      </c>
      <c r="C32" s="317">
        <f>+Report1!R33</f>
        <v>40.912999999999997</v>
      </c>
      <c r="D32" s="318">
        <f t="shared" ref="D32" si="289">+D31+E32</f>
        <v>106300.00000000109</v>
      </c>
      <c r="E32" s="318">
        <f>+[3]DailyAug!AH31</f>
        <v>4300.0000000010914</v>
      </c>
      <c r="F32" s="318">
        <f t="shared" ref="F32" si="290">E32/B32</f>
        <v>97.820646981234162</v>
      </c>
      <c r="G32" s="318">
        <f t="shared" ref="G32" si="291">E32/C32</f>
        <v>105.1010681201841</v>
      </c>
      <c r="H32" s="318">
        <f t="shared" ref="H32" si="292">+H31+I32</f>
        <v>204740.69</v>
      </c>
      <c r="I32" s="318">
        <f>+[3]DailyAug!AI31</f>
        <v>8674.59</v>
      </c>
      <c r="J32" s="318">
        <f t="shared" ref="J32" si="293">I32/B32</f>
        <v>197.33814095272763</v>
      </c>
      <c r="K32" s="318">
        <f t="shared" ref="K32" si="294">I32/C32</f>
        <v>212.02527314056658</v>
      </c>
      <c r="L32" s="318">
        <f t="shared" ref="L32" si="295">+L31+M32</f>
        <v>609580.69000000006</v>
      </c>
      <c r="M32" s="318">
        <f>+[3]DailyAug!AJ31</f>
        <v>22674.59</v>
      </c>
      <c r="N32" s="318">
        <f t="shared" ref="N32" si="296">M32/B32</f>
        <v>515.8239683334092</v>
      </c>
      <c r="O32" s="318">
        <f t="shared" ref="O32" si="297">M32/C32</f>
        <v>554.21479725270706</v>
      </c>
      <c r="P32" s="318">
        <f t="shared" ref="P32" si="298">+E32+I32+M32</f>
        <v>35649.180000001092</v>
      </c>
      <c r="Q32" s="7">
        <f t="shared" ref="Q32" si="299">P32/B32</f>
        <v>810.98275626737097</v>
      </c>
      <c r="R32" s="316">
        <f t="shared" ref="R32" si="300">P32/C32</f>
        <v>871.34113851345774</v>
      </c>
      <c r="V32" s="380" t="s">
        <v>171</v>
      </c>
      <c r="W32" s="380" t="s">
        <v>172</v>
      </c>
    </row>
    <row r="33" spans="1:23" ht="15">
      <c r="A33" s="310">
        <f t="shared" si="72"/>
        <v>45530</v>
      </c>
      <c r="B33" s="317">
        <f>+Report1!P34</f>
        <v>41.836000000000006</v>
      </c>
      <c r="C33" s="317">
        <f>+Report1!R34</f>
        <v>39.917000000000002</v>
      </c>
      <c r="D33" s="318">
        <f t="shared" ref="D33" si="301">+D32+E33</f>
        <v>110800.00000000109</v>
      </c>
      <c r="E33" s="318">
        <f>+[3]DailyAug!AH32</f>
        <v>4500</v>
      </c>
      <c r="F33" s="318">
        <f t="shared" ref="F33" si="302">E33/B33</f>
        <v>107.56286451859641</v>
      </c>
      <c r="G33" s="318">
        <f t="shared" ref="G33" si="303">E33/C33</f>
        <v>112.73392288999673</v>
      </c>
      <c r="H33" s="318">
        <f t="shared" ref="H33" si="304">+H32+I33</f>
        <v>213947.22</v>
      </c>
      <c r="I33" s="318">
        <f>+[3]DailyAug!AI32</f>
        <v>9206.5300000000007</v>
      </c>
      <c r="J33" s="318">
        <f t="shared" ref="J33" si="305">I33/B33</f>
        <v>220.06238646142077</v>
      </c>
      <c r="K33" s="318">
        <f t="shared" ref="K33" si="306">I33/C33</f>
        <v>230.64183180098706</v>
      </c>
      <c r="L33" s="318">
        <f t="shared" ref="L33" si="307">+L32+M33</f>
        <v>633787.22000000009</v>
      </c>
      <c r="M33" s="318">
        <f>+[3]DailyAug!AJ32</f>
        <v>24206.53</v>
      </c>
      <c r="N33" s="318">
        <f t="shared" ref="N33" si="308">M33/B33</f>
        <v>578.60526819007544</v>
      </c>
      <c r="O33" s="318">
        <f t="shared" ref="O33" si="309">M33/C33</f>
        <v>606.42157476764282</v>
      </c>
      <c r="P33" s="318">
        <f t="shared" ref="P33" si="310">+E33+I33+M33</f>
        <v>37913.06</v>
      </c>
      <c r="Q33" s="7">
        <f t="shared" ref="Q33" si="311">P33/B33</f>
        <v>906.23051917009252</v>
      </c>
      <c r="R33" s="316">
        <f t="shared" ref="R33" si="312">P33/C33</f>
        <v>949.79732945862656</v>
      </c>
      <c r="V33" s="380" t="s">
        <v>171</v>
      </c>
      <c r="W33" s="380" t="s">
        <v>172</v>
      </c>
    </row>
    <row r="34" spans="1:23">
      <c r="A34" s="310">
        <f t="shared" si="72"/>
        <v>45531</v>
      </c>
      <c r="B34" s="317">
        <f>+Report1!P35</f>
        <v>42.418999999999997</v>
      </c>
      <c r="C34" s="317">
        <f>+Report1!R35</f>
        <v>40.606000000000002</v>
      </c>
      <c r="D34" s="318">
        <f t="shared" ref="D34:D38" si="313">+D33+E34</f>
        <v>115400.00000000146</v>
      </c>
      <c r="E34" s="318">
        <f>+[3]DailyAug!AH33</f>
        <v>4600.0000000003638</v>
      </c>
      <c r="F34" s="312">
        <f t="shared" si="1"/>
        <v>108.44197175794724</v>
      </c>
      <c r="G34" s="312">
        <f t="shared" si="2"/>
        <v>113.28375116978683</v>
      </c>
      <c r="H34" s="318">
        <f t="shared" ref="H34:H38" si="314">+H33+I34</f>
        <v>222427.53</v>
      </c>
      <c r="I34" s="318">
        <f>+[3]DailyAug!AI33</f>
        <v>8480.31</v>
      </c>
      <c r="J34" s="312">
        <f t="shared" si="4"/>
        <v>199.9177255475141</v>
      </c>
      <c r="K34" s="312">
        <f t="shared" si="5"/>
        <v>208.8437669309954</v>
      </c>
      <c r="L34" s="318">
        <f t="shared" ref="L34:L38" si="315">+L33+M34</f>
        <v>655267.53000000014</v>
      </c>
      <c r="M34" s="318">
        <f>+[3]DailyAug!AJ33</f>
        <v>21480.31</v>
      </c>
      <c r="N34" s="312">
        <f t="shared" si="7"/>
        <v>506.38416747212341</v>
      </c>
      <c r="O34" s="312">
        <f t="shared" si="8"/>
        <v>528.99349849775899</v>
      </c>
      <c r="P34" s="318">
        <f t="shared" ref="P34:P40" si="316">+E34+I34+M34</f>
        <v>34560.620000000366</v>
      </c>
      <c r="Q34" s="315">
        <f t="shared" si="10"/>
        <v>814.7438647775848</v>
      </c>
      <c r="R34" s="316">
        <f t="shared" si="11"/>
        <v>851.12101659854125</v>
      </c>
    </row>
    <row r="35" spans="1:23">
      <c r="A35" s="310">
        <f t="shared" si="72"/>
        <v>45532</v>
      </c>
      <c r="B35" s="317">
        <f>+Report1!P36</f>
        <v>39.24</v>
      </c>
      <c r="C35" s="317">
        <f>+Report1!R36</f>
        <v>39.936999999999998</v>
      </c>
      <c r="D35" s="318">
        <f t="shared" ref="D35" si="317">+D34+E35</f>
        <v>119800.00000000109</v>
      </c>
      <c r="E35" s="318">
        <f>+[3]DailyAug!AH34</f>
        <v>4399.9999999996362</v>
      </c>
      <c r="F35" s="312">
        <f t="shared" ref="F35" si="318">E35/B35</f>
        <v>112.13047910294689</v>
      </c>
      <c r="G35" s="312">
        <f t="shared" ref="G35" si="319">E35/C35</f>
        <v>110.17352329918712</v>
      </c>
      <c r="H35" s="318">
        <f t="shared" ref="H35" si="320">+H34+I35</f>
        <v>231779.83</v>
      </c>
      <c r="I35" s="318">
        <f>+[3]DailyAug!AI34</f>
        <v>9352.2999999999993</v>
      </c>
      <c r="J35" s="312">
        <f t="shared" ref="J35" si="321">I35/B35</f>
        <v>238.33588175331292</v>
      </c>
      <c r="K35" s="312">
        <f t="shared" ref="K35" si="322">I35/C35</f>
        <v>234.17632771615294</v>
      </c>
      <c r="L35" s="318">
        <f t="shared" ref="L35" si="323">+L34+M35</f>
        <v>676619.83000000019</v>
      </c>
      <c r="M35" s="318">
        <f>+[3]DailyAug!AJ34</f>
        <v>21352.3</v>
      </c>
      <c r="N35" s="312">
        <f t="shared" ref="N35" si="324">M35/B35</f>
        <v>544.14627930682968</v>
      </c>
      <c r="O35" s="312">
        <f t="shared" ref="O35" si="325">M35/C35</f>
        <v>534.64957307759721</v>
      </c>
      <c r="P35" s="318">
        <f t="shared" ref="P35" si="326">+E35+I35+M35</f>
        <v>35104.599999999635</v>
      </c>
      <c r="Q35" s="315">
        <f t="shared" ref="Q35" si="327">P35/B35</f>
        <v>894.61264016308951</v>
      </c>
      <c r="R35" s="316">
        <f t="shared" ref="R35" si="328">P35/C35</f>
        <v>878.99942409293726</v>
      </c>
    </row>
    <row r="36" spans="1:23">
      <c r="A36" s="310">
        <f t="shared" si="72"/>
        <v>45533</v>
      </c>
      <c r="B36" s="317">
        <f>+Report1!P37</f>
        <v>41.143000000000001</v>
      </c>
      <c r="C36" s="317">
        <f>+Report1!R37</f>
        <v>37.582000000000001</v>
      </c>
      <c r="D36" s="318">
        <f t="shared" ref="D36" si="329">+D35+E36</f>
        <v>123800.00000000109</v>
      </c>
      <c r="E36" s="318">
        <f>+[3]DailyAug!AH35</f>
        <v>4000</v>
      </c>
      <c r="F36" s="312">
        <f t="shared" ref="F36" si="330">E36/B36</f>
        <v>97.22188464623386</v>
      </c>
      <c r="G36" s="312">
        <f t="shared" ref="G36" si="331">E36/C36</f>
        <v>106.43393113724655</v>
      </c>
      <c r="H36" s="318">
        <f t="shared" ref="H36" si="332">+H35+I36</f>
        <v>240410.16999999998</v>
      </c>
      <c r="I36" s="318">
        <f>+[3]DailyAug!AI35</f>
        <v>8630.34</v>
      </c>
      <c r="J36" s="312">
        <f t="shared" ref="J36" si="333">I36/B36</f>
        <v>209.76447998444451</v>
      </c>
      <c r="K36" s="312">
        <f t="shared" ref="K36" si="334">I36/C36</f>
        <v>229.6402533127561</v>
      </c>
      <c r="L36" s="318">
        <f t="shared" ref="L36" si="335">+L35+M36</f>
        <v>698250.17000000016</v>
      </c>
      <c r="M36" s="318">
        <f>+[3]DailyAug!AJ35</f>
        <v>21630.34</v>
      </c>
      <c r="N36" s="312">
        <f t="shared" ref="N36" si="336">M36/B36</f>
        <v>525.73560508470462</v>
      </c>
      <c r="O36" s="312">
        <f t="shared" ref="O36" si="337">M36/C36</f>
        <v>575.55052950880736</v>
      </c>
      <c r="P36" s="318">
        <f t="shared" ref="P36" si="338">+E36+I36+M36</f>
        <v>34260.68</v>
      </c>
      <c r="Q36" s="315">
        <f t="shared" ref="Q36" si="339">P36/B36</f>
        <v>832.7219697153829</v>
      </c>
      <c r="R36" s="316">
        <f t="shared" ref="R36" si="340">P36/C36</f>
        <v>911.62471395881005</v>
      </c>
    </row>
    <row r="37" spans="1:23">
      <c r="A37" s="310">
        <f t="shared" si="72"/>
        <v>45534</v>
      </c>
      <c r="B37" s="317">
        <f>+Report1!P38</f>
        <v>43.706000000000003</v>
      </c>
      <c r="C37" s="317">
        <f>+Report1!R38</f>
        <v>39.563000000000002</v>
      </c>
      <c r="D37" s="318">
        <f t="shared" si="313"/>
        <v>128000</v>
      </c>
      <c r="E37" s="318">
        <f>+[3]DailyAug!AH36</f>
        <v>4199.9999999989086</v>
      </c>
      <c r="F37" s="312">
        <f t="shared" si="1"/>
        <v>96.096645769434588</v>
      </c>
      <c r="G37" s="312">
        <f t="shared" si="2"/>
        <v>106.15979576874626</v>
      </c>
      <c r="H37" s="318">
        <f t="shared" si="314"/>
        <v>250142.63999999998</v>
      </c>
      <c r="I37" s="318">
        <f>+[3]DailyAug!AI36</f>
        <v>9732.4699999999993</v>
      </c>
      <c r="J37" s="312">
        <f t="shared" si="4"/>
        <v>222.68041001235525</v>
      </c>
      <c r="K37" s="312">
        <f t="shared" si="5"/>
        <v>245.99929226802817</v>
      </c>
      <c r="L37" s="318">
        <f t="shared" si="315"/>
        <v>720982.64000000013</v>
      </c>
      <c r="M37" s="318">
        <f>+[3]DailyAug!AJ36</f>
        <v>22732.47</v>
      </c>
      <c r="N37" s="312">
        <f t="shared" si="7"/>
        <v>520.12240882258732</v>
      </c>
      <c r="O37" s="312">
        <f t="shared" si="8"/>
        <v>574.58913631423297</v>
      </c>
      <c r="P37" s="318">
        <f t="shared" si="316"/>
        <v>36664.939999998911</v>
      </c>
      <c r="Q37" s="315">
        <f t="shared" si="10"/>
        <v>838.89946460437716</v>
      </c>
      <c r="R37" s="316">
        <f t="shared" si="11"/>
        <v>926.74822435100748</v>
      </c>
    </row>
    <row r="38" spans="1:23">
      <c r="A38" s="310">
        <f t="shared" si="72"/>
        <v>45535</v>
      </c>
      <c r="B38" s="317">
        <f>+Report1!P39</f>
        <v>42.796999999999997</v>
      </c>
      <c r="C38" s="317">
        <f>+Report1!R39</f>
        <v>43.789000000000001</v>
      </c>
      <c r="D38" s="318">
        <f t="shared" si="313"/>
        <v>132000</v>
      </c>
      <c r="E38" s="318">
        <f>+[3]DailyAug!AH37</f>
        <v>4000</v>
      </c>
      <c r="F38" s="312">
        <f t="shared" si="1"/>
        <v>93.464495174895447</v>
      </c>
      <c r="G38" s="312">
        <f t="shared" si="2"/>
        <v>91.347141976295418</v>
      </c>
      <c r="H38" s="318">
        <f t="shared" si="314"/>
        <v>258739.21</v>
      </c>
      <c r="I38" s="318">
        <f>+[3]DailyAug!AI37</f>
        <v>8596.57</v>
      </c>
      <c r="J38" s="312">
        <f t="shared" si="4"/>
        <v>200.86851882141272</v>
      </c>
      <c r="K38" s="312">
        <f t="shared" si="5"/>
        <v>196.31802507479046</v>
      </c>
      <c r="L38" s="318">
        <f t="shared" si="315"/>
        <v>741579.21000000008</v>
      </c>
      <c r="M38" s="318">
        <f>+[3]DailyAug!AJ37</f>
        <v>20596.57</v>
      </c>
      <c r="N38" s="313">
        <f t="shared" si="7"/>
        <v>481.26200434609905</v>
      </c>
      <c r="O38" s="313">
        <f t="shared" si="8"/>
        <v>470.35945100367672</v>
      </c>
      <c r="P38" s="318">
        <f t="shared" si="316"/>
        <v>33193.14</v>
      </c>
      <c r="Q38" s="315">
        <f t="shared" si="10"/>
        <v>775.59501834240723</v>
      </c>
      <c r="R38" s="316">
        <f t="shared" si="11"/>
        <v>758.02461805476253</v>
      </c>
    </row>
    <row r="39" spans="1:23">
      <c r="A39" s="310"/>
      <c r="B39" s="317"/>
      <c r="C39" s="317"/>
      <c r="D39" s="306"/>
      <c r="E39" s="318"/>
      <c r="F39" s="312"/>
      <c r="G39" s="312"/>
      <c r="H39" s="308"/>
      <c r="I39" s="318"/>
      <c r="J39" s="312"/>
      <c r="K39" s="312"/>
      <c r="L39" s="309"/>
      <c r="M39" s="318"/>
      <c r="N39" s="313"/>
      <c r="O39" s="313"/>
      <c r="P39" s="314"/>
      <c r="Q39" s="315"/>
      <c r="R39" s="316"/>
    </row>
    <row r="40" spans="1:23">
      <c r="A40" s="319" t="s">
        <v>27</v>
      </c>
      <c r="B40" s="320">
        <f>SUM(B8:B38)</f>
        <v>1345.0509999999999</v>
      </c>
      <c r="C40" s="320">
        <f>SUM(C8:C38)</f>
        <v>1304.5220000000002</v>
      </c>
      <c r="D40" s="322"/>
      <c r="E40" s="318">
        <f>SUM(E8:E39)</f>
        <v>132000</v>
      </c>
      <c r="F40" s="321">
        <f>E40/B40</f>
        <v>98.137542740015064</v>
      </c>
      <c r="G40" s="321">
        <f>E40/C40</f>
        <v>101.18648823093821</v>
      </c>
      <c r="H40" s="323"/>
      <c r="I40" s="318">
        <f>SUM(I8:I39)</f>
        <v>258739.21</v>
      </c>
      <c r="J40" s="321">
        <f>I40/B40</f>
        <v>192.36386575676312</v>
      </c>
      <c r="K40" s="321">
        <f>I40/C40</f>
        <v>198.34024263293372</v>
      </c>
      <c r="L40" s="324"/>
      <c r="M40" s="318">
        <f>SUM(M8:M39)</f>
        <v>741579.21000000008</v>
      </c>
      <c r="N40" s="321">
        <f>M40/B40</f>
        <v>551.33910164001225</v>
      </c>
      <c r="O40" s="321">
        <f>M40/C40</f>
        <v>568.46815155282934</v>
      </c>
      <c r="P40" s="318">
        <f t="shared" si="316"/>
        <v>1132318.42</v>
      </c>
      <c r="Q40" s="379">
        <f>P40/B40</f>
        <v>841.84051013679039</v>
      </c>
      <c r="R40" s="323">
        <f>P40/C40</f>
        <v>867.9948824167011</v>
      </c>
    </row>
    <row r="42" spans="1:23">
      <c r="P42" s="5">
        <v>-1320860.8400000001</v>
      </c>
    </row>
    <row r="43" spans="1:23">
      <c r="D43" s="326"/>
    </row>
    <row r="44" spans="1:23">
      <c r="E44" s="325"/>
      <c r="H44" s="325"/>
    </row>
  </sheetData>
  <mergeCells count="9">
    <mergeCell ref="A2:P2"/>
    <mergeCell ref="D4:O4"/>
    <mergeCell ref="P4:R5"/>
    <mergeCell ref="A4:A6"/>
    <mergeCell ref="B4:B6"/>
    <mergeCell ref="C4:C6"/>
    <mergeCell ref="D5:G5"/>
    <mergeCell ref="H5:K5"/>
    <mergeCell ref="L5:O5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opLeftCell="A76" workbookViewId="0">
      <selection activeCell="E90" sqref="E90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414" t="s">
        <v>187</v>
      </c>
      <c r="B1" s="331">
        <f>+Report1!A9</f>
        <v>45870</v>
      </c>
      <c r="C1" s="96"/>
      <c r="G1" s="97"/>
      <c r="H1" s="98"/>
    </row>
    <row r="2" spans="1:9" ht="13.5" thickBot="1">
      <c r="A2" s="95"/>
      <c r="B2" s="96"/>
      <c r="C2" s="96"/>
      <c r="G2" s="97"/>
      <c r="H2" s="98"/>
    </row>
    <row r="3" spans="1:9" ht="26.25" thickBot="1">
      <c r="A3" s="568" t="s">
        <v>119</v>
      </c>
      <c r="B3" s="569" t="s">
        <v>8</v>
      </c>
      <c r="C3" s="569" t="s">
        <v>92</v>
      </c>
      <c r="D3" s="569" t="s">
        <v>120</v>
      </c>
      <c r="E3" s="569" t="s">
        <v>121</v>
      </c>
      <c r="F3" s="569" t="s">
        <v>122</v>
      </c>
      <c r="G3" s="570" t="s">
        <v>123</v>
      </c>
      <c r="H3" s="571" t="s">
        <v>124</v>
      </c>
      <c r="I3" s="560" t="s">
        <v>393</v>
      </c>
    </row>
    <row r="4" spans="1:9">
      <c r="A4" s="567">
        <f>+B1</f>
        <v>45870</v>
      </c>
      <c r="B4" s="562" t="s">
        <v>412</v>
      </c>
      <c r="C4" s="563">
        <v>1</v>
      </c>
      <c r="D4" s="564" t="s">
        <v>413</v>
      </c>
      <c r="E4" s="564">
        <f>129+140</f>
        <v>269</v>
      </c>
      <c r="F4" s="565">
        <v>74</v>
      </c>
      <c r="G4" s="566">
        <f t="shared" ref="G4" si="0">+E4*F4</f>
        <v>19906</v>
      </c>
      <c r="H4" s="561">
        <f>+SUM(G4/F4)</f>
        <v>269</v>
      </c>
      <c r="I4" s="561">
        <f>+'1'!I38</f>
        <v>45.581000000000003</v>
      </c>
    </row>
    <row r="5" spans="1:9" ht="13.5" thickBot="1">
      <c r="A5" s="368"/>
      <c r="B5" s="381"/>
      <c r="C5" s="369"/>
      <c r="D5" s="370"/>
      <c r="E5" s="369"/>
      <c r="F5" s="369"/>
      <c r="G5" s="369"/>
      <c r="H5" s="382"/>
      <c r="I5" s="382"/>
    </row>
    <row r="6" spans="1:9">
      <c r="A6" s="567">
        <v>45871</v>
      </c>
      <c r="B6" s="562" t="s">
        <v>412</v>
      </c>
      <c r="C6" s="563">
        <v>1</v>
      </c>
      <c r="D6" s="564" t="s">
        <v>413</v>
      </c>
      <c r="E6" s="564">
        <f>129+140</f>
        <v>269</v>
      </c>
      <c r="F6" s="565">
        <v>74</v>
      </c>
      <c r="G6" s="566">
        <f t="shared" ref="G6" si="1">+E6*F6</f>
        <v>19906</v>
      </c>
      <c r="H6" s="561">
        <f>+SUM(G6/F6)</f>
        <v>269</v>
      </c>
      <c r="I6" s="561">
        <f>+'2'!I38</f>
        <v>47.427000000000007</v>
      </c>
    </row>
    <row r="7" spans="1:9" ht="13.5" thickBot="1">
      <c r="A7" s="368"/>
      <c r="B7" s="381"/>
      <c r="C7" s="369"/>
      <c r="D7" s="370"/>
      <c r="E7" s="369"/>
      <c r="F7" s="369"/>
      <c r="G7" s="369"/>
      <c r="H7" s="382"/>
      <c r="I7" s="382"/>
    </row>
    <row r="8" spans="1:9">
      <c r="A8" s="567">
        <v>45872</v>
      </c>
      <c r="B8" s="562" t="s">
        <v>412</v>
      </c>
      <c r="C8" s="563">
        <v>1</v>
      </c>
      <c r="D8" s="564" t="s">
        <v>413</v>
      </c>
      <c r="E8" s="564">
        <f>129+140</f>
        <v>269</v>
      </c>
      <c r="F8" s="565">
        <f>92/2</f>
        <v>46</v>
      </c>
      <c r="G8" s="566">
        <f t="shared" ref="G8" si="2">+E8*F8</f>
        <v>12374</v>
      </c>
      <c r="H8" s="561">
        <f>+SUM(G8/F8)</f>
        <v>269</v>
      </c>
      <c r="I8" s="561">
        <f>+'3'!I38</f>
        <v>29.524000000000001</v>
      </c>
    </row>
    <row r="9" spans="1:9" ht="13.5" thickBot="1">
      <c r="A9" s="368"/>
      <c r="B9" s="381"/>
      <c r="C9" s="369"/>
      <c r="D9" s="370"/>
      <c r="E9" s="369"/>
      <c r="F9" s="369"/>
      <c r="G9" s="369"/>
      <c r="H9" s="382"/>
      <c r="I9" s="382"/>
    </row>
    <row r="10" spans="1:9">
      <c r="A10" s="567">
        <v>45873</v>
      </c>
      <c r="B10" s="562" t="s">
        <v>412</v>
      </c>
      <c r="C10" s="563">
        <v>1</v>
      </c>
      <c r="D10" s="564" t="s">
        <v>413</v>
      </c>
      <c r="E10" s="564">
        <f>129+140</f>
        <v>269</v>
      </c>
      <c r="F10" s="565">
        <f>140/2</f>
        <v>70</v>
      </c>
      <c r="G10" s="566">
        <f t="shared" ref="G10" si="3">+E10*F10</f>
        <v>18830</v>
      </c>
      <c r="H10" s="561">
        <f>+SUM(G10/F10)</f>
        <v>269</v>
      </c>
      <c r="I10" s="561">
        <f>+'4'!I38</f>
        <v>45.208999999999996</v>
      </c>
    </row>
    <row r="11" spans="1:9" ht="13.5" thickBot="1">
      <c r="A11" s="368"/>
      <c r="B11" s="381"/>
      <c r="C11" s="369"/>
      <c r="D11" s="370"/>
      <c r="E11" s="369"/>
      <c r="F11" s="369"/>
      <c r="G11" s="369"/>
      <c r="H11" s="382"/>
      <c r="I11" s="382"/>
    </row>
    <row r="12" spans="1:9">
      <c r="A12" s="567">
        <v>45874</v>
      </c>
      <c r="B12" s="562" t="s">
        <v>412</v>
      </c>
      <c r="C12" s="563">
        <v>1</v>
      </c>
      <c r="D12" s="564" t="s">
        <v>413</v>
      </c>
      <c r="E12" s="564">
        <f>129+140</f>
        <v>269</v>
      </c>
      <c r="F12" s="565">
        <f>138/2</f>
        <v>69</v>
      </c>
      <c r="G12" s="566">
        <f t="shared" ref="G12" si="4">+E12*F12</f>
        <v>18561</v>
      </c>
      <c r="H12" s="561">
        <f>+SUM(G12/F12)</f>
        <v>269</v>
      </c>
      <c r="I12" s="561">
        <f>+'5'!I38</f>
        <v>46.027999999999999</v>
      </c>
    </row>
    <row r="13" spans="1:9" ht="13.5" thickBot="1">
      <c r="A13" s="368"/>
      <c r="B13" s="381"/>
      <c r="C13" s="369"/>
      <c r="D13" s="370"/>
      <c r="E13" s="369"/>
      <c r="F13" s="369"/>
      <c r="G13" s="369"/>
      <c r="H13" s="382"/>
      <c r="I13" s="382"/>
    </row>
    <row r="14" spans="1:9">
      <c r="A14" s="567">
        <v>45875</v>
      </c>
      <c r="B14" s="562" t="s">
        <v>412</v>
      </c>
      <c r="C14" s="563">
        <v>1</v>
      </c>
      <c r="D14" s="564" t="s">
        <v>413</v>
      </c>
      <c r="E14" s="564">
        <f>129+140</f>
        <v>269</v>
      </c>
      <c r="F14" s="565">
        <v>71</v>
      </c>
      <c r="G14" s="566">
        <f t="shared" ref="G14" si="5">+E14*F14</f>
        <v>19099</v>
      </c>
      <c r="H14" s="561">
        <f>+SUM(G14/F14)</f>
        <v>269</v>
      </c>
      <c r="I14" s="561">
        <f>+'6'!I38</f>
        <v>45.620000000000005</v>
      </c>
    </row>
    <row r="15" spans="1:9">
      <c r="A15" s="567"/>
      <c r="B15" s="562" t="s">
        <v>461</v>
      </c>
      <c r="C15" s="563">
        <v>1</v>
      </c>
      <c r="D15" s="564" t="s">
        <v>462</v>
      </c>
      <c r="E15" s="564">
        <f>256*1</f>
        <v>256</v>
      </c>
      <c r="F15" s="565">
        <v>0</v>
      </c>
      <c r="G15" s="566">
        <v>0</v>
      </c>
      <c r="H15" s="561">
        <f>+E15</f>
        <v>256</v>
      </c>
      <c r="I15" s="561"/>
    </row>
    <row r="16" spans="1:9" ht="13.5" thickBot="1">
      <c r="A16" s="368"/>
      <c r="B16" s="381"/>
      <c r="C16" s="369"/>
      <c r="D16" s="370"/>
      <c r="E16" s="369"/>
      <c r="F16" s="369"/>
      <c r="G16" s="369"/>
      <c r="H16" s="382"/>
      <c r="I16" s="382"/>
    </row>
    <row r="17" spans="1:9">
      <c r="A17" s="567">
        <v>45876</v>
      </c>
      <c r="B17" s="562" t="s">
        <v>412</v>
      </c>
      <c r="C17" s="563">
        <v>1</v>
      </c>
      <c r="D17" s="564" t="s">
        <v>413</v>
      </c>
      <c r="E17" s="564">
        <f>129+140</f>
        <v>269</v>
      </c>
      <c r="F17" s="565">
        <v>4</v>
      </c>
      <c r="G17" s="566">
        <f t="shared" ref="G17:G18" si="6">+E17*F17</f>
        <v>1076</v>
      </c>
      <c r="H17" s="561">
        <f>+SUM(G17/F17)</f>
        <v>269</v>
      </c>
      <c r="I17" s="561">
        <f>+'7'!I38</f>
        <v>49.533999999999999</v>
      </c>
    </row>
    <row r="18" spans="1:9">
      <c r="A18" s="567"/>
      <c r="B18" s="562" t="s">
        <v>461</v>
      </c>
      <c r="C18" s="563">
        <v>1</v>
      </c>
      <c r="D18" s="564" t="s">
        <v>462</v>
      </c>
      <c r="E18" s="564">
        <f>256*1</f>
        <v>256</v>
      </c>
      <c r="F18" s="565">
        <f>20+20+19</f>
        <v>59</v>
      </c>
      <c r="G18" s="566">
        <f t="shared" si="6"/>
        <v>15104</v>
      </c>
      <c r="H18" s="561">
        <f>+SUM(G18/F18)</f>
        <v>256</v>
      </c>
      <c r="I18" s="561"/>
    </row>
    <row r="19" spans="1:9" ht="13.5" thickBot="1">
      <c r="A19" s="368"/>
      <c r="B19" s="381"/>
      <c r="C19" s="369"/>
      <c r="D19" s="370"/>
      <c r="E19" s="369"/>
      <c r="F19" s="369"/>
      <c r="G19" s="369"/>
      <c r="H19" s="382"/>
      <c r="I19" s="382"/>
    </row>
    <row r="20" spans="1:9">
      <c r="A20" s="567">
        <v>45877</v>
      </c>
      <c r="B20" s="562" t="s">
        <v>461</v>
      </c>
      <c r="C20" s="563">
        <v>1</v>
      </c>
      <c r="D20" s="564" t="s">
        <v>462</v>
      </c>
      <c r="E20" s="564">
        <f>256*1</f>
        <v>256</v>
      </c>
      <c r="F20" s="565">
        <f>21+19+3</f>
        <v>43</v>
      </c>
      <c r="G20" s="566">
        <f t="shared" ref="G20" si="7">+E20*F20</f>
        <v>11008</v>
      </c>
      <c r="H20" s="561">
        <f>+SUM(G20/F20)</f>
        <v>256</v>
      </c>
      <c r="I20" s="561">
        <f>+'8'!I38</f>
        <v>48.856999999999999</v>
      </c>
    </row>
    <row r="21" spans="1:9">
      <c r="A21" s="567"/>
      <c r="B21" s="562" t="s">
        <v>482</v>
      </c>
      <c r="C21" s="563">
        <v>1</v>
      </c>
      <c r="D21" s="564" t="s">
        <v>492</v>
      </c>
      <c r="E21" s="564">
        <f>232+30</f>
        <v>262</v>
      </c>
      <c r="F21" s="565">
        <v>12</v>
      </c>
      <c r="G21" s="566">
        <f t="shared" ref="G21" si="8">+E21*F21</f>
        <v>3144</v>
      </c>
      <c r="H21" s="561">
        <f>+SUM(G21/F21)</f>
        <v>262</v>
      </c>
      <c r="I21" s="561"/>
    </row>
    <row r="22" spans="1:9">
      <c r="A22" s="567"/>
      <c r="B22" s="562" t="s">
        <v>483</v>
      </c>
      <c r="C22" s="563">
        <v>1</v>
      </c>
      <c r="D22" s="564" t="s">
        <v>493</v>
      </c>
      <c r="E22" s="564">
        <f>117+136.5</f>
        <v>253.5</v>
      </c>
      <c r="F22" s="565">
        <v>4</v>
      </c>
      <c r="G22" s="566">
        <f t="shared" ref="G22" si="9">+E22*F22</f>
        <v>1014</v>
      </c>
      <c r="H22" s="561">
        <f>+SUM(G22/F22)</f>
        <v>253.5</v>
      </c>
      <c r="I22" s="561"/>
    </row>
    <row r="23" spans="1:9" ht="13.5" thickBot="1">
      <c r="A23" s="368"/>
      <c r="B23" s="381"/>
      <c r="C23" s="369"/>
      <c r="D23" s="370"/>
      <c r="E23" s="369"/>
      <c r="F23" s="369"/>
      <c r="G23" s="369"/>
      <c r="H23" s="382"/>
      <c r="I23" s="382"/>
    </row>
    <row r="24" spans="1:9">
      <c r="A24" s="567">
        <v>45878</v>
      </c>
      <c r="B24" s="562" t="s">
        <v>504</v>
      </c>
      <c r="C24" s="563">
        <v>1</v>
      </c>
      <c r="D24" s="564" t="s">
        <v>514</v>
      </c>
      <c r="E24" s="564">
        <f>133*2</f>
        <v>266</v>
      </c>
      <c r="F24" s="565">
        <v>16</v>
      </c>
      <c r="G24" s="566">
        <f t="shared" ref="G24:G26" si="10">+E24*F24</f>
        <v>4256</v>
      </c>
      <c r="H24" s="561">
        <f>+SUM(G24/F24)</f>
        <v>266</v>
      </c>
      <c r="I24" s="561">
        <f>+'9'!I38</f>
        <v>42.048000000000002</v>
      </c>
    </row>
    <row r="25" spans="1:9">
      <c r="A25" s="567"/>
      <c r="B25" s="562" t="s">
        <v>483</v>
      </c>
      <c r="C25" s="563">
        <v>1</v>
      </c>
      <c r="D25" s="564" t="s">
        <v>515</v>
      </c>
      <c r="E25" s="564">
        <f>136.5+117</f>
        <v>253.5</v>
      </c>
      <c r="F25" s="565">
        <v>10</v>
      </c>
      <c r="G25" s="566">
        <f t="shared" si="10"/>
        <v>2535</v>
      </c>
      <c r="H25" s="561">
        <f>+SUM(G25/F25)</f>
        <v>253.5</v>
      </c>
      <c r="I25" s="561"/>
    </row>
    <row r="26" spans="1:9">
      <c r="A26" s="567"/>
      <c r="B26" s="562" t="s">
        <v>482</v>
      </c>
      <c r="C26" s="563">
        <v>1</v>
      </c>
      <c r="D26" s="564" t="s">
        <v>492</v>
      </c>
      <c r="E26" s="564">
        <f>232+30</f>
        <v>262</v>
      </c>
      <c r="F26" s="565">
        <v>5</v>
      </c>
      <c r="G26" s="566">
        <f t="shared" si="10"/>
        <v>1310</v>
      </c>
      <c r="H26" s="561">
        <f>+SUM(G26/F26)</f>
        <v>262</v>
      </c>
      <c r="I26" s="561"/>
    </row>
    <row r="27" spans="1:9">
      <c r="A27" s="567"/>
      <c r="B27" s="562" t="s">
        <v>503</v>
      </c>
      <c r="C27" s="563">
        <v>1</v>
      </c>
      <c r="D27" s="564" t="s">
        <v>514</v>
      </c>
      <c r="E27" s="564">
        <f>133*2</f>
        <v>266</v>
      </c>
      <c r="F27" s="565">
        <v>17</v>
      </c>
      <c r="G27" s="566">
        <f t="shared" ref="G27:G28" si="11">+E27*F27</f>
        <v>4522</v>
      </c>
      <c r="H27" s="561">
        <f t="shared" ref="H27:H28" si="12">+SUM(G27/F27)</f>
        <v>266</v>
      </c>
      <c r="I27" s="561"/>
    </row>
    <row r="28" spans="1:9">
      <c r="A28" s="567"/>
      <c r="B28" s="562" t="s">
        <v>390</v>
      </c>
      <c r="C28" s="563">
        <v>1</v>
      </c>
      <c r="D28" s="564" t="s">
        <v>516</v>
      </c>
      <c r="E28" s="564">
        <f>130*2</f>
        <v>260</v>
      </c>
      <c r="F28" s="565">
        <v>25</v>
      </c>
      <c r="G28" s="566">
        <f t="shared" si="11"/>
        <v>6500</v>
      </c>
      <c r="H28" s="561">
        <f t="shared" si="12"/>
        <v>260</v>
      </c>
      <c r="I28" s="561"/>
    </row>
    <row r="29" spans="1:9" ht="13.5" thickBot="1">
      <c r="A29" s="368"/>
      <c r="B29" s="381"/>
      <c r="C29" s="369"/>
      <c r="D29" s="370"/>
      <c r="E29" s="369"/>
      <c r="F29" s="369"/>
      <c r="G29" s="369"/>
      <c r="H29" s="382"/>
      <c r="I29" s="382"/>
    </row>
    <row r="30" spans="1:9">
      <c r="A30" s="567">
        <v>45879</v>
      </c>
      <c r="B30" s="562" t="s">
        <v>390</v>
      </c>
      <c r="C30" s="563">
        <v>1</v>
      </c>
      <c r="D30" s="564" t="s">
        <v>516</v>
      </c>
      <c r="E30" s="564">
        <f>130*2</f>
        <v>260</v>
      </c>
      <c r="F30" s="565">
        <f>13+12+13+10+10</f>
        <v>58</v>
      </c>
      <c r="G30" s="566">
        <f t="shared" ref="G30" si="13">+E30*F30</f>
        <v>15080</v>
      </c>
      <c r="H30" s="578">
        <f>+(E30*F30+E31*F31)/(SUM(F30:F31))</f>
        <v>261.23287671232879</v>
      </c>
      <c r="I30" s="561">
        <f>+'10'!I38</f>
        <v>41.216999999999999</v>
      </c>
    </row>
    <row r="31" spans="1:9">
      <c r="A31" s="567"/>
      <c r="B31" s="562" t="s">
        <v>390</v>
      </c>
      <c r="C31" s="563">
        <v>1</v>
      </c>
      <c r="D31" t="s">
        <v>517</v>
      </c>
      <c r="E31">
        <f>140+126</f>
        <v>266</v>
      </c>
      <c r="F31">
        <f>8+7</f>
        <v>15</v>
      </c>
      <c r="G31" s="566">
        <f>+E31*F31</f>
        <v>3990</v>
      </c>
      <c r="H31" s="578"/>
      <c r="I31" s="561"/>
    </row>
    <row r="32" spans="1:9" ht="13.5" thickBot="1">
      <c r="A32" s="368"/>
      <c r="B32" s="381"/>
      <c r="C32" s="369"/>
      <c r="D32" s="370"/>
      <c r="E32" s="369"/>
      <c r="F32" s="369"/>
      <c r="G32" s="369"/>
      <c r="H32" s="382"/>
      <c r="I32" s="382"/>
    </row>
    <row r="33" spans="1:9">
      <c r="A33" s="567">
        <v>45880</v>
      </c>
      <c r="B33" s="562" t="s">
        <v>390</v>
      </c>
      <c r="C33" s="563">
        <v>1</v>
      </c>
      <c r="D33" s="564" t="s">
        <v>517</v>
      </c>
      <c r="E33" s="564">
        <f>140+126</f>
        <v>266</v>
      </c>
      <c r="F33" s="565">
        <v>26</v>
      </c>
      <c r="G33" s="566">
        <f t="shared" ref="G33" si="14">+E33*F33</f>
        <v>6916</v>
      </c>
      <c r="H33" s="578">
        <f>+(E33*F33+E34*F34)/(SUM(F33:F34))</f>
        <v>264.83333333333331</v>
      </c>
      <c r="I33" s="561">
        <f>+'11'!I38</f>
        <v>39.256</v>
      </c>
    </row>
    <row r="34" spans="1:9">
      <c r="A34" s="567"/>
      <c r="B34" s="562" t="s">
        <v>390</v>
      </c>
      <c r="C34" s="563">
        <v>1</v>
      </c>
      <c r="D34" t="s">
        <v>529</v>
      </c>
      <c r="E34">
        <f>140+122.5</f>
        <v>262.5</v>
      </c>
      <c r="F34">
        <v>13</v>
      </c>
      <c r="G34" s="566">
        <f>+E34*F34</f>
        <v>3412.5</v>
      </c>
      <c r="H34" s="578"/>
      <c r="I34" s="561"/>
    </row>
    <row r="35" spans="1:9">
      <c r="A35" s="567"/>
      <c r="B35" s="562" t="s">
        <v>503</v>
      </c>
      <c r="C35" s="563">
        <v>1</v>
      </c>
      <c r="D35" s="564" t="s">
        <v>530</v>
      </c>
      <c r="E35" s="564">
        <f>140+124</f>
        <v>264</v>
      </c>
      <c r="F35" s="565">
        <v>12</v>
      </c>
      <c r="G35" s="566">
        <f>+E35*F35</f>
        <v>3168</v>
      </c>
      <c r="H35" s="561">
        <f t="shared" ref="H35" si="15">+SUM(G35/F35)</f>
        <v>264</v>
      </c>
      <c r="I35" s="561"/>
    </row>
    <row r="36" spans="1:9" ht="13.5" thickBot="1">
      <c r="A36" s="368"/>
      <c r="B36" s="381"/>
      <c r="C36" s="369"/>
      <c r="D36" s="370"/>
      <c r="E36" s="369"/>
      <c r="F36" s="369"/>
      <c r="G36" s="369"/>
      <c r="H36" s="382"/>
      <c r="I36" s="382"/>
    </row>
    <row r="37" spans="1:9">
      <c r="A37" s="567">
        <v>45881</v>
      </c>
      <c r="B37" s="562" t="s">
        <v>503</v>
      </c>
      <c r="C37" s="563">
        <v>1</v>
      </c>
      <c r="D37" s="564" t="s">
        <v>530</v>
      </c>
      <c r="E37" s="564">
        <f>140+124</f>
        <v>264</v>
      </c>
      <c r="F37" s="565">
        <f>13+1+13+4</f>
        <v>31</v>
      </c>
      <c r="G37" s="566">
        <f>+E37*F37</f>
        <v>8184</v>
      </c>
      <c r="H37" s="578">
        <f>+(E37*F37+E38*F38)/(SUM(F37:F38))</f>
        <v>265.14285714285717</v>
      </c>
      <c r="I37" s="561">
        <f>+'12'!I38</f>
        <v>43.347999999999999</v>
      </c>
    </row>
    <row r="38" spans="1:9">
      <c r="A38" s="567"/>
      <c r="B38" s="562" t="s">
        <v>503</v>
      </c>
      <c r="C38" s="563">
        <v>1</v>
      </c>
      <c r="D38" t="s">
        <v>537</v>
      </c>
      <c r="E38">
        <f>274*1</f>
        <v>274</v>
      </c>
      <c r="F38">
        <v>4</v>
      </c>
      <c r="G38" s="566">
        <f>+E38*F38</f>
        <v>1096</v>
      </c>
      <c r="H38" s="578"/>
      <c r="I38" s="561"/>
    </row>
    <row r="39" spans="1:9">
      <c r="A39" s="567"/>
      <c r="B39" s="562" t="s">
        <v>390</v>
      </c>
      <c r="C39" s="563">
        <v>1</v>
      </c>
      <c r="D39" s="564" t="s">
        <v>529</v>
      </c>
      <c r="E39" s="564">
        <f>140+122.5</f>
        <v>262.5</v>
      </c>
      <c r="F39" s="565">
        <v>8</v>
      </c>
      <c r="G39" s="566">
        <f>+E39*F39</f>
        <v>2100</v>
      </c>
      <c r="H39" s="561">
        <f>+(E39*F39+E40*F40)/(SUM(F39:F40))</f>
        <v>265.0344827586207</v>
      </c>
      <c r="I39" s="561"/>
    </row>
    <row r="40" spans="1:9">
      <c r="A40" s="567"/>
      <c r="B40" s="562" t="s">
        <v>390</v>
      </c>
      <c r="C40" s="563">
        <v>1</v>
      </c>
      <c r="D40" s="564" t="s">
        <v>538</v>
      </c>
      <c r="E40" s="564">
        <f>266*1</f>
        <v>266</v>
      </c>
      <c r="F40" s="564">
        <f>19+2</f>
        <v>21</v>
      </c>
      <c r="G40" s="563">
        <f>+E40*F40</f>
        <v>5586</v>
      </c>
      <c r="H40" s="561"/>
      <c r="I40" s="561"/>
    </row>
    <row r="41" spans="1:9" ht="13.5" thickBot="1">
      <c r="A41" s="368"/>
      <c r="B41" s="381"/>
      <c r="C41" s="369"/>
      <c r="D41" s="370"/>
      <c r="E41" s="369"/>
      <c r="F41" s="369"/>
      <c r="G41" s="369"/>
      <c r="H41" s="382"/>
      <c r="I41" s="382"/>
    </row>
    <row r="42" spans="1:9">
      <c r="A42" s="567">
        <v>45882</v>
      </c>
      <c r="B42" s="562" t="s">
        <v>390</v>
      </c>
      <c r="C42" s="563">
        <v>1</v>
      </c>
      <c r="D42" s="564" t="s">
        <v>538</v>
      </c>
      <c r="E42" s="564">
        <f>266*1</f>
        <v>266</v>
      </c>
      <c r="F42" s="565">
        <v>10</v>
      </c>
      <c r="G42" s="566">
        <f>+E42*F42</f>
        <v>2660</v>
      </c>
      <c r="H42" s="578">
        <f>+(E42*F42+E43*F43)/(SUM(F42:F43))</f>
        <v>266</v>
      </c>
      <c r="I42" s="561">
        <f>+'13'!I38</f>
        <v>44.685000000000002</v>
      </c>
    </row>
    <row r="43" spans="1:9">
      <c r="A43" s="567"/>
      <c r="B43" s="562" t="s">
        <v>390</v>
      </c>
      <c r="C43" s="563">
        <v>1</v>
      </c>
      <c r="D43" s="564" t="s">
        <v>514</v>
      </c>
      <c r="E43" s="564">
        <f>133*2</f>
        <v>266</v>
      </c>
      <c r="F43" s="564">
        <v>2</v>
      </c>
      <c r="G43" s="563">
        <f>+E43*F43</f>
        <v>532</v>
      </c>
      <c r="H43" s="561"/>
      <c r="I43" s="561"/>
    </row>
    <row r="44" spans="1:9">
      <c r="A44" s="567"/>
      <c r="B44" s="562" t="s">
        <v>503</v>
      </c>
      <c r="C44" s="563">
        <v>1</v>
      </c>
      <c r="D44" s="564" t="s">
        <v>545</v>
      </c>
      <c r="E44" s="564">
        <f>124+140</f>
        <v>264</v>
      </c>
      <c r="F44" s="565">
        <f>9+28</f>
        <v>37</v>
      </c>
      <c r="G44" s="566">
        <f>+E44*F44</f>
        <v>9768</v>
      </c>
      <c r="H44" s="561">
        <f t="shared" ref="H44" si="16">+SUM(G44/F44)</f>
        <v>264</v>
      </c>
      <c r="I44" s="561"/>
    </row>
    <row r="45" spans="1:9" ht="13.5" thickBot="1">
      <c r="A45" s="368"/>
      <c r="B45" s="381"/>
      <c r="C45" s="369"/>
      <c r="D45" s="370"/>
      <c r="E45" s="369"/>
      <c r="F45" s="369"/>
      <c r="G45" s="369"/>
      <c r="H45" s="382"/>
      <c r="I45" s="382"/>
    </row>
    <row r="46" spans="1:9">
      <c r="A46" s="567">
        <v>45883</v>
      </c>
      <c r="B46" s="562" t="s">
        <v>503</v>
      </c>
      <c r="C46" s="563">
        <v>1</v>
      </c>
      <c r="D46" s="564" t="s">
        <v>545</v>
      </c>
      <c r="E46" s="564">
        <f>124+140</f>
        <v>264</v>
      </c>
      <c r="F46" s="565">
        <v>23</v>
      </c>
      <c r="G46" s="566">
        <f>+E46*F46</f>
        <v>6072</v>
      </c>
      <c r="H46" s="578">
        <f>+(E46*F46+E47*F47)/(SUM(F46:F47))</f>
        <v>264.64705882352939</v>
      </c>
      <c r="I46" s="561">
        <f>+'14'!I38</f>
        <v>43.694000000000003</v>
      </c>
    </row>
    <row r="47" spans="1:9">
      <c r="A47" s="567"/>
      <c r="B47" s="562" t="s">
        <v>503</v>
      </c>
      <c r="C47" s="563">
        <v>1</v>
      </c>
      <c r="D47" s="564" t="s">
        <v>514</v>
      </c>
      <c r="E47" s="564">
        <f>133*2</f>
        <v>266</v>
      </c>
      <c r="F47" s="565">
        <v>11</v>
      </c>
      <c r="G47" s="566"/>
      <c r="H47" s="561"/>
      <c r="I47" s="561"/>
    </row>
    <row r="48" spans="1:9">
      <c r="A48" s="567"/>
      <c r="B48" s="562" t="s">
        <v>552</v>
      </c>
      <c r="C48" s="563">
        <v>1</v>
      </c>
      <c r="D48" s="564" t="s">
        <v>554</v>
      </c>
      <c r="E48" s="564">
        <f>120+140</f>
        <v>260</v>
      </c>
      <c r="F48" s="565">
        <f>23+17</f>
        <v>40</v>
      </c>
      <c r="G48" s="566">
        <f t="shared" ref="G48" si="17">+E48*F48</f>
        <v>10400</v>
      </c>
      <c r="H48" s="561">
        <f>+SUM(G48/F48)</f>
        <v>260</v>
      </c>
      <c r="I48" s="561"/>
    </row>
    <row r="49" spans="1:9" ht="13.5" thickBot="1">
      <c r="A49" s="368"/>
      <c r="B49" s="381"/>
      <c r="C49" s="369"/>
      <c r="D49" s="370"/>
      <c r="E49" s="369"/>
      <c r="F49" s="369"/>
      <c r="G49" s="369"/>
      <c r="H49" s="382"/>
      <c r="I49" s="382"/>
    </row>
    <row r="50" spans="1:9">
      <c r="A50" s="567">
        <v>45884</v>
      </c>
      <c r="B50" s="562" t="s">
        <v>504</v>
      </c>
      <c r="C50" s="563">
        <v>1</v>
      </c>
      <c r="D50" s="564" t="s">
        <v>514</v>
      </c>
      <c r="E50" s="564">
        <f>133*2</f>
        <v>266</v>
      </c>
      <c r="F50" s="565">
        <v>77</v>
      </c>
      <c r="G50" s="566">
        <f t="shared" ref="G50" si="18">+E50*F50</f>
        <v>20482</v>
      </c>
      <c r="H50" s="561">
        <f>+SUM(G50/F50)</f>
        <v>266</v>
      </c>
      <c r="I50" s="561">
        <f>+'15'!I38</f>
        <v>46.213000000000001</v>
      </c>
    </row>
    <row r="51" spans="1:9" ht="13.5" thickBot="1">
      <c r="A51" s="368"/>
      <c r="B51" s="381"/>
      <c r="C51" s="369"/>
      <c r="D51" s="370"/>
      <c r="E51" s="369"/>
      <c r="F51" s="369"/>
      <c r="G51" s="369"/>
      <c r="H51" s="382"/>
      <c r="I51" s="382"/>
    </row>
    <row r="52" spans="1:9">
      <c r="A52" s="567">
        <v>45885</v>
      </c>
      <c r="B52" s="562" t="s">
        <v>504</v>
      </c>
      <c r="C52" s="563">
        <v>1</v>
      </c>
      <c r="D52" s="564" t="s">
        <v>514</v>
      </c>
      <c r="E52" s="564">
        <f>133*2</f>
        <v>266</v>
      </c>
      <c r="F52" s="565">
        <f>156/2</f>
        <v>78</v>
      </c>
      <c r="G52" s="566">
        <f t="shared" ref="G52" si="19">+E52*F52</f>
        <v>20748</v>
      </c>
      <c r="H52" s="561">
        <f>+SUM(G52/F52)</f>
        <v>266</v>
      </c>
      <c r="I52" s="561">
        <f>+'16'!I38</f>
        <v>47.757999999999996</v>
      </c>
    </row>
    <row r="53" spans="1:9" ht="13.5" thickBot="1">
      <c r="A53" s="368"/>
      <c r="B53" s="381"/>
      <c r="C53" s="369"/>
      <c r="D53" s="370"/>
      <c r="E53" s="369"/>
      <c r="F53" s="369"/>
      <c r="G53" s="369"/>
      <c r="H53" s="382"/>
      <c r="I53" s="382"/>
    </row>
    <row r="54" spans="1:9">
      <c r="A54" s="567">
        <v>45886</v>
      </c>
      <c r="B54" s="562" t="s">
        <v>504</v>
      </c>
      <c r="C54" s="563">
        <v>1</v>
      </c>
      <c r="D54" s="564" t="s">
        <v>514</v>
      </c>
      <c r="E54" s="564">
        <f>133*2</f>
        <v>266</v>
      </c>
      <c r="F54" s="565">
        <f>27+23</f>
        <v>50</v>
      </c>
      <c r="G54" s="566">
        <f t="shared" ref="G54:G55" si="20">+E54*F54</f>
        <v>13300</v>
      </c>
      <c r="H54" s="561">
        <f>+SUM(G54/F54)</f>
        <v>266</v>
      </c>
      <c r="I54" s="561">
        <f>+'17'!I38</f>
        <v>44.586999999999996</v>
      </c>
    </row>
    <row r="55" spans="1:9">
      <c r="A55" s="567"/>
      <c r="B55" s="562" t="s">
        <v>390</v>
      </c>
      <c r="C55" s="563">
        <v>1</v>
      </c>
      <c r="D55" s="564" t="s">
        <v>568</v>
      </c>
      <c r="E55" s="564">
        <f>122.5+140</f>
        <v>262.5</v>
      </c>
      <c r="F55" s="565">
        <v>23</v>
      </c>
      <c r="G55" s="566">
        <f t="shared" si="20"/>
        <v>6037.5</v>
      </c>
      <c r="H55" s="561">
        <f>+SUM(G55/F55)</f>
        <v>262.5</v>
      </c>
      <c r="I55" s="561"/>
    </row>
    <row r="56" spans="1:9" ht="13.5" thickBot="1">
      <c r="A56" s="368"/>
      <c r="B56" s="381"/>
      <c r="C56" s="369"/>
      <c r="D56" s="370"/>
      <c r="E56" s="369"/>
      <c r="F56" s="369"/>
      <c r="G56" s="369"/>
      <c r="H56" s="382"/>
      <c r="I56" s="382"/>
    </row>
    <row r="57" spans="1:9">
      <c r="A57" s="567">
        <v>45887</v>
      </c>
      <c r="B57" s="562" t="s">
        <v>503</v>
      </c>
      <c r="C57" s="563">
        <v>1</v>
      </c>
      <c r="D57" s="564" t="s">
        <v>572</v>
      </c>
      <c r="E57" s="564">
        <f>117+140</f>
        <v>257</v>
      </c>
      <c r="F57" s="565">
        <v>4</v>
      </c>
      <c r="G57" s="566">
        <f t="shared" ref="G57:G58" si="21">+E57*F57</f>
        <v>1028</v>
      </c>
      <c r="H57" s="561">
        <f>+SUM(G57/F57)</f>
        <v>257</v>
      </c>
      <c r="I57" s="561">
        <f>+'18'!I38</f>
        <v>41.155000000000001</v>
      </c>
    </row>
    <row r="58" spans="1:9">
      <c r="A58" s="567"/>
      <c r="B58" s="562" t="s">
        <v>390</v>
      </c>
      <c r="C58" s="563">
        <v>1</v>
      </c>
      <c r="D58" s="564" t="s">
        <v>568</v>
      </c>
      <c r="E58" s="564">
        <f>122.5+140</f>
        <v>262.5</v>
      </c>
      <c r="F58" s="565">
        <f>156/2</f>
        <v>78</v>
      </c>
      <c r="G58" s="566">
        <f t="shared" si="21"/>
        <v>20475</v>
      </c>
      <c r="H58" s="561">
        <f>+SUM(G58/F58)</f>
        <v>262.5</v>
      </c>
      <c r="I58" s="561"/>
    </row>
    <row r="59" spans="1:9" ht="13.5" thickBot="1">
      <c r="A59" s="368"/>
      <c r="B59" s="381"/>
      <c r="C59" s="369"/>
      <c r="D59" s="370"/>
      <c r="E59" s="369"/>
      <c r="F59" s="369"/>
      <c r="G59" s="369"/>
      <c r="H59" s="382"/>
      <c r="I59" s="382"/>
    </row>
    <row r="60" spans="1:9">
      <c r="A60" s="567">
        <v>45888</v>
      </c>
      <c r="B60" s="562" t="s">
        <v>503</v>
      </c>
      <c r="C60" s="563">
        <v>1</v>
      </c>
      <c r="D60" s="564" t="s">
        <v>572</v>
      </c>
      <c r="E60" s="564">
        <f>117+140</f>
        <v>257</v>
      </c>
      <c r="F60" s="565">
        <f>126/2</f>
        <v>63</v>
      </c>
      <c r="G60" s="566">
        <f t="shared" ref="G60" si="22">+E60*F60</f>
        <v>16191</v>
      </c>
      <c r="H60" s="561">
        <f>+SUM(G60/F60)</f>
        <v>257</v>
      </c>
      <c r="I60" s="561">
        <f>+'19'!I38</f>
        <v>37.085000000000001</v>
      </c>
    </row>
    <row r="61" spans="1:9" ht="13.5" thickBot="1">
      <c r="A61" s="368"/>
      <c r="B61" s="381"/>
      <c r="C61" s="369"/>
      <c r="D61" s="370"/>
      <c r="E61" s="369"/>
      <c r="F61" s="369"/>
      <c r="G61" s="369"/>
      <c r="H61" s="382"/>
      <c r="I61" s="382"/>
    </row>
    <row r="62" spans="1:9">
      <c r="A62" s="567">
        <v>45889</v>
      </c>
      <c r="B62" s="562" t="s">
        <v>503</v>
      </c>
      <c r="C62" s="563">
        <v>1</v>
      </c>
      <c r="D62" s="564" t="s">
        <v>572</v>
      </c>
      <c r="E62" s="564">
        <f>117+140</f>
        <v>257</v>
      </c>
      <c r="F62" s="565">
        <v>14</v>
      </c>
      <c r="G62" s="566">
        <f>+E62*F62</f>
        <v>3598</v>
      </c>
      <c r="H62" s="561">
        <f>+(E62*F62+E63*F63)/(SUM(F62:F63))</f>
        <v>258.55555555555554</v>
      </c>
      <c r="I62" s="561">
        <f>+'20'!I38</f>
        <v>44.22</v>
      </c>
    </row>
    <row r="63" spans="1:9">
      <c r="A63" s="567"/>
      <c r="B63" s="562" t="s">
        <v>503</v>
      </c>
      <c r="C63" s="563">
        <v>1</v>
      </c>
      <c r="D63" s="564" t="s">
        <v>530</v>
      </c>
      <c r="E63" s="564">
        <f>140+124</f>
        <v>264</v>
      </c>
      <c r="F63" s="565">
        <v>4</v>
      </c>
      <c r="G63" s="566"/>
      <c r="H63" s="561"/>
      <c r="I63" s="561"/>
    </row>
    <row r="64" spans="1:9">
      <c r="A64" s="567"/>
      <c r="B64" s="562" t="s">
        <v>390</v>
      </c>
      <c r="C64" s="563">
        <v>1</v>
      </c>
      <c r="D64" s="564" t="s">
        <v>591</v>
      </c>
      <c r="E64" s="564">
        <f>180+77.5</f>
        <v>257.5</v>
      </c>
      <c r="F64" s="565">
        <f>10+14+8+8</f>
        <v>40</v>
      </c>
      <c r="G64" s="566">
        <f>+E64*F64</f>
        <v>10300</v>
      </c>
      <c r="H64" s="561">
        <f>+(E64*F64+E65*F65)/(SUM(F64:F65))</f>
        <v>259.09433962264148</v>
      </c>
      <c r="I64" s="561"/>
    </row>
    <row r="65" spans="1:9">
      <c r="A65" s="567"/>
      <c r="B65" s="562" t="s">
        <v>390</v>
      </c>
      <c r="C65" s="563">
        <v>1</v>
      </c>
      <c r="D65" s="564" t="s">
        <v>530</v>
      </c>
      <c r="E65" s="564">
        <f>140+124</f>
        <v>264</v>
      </c>
      <c r="F65" s="565">
        <v>13</v>
      </c>
      <c r="G65" s="566"/>
      <c r="H65" s="561"/>
      <c r="I65" s="561"/>
    </row>
    <row r="66" spans="1:9" ht="13.5" thickBot="1">
      <c r="A66" s="368"/>
      <c r="B66" s="381"/>
      <c r="C66" s="369"/>
      <c r="D66" s="370"/>
      <c r="E66" s="369"/>
      <c r="F66" s="369"/>
      <c r="G66" s="369"/>
      <c r="H66" s="382"/>
      <c r="I66" s="382"/>
    </row>
    <row r="67" spans="1:9">
      <c r="A67" s="567">
        <v>45890</v>
      </c>
      <c r="B67" s="562" t="s">
        <v>503</v>
      </c>
      <c r="C67" s="563">
        <v>1</v>
      </c>
      <c r="D67" s="564" t="s">
        <v>530</v>
      </c>
      <c r="E67" s="564">
        <f>140+124</f>
        <v>264</v>
      </c>
      <c r="F67" s="565">
        <v>26</v>
      </c>
      <c r="G67" s="566">
        <f t="shared" ref="G67:G68" si="23">+E67*F67</f>
        <v>6864</v>
      </c>
      <c r="H67" s="561">
        <f>+SUM(G67/F67)</f>
        <v>264</v>
      </c>
      <c r="I67" s="561">
        <f>+'21'!I38</f>
        <v>42.118000000000002</v>
      </c>
    </row>
    <row r="68" spans="1:9">
      <c r="A68" s="567"/>
      <c r="B68" s="562" t="s">
        <v>390</v>
      </c>
      <c r="C68" s="563">
        <v>1</v>
      </c>
      <c r="D68" s="564" t="s">
        <v>568</v>
      </c>
      <c r="E68" s="564">
        <f>122.5+140</f>
        <v>262.5</v>
      </c>
      <c r="F68" s="565">
        <v>26</v>
      </c>
      <c r="G68" s="566">
        <f t="shared" si="23"/>
        <v>6825</v>
      </c>
      <c r="H68" s="561">
        <f>+SUM(G68/F68)</f>
        <v>262.5</v>
      </c>
      <c r="I68" s="561"/>
    </row>
    <row r="69" spans="1:9" ht="13.5" thickBot="1">
      <c r="A69" s="368"/>
      <c r="B69" s="381"/>
      <c r="C69" s="369"/>
      <c r="D69" s="370"/>
      <c r="E69" s="369"/>
      <c r="F69" s="369"/>
      <c r="G69" s="369"/>
      <c r="H69" s="382"/>
      <c r="I69" s="382"/>
    </row>
    <row r="70" spans="1:9">
      <c r="A70" s="567">
        <v>45891</v>
      </c>
      <c r="B70" s="562" t="s">
        <v>390</v>
      </c>
      <c r="C70" s="563">
        <v>1</v>
      </c>
      <c r="D70" s="564" t="s">
        <v>514</v>
      </c>
      <c r="E70" s="564">
        <f>133*2</f>
        <v>266</v>
      </c>
      <c r="F70" s="565">
        <v>17</v>
      </c>
      <c r="G70" s="566">
        <f>+E70*F70</f>
        <v>4522</v>
      </c>
      <c r="H70" s="561">
        <f>+(E70*F70+E71*F71)/(SUM(F70:F71))</f>
        <v>263.79347826086956</v>
      </c>
      <c r="I70" s="561">
        <f>+'22'!I38</f>
        <v>45.057000000000002</v>
      </c>
    </row>
    <row r="71" spans="1:9">
      <c r="A71" s="567"/>
      <c r="B71" s="562" t="s">
        <v>390</v>
      </c>
      <c r="C71" s="563">
        <v>1</v>
      </c>
      <c r="D71" s="564" t="s">
        <v>529</v>
      </c>
      <c r="E71" s="564">
        <f>140+122.5</f>
        <v>262.5</v>
      </c>
      <c r="F71" s="565">
        <f>58/2</f>
        <v>29</v>
      </c>
      <c r="G71" s="566">
        <f t="shared" ref="G71:G72" si="24">+E71*F71</f>
        <v>7612.5</v>
      </c>
      <c r="H71" s="561"/>
      <c r="I71" s="561"/>
    </row>
    <row r="72" spans="1:9">
      <c r="A72" s="567"/>
      <c r="B72" s="562" t="s">
        <v>412</v>
      </c>
      <c r="C72" s="563">
        <v>1</v>
      </c>
      <c r="D72" s="564" t="s">
        <v>602</v>
      </c>
      <c r="E72" s="564">
        <f>129*2</f>
        <v>258</v>
      </c>
      <c r="F72" s="565">
        <f>52/2</f>
        <v>26</v>
      </c>
      <c r="G72" s="566">
        <f t="shared" si="24"/>
        <v>6708</v>
      </c>
      <c r="H72" s="561">
        <f>+SUM(G72/F72)</f>
        <v>258</v>
      </c>
      <c r="I72" s="561"/>
    </row>
    <row r="73" spans="1:9" ht="13.5" thickBot="1">
      <c r="A73" s="368"/>
      <c r="B73" s="381"/>
      <c r="C73" s="369"/>
      <c r="D73" s="370"/>
      <c r="E73" s="369"/>
      <c r="F73" s="369"/>
      <c r="G73" s="369"/>
      <c r="H73" s="382"/>
      <c r="I73" s="382"/>
    </row>
    <row r="74" spans="1:9">
      <c r="A74" s="567">
        <v>45892</v>
      </c>
      <c r="B74" s="562" t="s">
        <v>412</v>
      </c>
      <c r="C74" s="563">
        <v>1</v>
      </c>
      <c r="D74" s="564" t="s">
        <v>602</v>
      </c>
      <c r="E74" s="564">
        <f>129*2</f>
        <v>258</v>
      </c>
      <c r="F74" s="565">
        <f>13+11+13+8+13+13</f>
        <v>71</v>
      </c>
      <c r="G74" s="566">
        <f t="shared" ref="G74" si="25">+E74*F74</f>
        <v>18318</v>
      </c>
      <c r="H74" s="561">
        <f>+SUM(G74/F74)</f>
        <v>258</v>
      </c>
      <c r="I74" s="561">
        <f>+'23'!I38</f>
        <v>45.576999999999998</v>
      </c>
    </row>
    <row r="75" spans="1:9" ht="13.5" thickBot="1">
      <c r="A75" s="368"/>
      <c r="B75" s="381"/>
      <c r="C75" s="369"/>
      <c r="D75" s="370"/>
      <c r="E75" s="369"/>
      <c r="F75" s="369"/>
      <c r="G75" s="369"/>
      <c r="H75" s="382"/>
      <c r="I75" s="382"/>
    </row>
    <row r="76" spans="1:9">
      <c r="A76" s="567">
        <v>45893</v>
      </c>
      <c r="B76" s="562" t="s">
        <v>412</v>
      </c>
      <c r="C76" s="563">
        <v>1</v>
      </c>
      <c r="D76" s="564" t="s">
        <v>602</v>
      </c>
      <c r="E76" s="564">
        <f>129*2</f>
        <v>258</v>
      </c>
      <c r="F76" s="565">
        <f>13+12+13+13+13+11</f>
        <v>75</v>
      </c>
      <c r="G76" s="566">
        <f t="shared" ref="G76" si="26">+E76*F76</f>
        <v>19350</v>
      </c>
      <c r="H76" s="561">
        <f>+SUM(G76/F76)</f>
        <v>258</v>
      </c>
      <c r="I76" s="561">
        <f>+'24'!I38</f>
        <v>44.153999999999996</v>
      </c>
    </row>
    <row r="77" spans="1:9" ht="13.5" thickBot="1">
      <c r="A77" s="368"/>
      <c r="B77" s="381"/>
      <c r="C77" s="369"/>
      <c r="D77" s="370"/>
      <c r="E77" s="369"/>
      <c r="F77" s="369"/>
      <c r="G77" s="369"/>
      <c r="H77" s="382"/>
      <c r="I77" s="382"/>
    </row>
    <row r="78" spans="1:9">
      <c r="A78" s="567">
        <v>45894</v>
      </c>
      <c r="B78" s="562" t="s">
        <v>412</v>
      </c>
      <c r="C78" s="563">
        <v>1</v>
      </c>
      <c r="D78" s="564" t="s">
        <v>602</v>
      </c>
      <c r="E78" s="564">
        <f>129*2</f>
        <v>258</v>
      </c>
      <c r="F78" s="565">
        <v>70</v>
      </c>
      <c r="G78" s="566">
        <f t="shared" ref="G78" si="27">+E78*F78</f>
        <v>18060</v>
      </c>
      <c r="H78" s="561">
        <f>+SUM(G78/F78)</f>
        <v>258</v>
      </c>
      <c r="I78" s="561">
        <f>+'25'!I38</f>
        <v>43.957999999999998</v>
      </c>
    </row>
    <row r="79" spans="1:9" ht="13.5" thickBot="1">
      <c r="A79" s="368"/>
      <c r="B79" s="381"/>
      <c r="C79" s="369"/>
      <c r="D79" s="370"/>
      <c r="E79" s="369"/>
      <c r="F79" s="369"/>
      <c r="G79" s="369"/>
      <c r="H79" s="382"/>
      <c r="I79" s="382"/>
    </row>
    <row r="80" spans="1:9">
      <c r="A80" s="567">
        <v>45895</v>
      </c>
      <c r="B80" s="562" t="s">
        <v>412</v>
      </c>
      <c r="C80" s="563">
        <v>1</v>
      </c>
      <c r="D80" s="564" t="s">
        <v>602</v>
      </c>
      <c r="E80" s="564">
        <f>129*2</f>
        <v>258</v>
      </c>
      <c r="F80" s="565">
        <v>61</v>
      </c>
      <c r="G80" s="566">
        <f t="shared" ref="G80" si="28">+E80*F80</f>
        <v>15738</v>
      </c>
      <c r="H80" s="561">
        <f>+SUM(G80/F80)</f>
        <v>258</v>
      </c>
      <c r="I80" s="561">
        <f>+'26'!I38</f>
        <v>41.836000000000006</v>
      </c>
    </row>
    <row r="81" spans="1:9">
      <c r="A81" s="567"/>
      <c r="B81" s="562" t="s">
        <v>390</v>
      </c>
      <c r="C81" s="563">
        <v>1</v>
      </c>
      <c r="D81" s="564" t="s">
        <v>618</v>
      </c>
      <c r="E81" s="564">
        <f>132*2</f>
        <v>264</v>
      </c>
      <c r="F81" s="565">
        <v>10</v>
      </c>
      <c r="G81" s="566">
        <f t="shared" ref="G81" si="29">+E81*F81</f>
        <v>2640</v>
      </c>
      <c r="H81" s="561">
        <f>+SUM(G81/F81)</f>
        <v>264</v>
      </c>
      <c r="I81" s="561"/>
    </row>
    <row r="82" spans="1:9" ht="13.5" thickBot="1">
      <c r="A82" s="368"/>
      <c r="B82" s="381"/>
      <c r="C82" s="369"/>
      <c r="D82" s="370"/>
      <c r="E82" s="369"/>
      <c r="F82" s="369"/>
      <c r="G82" s="369"/>
      <c r="H82" s="382"/>
      <c r="I82" s="382"/>
    </row>
    <row r="83" spans="1:9">
      <c r="A83" s="567">
        <v>45896</v>
      </c>
      <c r="B83" s="562" t="s">
        <v>390</v>
      </c>
      <c r="C83" s="563">
        <v>1</v>
      </c>
      <c r="D83" s="564" t="s">
        <v>618</v>
      </c>
      <c r="E83" s="564">
        <f>132*2</f>
        <v>264</v>
      </c>
      <c r="F83" s="565">
        <f>152/2</f>
        <v>76</v>
      </c>
      <c r="G83" s="566">
        <f t="shared" ref="G83" si="30">+E83*F83</f>
        <v>20064</v>
      </c>
      <c r="H83" s="561">
        <f>+SUM(G83/F83)</f>
        <v>264</v>
      </c>
      <c r="I83" s="561">
        <f>+'27'!I38</f>
        <v>42.418999999999997</v>
      </c>
    </row>
    <row r="84" spans="1:9" ht="13.5" thickBot="1">
      <c r="A84" s="368"/>
      <c r="B84" s="381"/>
      <c r="C84" s="369"/>
      <c r="D84" s="370"/>
      <c r="E84" s="369"/>
      <c r="F84" s="369"/>
      <c r="G84" s="369"/>
      <c r="H84" s="382"/>
      <c r="I84" s="382"/>
    </row>
    <row r="85" spans="1:9">
      <c r="A85" s="597">
        <v>45897</v>
      </c>
      <c r="B85" s="562" t="s">
        <v>390</v>
      </c>
      <c r="C85" s="563">
        <v>1</v>
      </c>
      <c r="D85" s="564" t="s">
        <v>636</v>
      </c>
      <c r="E85" s="564">
        <f>132*2</f>
        <v>264</v>
      </c>
      <c r="F85" s="565">
        <f>138/2</f>
        <v>69</v>
      </c>
      <c r="G85" s="563">
        <f>+E85*F85</f>
        <v>18216</v>
      </c>
      <c r="H85" s="561">
        <f>+SUM((F85*E85+F86*E86)/SUM(F85:F86))</f>
        <v>264.13513513513516</v>
      </c>
      <c r="I85" s="561">
        <f>+'28'!I38</f>
        <v>39.24</v>
      </c>
    </row>
    <row r="86" spans="1:9">
      <c r="A86" s="597"/>
      <c r="B86" s="562" t="s">
        <v>390</v>
      </c>
      <c r="C86" s="563">
        <v>1</v>
      </c>
      <c r="D86" s="564" t="s">
        <v>514</v>
      </c>
      <c r="E86" s="564">
        <f>133*2</f>
        <v>266</v>
      </c>
      <c r="F86" s="565">
        <v>5</v>
      </c>
      <c r="G86" s="563">
        <f t="shared" ref="G86" si="31">+E86*F86</f>
        <v>1330</v>
      </c>
      <c r="H86" s="561"/>
      <c r="I86" s="561"/>
    </row>
    <row r="87" spans="1:9" ht="13.5" thickBot="1">
      <c r="A87" s="368"/>
      <c r="B87" s="381"/>
      <c r="C87" s="369"/>
      <c r="D87" s="370"/>
      <c r="E87" s="369"/>
      <c r="F87" s="369"/>
      <c r="G87" s="369"/>
      <c r="H87" s="382"/>
      <c r="I87" s="382"/>
    </row>
    <row r="88" spans="1:9">
      <c r="A88" s="597">
        <v>45898</v>
      </c>
      <c r="B88" s="562" t="s">
        <v>390</v>
      </c>
      <c r="C88" s="563">
        <v>1</v>
      </c>
      <c r="D88" s="564" t="s">
        <v>636</v>
      </c>
      <c r="E88" s="564">
        <f>132*2</f>
        <v>264</v>
      </c>
      <c r="F88" s="565">
        <v>5</v>
      </c>
      <c r="G88" s="563">
        <f>+E88*F88</f>
        <v>1320</v>
      </c>
      <c r="H88" s="561">
        <f>+SUM((F88*E88+F89*E89)/SUM(F88:F89))</f>
        <v>265.73684210526318</v>
      </c>
      <c r="I88" s="561">
        <f>+'29'!I38</f>
        <v>41.143000000000001</v>
      </c>
    </row>
    <row r="89" spans="1:9">
      <c r="A89" s="597"/>
      <c r="B89" s="562" t="s">
        <v>390</v>
      </c>
      <c r="C89" s="563">
        <v>1</v>
      </c>
      <c r="D89" s="564" t="s">
        <v>514</v>
      </c>
      <c r="E89" s="564">
        <f>133*2</f>
        <v>266</v>
      </c>
      <c r="F89" s="565">
        <f>2+13+6+10+2</f>
        <v>33</v>
      </c>
      <c r="G89" s="563">
        <f t="shared" ref="G89:G91" si="32">+E89*F89</f>
        <v>8778</v>
      </c>
      <c r="H89" s="561"/>
      <c r="I89" s="561"/>
    </row>
    <row r="90" spans="1:9">
      <c r="A90" s="597"/>
      <c r="B90" s="562" t="s">
        <v>503</v>
      </c>
      <c r="C90" s="563">
        <v>1</v>
      </c>
      <c r="D90" s="564" t="s">
        <v>514</v>
      </c>
      <c r="E90" s="564">
        <f>133*2</f>
        <v>266</v>
      </c>
      <c r="F90" s="565">
        <v>15</v>
      </c>
      <c r="G90" s="563">
        <f t="shared" si="32"/>
        <v>3990</v>
      </c>
      <c r="H90" s="561">
        <f>+SUM((F90*E90+F91*E91)/SUM(F90:F91))</f>
        <v>265.05882352941177</v>
      </c>
      <c r="I90" s="561"/>
    </row>
    <row r="91" spans="1:9">
      <c r="A91" s="597"/>
      <c r="B91" s="562" t="s">
        <v>503</v>
      </c>
      <c r="C91" s="563">
        <v>1</v>
      </c>
      <c r="D91" s="564" t="s">
        <v>602</v>
      </c>
      <c r="E91" s="564">
        <f>129*2</f>
        <v>258</v>
      </c>
      <c r="F91" s="565">
        <v>2</v>
      </c>
      <c r="G91" s="563">
        <f t="shared" si="32"/>
        <v>516</v>
      </c>
      <c r="H91" s="561"/>
      <c r="I91" s="561"/>
    </row>
    <row r="92" spans="1:9" ht="13.5" thickBot="1">
      <c r="A92" s="368"/>
      <c r="B92" s="381"/>
      <c r="C92" s="369"/>
      <c r="D92" s="370"/>
      <c r="E92" s="369"/>
      <c r="F92" s="369"/>
      <c r="G92" s="369"/>
      <c r="H92" s="382"/>
      <c r="I92" s="382"/>
    </row>
    <row r="93" spans="1:9">
      <c r="A93" s="567">
        <v>45899</v>
      </c>
      <c r="B93" s="562" t="s">
        <v>503</v>
      </c>
      <c r="C93" s="563">
        <v>1</v>
      </c>
      <c r="D93" s="564" t="s">
        <v>602</v>
      </c>
      <c r="E93" s="564">
        <f>129*2</f>
        <v>258</v>
      </c>
      <c r="F93" s="565">
        <f>13+13+3+13+11+6</f>
        <v>59</v>
      </c>
      <c r="G93" s="566">
        <f t="shared" ref="G93" si="33">+E93*F93</f>
        <v>15222</v>
      </c>
      <c r="H93" s="561">
        <f>+SUM(G93/F93)</f>
        <v>258</v>
      </c>
      <c r="I93" s="561">
        <f>+'30'!I38</f>
        <v>43.706000000000003</v>
      </c>
    </row>
    <row r="94" spans="1:9">
      <c r="A94" s="567"/>
      <c r="B94" s="562" t="s">
        <v>390</v>
      </c>
      <c r="C94" s="563">
        <v>1</v>
      </c>
      <c r="D94" s="564" t="s">
        <v>517</v>
      </c>
      <c r="E94" s="564">
        <f>140+126</f>
        <v>266</v>
      </c>
      <c r="F94" s="565">
        <v>24</v>
      </c>
      <c r="G94" s="566">
        <f t="shared" ref="G94" si="34">+E94*F94</f>
        <v>6384</v>
      </c>
      <c r="H94" s="561">
        <f>+SUM(G94/F94)</f>
        <v>266</v>
      </c>
      <c r="I94" s="561"/>
    </row>
    <row r="95" spans="1:9" ht="13.5" thickBot="1">
      <c r="A95" s="368"/>
      <c r="B95" s="381"/>
      <c r="C95" s="369"/>
      <c r="D95" s="370"/>
      <c r="E95" s="369"/>
      <c r="F95" s="369"/>
      <c r="G95" s="369"/>
      <c r="H95" s="382"/>
      <c r="I95" s="382"/>
    </row>
    <row r="96" spans="1:9">
      <c r="A96" s="567">
        <v>45900</v>
      </c>
      <c r="B96" s="562" t="s">
        <v>390</v>
      </c>
      <c r="C96" s="563">
        <v>1</v>
      </c>
      <c r="D96" s="564" t="s">
        <v>517</v>
      </c>
      <c r="E96" s="564">
        <f>140+126</f>
        <v>266</v>
      </c>
      <c r="F96" s="565">
        <f>13+12</f>
        <v>25</v>
      </c>
      <c r="G96" s="563">
        <f>+E96*F96</f>
        <v>6650</v>
      </c>
      <c r="H96" s="561">
        <f>+SUM((F96*E96+F97*E97)/SUM(F96:F97))</f>
        <v>264.5</v>
      </c>
      <c r="I96" s="561">
        <f>+'31'!I38</f>
        <v>42.796999999999997</v>
      </c>
    </row>
    <row r="97" spans="1:9">
      <c r="A97" s="567"/>
      <c r="B97" s="562" t="s">
        <v>390</v>
      </c>
      <c r="C97" s="563">
        <v>1</v>
      </c>
      <c r="D97" s="564" t="s">
        <v>654</v>
      </c>
      <c r="E97" s="564">
        <f>126*2</f>
        <v>252</v>
      </c>
      <c r="F97" s="565">
        <v>3</v>
      </c>
      <c r="G97" s="566"/>
      <c r="H97" s="561"/>
      <c r="I97" s="561"/>
    </row>
    <row r="98" spans="1:9">
      <c r="A98" s="567"/>
      <c r="B98" s="562" t="s">
        <v>552</v>
      </c>
      <c r="C98" s="563">
        <v>1</v>
      </c>
      <c r="D98" s="564" t="s">
        <v>653</v>
      </c>
      <c r="E98" s="564">
        <f>140+120</f>
        <v>260</v>
      </c>
      <c r="F98" s="565">
        <f>6+13+7+10+6</f>
        <v>42</v>
      </c>
      <c r="G98" s="566">
        <f t="shared" ref="G98" si="35">+E98*F98</f>
        <v>10920</v>
      </c>
      <c r="H98" s="561">
        <f>+SUM(G98/F98)</f>
        <v>260</v>
      </c>
      <c r="I98" s="561"/>
    </row>
    <row r="99" spans="1:9">
      <c r="A99" s="567"/>
      <c r="B99" s="562" t="s">
        <v>503</v>
      </c>
      <c r="C99" s="563">
        <v>1</v>
      </c>
      <c r="D99" s="564" t="s">
        <v>529</v>
      </c>
      <c r="E99" s="564">
        <f>140+122.5</f>
        <v>262.5</v>
      </c>
      <c r="F99" s="565">
        <v>11</v>
      </c>
      <c r="G99" s="566">
        <f t="shared" ref="G99" si="36">+E99*F99</f>
        <v>2887.5</v>
      </c>
      <c r="H99" s="561">
        <f>+SUM(G99/F99)</f>
        <v>262.5</v>
      </c>
      <c r="I99" s="561"/>
    </row>
    <row r="100" spans="1:9" ht="13.5" thickBot="1">
      <c r="A100" s="368"/>
      <c r="B100" s="381"/>
      <c r="C100" s="369"/>
      <c r="D100" s="370"/>
      <c r="E100" s="369"/>
      <c r="F100" s="369"/>
      <c r="G100" s="369"/>
      <c r="H100" s="382"/>
      <c r="I100" s="382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8"/>
  <sheetViews>
    <sheetView tabSelected="1" zoomScale="90" zoomScaleNormal="90" workbookViewId="0">
      <pane xSplit="6" ySplit="6" topLeftCell="S154" activePane="bottomRight" state="frozen"/>
      <selection pane="topRight" activeCell="F1" sqref="F1"/>
      <selection pane="bottomLeft" activeCell="A7" sqref="A7"/>
      <selection pane="bottomRight" activeCell="R181" sqref="R179:AB181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8" customWidth="1"/>
    <col min="7" max="9" width="10.28515625" style="30" customWidth="1"/>
    <col min="10" max="11" width="10.28515625" style="87" customWidth="1"/>
    <col min="12" max="13" width="12.7109375" style="59" customWidth="1"/>
    <col min="14" max="15" width="10.28515625" style="30" customWidth="1"/>
    <col min="16" max="16" width="16.85546875" style="30" bestFit="1" customWidth="1"/>
    <col min="17" max="17" width="12.7109375" style="336" customWidth="1"/>
    <col min="18" max="18" width="12.7109375" style="30" bestFit="1" customWidth="1"/>
    <col min="19" max="19" width="12" style="30" bestFit="1" customWidth="1"/>
    <col min="20" max="20" width="10.7109375" style="30" customWidth="1"/>
    <col min="21" max="21" width="11.8554687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1.42578125" style="30" customWidth="1"/>
    <col min="32" max="38" width="10.28515625" style="30" customWidth="1"/>
    <col min="39" max="39" width="11.7109375" style="30" customWidth="1"/>
    <col min="40" max="41" width="10.28515625" style="30" customWidth="1"/>
    <col min="42" max="43" width="12.42578125" style="30" customWidth="1"/>
    <col min="44" max="44" width="29.7109375" style="30" customWidth="1"/>
    <col min="45" max="53" width="10.28515625" style="30" customWidth="1"/>
    <col min="54" max="16384" width="10.28515625" style="30"/>
  </cols>
  <sheetData>
    <row r="1" spans="1:58" s="23" customFormat="1" ht="15.75">
      <c r="A1" s="22" t="s">
        <v>188</v>
      </c>
      <c r="G1" s="24"/>
      <c r="H1" s="24"/>
      <c r="I1" s="24"/>
      <c r="J1" s="84"/>
      <c r="K1" s="84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4"/>
      <c r="G2" s="24"/>
      <c r="H2" s="24"/>
      <c r="I2" s="24"/>
      <c r="J2" s="84"/>
      <c r="K2" s="84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48" t="s">
        <v>7</v>
      </c>
      <c r="B3" s="648" t="s">
        <v>8</v>
      </c>
      <c r="C3" s="648" t="s">
        <v>183</v>
      </c>
      <c r="D3" s="648" t="s">
        <v>90</v>
      </c>
      <c r="E3" s="648" t="s">
        <v>91</v>
      </c>
      <c r="F3" s="648" t="s">
        <v>92</v>
      </c>
      <c r="G3" s="677" t="s">
        <v>93</v>
      </c>
      <c r="H3" s="678"/>
      <c r="I3" s="678"/>
      <c r="J3" s="678"/>
      <c r="K3" s="679"/>
      <c r="L3" s="683" t="s">
        <v>94</v>
      </c>
      <c r="M3" s="684"/>
      <c r="N3" s="685"/>
      <c r="O3" s="673" t="s">
        <v>95</v>
      </c>
      <c r="P3" s="658" t="s">
        <v>107</v>
      </c>
      <c r="Q3" s="673" t="s">
        <v>96</v>
      </c>
      <c r="R3" s="665" t="s">
        <v>97</v>
      </c>
      <c r="S3" s="665" t="s">
        <v>98</v>
      </c>
      <c r="T3" s="648" t="s">
        <v>155</v>
      </c>
      <c r="U3" s="648" t="s">
        <v>154</v>
      </c>
      <c r="V3" s="648" t="s">
        <v>156</v>
      </c>
      <c r="W3" s="665" t="s">
        <v>143</v>
      </c>
      <c r="X3" s="701" t="s">
        <v>100</v>
      </c>
      <c r="Y3" s="701" t="s">
        <v>296</v>
      </c>
      <c r="Z3" s="665" t="s">
        <v>101</v>
      </c>
      <c r="AA3" s="648" t="s">
        <v>157</v>
      </c>
      <c r="AB3" s="648" t="s">
        <v>168</v>
      </c>
      <c r="AC3" s="648" t="s">
        <v>166</v>
      </c>
      <c r="AD3" s="648" t="s">
        <v>125</v>
      </c>
      <c r="AE3" s="648" t="s">
        <v>126</v>
      </c>
      <c r="AF3" s="676" t="s">
        <v>127</v>
      </c>
      <c r="AG3" s="676"/>
      <c r="AH3" s="676"/>
      <c r="AI3" s="676"/>
      <c r="AJ3" s="676"/>
      <c r="AK3" s="676"/>
      <c r="AL3" s="676"/>
      <c r="AM3" s="670" t="s">
        <v>128</v>
      </c>
      <c r="AN3" s="654" t="s">
        <v>102</v>
      </c>
      <c r="AO3" s="654"/>
      <c r="AP3" s="654"/>
      <c r="AQ3" s="654"/>
      <c r="AR3" s="654"/>
      <c r="AS3" s="655" t="s">
        <v>103</v>
      </c>
      <c r="AT3" s="666" t="s">
        <v>292</v>
      </c>
      <c r="AU3" s="667"/>
      <c r="AV3" s="650" t="s">
        <v>129</v>
      </c>
      <c r="AW3" s="651"/>
      <c r="AX3" s="652" t="s">
        <v>129</v>
      </c>
      <c r="AY3" s="653"/>
      <c r="AZ3" s="659" t="s">
        <v>308</v>
      </c>
      <c r="BA3" s="664" t="s">
        <v>104</v>
      </c>
      <c r="BB3" s="696" t="s">
        <v>105</v>
      </c>
      <c r="BC3" s="696" t="s">
        <v>106</v>
      </c>
      <c r="BD3" s="690" t="s">
        <v>395</v>
      </c>
      <c r="BE3" s="693" t="s">
        <v>396</v>
      </c>
      <c r="BF3" s="696" t="s">
        <v>397</v>
      </c>
    </row>
    <row r="4" spans="1:58" ht="12" customHeight="1">
      <c r="A4" s="649"/>
      <c r="B4" s="649"/>
      <c r="C4" s="649"/>
      <c r="D4" s="649"/>
      <c r="E4" s="649"/>
      <c r="F4" s="649"/>
      <c r="G4" s="680"/>
      <c r="H4" s="681"/>
      <c r="I4" s="681"/>
      <c r="J4" s="681"/>
      <c r="K4" s="682"/>
      <c r="L4" s="686"/>
      <c r="M4" s="687"/>
      <c r="N4" s="688"/>
      <c r="O4" s="674"/>
      <c r="P4" s="646"/>
      <c r="Q4" s="674"/>
      <c r="R4" s="689"/>
      <c r="S4" s="689"/>
      <c r="T4" s="649"/>
      <c r="U4" s="649"/>
      <c r="V4" s="649"/>
      <c r="W4" s="689"/>
      <c r="X4" s="702"/>
      <c r="Y4" s="702"/>
      <c r="Z4" s="689"/>
      <c r="AA4" s="649"/>
      <c r="AB4" s="649"/>
      <c r="AC4" s="649"/>
      <c r="AD4" s="649"/>
      <c r="AE4" s="649"/>
      <c r="AF4" s="698" t="s">
        <v>130</v>
      </c>
      <c r="AG4" s="699"/>
      <c r="AH4" s="700"/>
      <c r="AI4" s="646" t="s">
        <v>382</v>
      </c>
      <c r="AJ4" s="646" t="s">
        <v>14</v>
      </c>
      <c r="AK4" s="646" t="s">
        <v>131</v>
      </c>
      <c r="AL4" s="646" t="s">
        <v>17</v>
      </c>
      <c r="AM4" s="671"/>
      <c r="AN4" s="657" t="s">
        <v>108</v>
      </c>
      <c r="AO4" s="657" t="s">
        <v>14</v>
      </c>
      <c r="AP4" s="657" t="s">
        <v>109</v>
      </c>
      <c r="AQ4" s="657" t="s">
        <v>17</v>
      </c>
      <c r="AR4" s="664" t="s">
        <v>110</v>
      </c>
      <c r="AS4" s="655"/>
      <c r="AT4" s="668"/>
      <c r="AU4" s="669"/>
      <c r="AV4" s="510" t="s">
        <v>6</v>
      </c>
      <c r="AW4" s="510" t="s">
        <v>132</v>
      </c>
      <c r="AX4" s="511" t="s">
        <v>6</v>
      </c>
      <c r="AY4" s="512" t="s">
        <v>132</v>
      </c>
      <c r="AZ4" s="660"/>
      <c r="BA4" s="664"/>
      <c r="BB4" s="696"/>
      <c r="BC4" s="696"/>
      <c r="BD4" s="691"/>
      <c r="BE4" s="694"/>
      <c r="BF4" s="696"/>
    </row>
    <row r="5" spans="1:58" s="33" customFormat="1" ht="48">
      <c r="A5" s="649"/>
      <c r="B5" s="649"/>
      <c r="C5" s="675"/>
      <c r="D5" s="649"/>
      <c r="E5" s="649"/>
      <c r="F5" s="649"/>
      <c r="G5" s="491" t="s">
        <v>111</v>
      </c>
      <c r="H5" s="490" t="s">
        <v>112</v>
      </c>
      <c r="I5" s="31" t="s">
        <v>113</v>
      </c>
      <c r="J5" s="85" t="s">
        <v>114</v>
      </c>
      <c r="K5" s="85" t="s">
        <v>99</v>
      </c>
      <c r="L5" s="32" t="s">
        <v>115</v>
      </c>
      <c r="M5" s="32" t="s">
        <v>116</v>
      </c>
      <c r="N5" s="490" t="s">
        <v>117</v>
      </c>
      <c r="O5" s="674"/>
      <c r="P5" s="647"/>
      <c r="Q5" s="674"/>
      <c r="R5" s="689"/>
      <c r="S5" s="689"/>
      <c r="T5" s="649"/>
      <c r="U5" s="649"/>
      <c r="V5" s="649"/>
      <c r="W5" s="689"/>
      <c r="X5" s="702"/>
      <c r="Y5" s="703"/>
      <c r="Z5" s="689"/>
      <c r="AA5" s="649"/>
      <c r="AB5" s="675"/>
      <c r="AC5" s="649"/>
      <c r="AD5" s="675"/>
      <c r="AE5" s="649"/>
      <c r="AF5" s="440" t="s">
        <v>297</v>
      </c>
      <c r="AG5" s="515" t="s">
        <v>298</v>
      </c>
      <c r="AH5" s="515" t="s">
        <v>299</v>
      </c>
      <c r="AI5" s="647"/>
      <c r="AJ5" s="647"/>
      <c r="AK5" s="647"/>
      <c r="AL5" s="647"/>
      <c r="AM5" s="672"/>
      <c r="AN5" s="658"/>
      <c r="AO5" s="658"/>
      <c r="AP5" s="658"/>
      <c r="AQ5" s="658"/>
      <c r="AR5" s="665"/>
      <c r="AS5" s="656"/>
      <c r="AT5" s="514" t="s">
        <v>293</v>
      </c>
      <c r="AU5" s="514" t="s">
        <v>294</v>
      </c>
      <c r="AV5" s="513" t="s">
        <v>295</v>
      </c>
      <c r="AW5" s="513" t="s">
        <v>295</v>
      </c>
      <c r="AX5" s="511" t="s">
        <v>16</v>
      </c>
      <c r="AY5" s="511" t="s">
        <v>16</v>
      </c>
      <c r="AZ5" s="661"/>
      <c r="BA5" s="665"/>
      <c r="BB5" s="648"/>
      <c r="BC5" s="648"/>
      <c r="BD5" s="692"/>
      <c r="BE5" s="695"/>
      <c r="BF5" s="697"/>
    </row>
    <row r="6" spans="1:58" ht="12.75" customHeight="1">
      <c r="A6" s="41">
        <f>+Report1!A9</f>
        <v>45870</v>
      </c>
      <c r="B6" s="42" t="s">
        <v>409</v>
      </c>
      <c r="C6" s="411">
        <f>(M6*E6*O6*Q6)/100000000</f>
        <v>47.692925279999997</v>
      </c>
      <c r="D6" s="42" t="s">
        <v>304</v>
      </c>
      <c r="E6" s="43">
        <v>13</v>
      </c>
      <c r="F6" s="43">
        <v>1</v>
      </c>
      <c r="G6" s="496">
        <v>1230</v>
      </c>
      <c r="H6" s="45">
        <v>0.23</v>
      </c>
      <c r="I6" s="46">
        <v>0.88</v>
      </c>
      <c r="J6" s="86">
        <f>E6*G6*(1-H6)*1440/1000000*2.74</f>
        <v>48.579410880000005</v>
      </c>
      <c r="K6" s="86">
        <f>(IF(G6&lt;L6,L6,G6)*(1-IF(H6&lt;N6,H6,N6))*E6*O6*Q6)/100000000</f>
        <v>47.692925279999997</v>
      </c>
      <c r="L6" s="36">
        <v>1230</v>
      </c>
      <c r="M6" s="36">
        <v>947.09999999999991</v>
      </c>
      <c r="N6" s="47">
        <f>1-(M6/L6)</f>
        <v>0.23000000000000009</v>
      </c>
      <c r="O6" s="48">
        <f>+'Trim Rwd'!H4</f>
        <v>269</v>
      </c>
      <c r="P6" s="49">
        <f>O6*(Q6-R6-S6)</f>
        <v>370682</v>
      </c>
      <c r="Q6" s="48">
        <v>1440</v>
      </c>
      <c r="R6" s="497">
        <v>0</v>
      </c>
      <c r="S6" s="497">
        <v>62</v>
      </c>
      <c r="T6" s="38">
        <f>E6*M6*O6*Q6/100000000</f>
        <v>47.692925279999997</v>
      </c>
      <c r="U6" s="38">
        <f>E6*M6*O6*(Q6-R6-S6)/100000000</f>
        <v>45.639479885999997</v>
      </c>
      <c r="V6" s="38">
        <f>E6*G6*(1-N6)*O6/100*(R6+S6)/1000000</f>
        <v>2.0534453939999997</v>
      </c>
      <c r="W6" s="38">
        <f>+'1'!K7/1000</f>
        <v>44.627000000000002</v>
      </c>
      <c r="X6" s="498">
        <f>SUM(W6:W10)/SUM(K6:K10)</f>
        <v>0.93571530238499145</v>
      </c>
      <c r="Y6" s="216">
        <v>0</v>
      </c>
      <c r="Z6" s="38">
        <f>+'1'!D7/1000</f>
        <v>0.29899999999999999</v>
      </c>
      <c r="AA6" s="50">
        <f>SUM(U6:U10)-SUM(W6:W10)-SUM(Z6:Z10)-SUM(Y6:Y10)</f>
        <v>0.71347988599999423</v>
      </c>
      <c r="AB6" s="50">
        <f>(SUM(K6:K10)-SUM(W6:W10)-SUM(Y6:Y10)-SUM(Z6:Z10)-SUM(AC6:AC10)-SUM(V6:V10))-AA6</f>
        <v>8.8817841970012523E-16</v>
      </c>
      <c r="AC6" s="38">
        <f>K6-T6</f>
        <v>0</v>
      </c>
      <c r="AD6" s="38">
        <f>+AM6+BA6</f>
        <v>9</v>
      </c>
      <c r="AE6" s="235" t="s">
        <v>407</v>
      </c>
      <c r="AF6" s="38">
        <v>9</v>
      </c>
      <c r="AG6" s="38"/>
      <c r="AH6" s="38"/>
      <c r="AI6" s="499"/>
      <c r="AJ6" s="38"/>
      <c r="AK6" s="38"/>
      <c r="AL6" s="38"/>
      <c r="AM6" s="38">
        <f t="shared" ref="AM6:AM9" si="0">SUM(AF6:AL6)+AT6+AV6+AX6</f>
        <v>9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3</v>
      </c>
      <c r="BC6" s="52"/>
      <c r="BD6" s="52"/>
      <c r="BE6" s="34"/>
      <c r="BF6" s="52"/>
    </row>
    <row r="7" spans="1:58" ht="12.95" customHeight="1">
      <c r="A7" s="41"/>
      <c r="B7" s="42"/>
      <c r="C7" s="411"/>
      <c r="D7" s="42"/>
      <c r="E7" s="43"/>
      <c r="F7" s="43"/>
      <c r="G7" s="496"/>
      <c r="H7" s="45"/>
      <c r="I7" s="46"/>
      <c r="J7" s="86"/>
      <c r="K7" s="86"/>
      <c r="L7" s="36"/>
      <c r="M7" s="36"/>
      <c r="N7" s="47"/>
      <c r="O7" s="48"/>
      <c r="P7" s="49"/>
      <c r="Q7" s="48"/>
      <c r="R7" s="497"/>
      <c r="S7" s="497"/>
      <c r="T7" s="38"/>
      <c r="U7" s="38"/>
      <c r="V7" s="38"/>
      <c r="W7" s="38"/>
      <c r="X7" s="39"/>
      <c r="Y7" s="216"/>
      <c r="Z7" s="38"/>
      <c r="AA7" s="38"/>
      <c r="AB7" s="38"/>
      <c r="AC7" s="38"/>
      <c r="AD7" s="38">
        <f>+AM7+BA7</f>
        <v>14</v>
      </c>
      <c r="AE7" s="235" t="s">
        <v>410</v>
      </c>
      <c r="AF7" s="38"/>
      <c r="AG7" s="38">
        <v>14</v>
      </c>
      <c r="AH7" s="38"/>
      <c r="AI7" s="499"/>
      <c r="AJ7" s="38"/>
      <c r="AK7" s="38"/>
      <c r="AL7" s="38"/>
      <c r="AM7" s="38">
        <f t="shared" si="0"/>
        <v>14</v>
      </c>
      <c r="AN7" s="87"/>
      <c r="AO7" s="38"/>
      <c r="AP7" s="38"/>
      <c r="AQ7" s="38"/>
      <c r="AR7" s="38">
        <f t="shared" ref="AR7:AR9" si="1"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9</v>
      </c>
      <c r="BD7" s="52"/>
      <c r="BE7" s="51"/>
      <c r="BF7" s="52"/>
    </row>
    <row r="8" spans="1:58" ht="12.95" customHeight="1">
      <c r="A8" s="41"/>
      <c r="B8" s="42"/>
      <c r="C8" s="411"/>
      <c r="D8" s="42"/>
      <c r="E8" s="43"/>
      <c r="F8" s="43"/>
      <c r="G8" s="44"/>
      <c r="H8" s="45"/>
      <c r="I8" s="46"/>
      <c r="J8" s="86"/>
      <c r="K8" s="86"/>
      <c r="L8" s="36"/>
      <c r="M8" s="36"/>
      <c r="N8" s="47"/>
      <c r="O8" s="48"/>
      <c r="P8" s="49"/>
      <c r="Q8" s="48"/>
      <c r="R8" s="497"/>
      <c r="S8" s="497"/>
      <c r="T8" s="38"/>
      <c r="U8" s="38"/>
      <c r="V8" s="38"/>
      <c r="W8" s="38"/>
      <c r="X8" s="39"/>
      <c r="Y8" s="216"/>
      <c r="Z8" s="38"/>
      <c r="AA8" s="38"/>
      <c r="AB8" s="38"/>
      <c r="AC8" s="38"/>
      <c r="AD8" s="38">
        <f>+AM8+BA8</f>
        <v>39</v>
      </c>
      <c r="AE8" s="235" t="s">
        <v>411</v>
      </c>
      <c r="AF8" s="34"/>
      <c r="AG8" s="34"/>
      <c r="AH8" s="34">
        <v>39</v>
      </c>
      <c r="AJ8" s="38"/>
      <c r="AK8" s="38"/>
      <c r="AL8" s="38"/>
      <c r="AM8" s="38">
        <f t="shared" si="0"/>
        <v>39</v>
      </c>
      <c r="AN8" s="38"/>
      <c r="AO8" s="38"/>
      <c r="AP8" s="38"/>
      <c r="AQ8" s="38"/>
      <c r="AR8" s="38">
        <f t="shared" si="1"/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500"/>
      <c r="BD8" s="500"/>
      <c r="BE8" s="34"/>
      <c r="BF8" s="500"/>
    </row>
    <row r="9" spans="1:58" ht="12.95" customHeight="1">
      <c r="A9" s="41"/>
      <c r="B9" s="42"/>
      <c r="C9" s="411"/>
      <c r="D9" s="42"/>
      <c r="E9" s="43"/>
      <c r="F9" s="43"/>
      <c r="G9" s="44"/>
      <c r="H9" s="45"/>
      <c r="I9" s="46"/>
      <c r="J9" s="86"/>
      <c r="K9" s="86"/>
      <c r="L9" s="36"/>
      <c r="M9" s="36"/>
      <c r="N9" s="47"/>
      <c r="O9" s="48"/>
      <c r="P9" s="49"/>
      <c r="Q9" s="35"/>
      <c r="R9" s="497"/>
      <c r="S9" s="497"/>
      <c r="T9" s="38"/>
      <c r="U9" s="38"/>
      <c r="V9" s="38"/>
      <c r="W9" s="38"/>
      <c r="X9" s="39"/>
      <c r="Y9" s="216"/>
      <c r="Z9" s="38"/>
      <c r="AA9" s="38"/>
      <c r="AB9" s="38"/>
      <c r="AC9" s="38"/>
      <c r="AD9" s="38">
        <f>+AM9+BA9</f>
        <v>0</v>
      </c>
      <c r="AE9" s="238" t="s">
        <v>380</v>
      </c>
      <c r="AF9" s="38"/>
      <c r="AG9" s="38"/>
      <c r="AH9" s="38"/>
      <c r="AI9" s="499">
        <v>0</v>
      </c>
      <c r="AJ9" s="38"/>
      <c r="AK9" s="38"/>
      <c r="AL9" s="38"/>
      <c r="AM9" s="38">
        <f t="shared" si="0"/>
        <v>0</v>
      </c>
      <c r="AN9" s="38"/>
      <c r="AO9" s="38"/>
      <c r="AP9" s="38"/>
      <c r="AQ9" s="38"/>
      <c r="AR9" s="38">
        <f t="shared" si="1"/>
        <v>0</v>
      </c>
      <c r="AS9" s="38"/>
      <c r="AT9" s="38"/>
      <c r="AU9" s="38"/>
      <c r="AV9" s="38"/>
      <c r="AW9" s="38"/>
      <c r="AX9" s="38"/>
      <c r="AY9" s="38"/>
      <c r="AZ9" s="38"/>
      <c r="BA9" s="38">
        <f>+AR9+AS9+AU9+AW9+AY9+AZ9</f>
        <v>0</v>
      </c>
      <c r="BB9" s="51"/>
      <c r="BC9" s="52"/>
      <c r="BD9" s="52"/>
      <c r="BE9" s="51"/>
      <c r="BF9" s="52"/>
    </row>
    <row r="10" spans="1:58" ht="12.95" customHeight="1">
      <c r="A10" s="41"/>
      <c r="B10" s="42"/>
      <c r="C10" s="411"/>
      <c r="D10" s="42"/>
      <c r="E10" s="43"/>
      <c r="F10" s="43"/>
      <c r="G10" s="44"/>
      <c r="H10" s="45"/>
      <c r="I10" s="46"/>
      <c r="J10" s="86"/>
      <c r="K10" s="86"/>
      <c r="L10" s="36"/>
      <c r="M10" s="36"/>
      <c r="N10" s="47"/>
      <c r="O10" s="48"/>
      <c r="P10" s="49"/>
      <c r="Q10" s="35"/>
      <c r="R10" s="497"/>
      <c r="S10" s="497"/>
      <c r="T10" s="38"/>
      <c r="U10" s="38"/>
      <c r="V10" s="38"/>
      <c r="W10" s="38"/>
      <c r="X10" s="39"/>
      <c r="Y10" s="216"/>
      <c r="Z10" s="38"/>
      <c r="AA10" s="38"/>
      <c r="AB10" s="38"/>
      <c r="AC10" s="38"/>
      <c r="AD10" s="38"/>
      <c r="AE10" s="238"/>
      <c r="AF10" s="38"/>
      <c r="AG10" s="38"/>
      <c r="AH10" s="38"/>
      <c r="AI10" s="499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51"/>
      <c r="BC10" s="52"/>
      <c r="BD10" s="52"/>
      <c r="BE10" s="34"/>
      <c r="BF10" s="52"/>
    </row>
    <row r="11" spans="1:58" ht="12.75" customHeight="1">
      <c r="A11" s="41">
        <v>45871</v>
      </c>
      <c r="B11" s="42" t="s">
        <v>409</v>
      </c>
      <c r="C11" s="411">
        <f>(M11*E11*O11*Q11)/100000000</f>
        <v>47.69292527999999</v>
      </c>
      <c r="D11" s="42" t="s">
        <v>304</v>
      </c>
      <c r="E11" s="43">
        <v>13</v>
      </c>
      <c r="F11" s="43">
        <v>1</v>
      </c>
      <c r="G11" s="496">
        <v>1230</v>
      </c>
      <c r="H11" s="45">
        <v>0.23</v>
      </c>
      <c r="I11" s="46">
        <v>0.88</v>
      </c>
      <c r="J11" s="86">
        <f>E11*G11*(1-H11)*1440/1000000*2.74</f>
        <v>48.579410880000005</v>
      </c>
      <c r="K11" s="86">
        <f>(IF(G11&lt;L11,L11,G11)*(1-IF(H11&lt;N11,H11,N11))*E11*O11*Q11)/100000000</f>
        <v>47.69292527999999</v>
      </c>
      <c r="L11" s="36">
        <v>1230</v>
      </c>
      <c r="M11" s="36">
        <v>947.0999999999998</v>
      </c>
      <c r="N11" s="47">
        <f>1-(M11/L11)</f>
        <v>0.2300000000000002</v>
      </c>
      <c r="O11" s="48">
        <f>+'Trim Rwd'!H6</f>
        <v>269</v>
      </c>
      <c r="P11" s="49">
        <f>O11*(Q11-R11-S11)</f>
        <v>365840</v>
      </c>
      <c r="Q11" s="48">
        <v>1440</v>
      </c>
      <c r="R11" s="497">
        <v>0</v>
      </c>
      <c r="S11" s="497">
        <v>80</v>
      </c>
      <c r="T11" s="38">
        <f>E11*M11*O11*Q11/100000000</f>
        <v>47.69292527999999</v>
      </c>
      <c r="U11" s="38">
        <f>E11*M11*O11*(Q11-R11-S11)/100000000</f>
        <v>45.04331831999999</v>
      </c>
      <c r="V11" s="38">
        <f>E11*G11*(1-N11)*O11/100*(R11+S11)/1000000</f>
        <v>2.6496069599999994</v>
      </c>
      <c r="W11" s="38">
        <f>+'2'!K7/1000</f>
        <v>45.750999999999998</v>
      </c>
      <c r="X11" s="498">
        <f>SUM(W11:W15)/SUM(K11:K15)</f>
        <v>0.95928273913585382</v>
      </c>
      <c r="Y11" s="216">
        <v>0</v>
      </c>
      <c r="Z11" s="38">
        <f>+'2'!D7/1000</f>
        <v>0.253</v>
      </c>
      <c r="AA11" s="50">
        <f>SUM(U11:U15)-SUM(W11:W15)-SUM(Z11:Z15)-SUM(Y11:Y15)</f>
        <v>-0.96068168000000742</v>
      </c>
      <c r="AB11" s="50">
        <f>(SUM(K11:K15)-SUM(W11:W15)-SUM(Y11:Y15)-SUM(Z11:Z15)-SUM(AC11:AC15)-SUM(V11:V15))-AA11</f>
        <v>0</v>
      </c>
      <c r="AC11" s="38">
        <f>K11-T11</f>
        <v>0</v>
      </c>
      <c r="AD11" s="38">
        <f>+AM11+BA11</f>
        <v>18</v>
      </c>
      <c r="AE11" s="235" t="s">
        <v>436</v>
      </c>
      <c r="AF11" s="38">
        <v>18</v>
      </c>
      <c r="AG11" s="38"/>
      <c r="AH11" s="38"/>
      <c r="AI11" s="499"/>
      <c r="AJ11" s="38"/>
      <c r="AK11" s="38"/>
      <c r="AL11" s="38"/>
      <c r="AM11" s="38">
        <f t="shared" ref="AM11:AM14" si="2">SUM(AF11:AL11)+AT11+AV11+AX11</f>
        <v>18</v>
      </c>
      <c r="AN11" s="38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+AR11+AS11+AU11+AW11+AY11+AZ11</f>
        <v>0</v>
      </c>
      <c r="BB11" s="34">
        <v>6</v>
      </c>
      <c r="BC11" s="52"/>
      <c r="BD11" s="52"/>
      <c r="BE11" s="34"/>
      <c r="BF11" s="52"/>
    </row>
    <row r="12" spans="1:58" ht="12.95" customHeight="1">
      <c r="A12" s="41"/>
      <c r="B12" s="42"/>
      <c r="C12" s="411"/>
      <c r="D12" s="42"/>
      <c r="E12" s="43"/>
      <c r="F12" s="43"/>
      <c r="G12" s="496"/>
      <c r="H12" s="45"/>
      <c r="I12" s="46"/>
      <c r="J12" s="86"/>
      <c r="K12" s="86"/>
      <c r="L12" s="36"/>
      <c r="M12" s="36"/>
      <c r="N12" s="47"/>
      <c r="O12" s="48"/>
      <c r="P12" s="49"/>
      <c r="Q12" s="48"/>
      <c r="R12" s="497"/>
      <c r="S12" s="497"/>
      <c r="T12" s="38"/>
      <c r="U12" s="38"/>
      <c r="V12" s="38"/>
      <c r="W12" s="38"/>
      <c r="X12" s="39"/>
      <c r="Y12" s="216"/>
      <c r="Z12" s="38"/>
      <c r="AA12" s="38"/>
      <c r="AB12" s="38"/>
      <c r="AC12" s="38"/>
      <c r="AD12" s="38">
        <f>+AM12+BA12</f>
        <v>12</v>
      </c>
      <c r="AE12" s="235" t="s">
        <v>437</v>
      </c>
      <c r="AF12" s="38"/>
      <c r="AG12" s="38">
        <v>12</v>
      </c>
      <c r="AH12" s="38"/>
      <c r="AI12" s="499"/>
      <c r="AJ12" s="38"/>
      <c r="AK12" s="38"/>
      <c r="AL12" s="38"/>
      <c r="AM12" s="38">
        <f t="shared" si="2"/>
        <v>12</v>
      </c>
      <c r="AN12" s="87"/>
      <c r="AO12" s="38"/>
      <c r="AP12" s="38"/>
      <c r="AQ12" s="38"/>
      <c r="AR12" s="38">
        <f t="shared" ref="AR12:AR14" si="3"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51"/>
      <c r="BC12" s="52">
        <v>7</v>
      </c>
      <c r="BD12" s="52"/>
      <c r="BE12" s="51"/>
      <c r="BF12" s="52"/>
    </row>
    <row r="13" spans="1:58" ht="12.95" customHeight="1">
      <c r="A13" s="41"/>
      <c r="B13" s="42"/>
      <c r="C13" s="411"/>
      <c r="D13" s="42"/>
      <c r="E13" s="43"/>
      <c r="F13" s="43"/>
      <c r="G13" s="44"/>
      <c r="H13" s="45"/>
      <c r="I13" s="46"/>
      <c r="J13" s="86"/>
      <c r="K13" s="86"/>
      <c r="L13" s="36"/>
      <c r="M13" s="36"/>
      <c r="N13" s="47"/>
      <c r="O13" s="48"/>
      <c r="P13" s="49"/>
      <c r="Q13" s="48"/>
      <c r="R13" s="497"/>
      <c r="S13" s="497"/>
      <c r="T13" s="38"/>
      <c r="U13" s="38"/>
      <c r="V13" s="38"/>
      <c r="W13" s="38"/>
      <c r="X13" s="39"/>
      <c r="Y13" s="216"/>
      <c r="Z13" s="38"/>
      <c r="AA13" s="38"/>
      <c r="AB13" s="38"/>
      <c r="AC13" s="38"/>
      <c r="AD13" s="38">
        <f>+AM13+BA13</f>
        <v>50</v>
      </c>
      <c r="AE13" s="235" t="s">
        <v>438</v>
      </c>
      <c r="AF13" s="34"/>
      <c r="AG13" s="34"/>
      <c r="AH13" s="34">
        <v>50</v>
      </c>
      <c r="AJ13" s="38"/>
      <c r="AK13" s="38"/>
      <c r="AL13" s="38"/>
      <c r="AM13" s="38">
        <f t="shared" si="2"/>
        <v>50</v>
      </c>
      <c r="AN13" s="38"/>
      <c r="AO13" s="38"/>
      <c r="AP13" s="38"/>
      <c r="AQ13" s="38"/>
      <c r="AR13" s="38">
        <f t="shared" si="3"/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>+AR13+AS13+AU13+AW13+AY13+AZ13</f>
        <v>0</v>
      </c>
      <c r="BB13" s="34"/>
      <c r="BC13" s="500"/>
      <c r="BD13" s="500"/>
      <c r="BE13" s="34"/>
      <c r="BF13" s="500"/>
    </row>
    <row r="14" spans="1:58" ht="12.95" customHeight="1">
      <c r="A14" s="41"/>
      <c r="B14" s="42"/>
      <c r="C14" s="411"/>
      <c r="D14" s="42"/>
      <c r="E14" s="43"/>
      <c r="F14" s="43"/>
      <c r="G14" s="44"/>
      <c r="H14" s="45"/>
      <c r="I14" s="46"/>
      <c r="J14" s="86"/>
      <c r="K14" s="86"/>
      <c r="L14" s="36"/>
      <c r="M14" s="36"/>
      <c r="N14" s="47"/>
      <c r="O14" s="48"/>
      <c r="P14" s="49"/>
      <c r="Q14" s="35"/>
      <c r="R14" s="497"/>
      <c r="S14" s="497"/>
      <c r="T14" s="38"/>
      <c r="U14" s="38"/>
      <c r="V14" s="38"/>
      <c r="W14" s="38"/>
      <c r="X14" s="39"/>
      <c r="Y14" s="216"/>
      <c r="Z14" s="38"/>
      <c r="AA14" s="38"/>
      <c r="AB14" s="38"/>
      <c r="AC14" s="38"/>
      <c r="AD14" s="38">
        <f>+AM14+BA14</f>
        <v>0</v>
      </c>
      <c r="AE14" s="238" t="s">
        <v>380</v>
      </c>
      <c r="AF14" s="38"/>
      <c r="AG14" s="38"/>
      <c r="AH14" s="38"/>
      <c r="AI14" s="499">
        <v>0</v>
      </c>
      <c r="AJ14" s="38"/>
      <c r="AK14" s="38"/>
      <c r="AL14" s="38"/>
      <c r="AM14" s="38">
        <f t="shared" si="2"/>
        <v>0</v>
      </c>
      <c r="AN14" s="38"/>
      <c r="AO14" s="38"/>
      <c r="AP14" s="38"/>
      <c r="AQ14" s="38"/>
      <c r="AR14" s="38">
        <f t="shared" si="3"/>
        <v>0</v>
      </c>
      <c r="AS14" s="38"/>
      <c r="AT14" s="38"/>
      <c r="AU14" s="38"/>
      <c r="AV14" s="38"/>
      <c r="AW14" s="38"/>
      <c r="AX14" s="38"/>
      <c r="AY14" s="38"/>
      <c r="AZ14" s="38"/>
      <c r="BA14" s="38">
        <f>+AR14+AS14+AU14+AW14+AY14+AZ14</f>
        <v>0</v>
      </c>
      <c r="BB14" s="51"/>
      <c r="BC14" s="52"/>
      <c r="BD14" s="52"/>
      <c r="BE14" s="51"/>
      <c r="BF14" s="52"/>
    </row>
    <row r="15" spans="1:58" ht="12.95" customHeight="1">
      <c r="A15" s="41"/>
      <c r="B15" s="42"/>
      <c r="C15" s="411"/>
      <c r="D15" s="42"/>
      <c r="E15" s="43"/>
      <c r="F15" s="43"/>
      <c r="G15" s="44"/>
      <c r="H15" s="45"/>
      <c r="I15" s="46"/>
      <c r="J15" s="86"/>
      <c r="K15" s="86"/>
      <c r="L15" s="36"/>
      <c r="M15" s="36"/>
      <c r="N15" s="47"/>
      <c r="O15" s="48"/>
      <c r="P15" s="49"/>
      <c r="Q15" s="35"/>
      <c r="R15" s="497"/>
      <c r="S15" s="497"/>
      <c r="T15" s="38"/>
      <c r="U15" s="38"/>
      <c r="V15" s="38"/>
      <c r="W15" s="38"/>
      <c r="X15" s="39"/>
      <c r="Y15" s="216"/>
      <c r="Z15" s="38"/>
      <c r="AA15" s="38"/>
      <c r="AB15" s="38"/>
      <c r="AC15" s="38"/>
      <c r="AD15" s="38"/>
      <c r="AE15" s="238"/>
      <c r="AF15" s="38"/>
      <c r="AG15" s="38"/>
      <c r="AH15" s="38"/>
      <c r="AI15" s="499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51"/>
      <c r="BC15" s="52"/>
      <c r="BD15" s="52"/>
      <c r="BE15" s="51"/>
      <c r="BF15" s="52"/>
    </row>
    <row r="16" spans="1:58" ht="12.75" customHeight="1">
      <c r="A16" s="41">
        <v>45872</v>
      </c>
      <c r="B16" s="42" t="s">
        <v>409</v>
      </c>
      <c r="C16" s="411">
        <f>(M16*E16*O16*Q16)/100000000</f>
        <v>47.69292527999999</v>
      </c>
      <c r="D16" s="42" t="s">
        <v>304</v>
      </c>
      <c r="E16" s="43">
        <v>13</v>
      </c>
      <c r="F16" s="43">
        <v>1</v>
      </c>
      <c r="G16" s="496">
        <v>1230</v>
      </c>
      <c r="H16" s="45">
        <v>0.23</v>
      </c>
      <c r="I16" s="46">
        <v>0.88</v>
      </c>
      <c r="J16" s="86">
        <f>E16*G16*(1-H16)*1440/1000000*2.74</f>
        <v>48.579410880000005</v>
      </c>
      <c r="K16" s="86">
        <f>(IF(G16&lt;L16,L16,G16)*(1-IF(H16&lt;N16,H16,N16))*E16*O16*Q16)/100000000</f>
        <v>47.69292527999999</v>
      </c>
      <c r="L16" s="36">
        <v>1230</v>
      </c>
      <c r="M16" s="36">
        <v>947.0999999999998</v>
      </c>
      <c r="N16" s="47">
        <f>1-(M16/L16)</f>
        <v>0.2300000000000002</v>
      </c>
      <c r="O16" s="48">
        <f>+'Trim Rwd'!H8</f>
        <v>269</v>
      </c>
      <c r="P16" s="49">
        <f>O16*(Q16-R16-S16)</f>
        <v>260123</v>
      </c>
      <c r="Q16" s="48">
        <v>1440</v>
      </c>
      <c r="R16" s="497">
        <f>473-54</f>
        <v>419</v>
      </c>
      <c r="S16" s="497">
        <v>54</v>
      </c>
      <c r="T16" s="38">
        <f>E16*M16*O16*Q16/100000000</f>
        <v>47.69292527999999</v>
      </c>
      <c r="U16" s="38">
        <f>E16*M16*O16*(Q16-R16-S16)/100000000</f>
        <v>32.027124128999994</v>
      </c>
      <c r="V16" s="38">
        <f>E16*G16*(1-N16)*O16/100*(R16+S16)/1000000</f>
        <v>15.665801150999997</v>
      </c>
      <c r="W16" s="38">
        <f>+'3'!K7/1000</f>
        <v>29.978999999999999</v>
      </c>
      <c r="X16" s="498">
        <f>SUM(W16:W20)/SUM(K16:K20)</f>
        <v>0.62858379568870104</v>
      </c>
      <c r="Y16" s="216">
        <v>0</v>
      </c>
      <c r="Z16" s="38">
        <f>+'1'!D17/1000</f>
        <v>0</v>
      </c>
      <c r="AA16" s="50">
        <f>SUM(U16:U20)-SUM(W16:W20)-SUM(Z16:Z20)-SUM(Y16:Y20)</f>
        <v>2.0481241289999943</v>
      </c>
      <c r="AB16" s="50">
        <f>(SUM(K16:K20)-SUM(W16:W20)-SUM(Y16:Y20)-SUM(Z16:Z20)-SUM(AC16:AC20)-SUM(V16:V20))-AA16</f>
        <v>0</v>
      </c>
      <c r="AC16" s="38">
        <f>K16-T16</f>
        <v>0</v>
      </c>
      <c r="AD16" s="38">
        <f t="shared" ref="AD16:AD21" si="4">+AM16+BA16</f>
        <v>25</v>
      </c>
      <c r="AE16" s="235" t="s">
        <v>433</v>
      </c>
      <c r="AF16" s="38">
        <v>25</v>
      </c>
      <c r="AG16" s="38"/>
      <c r="AH16" s="38"/>
      <c r="AI16" s="499"/>
      <c r="AJ16" s="38"/>
      <c r="AK16" s="38"/>
      <c r="AL16" s="38"/>
      <c r="AM16" s="38">
        <f t="shared" ref="AM16:AM19" si="5">SUM(AF16:AL16)+AT16+AV16+AX16</f>
        <v>25</v>
      </c>
      <c r="AN16" s="38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 t="shared" ref="BA16:BA21" si="6">+AR16+AS16+AU16+AW16+AY16+AZ16</f>
        <v>0</v>
      </c>
      <c r="BB16" s="34">
        <v>5</v>
      </c>
      <c r="BC16" s="52"/>
      <c r="BD16" s="52"/>
      <c r="BE16" s="34"/>
      <c r="BF16" s="52"/>
    </row>
    <row r="17" spans="1:58" ht="12.95" customHeight="1">
      <c r="A17" s="41"/>
      <c r="B17" s="42"/>
      <c r="C17" s="411"/>
      <c r="D17" s="42"/>
      <c r="E17" s="43"/>
      <c r="F17" s="43"/>
      <c r="G17" s="496"/>
      <c r="H17" s="45"/>
      <c r="I17" s="46"/>
      <c r="J17" s="86"/>
      <c r="K17" s="86"/>
      <c r="L17" s="36"/>
      <c r="M17" s="36"/>
      <c r="N17" s="47"/>
      <c r="O17" s="48"/>
      <c r="P17" s="49"/>
      <c r="Q17" s="48"/>
      <c r="R17" s="497"/>
      <c r="S17" s="497"/>
      <c r="T17" s="38"/>
      <c r="U17" s="38"/>
      <c r="V17" s="38"/>
      <c r="W17" s="38"/>
      <c r="X17" s="39"/>
      <c r="Y17" s="216"/>
      <c r="Z17" s="38"/>
      <c r="AA17" s="38"/>
      <c r="AB17" s="38"/>
      <c r="AC17" s="38"/>
      <c r="AD17" s="38">
        <f t="shared" si="4"/>
        <v>0</v>
      </c>
      <c r="AE17" s="235" t="s">
        <v>286</v>
      </c>
      <c r="AF17" s="38"/>
      <c r="AG17" s="38">
        <v>0</v>
      </c>
      <c r="AH17" s="38"/>
      <c r="AI17" s="499"/>
      <c r="AJ17" s="38"/>
      <c r="AK17" s="38"/>
      <c r="AL17" s="38"/>
      <c r="AM17" s="38">
        <f t="shared" si="5"/>
        <v>0</v>
      </c>
      <c r="AN17" s="87"/>
      <c r="AO17" s="38"/>
      <c r="AP17" s="38"/>
      <c r="AQ17" s="38"/>
      <c r="AR17" s="38">
        <f t="shared" ref="AR17:AR21" si="7"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 t="shared" si="6"/>
        <v>0</v>
      </c>
      <c r="BB17" s="51"/>
      <c r="BC17" s="52">
        <v>0</v>
      </c>
      <c r="BD17" s="52"/>
      <c r="BE17" s="51"/>
      <c r="BF17" s="52"/>
    </row>
    <row r="18" spans="1:58" ht="12.95" customHeight="1">
      <c r="A18" s="41"/>
      <c r="B18" s="42"/>
      <c r="C18" s="411"/>
      <c r="D18" s="42"/>
      <c r="E18" s="43"/>
      <c r="F18" s="43"/>
      <c r="G18" s="44"/>
      <c r="H18" s="45"/>
      <c r="I18" s="46"/>
      <c r="J18" s="86"/>
      <c r="K18" s="86"/>
      <c r="L18" s="36"/>
      <c r="M18" s="36"/>
      <c r="N18" s="47"/>
      <c r="O18" s="48"/>
      <c r="P18" s="49"/>
      <c r="Q18" s="48"/>
      <c r="R18" s="497"/>
      <c r="S18" s="497"/>
      <c r="T18" s="38"/>
      <c r="U18" s="38"/>
      <c r="V18" s="38"/>
      <c r="W18" s="38"/>
      <c r="X18" s="39"/>
      <c r="Y18" s="216"/>
      <c r="Z18" s="38"/>
      <c r="AA18" s="38"/>
      <c r="AB18" s="38"/>
      <c r="AC18" s="38"/>
      <c r="AD18" s="38">
        <f t="shared" si="4"/>
        <v>29</v>
      </c>
      <c r="AE18" s="235" t="s">
        <v>441</v>
      </c>
      <c r="AF18" s="34"/>
      <c r="AG18" s="34"/>
      <c r="AH18" s="34">
        <v>29</v>
      </c>
      <c r="AJ18" s="38"/>
      <c r="AK18" s="38"/>
      <c r="AL18" s="38"/>
      <c r="AM18" s="38">
        <f t="shared" si="5"/>
        <v>29</v>
      </c>
      <c r="AN18" s="38"/>
      <c r="AO18" s="38"/>
      <c r="AP18" s="38"/>
      <c r="AQ18" s="38"/>
      <c r="AR18" s="38">
        <f t="shared" si="7"/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 t="shared" si="6"/>
        <v>0</v>
      </c>
      <c r="BB18" s="34"/>
      <c r="BC18" s="500"/>
      <c r="BD18" s="500"/>
      <c r="BE18" s="34"/>
      <c r="BF18" s="500"/>
    </row>
    <row r="19" spans="1:58" ht="12.95" customHeight="1">
      <c r="A19" s="41"/>
      <c r="B19" s="42"/>
      <c r="C19" s="411"/>
      <c r="D19" s="42"/>
      <c r="E19" s="43"/>
      <c r="F19" s="43"/>
      <c r="G19" s="44"/>
      <c r="H19" s="45"/>
      <c r="I19" s="46"/>
      <c r="J19" s="86"/>
      <c r="K19" s="86"/>
      <c r="L19" s="36"/>
      <c r="M19" s="36"/>
      <c r="N19" s="47"/>
      <c r="O19" s="48"/>
      <c r="P19" s="49"/>
      <c r="Q19" s="35"/>
      <c r="R19" s="497"/>
      <c r="S19" s="497"/>
      <c r="T19" s="38"/>
      <c r="U19" s="38"/>
      <c r="V19" s="38"/>
      <c r="W19" s="38"/>
      <c r="X19" s="39"/>
      <c r="Y19" s="216"/>
      <c r="Z19" s="38"/>
      <c r="AA19" s="38"/>
      <c r="AB19" s="38"/>
      <c r="AC19" s="38"/>
      <c r="AD19" s="38">
        <f t="shared" si="4"/>
        <v>60</v>
      </c>
      <c r="AE19" s="238" t="s">
        <v>439</v>
      </c>
      <c r="AF19" s="38"/>
      <c r="AG19" s="38"/>
      <c r="AH19" s="38"/>
      <c r="AI19" s="499">
        <v>0</v>
      </c>
      <c r="AJ19" s="38"/>
      <c r="AK19" s="38"/>
      <c r="AL19" s="38"/>
      <c r="AM19" s="38">
        <f t="shared" si="5"/>
        <v>0</v>
      </c>
      <c r="AN19" s="38">
        <v>60</v>
      </c>
      <c r="AO19" s="38"/>
      <c r="AP19" s="38"/>
      <c r="AQ19" s="38"/>
      <c r="AR19" s="38">
        <f t="shared" si="7"/>
        <v>60</v>
      </c>
      <c r="AS19" s="38"/>
      <c r="AT19" s="38"/>
      <c r="AU19" s="38"/>
      <c r="AV19" s="38"/>
      <c r="AW19" s="38"/>
      <c r="AX19" s="38"/>
      <c r="AY19" s="38"/>
      <c r="AZ19" s="38"/>
      <c r="BA19" s="38">
        <f t="shared" si="6"/>
        <v>60</v>
      </c>
      <c r="BB19" s="51"/>
      <c r="BC19" s="52"/>
      <c r="BD19" s="52"/>
      <c r="BE19" s="51"/>
      <c r="BF19" s="52"/>
    </row>
    <row r="20" spans="1:58" ht="12.95" customHeight="1">
      <c r="A20" s="41"/>
      <c r="B20" s="42"/>
      <c r="C20" s="411"/>
      <c r="D20" s="42"/>
      <c r="E20" s="43"/>
      <c r="F20" s="43"/>
      <c r="G20" s="496"/>
      <c r="H20" s="45"/>
      <c r="I20" s="46"/>
      <c r="J20" s="86"/>
      <c r="K20" s="86"/>
      <c r="L20" s="36"/>
      <c r="M20" s="36"/>
      <c r="N20" s="47"/>
      <c r="O20" s="48"/>
      <c r="P20" s="49"/>
      <c r="Q20" s="48"/>
      <c r="R20" s="497"/>
      <c r="S20" s="497"/>
      <c r="T20" s="38"/>
      <c r="U20" s="38"/>
      <c r="V20" s="38"/>
      <c r="W20" s="38"/>
      <c r="X20" s="39"/>
      <c r="Y20" s="216"/>
      <c r="Z20" s="38"/>
      <c r="AA20" s="38"/>
      <c r="AB20" s="38"/>
      <c r="AC20" s="38"/>
      <c r="AD20" s="38">
        <f t="shared" si="4"/>
        <v>60</v>
      </c>
      <c r="AE20" s="238" t="s">
        <v>440</v>
      </c>
      <c r="AF20" s="34"/>
      <c r="AG20" s="34"/>
      <c r="AH20" s="34"/>
      <c r="AJ20" s="38"/>
      <c r="AK20" s="38"/>
      <c r="AL20" s="38"/>
      <c r="AM20" s="38"/>
      <c r="AN20" s="38"/>
      <c r="AO20" s="38"/>
      <c r="AP20" s="38">
        <v>60</v>
      </c>
      <c r="AQ20" s="38"/>
      <c r="AR20" s="38">
        <f t="shared" si="7"/>
        <v>60</v>
      </c>
      <c r="AS20" s="38"/>
      <c r="AT20" s="38"/>
      <c r="AU20" s="38"/>
      <c r="AV20" s="38"/>
      <c r="AW20" s="38"/>
      <c r="AX20" s="38"/>
      <c r="AY20" s="38"/>
      <c r="AZ20" s="38"/>
      <c r="BA20" s="38">
        <f t="shared" si="6"/>
        <v>60</v>
      </c>
      <c r="BB20" s="34"/>
      <c r="BC20" s="500"/>
      <c r="BD20" s="500"/>
      <c r="BE20" s="34"/>
      <c r="BF20" s="500"/>
    </row>
    <row r="21" spans="1:58" ht="12.95" customHeight="1">
      <c r="A21" s="41"/>
      <c r="B21" s="42"/>
      <c r="C21" s="411"/>
      <c r="D21" s="42"/>
      <c r="E21" s="43"/>
      <c r="F21" s="43"/>
      <c r="G21" s="44"/>
      <c r="H21" s="45"/>
      <c r="I21" s="46"/>
      <c r="J21" s="86"/>
      <c r="K21" s="86"/>
      <c r="L21" s="36"/>
      <c r="M21" s="36"/>
      <c r="N21" s="47"/>
      <c r="O21" s="48"/>
      <c r="P21" s="49"/>
      <c r="Q21" s="35"/>
      <c r="R21" s="497"/>
      <c r="S21" s="497"/>
      <c r="T21" s="38"/>
      <c r="U21" s="38"/>
      <c r="V21" s="38"/>
      <c r="W21" s="38"/>
      <c r="X21" s="39"/>
      <c r="Y21" s="216"/>
      <c r="Z21" s="38"/>
      <c r="AA21" s="38"/>
      <c r="AB21" s="38"/>
      <c r="AC21" s="38"/>
      <c r="AD21" s="38">
        <f t="shared" si="4"/>
        <v>299</v>
      </c>
      <c r="AE21" s="238" t="s">
        <v>440</v>
      </c>
      <c r="AF21" s="38"/>
      <c r="AG21" s="38"/>
      <c r="AH21" s="38"/>
      <c r="AI21" s="499"/>
      <c r="AJ21" s="38"/>
      <c r="AK21" s="38"/>
      <c r="AL21" s="38"/>
      <c r="AM21" s="38"/>
      <c r="AN21" s="38"/>
      <c r="AO21" s="38">
        <v>299</v>
      </c>
      <c r="AP21" s="38"/>
      <c r="AQ21" s="38"/>
      <c r="AR21" s="38">
        <f t="shared" si="7"/>
        <v>299</v>
      </c>
      <c r="AS21" s="38"/>
      <c r="AT21" s="38"/>
      <c r="AU21" s="38"/>
      <c r="AV21" s="38"/>
      <c r="AW21" s="38"/>
      <c r="AX21" s="38"/>
      <c r="AY21" s="38"/>
      <c r="AZ21" s="38"/>
      <c r="BA21" s="38">
        <f t="shared" si="6"/>
        <v>299</v>
      </c>
      <c r="BB21" s="51"/>
      <c r="BC21" s="52"/>
      <c r="BD21" s="52"/>
      <c r="BE21" s="34"/>
      <c r="BF21" s="52"/>
    </row>
    <row r="22" spans="1:58" ht="12" customHeight="1">
      <c r="A22" s="41"/>
      <c r="B22" s="42"/>
      <c r="C22" s="411"/>
      <c r="D22" s="42"/>
      <c r="E22" s="43"/>
      <c r="F22" s="43"/>
      <c r="G22" s="496"/>
      <c r="H22" s="45"/>
      <c r="I22" s="46"/>
      <c r="J22" s="86"/>
      <c r="K22" s="86"/>
      <c r="L22" s="36"/>
      <c r="M22" s="36"/>
      <c r="N22" s="47"/>
      <c r="O22" s="48"/>
      <c r="P22" s="49"/>
      <c r="Q22" s="48"/>
      <c r="R22" s="497"/>
      <c r="S22" s="497"/>
      <c r="T22" s="38"/>
      <c r="U22" s="38"/>
      <c r="V22" s="38"/>
      <c r="W22" s="38"/>
      <c r="X22" s="39"/>
      <c r="Y22" s="216"/>
      <c r="Z22" s="38"/>
      <c r="AA22" s="38"/>
      <c r="AB22" s="38"/>
      <c r="AC22" s="38"/>
      <c r="AD22" s="38"/>
      <c r="AE22" s="238"/>
      <c r="AF22" s="38"/>
      <c r="AG22" s="38"/>
      <c r="AH22" s="38"/>
      <c r="AI22" s="499"/>
      <c r="AJ22" s="38"/>
      <c r="AK22" s="38"/>
      <c r="AL22" s="38"/>
      <c r="AM22" s="38"/>
      <c r="AN22" s="87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51"/>
      <c r="BC22" s="52"/>
      <c r="BD22" s="52"/>
      <c r="BE22" s="34"/>
      <c r="BF22" s="52"/>
    </row>
    <row r="23" spans="1:58" ht="12.75" customHeight="1">
      <c r="A23" s="41">
        <v>45873</v>
      </c>
      <c r="B23" s="42" t="s">
        <v>409</v>
      </c>
      <c r="C23" s="411">
        <f>(M23*E23*O23*Q23)/100000000</f>
        <v>47.472932506999996</v>
      </c>
      <c r="D23" s="42" t="s">
        <v>304</v>
      </c>
      <c r="E23" s="43">
        <v>13</v>
      </c>
      <c r="F23" s="43">
        <v>1</v>
      </c>
      <c r="G23" s="496">
        <v>1230</v>
      </c>
      <c r="H23" s="45">
        <v>0.23</v>
      </c>
      <c r="I23" s="46">
        <v>0.88</v>
      </c>
      <c r="J23" s="86">
        <f>E23*G23*(1-H23)*1440/1000000*2.74</f>
        <v>48.579410880000005</v>
      </c>
      <c r="K23" s="86">
        <f>(IF(G23&lt;L23,L23,G23)*(1-IF(H23&lt;N23,H23,N23))*E23*O23*Q23)/100000000</f>
        <v>47.692925279999997</v>
      </c>
      <c r="L23" s="36">
        <v>1224.3263888888889</v>
      </c>
      <c r="M23" s="36">
        <v>942.73131944444447</v>
      </c>
      <c r="N23" s="47">
        <f>1-(M23/L23)</f>
        <v>0.22999999999999998</v>
      </c>
      <c r="O23" s="48">
        <f>+'Trim Rwd'!H10</f>
        <v>269</v>
      </c>
      <c r="P23" s="49">
        <f>O23*(Q23-R23-S23)</f>
        <v>372296</v>
      </c>
      <c r="Q23" s="48">
        <v>1440</v>
      </c>
      <c r="R23" s="497">
        <v>0</v>
      </c>
      <c r="S23" s="497">
        <v>56</v>
      </c>
      <c r="T23" s="38">
        <f>E23*M23*O23*Q23/100000000</f>
        <v>47.472932506999996</v>
      </c>
      <c r="U23" s="38">
        <f>E23*M23*O23*(Q23-R23-S23)/100000000</f>
        <v>45.626762909505558</v>
      </c>
      <c r="V23" s="38">
        <f>E23*G23*(1-N23)*O23/100*(R23+S23)/1000000</f>
        <v>1.854724872</v>
      </c>
      <c r="W23" s="38">
        <f>+'4'!K7/1000</f>
        <v>44.225000000000001</v>
      </c>
      <c r="X23" s="498">
        <f>SUM(W23:W27)/SUM(K23:K27)</f>
        <v>0.92728637927658697</v>
      </c>
      <c r="Y23" s="216">
        <v>0</v>
      </c>
      <c r="Z23" s="38">
        <f>+'2'!D19/1000</f>
        <v>0</v>
      </c>
      <c r="AA23" s="50">
        <f>SUM(U23:U27)-SUM(W23:W27)-SUM(Z23:Z27)-SUM(Y23:Y27)</f>
        <v>1.4017629095055568</v>
      </c>
      <c r="AB23" s="50">
        <f>(SUM(K23:K27)-SUM(W23:W27)-SUM(Y23:Y27)-SUM(Z23:Z27)-SUM(AC23:AC27)-SUM(V23:V27))-AA23</f>
        <v>-8.5552745055623713E-3</v>
      </c>
      <c r="AC23" s="38">
        <f>K23-T23</f>
        <v>0.21999277300000131</v>
      </c>
      <c r="AD23" s="38">
        <f>+AM23+BA23</f>
        <v>0</v>
      </c>
      <c r="AE23" s="235" t="s">
        <v>436</v>
      </c>
      <c r="AF23" s="38">
        <v>0</v>
      </c>
      <c r="AG23" s="38"/>
      <c r="AH23" s="38"/>
      <c r="AI23" s="499"/>
      <c r="AJ23" s="38"/>
      <c r="AK23" s="38"/>
      <c r="AL23" s="38"/>
      <c r="AM23" s="38">
        <f t="shared" ref="AM23:AM26" si="8">SUM(AF23:AL23)+AT23+AV23+AX23</f>
        <v>0</v>
      </c>
      <c r="AN23" s="38"/>
      <c r="AO23" s="38"/>
      <c r="AP23" s="38"/>
      <c r="AQ23" s="38"/>
      <c r="AR23" s="38">
        <f>SUM(AN23:AQ23)</f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0</v>
      </c>
      <c r="BB23" s="34">
        <v>6</v>
      </c>
      <c r="BC23" s="52"/>
      <c r="BD23" s="52"/>
      <c r="BE23" s="34"/>
      <c r="BF23" s="52"/>
    </row>
    <row r="24" spans="1:58" ht="12.95" customHeight="1">
      <c r="A24" s="41"/>
      <c r="B24" s="42"/>
      <c r="C24" s="411"/>
      <c r="D24" s="42"/>
      <c r="E24" s="43"/>
      <c r="F24" s="43"/>
      <c r="G24" s="496"/>
      <c r="H24" s="45"/>
      <c r="I24" s="46"/>
      <c r="J24" s="86"/>
      <c r="K24" s="86"/>
      <c r="L24" s="36"/>
      <c r="M24" s="36"/>
      <c r="N24" s="47"/>
      <c r="O24" s="48"/>
      <c r="P24" s="49"/>
      <c r="Q24" s="48"/>
      <c r="R24" s="497"/>
      <c r="S24" s="497"/>
      <c r="T24" s="38"/>
      <c r="U24" s="38"/>
      <c r="V24" s="38"/>
      <c r="W24" s="38"/>
      <c r="X24" s="39"/>
      <c r="Y24" s="216"/>
      <c r="Z24" s="38"/>
      <c r="AA24" s="38"/>
      <c r="AB24" s="38"/>
      <c r="AC24" s="38"/>
      <c r="AD24" s="38">
        <f>+AM24+BA24</f>
        <v>0</v>
      </c>
      <c r="AE24" s="235" t="s">
        <v>437</v>
      </c>
      <c r="AF24" s="38"/>
      <c r="AG24" s="38">
        <v>0</v>
      </c>
      <c r="AH24" s="38"/>
      <c r="AI24" s="499"/>
      <c r="AJ24" s="38"/>
      <c r="AK24" s="38"/>
      <c r="AL24" s="38"/>
      <c r="AM24" s="38">
        <f t="shared" si="8"/>
        <v>0</v>
      </c>
      <c r="AN24" s="87"/>
      <c r="AO24" s="38"/>
      <c r="AP24" s="38"/>
      <c r="AQ24" s="38"/>
      <c r="AR24" s="38">
        <f t="shared" ref="AR24:AR26" si="9">SUM(AN24:AQ24)</f>
        <v>0</v>
      </c>
      <c r="AS24" s="38"/>
      <c r="AT24" s="38"/>
      <c r="AU24" s="38"/>
      <c r="AV24" s="38"/>
      <c r="AW24" s="38"/>
      <c r="AX24" s="38"/>
      <c r="AY24" s="38"/>
      <c r="AZ24" s="38"/>
      <c r="BA24" s="38">
        <f>+AR24+AS24+AU24+AW24+AY24+AZ24</f>
        <v>0</v>
      </c>
      <c r="BB24" s="51"/>
      <c r="BC24" s="52">
        <v>7</v>
      </c>
      <c r="BD24" s="52"/>
      <c r="BE24" s="51"/>
      <c r="BF24" s="52"/>
    </row>
    <row r="25" spans="1:58" ht="12.95" customHeight="1">
      <c r="A25" s="41"/>
      <c r="B25" s="42"/>
      <c r="C25" s="411"/>
      <c r="D25" s="42"/>
      <c r="E25" s="43"/>
      <c r="F25" s="43"/>
      <c r="G25" s="44"/>
      <c r="H25" s="45"/>
      <c r="I25" s="46"/>
      <c r="J25" s="86"/>
      <c r="K25" s="86"/>
      <c r="L25" s="36"/>
      <c r="M25" s="36"/>
      <c r="N25" s="47"/>
      <c r="O25" s="48"/>
      <c r="P25" s="49"/>
      <c r="Q25" s="48"/>
      <c r="R25" s="497"/>
      <c r="S25" s="497"/>
      <c r="T25" s="38"/>
      <c r="U25" s="38"/>
      <c r="V25" s="38"/>
      <c r="W25" s="38"/>
      <c r="X25" s="39"/>
      <c r="Y25" s="216"/>
      <c r="Z25" s="38"/>
      <c r="AA25" s="38"/>
      <c r="AB25" s="38"/>
      <c r="AC25" s="38"/>
      <c r="AD25" s="38">
        <f>+AM25+BA25</f>
        <v>56</v>
      </c>
      <c r="AE25" s="235" t="s">
        <v>452</v>
      </c>
      <c r="AF25" s="34"/>
      <c r="AG25" s="34"/>
      <c r="AH25" s="34">
        <v>56</v>
      </c>
      <c r="AJ25" s="38"/>
      <c r="AK25" s="38"/>
      <c r="AL25" s="38"/>
      <c r="AM25" s="38">
        <f t="shared" si="8"/>
        <v>56</v>
      </c>
      <c r="AN25" s="38"/>
      <c r="AO25" s="38"/>
      <c r="AP25" s="38"/>
      <c r="AQ25" s="38"/>
      <c r="AR25" s="38">
        <f t="shared" si="9"/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/>
      <c r="BC25" s="500"/>
      <c r="BD25" s="500"/>
      <c r="BE25" s="34"/>
      <c r="BF25" s="500"/>
    </row>
    <row r="26" spans="1:58" ht="12.95" customHeight="1">
      <c r="A26" s="41"/>
      <c r="B26" s="42"/>
      <c r="C26" s="411"/>
      <c r="D26" s="42"/>
      <c r="E26" s="43"/>
      <c r="F26" s="43"/>
      <c r="G26" s="44"/>
      <c r="H26" s="45"/>
      <c r="I26" s="46"/>
      <c r="J26" s="86"/>
      <c r="K26" s="86"/>
      <c r="L26" s="36"/>
      <c r="M26" s="36"/>
      <c r="N26" s="47"/>
      <c r="O26" s="48"/>
      <c r="P26" s="49"/>
      <c r="Q26" s="35"/>
      <c r="R26" s="497"/>
      <c r="S26" s="497"/>
      <c r="T26" s="38"/>
      <c r="U26" s="38"/>
      <c r="V26" s="38"/>
      <c r="W26" s="38"/>
      <c r="X26" s="39"/>
      <c r="Y26" s="216"/>
      <c r="Z26" s="38"/>
      <c r="AA26" s="38"/>
      <c r="AB26" s="38"/>
      <c r="AC26" s="38"/>
      <c r="AD26" s="38">
        <f>+AM26+BA26</f>
        <v>0</v>
      </c>
      <c r="AE26" s="238" t="s">
        <v>380</v>
      </c>
      <c r="AF26" s="38"/>
      <c r="AG26" s="38"/>
      <c r="AH26" s="38"/>
      <c r="AI26" s="499">
        <v>0</v>
      </c>
      <c r="AJ26" s="38"/>
      <c r="AK26" s="38"/>
      <c r="AL26" s="38"/>
      <c r="AM26" s="38">
        <f t="shared" si="8"/>
        <v>0</v>
      </c>
      <c r="AN26" s="38"/>
      <c r="AO26" s="38"/>
      <c r="AP26" s="38"/>
      <c r="AQ26" s="38"/>
      <c r="AR26" s="38">
        <f t="shared" si="9"/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+AR26+AS26+AU26+AW26+AY26+AZ26</f>
        <v>0</v>
      </c>
      <c r="BB26" s="51"/>
      <c r="BC26" s="52"/>
      <c r="BD26" s="52"/>
      <c r="BE26" s="51"/>
      <c r="BF26" s="52"/>
    </row>
    <row r="27" spans="1:58" ht="12.95" customHeight="1">
      <c r="A27" s="41"/>
      <c r="B27" s="42"/>
      <c r="C27" s="411"/>
      <c r="D27" s="42"/>
      <c r="E27" s="43"/>
      <c r="F27" s="43"/>
      <c r="G27" s="44"/>
      <c r="H27" s="45"/>
      <c r="I27" s="46"/>
      <c r="J27" s="86"/>
      <c r="K27" s="86"/>
      <c r="L27" s="36"/>
      <c r="M27" s="36"/>
      <c r="N27" s="47"/>
      <c r="O27" s="48"/>
      <c r="P27" s="49"/>
      <c r="Q27" s="48"/>
      <c r="R27" s="497"/>
      <c r="S27" s="497"/>
      <c r="T27" s="38"/>
      <c r="U27" s="38"/>
      <c r="V27" s="38"/>
      <c r="W27" s="38"/>
      <c r="X27" s="39"/>
      <c r="Y27" s="216"/>
      <c r="Z27" s="38"/>
      <c r="AA27" s="38"/>
      <c r="AB27" s="38"/>
      <c r="AC27" s="38"/>
      <c r="AD27" s="38"/>
      <c r="AE27" s="235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51"/>
      <c r="BC27" s="52"/>
      <c r="BD27" s="52"/>
      <c r="BE27" s="51"/>
      <c r="BF27" s="52"/>
    </row>
    <row r="28" spans="1:58" ht="12.75" customHeight="1">
      <c r="A28" s="41">
        <v>45874</v>
      </c>
      <c r="B28" s="42" t="s">
        <v>409</v>
      </c>
      <c r="C28" s="411">
        <f>(M28*E28*O28*Q28)/100000000</f>
        <v>47.69292527999999</v>
      </c>
      <c r="D28" s="42" t="s">
        <v>304</v>
      </c>
      <c r="E28" s="43">
        <v>13</v>
      </c>
      <c r="F28" s="43">
        <v>1</v>
      </c>
      <c r="G28" s="496">
        <v>1230</v>
      </c>
      <c r="H28" s="45">
        <v>0.23</v>
      </c>
      <c r="I28" s="46">
        <v>0.88</v>
      </c>
      <c r="J28" s="86">
        <f>E28*G28*(1-H28)*1440/1000000*2.74</f>
        <v>48.579410880000005</v>
      </c>
      <c r="K28" s="86">
        <f>(IF(G28&lt;L28,L28,G28)*(1-IF(H28&lt;N28,H28,N28))*E28*O28*Q28)/100000000</f>
        <v>47.69292527999999</v>
      </c>
      <c r="L28" s="36">
        <v>1230</v>
      </c>
      <c r="M28" s="36">
        <v>947.0999999999998</v>
      </c>
      <c r="N28" s="47">
        <f>1-(M28/L28)</f>
        <v>0.2300000000000002</v>
      </c>
      <c r="O28" s="48">
        <f>+'Trim Rwd'!H12</f>
        <v>269</v>
      </c>
      <c r="P28" s="49">
        <f>O28*(Q28-R28-S28)</f>
        <v>372834</v>
      </c>
      <c r="Q28" s="48">
        <v>1440</v>
      </c>
      <c r="R28" s="497">
        <v>0</v>
      </c>
      <c r="S28" s="497">
        <v>54</v>
      </c>
      <c r="T28" s="38">
        <f>E28*M28*O28*Q28/100000000</f>
        <v>47.69292527999999</v>
      </c>
      <c r="U28" s="38">
        <f>E28*M28*O28*(Q28-R28-S28)/100000000</f>
        <v>45.904440581999985</v>
      </c>
      <c r="V28" s="38">
        <f>E28*G28*(1-N28)*O28/100*(R28+S28)/1000000</f>
        <v>1.7884846979999995</v>
      </c>
      <c r="W28" s="38">
        <f>+'5'!K7/1000</f>
        <v>42.78</v>
      </c>
      <c r="X28" s="498">
        <f>SUM(W28:W32)/SUM(K28:K32)</f>
        <v>0.89698838452125262</v>
      </c>
      <c r="Y28" s="216">
        <v>0</v>
      </c>
      <c r="Z28" s="38">
        <f>+'5'!D34/1000</f>
        <v>1.26</v>
      </c>
      <c r="AA28" s="50">
        <f>SUM(U28:U32)-SUM(W28:W32)-SUM(Z28:Z32)-SUM(Y28:Y32)</f>
        <v>1.8644405819999841</v>
      </c>
      <c r="AB28" s="50">
        <f>(SUM(K28:K32)-SUM(W28:W32)-SUM(Y28:Y32)-SUM(Z28:Z32)-SUM(AC28:AC32)-SUM(V28:V32))-AA28</f>
        <v>5.5511151231257827E-15</v>
      </c>
      <c r="AC28" s="38">
        <f>K28-T28</f>
        <v>0</v>
      </c>
      <c r="AD28" s="38">
        <f>+AM28+BA28</f>
        <v>0</v>
      </c>
      <c r="AE28" s="235" t="s">
        <v>387</v>
      </c>
      <c r="AF28" s="38">
        <v>0</v>
      </c>
      <c r="AG28" s="38"/>
      <c r="AH28" s="38"/>
      <c r="AI28" s="499"/>
      <c r="AJ28" s="38"/>
      <c r="AK28" s="38"/>
      <c r="AL28" s="38"/>
      <c r="AM28" s="38">
        <f t="shared" ref="AM28:AM31" si="10">SUM(AF28:AL28)+AT28+AV28+AX28</f>
        <v>0</v>
      </c>
      <c r="AN28" s="38"/>
      <c r="AO28" s="38"/>
      <c r="AP28" s="38"/>
      <c r="AQ28" s="38"/>
      <c r="AR28" s="38">
        <f>SUM(AN28:AQ28)</f>
        <v>0</v>
      </c>
      <c r="AS28" s="38"/>
      <c r="AT28" s="38"/>
      <c r="AU28" s="38"/>
      <c r="AV28" s="38"/>
      <c r="AW28" s="38"/>
      <c r="AX28" s="38"/>
      <c r="AY28" s="38"/>
      <c r="AZ28" s="38"/>
      <c r="BA28" s="38">
        <f>+AR28+AS28+AU28+AW28+AY28+AZ28</f>
        <v>0</v>
      </c>
      <c r="BB28" s="34">
        <v>0</v>
      </c>
      <c r="BC28" s="52"/>
      <c r="BD28" s="52"/>
      <c r="BE28" s="34"/>
      <c r="BF28" s="52"/>
    </row>
    <row r="29" spans="1:58" ht="12.95" customHeight="1">
      <c r="A29" s="41"/>
      <c r="B29" s="42"/>
      <c r="C29" s="411"/>
      <c r="D29" s="42"/>
      <c r="E29" s="43"/>
      <c r="F29" s="43"/>
      <c r="G29" s="496"/>
      <c r="H29" s="45"/>
      <c r="I29" s="46"/>
      <c r="J29" s="86"/>
      <c r="K29" s="86"/>
      <c r="L29" s="36"/>
      <c r="M29" s="36"/>
      <c r="N29" s="47"/>
      <c r="O29" s="48"/>
      <c r="P29" s="49"/>
      <c r="Q29" s="48"/>
      <c r="R29" s="497"/>
      <c r="S29" s="497"/>
      <c r="T29" s="38"/>
      <c r="U29" s="38"/>
      <c r="V29" s="38"/>
      <c r="W29" s="38"/>
      <c r="X29" s="39"/>
      <c r="Y29" s="216"/>
      <c r="Z29" s="38"/>
      <c r="AA29" s="38"/>
      <c r="AB29" s="38"/>
      <c r="AC29" s="38"/>
      <c r="AD29" s="38">
        <f>+AM29+BA29</f>
        <v>6</v>
      </c>
      <c r="AE29" s="235" t="s">
        <v>388</v>
      </c>
      <c r="AF29" s="38"/>
      <c r="AG29" s="38">
        <v>6</v>
      </c>
      <c r="AH29" s="38"/>
      <c r="AI29" s="499"/>
      <c r="AJ29" s="38"/>
      <c r="AK29" s="38"/>
      <c r="AL29" s="38"/>
      <c r="AM29" s="38">
        <f t="shared" si="10"/>
        <v>6</v>
      </c>
      <c r="AN29" s="87"/>
      <c r="AO29" s="38"/>
      <c r="AP29" s="38"/>
      <c r="AQ29" s="38"/>
      <c r="AR29" s="38">
        <f t="shared" ref="AR29:AR31" si="11"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51"/>
      <c r="BC29" s="52">
        <v>3</v>
      </c>
      <c r="BD29" s="52"/>
      <c r="BE29" s="51"/>
      <c r="BF29" s="52"/>
    </row>
    <row r="30" spans="1:58" ht="12.95" customHeight="1">
      <c r="A30" s="41"/>
      <c r="B30" s="42"/>
      <c r="C30" s="411"/>
      <c r="D30" s="42"/>
      <c r="E30" s="43"/>
      <c r="F30" s="43"/>
      <c r="G30" s="44"/>
      <c r="H30" s="45"/>
      <c r="I30" s="46"/>
      <c r="J30" s="86"/>
      <c r="K30" s="86"/>
      <c r="L30" s="36"/>
      <c r="M30" s="36"/>
      <c r="N30" s="47"/>
      <c r="O30" s="48"/>
      <c r="P30" s="49"/>
      <c r="Q30" s="48"/>
      <c r="R30" s="497"/>
      <c r="S30" s="497"/>
      <c r="T30" s="38"/>
      <c r="U30" s="38"/>
      <c r="V30" s="38"/>
      <c r="W30" s="38"/>
      <c r="X30" s="39"/>
      <c r="Y30" s="216"/>
      <c r="Z30" s="38"/>
      <c r="AA30" s="38"/>
      <c r="AB30" s="38"/>
      <c r="AC30" s="38"/>
      <c r="AD30" s="38">
        <f>+AM30+BA30</f>
        <v>48</v>
      </c>
      <c r="AE30" s="235" t="s">
        <v>457</v>
      </c>
      <c r="AF30" s="34"/>
      <c r="AG30" s="34"/>
      <c r="AH30" s="34">
        <v>48</v>
      </c>
      <c r="AJ30" s="38"/>
      <c r="AK30" s="38"/>
      <c r="AL30" s="38"/>
      <c r="AM30" s="38">
        <f t="shared" si="10"/>
        <v>48</v>
      </c>
      <c r="AN30" s="38"/>
      <c r="AO30" s="38"/>
      <c r="AP30" s="38"/>
      <c r="AQ30" s="38"/>
      <c r="AR30" s="38">
        <f t="shared" si="11"/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34"/>
      <c r="BC30" s="500"/>
      <c r="BD30" s="500"/>
      <c r="BE30" s="34"/>
      <c r="BF30" s="500"/>
    </row>
    <row r="31" spans="1:58" ht="12.95" customHeight="1">
      <c r="A31" s="41"/>
      <c r="B31" s="42"/>
      <c r="C31" s="411"/>
      <c r="D31" s="42"/>
      <c r="E31" s="43"/>
      <c r="F31" s="43"/>
      <c r="G31" s="44"/>
      <c r="H31" s="45"/>
      <c r="I31" s="46"/>
      <c r="J31" s="86"/>
      <c r="K31" s="86"/>
      <c r="L31" s="36"/>
      <c r="M31" s="36"/>
      <c r="N31" s="47"/>
      <c r="O31" s="48"/>
      <c r="P31" s="49"/>
      <c r="Q31" s="35"/>
      <c r="R31" s="497"/>
      <c r="S31" s="497"/>
      <c r="T31" s="38"/>
      <c r="U31" s="38"/>
      <c r="V31" s="38"/>
      <c r="W31" s="38"/>
      <c r="X31" s="39"/>
      <c r="Y31" s="216"/>
      <c r="Z31" s="38"/>
      <c r="AA31" s="38"/>
      <c r="AB31" s="38"/>
      <c r="AC31" s="38"/>
      <c r="AD31" s="38">
        <f>+AM31+BA31</f>
        <v>0</v>
      </c>
      <c r="AE31" s="238" t="s">
        <v>380</v>
      </c>
      <c r="AF31" s="38"/>
      <c r="AG31" s="38"/>
      <c r="AH31" s="38"/>
      <c r="AI31" s="499">
        <v>0</v>
      </c>
      <c r="AJ31" s="38"/>
      <c r="AK31" s="38"/>
      <c r="AL31" s="38"/>
      <c r="AM31" s="38">
        <f t="shared" si="10"/>
        <v>0</v>
      </c>
      <c r="AN31" s="38"/>
      <c r="AO31" s="38"/>
      <c r="AP31" s="38"/>
      <c r="AQ31" s="38"/>
      <c r="AR31" s="38">
        <f t="shared" si="11"/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51"/>
      <c r="BC31" s="52"/>
      <c r="BD31" s="52"/>
      <c r="BE31" s="51"/>
      <c r="BF31" s="52"/>
    </row>
    <row r="32" spans="1:58" ht="12.95" customHeight="1">
      <c r="A32" s="41"/>
      <c r="B32" s="42"/>
      <c r="C32" s="411"/>
      <c r="D32" s="42"/>
      <c r="E32" s="43"/>
      <c r="F32" s="43"/>
      <c r="G32" s="44"/>
      <c r="H32" s="45"/>
      <c r="I32" s="46"/>
      <c r="J32" s="86"/>
      <c r="K32" s="86"/>
      <c r="L32" s="36"/>
      <c r="M32" s="36"/>
      <c r="N32" s="47"/>
      <c r="O32" s="48"/>
      <c r="P32" s="49"/>
      <c r="Q32" s="48"/>
      <c r="R32" s="497"/>
      <c r="S32" s="497"/>
      <c r="T32" s="38"/>
      <c r="U32" s="38"/>
      <c r="V32" s="38"/>
      <c r="W32" s="38"/>
      <c r="X32" s="39"/>
      <c r="Y32" s="216"/>
      <c r="Z32" s="38"/>
      <c r="AA32" s="38"/>
      <c r="AB32" s="38"/>
      <c r="AC32" s="38"/>
      <c r="AD32" s="38"/>
      <c r="AE32" s="235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51"/>
      <c r="BC32" s="52"/>
      <c r="BD32" s="52"/>
      <c r="BE32" s="52"/>
      <c r="BF32" s="52"/>
    </row>
    <row r="33" spans="1:58" ht="12.75" customHeight="1">
      <c r="A33" s="41">
        <v>45875</v>
      </c>
      <c r="B33" s="42" t="s">
        <v>409</v>
      </c>
      <c r="C33" s="411">
        <f>(M33*E33*O33*Q33)/100000000</f>
        <v>44.877717885000003</v>
      </c>
      <c r="D33" s="42" t="s">
        <v>304</v>
      </c>
      <c r="E33" s="43">
        <v>13</v>
      </c>
      <c r="F33" s="43">
        <v>1</v>
      </c>
      <c r="G33" s="496">
        <v>1230</v>
      </c>
      <c r="H33" s="45">
        <v>0.23</v>
      </c>
      <c r="I33" s="46">
        <v>0.88</v>
      </c>
      <c r="J33" s="86">
        <f>E33*G33*(1-H33)*1440/1000000*2.74</f>
        <v>48.579410880000005</v>
      </c>
      <c r="K33" s="86">
        <f>(IF(G33&lt;L33,L33,G33)*(1-IF(H33&lt;N33,H33,N33))*E33*O33*Q33)/100000000</f>
        <v>44.877717885000003</v>
      </c>
      <c r="L33" s="36">
        <v>1230</v>
      </c>
      <c r="M33" s="36">
        <v>947.09999999999991</v>
      </c>
      <c r="N33" s="47">
        <f>1-(M33/L33)</f>
        <v>0.23000000000000009</v>
      </c>
      <c r="O33" s="48">
        <f>+'Trim Rwd'!H14</f>
        <v>269</v>
      </c>
      <c r="P33" s="49">
        <f>O33*(Q33-R33-S33)</f>
        <v>356425</v>
      </c>
      <c r="Q33" s="48">
        <v>1355</v>
      </c>
      <c r="R33" s="497">
        <v>0</v>
      </c>
      <c r="S33" s="497">
        <v>30</v>
      </c>
      <c r="T33" s="38">
        <f>E33*M33*O33*Q33/100000000</f>
        <v>44.877717885000003</v>
      </c>
      <c r="U33" s="38">
        <f>E33*M33*O33*(Q33-R33-S33)/100000000</f>
        <v>43.884115274999999</v>
      </c>
      <c r="V33" s="38">
        <f>E33*G33*(1-N33)*O33/100*(R33+S33)/1000000</f>
        <v>0.99360260999999994</v>
      </c>
      <c r="W33" s="38">
        <f>+'6'!K7/1000</f>
        <v>42.75</v>
      </c>
      <c r="X33" s="498">
        <f>SUM(W33:W37)/SUM(K33:K37)</f>
        <v>0.89021991201295658</v>
      </c>
      <c r="Y33" s="216">
        <v>0</v>
      </c>
      <c r="Z33" s="38">
        <f>+'6'!D25/1000</f>
        <v>0.3</v>
      </c>
      <c r="AA33" s="50">
        <f>SUM(U33:U37)-SUM(W33:W37)-SUM(Z33:Z37)-SUM(Y33:Y37)</f>
        <v>3.2754352109999987</v>
      </c>
      <c r="AB33" s="50">
        <f>(SUM(K33:K37)-SUM(W33:W37)-SUM(Y33:Y37)-SUM(Z33:Z37)-SUM(AC33:AC37)-SUM(V33:V37))-AA33</f>
        <v>2.3823872000001245E-2</v>
      </c>
      <c r="AC33" s="38">
        <f>K33-T33</f>
        <v>0</v>
      </c>
      <c r="AD33" s="38">
        <f>+AM33+BA33</f>
        <v>12</v>
      </c>
      <c r="AE33" s="235" t="s">
        <v>436</v>
      </c>
      <c r="AF33" s="38">
        <v>12</v>
      </c>
      <c r="AG33" s="38"/>
      <c r="AH33" s="38"/>
      <c r="AI33" s="499"/>
      <c r="AJ33" s="38"/>
      <c r="AK33" s="38"/>
      <c r="AL33" s="38"/>
      <c r="AM33" s="38">
        <f t="shared" ref="AM33:AM36" si="12">SUM(AF33:AL33)+AT33+AV33+AX33</f>
        <v>12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6</v>
      </c>
      <c r="BC33" s="52"/>
      <c r="BD33" s="52"/>
      <c r="BE33" s="34"/>
      <c r="BF33" s="52"/>
    </row>
    <row r="34" spans="1:58" ht="12.95" customHeight="1">
      <c r="A34" s="41"/>
      <c r="B34" s="42" t="s">
        <v>409</v>
      </c>
      <c r="C34" s="411">
        <f>(M34*E34*O34*Q34)/100000000</f>
        <v>3.1441241600000001</v>
      </c>
      <c r="D34" s="42" t="s">
        <v>304</v>
      </c>
      <c r="E34" s="43">
        <v>15.5</v>
      </c>
      <c r="F34" s="43">
        <v>1</v>
      </c>
      <c r="G34" s="496">
        <v>1140</v>
      </c>
      <c r="H34" s="45">
        <v>0.21</v>
      </c>
      <c r="I34" s="46">
        <v>0.88</v>
      </c>
      <c r="J34" s="86">
        <f>E34*G34*(1-H34)*1440/1000000*2.74</f>
        <v>55.077814080000003</v>
      </c>
      <c r="K34" s="86">
        <f>(IF(G34&lt;L34,L34,G34)*(1-IF(H34&lt;N34,H34,N34))*E34*O34*Q34)/100000000</f>
        <v>3.1441241600000001</v>
      </c>
      <c r="L34" s="36">
        <v>1180</v>
      </c>
      <c r="M34" s="36">
        <v>932.2</v>
      </c>
      <c r="N34" s="47">
        <f>1-(M34/L34)</f>
        <v>0.20999999999999996</v>
      </c>
      <c r="O34" s="48">
        <f>+'Trim Rwd'!H15</f>
        <v>256</v>
      </c>
      <c r="P34" s="49">
        <f>O34*(Q34-R34-S34)</f>
        <v>16896</v>
      </c>
      <c r="Q34" s="48">
        <v>85</v>
      </c>
      <c r="R34" s="497">
        <v>0</v>
      </c>
      <c r="S34" s="497">
        <v>19</v>
      </c>
      <c r="T34" s="38">
        <f>E34*M34*O34*Q34/100000000</f>
        <v>3.1441241600000001</v>
      </c>
      <c r="U34" s="38">
        <f>E34*M34*O34*(Q34-R34-S34)/100000000</f>
        <v>2.4413199359999997</v>
      </c>
      <c r="V34" s="38">
        <f>E34*G34*(1-N34)*O34/100*(R34+S34)/1000000</f>
        <v>0.67898035200000006</v>
      </c>
      <c r="W34" s="38">
        <f>+'5'!K13/1000</f>
        <v>0</v>
      </c>
      <c r="X34" s="39"/>
      <c r="Y34" s="216"/>
      <c r="Z34" s="38"/>
      <c r="AA34" s="38"/>
      <c r="AB34" s="38"/>
      <c r="AC34" s="38"/>
      <c r="AD34" s="38">
        <f>+AM34+BA34</f>
        <v>0</v>
      </c>
      <c r="AE34" s="235" t="s">
        <v>388</v>
      </c>
      <c r="AF34" s="38"/>
      <c r="AG34" s="38">
        <v>0</v>
      </c>
      <c r="AH34" s="38"/>
      <c r="AI34" s="499"/>
      <c r="AJ34" s="38"/>
      <c r="AK34" s="38"/>
      <c r="AL34" s="38"/>
      <c r="AM34" s="38">
        <f t="shared" si="12"/>
        <v>0</v>
      </c>
      <c r="AN34" s="87"/>
      <c r="AO34" s="38"/>
      <c r="AP34" s="38"/>
      <c r="AQ34" s="38"/>
      <c r="AR34" s="38">
        <f t="shared" ref="AR34:AR36" si="13"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3</v>
      </c>
      <c r="BD34" s="52"/>
      <c r="BE34" s="51"/>
      <c r="BF34" s="52"/>
    </row>
    <row r="35" spans="1:58" ht="12.95" customHeight="1">
      <c r="A35" s="41"/>
      <c r="B35" s="42"/>
      <c r="C35" s="411"/>
      <c r="D35" s="42"/>
      <c r="E35" s="43"/>
      <c r="F35" s="43"/>
      <c r="G35" s="44"/>
      <c r="H35" s="45"/>
      <c r="I35" s="46"/>
      <c r="J35" s="86"/>
      <c r="K35" s="86"/>
      <c r="L35" s="36"/>
      <c r="M35" s="36"/>
      <c r="N35" s="47"/>
      <c r="O35" s="48"/>
      <c r="P35" s="49"/>
      <c r="Q35" s="48"/>
      <c r="R35" s="497"/>
      <c r="S35" s="497"/>
      <c r="T35" s="38"/>
      <c r="U35" s="38"/>
      <c r="V35" s="38"/>
      <c r="W35" s="38"/>
      <c r="X35" s="39"/>
      <c r="Y35" s="216"/>
      <c r="Z35" s="38"/>
      <c r="AA35" s="38"/>
      <c r="AB35" s="38"/>
      <c r="AC35" s="38"/>
      <c r="AD35" s="38">
        <f>+AM35+BA35</f>
        <v>37</v>
      </c>
      <c r="AE35" s="235" t="s">
        <v>438</v>
      </c>
      <c r="AF35" s="34"/>
      <c r="AG35" s="34"/>
      <c r="AH35" s="34">
        <v>37</v>
      </c>
      <c r="AJ35" s="38"/>
      <c r="AK35" s="38"/>
      <c r="AL35" s="38"/>
      <c r="AM35" s="38">
        <f t="shared" si="12"/>
        <v>37</v>
      </c>
      <c r="AN35" s="38"/>
      <c r="AO35" s="38"/>
      <c r="AP35" s="38"/>
      <c r="AQ35" s="38"/>
      <c r="AR35" s="38">
        <f t="shared" si="13"/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500"/>
      <c r="BD35" s="500"/>
      <c r="BE35" s="34"/>
      <c r="BF35" s="500"/>
    </row>
    <row r="36" spans="1:58" ht="12.95" customHeight="1">
      <c r="A36" s="41"/>
      <c r="B36" s="42"/>
      <c r="C36" s="411"/>
      <c r="D36" s="42"/>
      <c r="E36" s="43"/>
      <c r="F36" s="43"/>
      <c r="G36" s="44"/>
      <c r="H36" s="45"/>
      <c r="I36" s="46"/>
      <c r="J36" s="86"/>
      <c r="K36" s="86"/>
      <c r="L36" s="36"/>
      <c r="M36" s="36"/>
      <c r="N36" s="47"/>
      <c r="O36" s="48"/>
      <c r="P36" s="49"/>
      <c r="Q36" s="35"/>
      <c r="R36" s="497"/>
      <c r="S36" s="497"/>
      <c r="T36" s="38"/>
      <c r="U36" s="38"/>
      <c r="V36" s="38"/>
      <c r="W36" s="38"/>
      <c r="X36" s="39"/>
      <c r="Y36" s="216"/>
      <c r="Z36" s="38"/>
      <c r="AA36" s="38"/>
      <c r="AB36" s="38"/>
      <c r="AC36" s="38"/>
      <c r="AD36" s="38">
        <f>+AM36+BA36</f>
        <v>0</v>
      </c>
      <c r="AE36" s="238" t="s">
        <v>380</v>
      </c>
      <c r="AF36" s="38"/>
      <c r="AG36" s="38"/>
      <c r="AH36" s="38"/>
      <c r="AI36" s="499">
        <v>0</v>
      </c>
      <c r="AJ36" s="38"/>
      <c r="AK36" s="38"/>
      <c r="AL36" s="38"/>
      <c r="AM36" s="38">
        <f t="shared" si="12"/>
        <v>0</v>
      </c>
      <c r="AN36" s="38"/>
      <c r="AO36" s="38"/>
      <c r="AP36" s="38"/>
      <c r="AQ36" s="38"/>
      <c r="AR36" s="38">
        <f t="shared" si="13"/>
        <v>0</v>
      </c>
      <c r="AS36" s="38"/>
      <c r="AT36" s="38"/>
      <c r="AU36" s="38"/>
      <c r="AV36" s="38"/>
      <c r="AW36" s="38"/>
      <c r="AX36" s="38"/>
      <c r="AY36" s="38"/>
      <c r="AZ36" s="38"/>
      <c r="BA36" s="38">
        <f>+AR36+AS36+AU36+AW36+AY36+AZ36</f>
        <v>0</v>
      </c>
      <c r="BB36" s="51"/>
      <c r="BC36" s="52"/>
      <c r="BD36" s="52"/>
      <c r="BE36" s="51"/>
      <c r="BF36" s="52"/>
    </row>
    <row r="37" spans="1:58" ht="12.95" customHeight="1">
      <c r="A37" s="41"/>
      <c r="B37" s="42"/>
      <c r="C37" s="411"/>
      <c r="D37" s="42"/>
      <c r="E37" s="43"/>
      <c r="F37" s="43"/>
      <c r="G37" s="44"/>
      <c r="H37" s="45"/>
      <c r="I37" s="46"/>
      <c r="J37" s="86"/>
      <c r="K37" s="86"/>
      <c r="L37" s="36"/>
      <c r="M37" s="36"/>
      <c r="N37" s="47"/>
      <c r="O37" s="48"/>
      <c r="P37" s="49"/>
      <c r="Q37" s="48"/>
      <c r="R37" s="497"/>
      <c r="S37" s="497"/>
      <c r="T37" s="38"/>
      <c r="U37" s="38"/>
      <c r="V37" s="38"/>
      <c r="W37" s="38"/>
      <c r="X37" s="39"/>
      <c r="Y37" s="216"/>
      <c r="Z37" s="38"/>
      <c r="AA37" s="38"/>
      <c r="AB37" s="38"/>
      <c r="AC37" s="38"/>
      <c r="AD37" s="38"/>
      <c r="AE37" s="235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51"/>
      <c r="BC37" s="52"/>
      <c r="BD37" s="52"/>
      <c r="BE37" s="52"/>
      <c r="BF37" s="52"/>
    </row>
    <row r="38" spans="1:58" ht="12.75" customHeight="1">
      <c r="A38" s="41">
        <v>45876</v>
      </c>
      <c r="B38" s="42" t="s">
        <v>409</v>
      </c>
      <c r="C38" s="411">
        <f>(M38*E38*O38*Q38)/100000000</f>
        <v>53.114695680000011</v>
      </c>
      <c r="D38" s="42" t="s">
        <v>304</v>
      </c>
      <c r="E38" s="43">
        <v>15.5</v>
      </c>
      <c r="F38" s="43">
        <v>1</v>
      </c>
      <c r="G38" s="496">
        <v>1140</v>
      </c>
      <c r="H38" s="45">
        <v>0.21</v>
      </c>
      <c r="I38" s="46">
        <v>0.88</v>
      </c>
      <c r="J38" s="86">
        <f>E38*G38*(1-H38)*1440/1000000*2.74</f>
        <v>55.077814080000003</v>
      </c>
      <c r="K38" s="86">
        <f>(IF(G38&lt;L38,L38,G38)*(1-IF(H38&lt;N38,H38,N38))*E38*O38*Q38)/100000000</f>
        <v>53.114695680000011</v>
      </c>
      <c r="L38" s="36">
        <v>1176.6666666666667</v>
      </c>
      <c r="M38" s="36">
        <v>929.56666666666672</v>
      </c>
      <c r="N38" s="47">
        <f>1-(M38/L38)</f>
        <v>0.20999999999999996</v>
      </c>
      <c r="O38" s="48">
        <f>+'Trim Rwd'!H18</f>
        <v>256</v>
      </c>
      <c r="P38" s="49">
        <f>O38*(Q38-R38-S38)</f>
        <v>343808</v>
      </c>
      <c r="Q38" s="48">
        <v>1440</v>
      </c>
      <c r="R38" s="497">
        <v>0</v>
      </c>
      <c r="S38" s="497">
        <v>97</v>
      </c>
      <c r="T38" s="38">
        <f>E38*M38*O38*Q38/100000000</f>
        <v>53.114695680000011</v>
      </c>
      <c r="U38" s="38">
        <f>E38*M38*O38*(Q38-R38-S38)/100000000</f>
        <v>49.536830762666675</v>
      </c>
      <c r="V38" s="38">
        <f>E38*G38*(1-N38)*O38/100*(R38+S38)/1000000</f>
        <v>3.4663733760000008</v>
      </c>
      <c r="W38" s="38">
        <f>+'7'!K8/1000</f>
        <v>46.642000000000003</v>
      </c>
      <c r="X38" s="498">
        <f>SUM(W38:W42)/SUM(K38:K42)</f>
        <v>0.92251305166472508</v>
      </c>
      <c r="Y38" s="216">
        <v>0</v>
      </c>
      <c r="Z38" s="38">
        <f>+'5'!D44/1000</f>
        <v>0</v>
      </c>
      <c r="AA38" s="50">
        <f>SUM(U38:U42)-SUM(W38:W42)-SUM(Z38:Z42)-SUM(Y38:Y42)</f>
        <v>0.53783076266667251</v>
      </c>
      <c r="AB38" s="50">
        <f>(SUM(K38:K42)-SUM(W38:W42)-SUM(Y38:Y42)-SUM(Z38:Z42)-SUM(AC38:AC42)-SUM(V38:V42))-AA38</f>
        <v>0.1114915413333355</v>
      </c>
      <c r="AC38" s="38">
        <f>K38-T38</f>
        <v>0</v>
      </c>
      <c r="AD38" s="38">
        <f>+AM38+BA38</f>
        <v>34</v>
      </c>
      <c r="AE38" s="235" t="s">
        <v>474</v>
      </c>
      <c r="AF38" s="38">
        <v>34</v>
      </c>
      <c r="AG38" s="38"/>
      <c r="AH38" s="38"/>
      <c r="AI38" s="499"/>
      <c r="AJ38" s="38"/>
      <c r="AK38" s="38"/>
      <c r="AL38" s="38"/>
      <c r="AM38" s="38">
        <f t="shared" ref="AM38:AM41" si="14">SUM(AF38:AL38)+AT38+AV38+AX38</f>
        <v>34</v>
      </c>
      <c r="AN38" s="38"/>
      <c r="AO38" s="38"/>
      <c r="AP38" s="38"/>
      <c r="AQ38" s="38"/>
      <c r="AR38" s="38">
        <f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34">
        <v>13</v>
      </c>
      <c r="BC38" s="52"/>
      <c r="BD38" s="52"/>
      <c r="BE38" s="34"/>
      <c r="BF38" s="52"/>
    </row>
    <row r="39" spans="1:58" ht="12.95" customHeight="1">
      <c r="A39" s="41"/>
      <c r="B39" s="42" t="s">
        <v>409</v>
      </c>
      <c r="C39" s="411"/>
      <c r="D39" s="42"/>
      <c r="E39" s="43">
        <v>13</v>
      </c>
      <c r="F39" s="43"/>
      <c r="G39" s="496"/>
      <c r="H39" s="45"/>
      <c r="I39" s="46"/>
      <c r="J39" s="86"/>
      <c r="K39" s="86"/>
      <c r="L39" s="36"/>
      <c r="M39" s="36"/>
      <c r="N39" s="47"/>
      <c r="O39" s="48"/>
      <c r="P39" s="49"/>
      <c r="Q39" s="48"/>
      <c r="R39" s="497"/>
      <c r="S39" s="497"/>
      <c r="T39" s="38"/>
      <c r="U39" s="38"/>
      <c r="V39" s="38"/>
      <c r="W39" s="38">
        <f>+'7'!K7/1000</f>
        <v>2.3570000000000002</v>
      </c>
      <c r="X39" s="39"/>
      <c r="Y39" s="216"/>
      <c r="Z39" s="38"/>
      <c r="AA39" s="38"/>
      <c r="AB39" s="38"/>
      <c r="AC39" s="38"/>
      <c r="AD39" s="38">
        <f>+AM39+BA39</f>
        <v>0</v>
      </c>
      <c r="AE39" s="235" t="s">
        <v>286</v>
      </c>
      <c r="AF39" s="38"/>
      <c r="AG39" s="38">
        <v>0</v>
      </c>
      <c r="AH39" s="38"/>
      <c r="AI39" s="499"/>
      <c r="AJ39" s="38"/>
      <c r="AK39" s="38"/>
      <c r="AL39" s="38"/>
      <c r="AM39" s="38">
        <f t="shared" si="14"/>
        <v>0</v>
      </c>
      <c r="AN39" s="87"/>
      <c r="AO39" s="38"/>
      <c r="AP39" s="38"/>
      <c r="AQ39" s="38"/>
      <c r="AR39" s="38">
        <f t="shared" ref="AR39:AR41" si="15">SUM(AN39:AQ39)</f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51"/>
      <c r="BC39" s="52">
        <v>0</v>
      </c>
      <c r="BD39" s="52"/>
      <c r="BE39" s="51"/>
      <c r="BF39" s="52"/>
    </row>
    <row r="40" spans="1:58" ht="12.95" customHeight="1">
      <c r="A40" s="41"/>
      <c r="B40" s="42"/>
      <c r="C40" s="411"/>
      <c r="D40" s="42"/>
      <c r="E40" s="43"/>
      <c r="F40" s="43"/>
      <c r="G40" s="44"/>
      <c r="H40" s="45"/>
      <c r="I40" s="46"/>
      <c r="J40" s="86"/>
      <c r="K40" s="86"/>
      <c r="L40" s="36"/>
      <c r="M40" s="36"/>
      <c r="N40" s="47"/>
      <c r="O40" s="48"/>
      <c r="P40" s="49"/>
      <c r="Q40" s="48"/>
      <c r="R40" s="497"/>
      <c r="S40" s="497"/>
      <c r="T40" s="38"/>
      <c r="U40" s="38"/>
      <c r="V40" s="38"/>
      <c r="W40" s="38"/>
      <c r="X40" s="39"/>
      <c r="Y40" s="216"/>
      <c r="Z40" s="38"/>
      <c r="AA40" s="38"/>
      <c r="AB40" s="38"/>
      <c r="AC40" s="38"/>
      <c r="AD40" s="38">
        <f>+AM40+BA40</f>
        <v>63</v>
      </c>
      <c r="AE40" s="235" t="s">
        <v>438</v>
      </c>
      <c r="AF40" s="34"/>
      <c r="AG40" s="34"/>
      <c r="AH40" s="34">
        <v>63</v>
      </c>
      <c r="AJ40" s="38"/>
      <c r="AK40" s="38"/>
      <c r="AL40" s="38"/>
      <c r="AM40" s="38">
        <f t="shared" si="14"/>
        <v>63</v>
      </c>
      <c r="AN40" s="38"/>
      <c r="AO40" s="38"/>
      <c r="AP40" s="38"/>
      <c r="AQ40" s="38"/>
      <c r="AR40" s="38">
        <f t="shared" si="15"/>
        <v>0</v>
      </c>
      <c r="AS40" s="38"/>
      <c r="AT40" s="38"/>
      <c r="AU40" s="38"/>
      <c r="AV40" s="38"/>
      <c r="AW40" s="38"/>
      <c r="AX40" s="38"/>
      <c r="AY40" s="38"/>
      <c r="AZ40" s="38"/>
      <c r="BA40" s="38">
        <f>+AR40+AS40+AU40+AW40+AY40+AZ40</f>
        <v>0</v>
      </c>
      <c r="BB40" s="34"/>
      <c r="BC40" s="500"/>
      <c r="BD40" s="500"/>
      <c r="BE40" s="34"/>
      <c r="BF40" s="500"/>
    </row>
    <row r="41" spans="1:58" ht="12.95" customHeight="1">
      <c r="A41" s="41"/>
      <c r="B41" s="42"/>
      <c r="C41" s="411"/>
      <c r="D41" s="42"/>
      <c r="E41" s="43"/>
      <c r="F41" s="43"/>
      <c r="G41" s="44"/>
      <c r="H41" s="45"/>
      <c r="I41" s="46"/>
      <c r="J41" s="86"/>
      <c r="K41" s="86"/>
      <c r="L41" s="36"/>
      <c r="M41" s="36"/>
      <c r="N41" s="47"/>
      <c r="O41" s="48"/>
      <c r="P41" s="49"/>
      <c r="Q41" s="35"/>
      <c r="R41" s="497"/>
      <c r="S41" s="497"/>
      <c r="T41" s="38"/>
      <c r="U41" s="38"/>
      <c r="V41" s="38"/>
      <c r="W41" s="38"/>
      <c r="X41" s="39"/>
      <c r="Y41" s="216"/>
      <c r="Z41" s="38"/>
      <c r="AA41" s="38"/>
      <c r="AB41" s="38"/>
      <c r="AC41" s="38"/>
      <c r="AD41" s="38">
        <f>+AM41+BA41</f>
        <v>0</v>
      </c>
      <c r="AE41" s="238" t="s">
        <v>380</v>
      </c>
      <c r="AF41" s="38"/>
      <c r="AG41" s="38"/>
      <c r="AH41" s="38"/>
      <c r="AI41" s="499">
        <v>0</v>
      </c>
      <c r="AJ41" s="38"/>
      <c r="AK41" s="38"/>
      <c r="AL41" s="38"/>
      <c r="AM41" s="38">
        <f t="shared" si="14"/>
        <v>0</v>
      </c>
      <c r="AN41" s="38"/>
      <c r="AO41" s="38"/>
      <c r="AP41" s="38"/>
      <c r="AQ41" s="38"/>
      <c r="AR41" s="38">
        <f t="shared" si="15"/>
        <v>0</v>
      </c>
      <c r="AS41" s="38"/>
      <c r="AT41" s="38"/>
      <c r="AU41" s="38"/>
      <c r="AV41" s="38"/>
      <c r="AW41" s="38"/>
      <c r="AX41" s="38"/>
      <c r="AY41" s="38"/>
      <c r="AZ41" s="38"/>
      <c r="BA41" s="38">
        <f>+AR41+AS41+AU41+AW41+AY41+AZ41</f>
        <v>0</v>
      </c>
      <c r="BB41" s="51"/>
      <c r="BC41" s="52"/>
      <c r="BD41" s="52"/>
      <c r="BE41" s="51"/>
      <c r="BF41" s="52"/>
    </row>
    <row r="42" spans="1:58" ht="12.75" customHeight="1">
      <c r="A42" s="41"/>
      <c r="B42" s="42"/>
      <c r="C42" s="411"/>
      <c r="D42" s="42"/>
      <c r="E42" s="43"/>
      <c r="F42" s="43"/>
      <c r="G42" s="496"/>
      <c r="H42" s="45"/>
      <c r="I42" s="46"/>
      <c r="J42" s="86"/>
      <c r="K42" s="86"/>
      <c r="L42" s="36"/>
      <c r="M42" s="36"/>
      <c r="N42" s="47"/>
      <c r="O42" s="48"/>
      <c r="P42" s="49"/>
      <c r="Q42" s="48"/>
      <c r="R42" s="497"/>
      <c r="S42" s="497"/>
      <c r="T42" s="38"/>
      <c r="U42" s="38"/>
      <c r="V42" s="38"/>
      <c r="W42" s="38"/>
      <c r="X42" s="498"/>
      <c r="Y42" s="216"/>
      <c r="Z42" s="38"/>
      <c r="AA42" s="50"/>
      <c r="AB42" s="50"/>
      <c r="AC42" s="38"/>
      <c r="AD42" s="38"/>
      <c r="AE42" s="235"/>
      <c r="AF42" s="38"/>
      <c r="AG42" s="38"/>
      <c r="AH42" s="38"/>
      <c r="AI42" s="499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4"/>
      <c r="BC42" s="52"/>
      <c r="BD42" s="52"/>
      <c r="BE42" s="34"/>
      <c r="BF42" s="52"/>
    </row>
    <row r="43" spans="1:58" ht="12.75" customHeight="1">
      <c r="A43" s="41">
        <v>45877</v>
      </c>
      <c r="B43" s="42" t="s">
        <v>409</v>
      </c>
      <c r="C43" s="411">
        <f>(M43*E43*O43*Q43)/100000000</f>
        <v>31.153672704000002</v>
      </c>
      <c r="D43" s="42" t="s">
        <v>304</v>
      </c>
      <c r="E43" s="43">
        <v>15.5</v>
      </c>
      <c r="F43" s="43">
        <v>1</v>
      </c>
      <c r="G43" s="496">
        <v>1140</v>
      </c>
      <c r="H43" s="45">
        <v>0.21</v>
      </c>
      <c r="I43" s="46">
        <v>0.88</v>
      </c>
      <c r="J43" s="86">
        <f>E43*G43*(1-H43)*1440/1000000*2.74</f>
        <v>55.077814080000003</v>
      </c>
      <c r="K43" s="86">
        <f>(IF(G43&lt;L43,L43,G43)*(1-IF(H43&lt;N43,H43,N43))*E43*O43*Q43)/100000000</f>
        <v>31.962859008000002</v>
      </c>
      <c r="L43" s="36">
        <v>1160</v>
      </c>
      <c r="M43" s="36">
        <v>893.2</v>
      </c>
      <c r="N43" s="47">
        <f>1-(M43/L43)</f>
        <v>0.22999999999999998</v>
      </c>
      <c r="O43" s="48">
        <f>+'Trim Rwd'!H20</f>
        <v>256</v>
      </c>
      <c r="P43" s="49">
        <f>O43*(Q43-R43-S43)</f>
        <v>213504</v>
      </c>
      <c r="Q43" s="48">
        <v>879</v>
      </c>
      <c r="R43" s="497">
        <v>0</v>
      </c>
      <c r="S43" s="497">
        <v>45</v>
      </c>
      <c r="T43" s="38">
        <f>E43*M43*O43*Q43/100000000</f>
        <v>31.153672704000002</v>
      </c>
      <c r="U43" s="38">
        <f>E43*M43*O43*(Q43-R43-S43)/100000000</f>
        <v>29.558774784000001</v>
      </c>
      <c r="V43" s="38">
        <f>E43*G43*(1-N43)*O43/100*(R43+S43)/1000000</f>
        <v>1.5673996799999999</v>
      </c>
      <c r="W43" s="38">
        <f>+'8'!K8/1000</f>
        <v>33.052999999999997</v>
      </c>
      <c r="X43" s="498">
        <f>SUM(W43:W47)/SUM(K43:K47)</f>
        <v>0.82670870787697237</v>
      </c>
      <c r="Y43" s="216">
        <v>0</v>
      </c>
      <c r="Z43" s="38">
        <f>+'5'!D49/1000</f>
        <v>0</v>
      </c>
      <c r="AA43" s="50">
        <f>SUM(U43:U47)-SUM(W43:W47)-SUM(Z43:Z47)-SUM(Y43:Y47)</f>
        <v>3.6084672886989364</v>
      </c>
      <c r="AB43" s="50">
        <f>(SUM(K43:K47)-SUM(W43:W47)-SUM(Y43:Y47)-SUM(Z43:Z47)-SUM(AC43:AC47)-SUM(V43:V47))-AA43</f>
        <v>0.49351501280107213</v>
      </c>
      <c r="AC43" s="38">
        <f>K43-T43</f>
        <v>0.80918630400000069</v>
      </c>
      <c r="AD43" s="38">
        <f>+AM43+BA43</f>
        <v>34</v>
      </c>
      <c r="AE43" s="235" t="s">
        <v>474</v>
      </c>
      <c r="AF43" s="38">
        <v>34</v>
      </c>
      <c r="AG43" s="38"/>
      <c r="AH43" s="38"/>
      <c r="AI43" s="499"/>
      <c r="AJ43" s="38"/>
      <c r="AK43" s="38"/>
      <c r="AL43" s="38"/>
      <c r="AM43" s="38">
        <f t="shared" ref="AM43:AM46" si="16">SUM(AF43:AL43)+AT43+AV43+AX43</f>
        <v>34</v>
      </c>
      <c r="AN43" s="38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34">
        <v>13</v>
      </c>
      <c r="BC43" s="52"/>
      <c r="BD43" s="52"/>
      <c r="BE43" s="34"/>
      <c r="BF43" s="52"/>
    </row>
    <row r="44" spans="1:58" ht="12.95" customHeight="1">
      <c r="A44" s="41"/>
      <c r="B44" s="42" t="s">
        <v>409</v>
      </c>
      <c r="C44" s="411">
        <f t="shared" ref="C44:C45" si="17">(M44*E44*O44*Q44)/100000000</f>
        <v>13.97643192</v>
      </c>
      <c r="D44" s="42" t="s">
        <v>304</v>
      </c>
      <c r="E44" s="43">
        <v>19</v>
      </c>
      <c r="F44" s="43">
        <v>1</v>
      </c>
      <c r="G44" s="496">
        <v>930</v>
      </c>
      <c r="H44" s="45">
        <v>0.21</v>
      </c>
      <c r="I44" s="46">
        <v>0.88</v>
      </c>
      <c r="J44" s="86">
        <f t="shared" ref="J44:J45" si="18">E44*G44*(1-H44)*1440/1000000*2.74</f>
        <v>55.077814080000003</v>
      </c>
      <c r="K44" s="86">
        <f t="shared" ref="K44:K45" si="19">(IF(G44&lt;L44,L44,G44)*(1-IF(H44&lt;N44,H44,N44))*E44*O44*Q44)/100000000</f>
        <v>13.97643192</v>
      </c>
      <c r="L44" s="36">
        <v>951.09756097560978</v>
      </c>
      <c r="M44" s="36">
        <v>760.8780487804878</v>
      </c>
      <c r="N44" s="47">
        <f t="shared" ref="N44:N45" si="20">1-(M44/L44)</f>
        <v>0.20000000000000007</v>
      </c>
      <c r="O44" s="48">
        <f>+'Trim Rwd'!H21</f>
        <v>262</v>
      </c>
      <c r="P44" s="49">
        <f t="shared" ref="P44:P45" si="21">O44*(Q44-R44-S44)</f>
        <v>90128</v>
      </c>
      <c r="Q44" s="48">
        <v>369</v>
      </c>
      <c r="R44" s="497">
        <v>0</v>
      </c>
      <c r="S44" s="497">
        <v>25</v>
      </c>
      <c r="T44" s="38">
        <f t="shared" ref="T44:T45" si="22">E44*M44*O44*Q44/100000000</f>
        <v>13.97643192</v>
      </c>
      <c r="U44" s="38">
        <f t="shared" ref="U44:U45" si="23">E44*M44*O44*(Q44-R44-S44)/100000000</f>
        <v>13.029519188292682</v>
      </c>
      <c r="V44" s="38">
        <f t="shared" ref="V44:V45" si="24">E44*G44*(1-N44)*O44/100*(R44+S44)/1000000</f>
        <v>0.92590799999999973</v>
      </c>
      <c r="W44" s="38">
        <f>+'8'!K9/1000</f>
        <v>7.6289999999999996</v>
      </c>
      <c r="X44" s="39"/>
      <c r="Y44" s="216"/>
      <c r="Z44" s="38">
        <f>+'8'!D26/1000</f>
        <v>1.23</v>
      </c>
      <c r="AA44" s="38"/>
      <c r="AB44" s="38"/>
      <c r="AC44" s="38"/>
      <c r="AD44" s="38">
        <f>+AM44+BA44</f>
        <v>0</v>
      </c>
      <c r="AE44" s="235" t="s">
        <v>286</v>
      </c>
      <c r="AF44" s="38"/>
      <c r="AG44" s="38">
        <v>0</v>
      </c>
      <c r="AH44" s="38"/>
      <c r="AI44" s="499"/>
      <c r="AJ44" s="38"/>
      <c r="AK44" s="38"/>
      <c r="AL44" s="38"/>
      <c r="AM44" s="38">
        <f t="shared" si="16"/>
        <v>0</v>
      </c>
      <c r="AN44" s="87"/>
      <c r="AO44" s="38"/>
      <c r="AP44" s="38"/>
      <c r="AQ44" s="38"/>
      <c r="AR44" s="38">
        <f t="shared" ref="AR44:AR46" si="25">SUM(AN44:AQ44)</f>
        <v>0</v>
      </c>
      <c r="AS44" s="38"/>
      <c r="AT44" s="38"/>
      <c r="AU44" s="38"/>
      <c r="AV44" s="38"/>
      <c r="AW44" s="38"/>
      <c r="AX44" s="38"/>
      <c r="AY44" s="38"/>
      <c r="AZ44" s="38"/>
      <c r="BA44" s="38">
        <f>+AR44+AS44+AU44+AW44+AY44+AZ44</f>
        <v>0</v>
      </c>
      <c r="BB44" s="51"/>
      <c r="BC44" s="52">
        <v>0</v>
      </c>
      <c r="BD44" s="52"/>
      <c r="BE44" s="51"/>
      <c r="BF44" s="52"/>
    </row>
    <row r="45" spans="1:58" ht="12.95" customHeight="1">
      <c r="A45" s="41"/>
      <c r="B45" s="42" t="s">
        <v>490</v>
      </c>
      <c r="C45" s="411">
        <f t="shared" si="17"/>
        <v>6.5292727500000023</v>
      </c>
      <c r="D45" s="42" t="s">
        <v>304</v>
      </c>
      <c r="E45" s="43">
        <v>15</v>
      </c>
      <c r="F45" s="43">
        <v>1</v>
      </c>
      <c r="G45" s="496">
        <v>1230</v>
      </c>
      <c r="H45" s="45">
        <v>0.22</v>
      </c>
      <c r="I45" s="46">
        <v>0.88</v>
      </c>
      <c r="J45" s="86">
        <f t="shared" si="18"/>
        <v>56.781129600000007</v>
      </c>
      <c r="K45" s="86">
        <f t="shared" si="19"/>
        <v>7.0043875199999999</v>
      </c>
      <c r="L45" s="36">
        <v>1161.4583333333333</v>
      </c>
      <c r="M45" s="36">
        <v>894.32291666666686</v>
      </c>
      <c r="N45" s="47">
        <f t="shared" si="20"/>
        <v>0.22999999999999976</v>
      </c>
      <c r="O45" s="48">
        <f>+'Trim Rwd'!H22</f>
        <v>253.5</v>
      </c>
      <c r="P45" s="49">
        <f t="shared" si="21"/>
        <v>44869.5</v>
      </c>
      <c r="Q45" s="48">
        <v>192</v>
      </c>
      <c r="R45" s="497">
        <v>0</v>
      </c>
      <c r="S45" s="497">
        <v>15</v>
      </c>
      <c r="T45" s="38">
        <f t="shared" si="22"/>
        <v>6.5292727500000023</v>
      </c>
      <c r="U45" s="38">
        <f t="shared" si="23"/>
        <v>6.0191733164062509</v>
      </c>
      <c r="V45" s="38">
        <f t="shared" si="24"/>
        <v>0.54020216250000008</v>
      </c>
      <c r="W45" s="38">
        <f>+'8'!K10/1000</f>
        <v>3.0870000000000002</v>
      </c>
      <c r="X45" s="39"/>
      <c r="Y45" s="216"/>
      <c r="Z45" s="38"/>
      <c r="AA45" s="38"/>
      <c r="AB45" s="38"/>
      <c r="AC45" s="38"/>
      <c r="AD45" s="38">
        <f>+AM45+BA45</f>
        <v>51</v>
      </c>
      <c r="AE45" s="235" t="s">
        <v>491</v>
      </c>
      <c r="AF45" s="34"/>
      <c r="AG45" s="34"/>
      <c r="AH45" s="34">
        <v>51</v>
      </c>
      <c r="AJ45" s="38"/>
      <c r="AK45" s="38"/>
      <c r="AL45" s="38"/>
      <c r="AM45" s="38">
        <f t="shared" si="16"/>
        <v>51</v>
      </c>
      <c r="AN45" s="38"/>
      <c r="AO45" s="38"/>
      <c r="AP45" s="38"/>
      <c r="AQ45" s="38"/>
      <c r="AR45" s="38">
        <f t="shared" si="25"/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>+AR45+AS45+AU45+AW45+AY45+AZ45</f>
        <v>0</v>
      </c>
      <c r="BB45" s="34"/>
      <c r="BC45" s="500"/>
      <c r="BD45" s="500"/>
      <c r="BE45" s="34"/>
      <c r="BF45" s="500"/>
    </row>
    <row r="46" spans="1:58" ht="12.95" customHeight="1">
      <c r="A46" s="41"/>
      <c r="B46" s="42"/>
      <c r="C46" s="411"/>
      <c r="D46" s="42"/>
      <c r="E46" s="43"/>
      <c r="F46" s="43"/>
      <c r="G46" s="44"/>
      <c r="H46" s="45"/>
      <c r="I46" s="46"/>
      <c r="J46" s="86"/>
      <c r="K46" s="86"/>
      <c r="L46" s="36"/>
      <c r="M46" s="36"/>
      <c r="N46" s="47"/>
      <c r="O46" s="48"/>
      <c r="P46" s="49"/>
      <c r="Q46" s="35"/>
      <c r="R46" s="497"/>
      <c r="S46" s="497"/>
      <c r="T46" s="38"/>
      <c r="U46" s="38"/>
      <c r="V46" s="38"/>
      <c r="W46" s="38"/>
      <c r="X46" s="39"/>
      <c r="Y46" s="216"/>
      <c r="Z46" s="38"/>
      <c r="AA46" s="38"/>
      <c r="AB46" s="38"/>
      <c r="AC46" s="38"/>
      <c r="AD46" s="38">
        <f>+AM46+BA46</f>
        <v>0</v>
      </c>
      <c r="AE46" s="238" t="s">
        <v>380</v>
      </c>
      <c r="AF46" s="38"/>
      <c r="AG46" s="38"/>
      <c r="AH46" s="38"/>
      <c r="AI46" s="499">
        <v>0</v>
      </c>
      <c r="AJ46" s="38"/>
      <c r="AK46" s="38"/>
      <c r="AL46" s="38"/>
      <c r="AM46" s="38">
        <f t="shared" si="16"/>
        <v>0</v>
      </c>
      <c r="AN46" s="38"/>
      <c r="AO46" s="38"/>
      <c r="AP46" s="38"/>
      <c r="AQ46" s="38"/>
      <c r="AR46" s="38">
        <f t="shared" si="25"/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51"/>
      <c r="BC46" s="52"/>
      <c r="BD46" s="52"/>
      <c r="BE46" s="51"/>
      <c r="BF46" s="52"/>
    </row>
    <row r="47" spans="1:58" ht="12" customHeight="1">
      <c r="A47" s="41"/>
      <c r="B47" s="42"/>
      <c r="C47" s="411"/>
      <c r="D47" s="42"/>
      <c r="E47" s="43"/>
      <c r="F47" s="43"/>
      <c r="G47" s="44"/>
      <c r="H47" s="45"/>
      <c r="I47" s="46"/>
      <c r="J47" s="86"/>
      <c r="K47" s="86"/>
      <c r="L47" s="36"/>
      <c r="M47" s="36"/>
      <c r="N47" s="47"/>
      <c r="O47" s="48"/>
      <c r="P47" s="49"/>
      <c r="Q47" s="35"/>
      <c r="R47" s="497"/>
      <c r="S47" s="497"/>
      <c r="T47" s="38"/>
      <c r="U47" s="38"/>
      <c r="V47" s="38"/>
      <c r="W47" s="38"/>
      <c r="X47" s="39"/>
      <c r="Y47" s="216"/>
      <c r="Z47" s="38"/>
      <c r="AA47" s="38"/>
      <c r="AB47" s="38"/>
      <c r="AC47" s="38"/>
      <c r="AD47" s="38"/>
      <c r="AE47" s="238"/>
      <c r="AF47" s="38"/>
      <c r="AG47" s="38"/>
      <c r="AH47" s="38"/>
      <c r="AI47" s="499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51"/>
      <c r="BC47" s="52"/>
      <c r="BD47" s="52"/>
      <c r="BE47" s="52"/>
      <c r="BF47" s="52"/>
    </row>
    <row r="48" spans="1:58" ht="12.75" customHeight="1">
      <c r="A48" s="41">
        <v>45878</v>
      </c>
      <c r="B48" s="42" t="s">
        <v>490</v>
      </c>
      <c r="C48" s="411">
        <f t="shared" ref="C48" si="26">(M48*E48*O48*Q48)/100000000</f>
        <v>5.7147620400000001</v>
      </c>
      <c r="D48" s="42" t="s">
        <v>304</v>
      </c>
      <c r="E48" s="43">
        <v>15</v>
      </c>
      <c r="F48" s="43">
        <v>1</v>
      </c>
      <c r="G48" s="496">
        <v>1195</v>
      </c>
      <c r="H48" s="45">
        <v>0.22</v>
      </c>
      <c r="I48" s="46">
        <v>0.88</v>
      </c>
      <c r="J48" s="86">
        <f t="shared" ref="J48" si="27">E48*G48*(1-H48)*1440/1000000*2.74</f>
        <v>55.165406400000002</v>
      </c>
      <c r="K48" s="86">
        <f t="shared" ref="K48" si="28">(IF(G48&lt;L48,L48,G48)*(1-IF(H48&lt;N48,H48,N48))*E48*O48*Q48)/100000000</f>
        <v>5.8871902050000013</v>
      </c>
      <c r="L48" s="36">
        <v>1160</v>
      </c>
      <c r="M48" s="36">
        <v>916.4</v>
      </c>
      <c r="N48" s="47">
        <f t="shared" ref="N48" si="29">1-(M48/L48)</f>
        <v>0.20999999999999996</v>
      </c>
      <c r="O48" s="48">
        <f>+'Trim Rwd'!H25</f>
        <v>253.5</v>
      </c>
      <c r="P48" s="49">
        <f t="shared" ref="P48" si="30">O48*(Q48-R48-S48)</f>
        <v>37771.5</v>
      </c>
      <c r="Q48" s="48">
        <v>164</v>
      </c>
      <c r="R48" s="497">
        <v>0</v>
      </c>
      <c r="S48" s="497">
        <v>15</v>
      </c>
      <c r="T48" s="38">
        <f t="shared" ref="T48" si="31">E48*M48*O48*Q48/100000000</f>
        <v>5.7147620400000001</v>
      </c>
      <c r="U48" s="38">
        <f t="shared" ref="U48" si="32">E48*M48*O48*(Q48-R48-S48)/100000000</f>
        <v>5.1920703899999996</v>
      </c>
      <c r="V48" s="38">
        <f t="shared" ref="V48" si="33">E48*G48*(1-N48)*O48/100*(R48+S48)/1000000</f>
        <v>0.53846251875000006</v>
      </c>
      <c r="W48" s="38">
        <f>+'9'!K10/1000</f>
        <v>7.2930000000000001</v>
      </c>
      <c r="X48" s="498">
        <f>SUM(W48:W53)/SUM(K48:K53)</f>
        <v>0.95697160394552683</v>
      </c>
      <c r="Y48" s="216">
        <v>0</v>
      </c>
      <c r="Z48" s="38">
        <f>+'5'!D54/1000</f>
        <v>0</v>
      </c>
      <c r="AA48" s="50">
        <f>SUM(U48:U53)-SUM(W48:W53)-SUM(Z48:Z53)-SUM(Y48:Y53)</f>
        <v>-1.9939979985131282</v>
      </c>
      <c r="AB48" s="50">
        <f>(SUM(K48:K53)-SUM(W48:W53)-SUM(Y48:Y53)-SUM(Z48:Z53)-SUM(AC48:AC53)-SUM(V48:V53))-AA48</f>
        <v>0.59346192176312229</v>
      </c>
      <c r="AC48" s="38">
        <f>K48-T48</f>
        <v>0.17242816500000124</v>
      </c>
      <c r="AD48" s="38">
        <f>+AM48+BA48</f>
        <v>24</v>
      </c>
      <c r="AE48" s="235" t="s">
        <v>511</v>
      </c>
      <c r="AF48" s="38">
        <v>24</v>
      </c>
      <c r="AG48" s="38"/>
      <c r="AH48" s="38"/>
      <c r="AI48" s="499"/>
      <c r="AJ48" s="38"/>
      <c r="AK48" s="38"/>
      <c r="AL48" s="38"/>
      <c r="AM48" s="38">
        <f t="shared" ref="AM48:AM51" si="34">SUM(AF48:AL48)+AT48+AV48+AX48</f>
        <v>24</v>
      </c>
      <c r="AN48" s="38"/>
      <c r="AO48" s="38"/>
      <c r="AP48" s="38"/>
      <c r="AQ48" s="38"/>
      <c r="AR48" s="38">
        <f>SUM(AN48:AQ48)</f>
        <v>0</v>
      </c>
      <c r="AS48" s="38"/>
      <c r="AT48" s="38"/>
      <c r="AU48" s="38"/>
      <c r="AV48" s="38"/>
      <c r="AW48" s="38"/>
      <c r="AX48" s="38"/>
      <c r="AY48" s="38"/>
      <c r="AZ48" s="38"/>
      <c r="BA48" s="38">
        <f>+AR48+AS48+AU48+AW48+AY48+AZ48</f>
        <v>0</v>
      </c>
      <c r="BB48" s="34">
        <v>8</v>
      </c>
      <c r="BC48" s="52"/>
      <c r="BD48" s="52"/>
      <c r="BE48" s="34"/>
      <c r="BF48" s="52"/>
    </row>
    <row r="49" spans="1:58" ht="12.95" customHeight="1">
      <c r="A49" s="41"/>
      <c r="B49" s="42" t="s">
        <v>490</v>
      </c>
      <c r="C49" s="411">
        <f t="shared" ref="C49:C50" si="35">(M49*E49*O49*Q49)/100000000</f>
        <v>14.075588835</v>
      </c>
      <c r="D49" s="42" t="s">
        <v>304</v>
      </c>
      <c r="E49" s="43">
        <v>13.5</v>
      </c>
      <c r="F49" s="43">
        <v>1</v>
      </c>
      <c r="G49" s="496">
        <v>1230</v>
      </c>
      <c r="H49" s="45">
        <v>0.22</v>
      </c>
      <c r="I49" s="46">
        <v>0.88</v>
      </c>
      <c r="J49" s="86">
        <f t="shared" ref="J49:J50" si="36">E49*G49*(1-H49)*1440/1000000*2.74</f>
        <v>51.10301664</v>
      </c>
      <c r="K49" s="86">
        <f t="shared" ref="K49:K50" si="37">(IF(G49&lt;L49,L49,G49)*(1-IF(H49&lt;N49,H49,N49))*E49*O49*Q49)/100000000</f>
        <v>14.435410625999999</v>
      </c>
      <c r="L49" s="36">
        <v>1214.9164677804297</v>
      </c>
      <c r="M49" s="36">
        <v>935.48568019093079</v>
      </c>
      <c r="N49" s="47">
        <f t="shared" ref="N49:N50" si="38">1-(M49/L49)</f>
        <v>0.23000000000000009</v>
      </c>
      <c r="O49" s="48">
        <f>+'Trim Rwd'!H24</f>
        <v>266</v>
      </c>
      <c r="P49" s="49">
        <f t="shared" ref="P49:P50" si="39">O49*(Q49-R49-S49)</f>
        <v>106134</v>
      </c>
      <c r="Q49" s="48">
        <v>419</v>
      </c>
      <c r="R49" s="497">
        <v>0</v>
      </c>
      <c r="S49" s="497">
        <v>20</v>
      </c>
      <c r="T49" s="38">
        <f t="shared" ref="T49:T50" si="40">E49*M49*O49*Q49/100000000</f>
        <v>14.075588835</v>
      </c>
      <c r="U49" s="38">
        <f t="shared" ref="U49:U50" si="41">E49*M49*O49*(Q49-R49-S49)/100000000</f>
        <v>13.403723019486874</v>
      </c>
      <c r="V49" s="38">
        <f t="shared" ref="V49:V50" si="42">E49*G49*(1-N49)*O49/100*(R49+S49)/1000000</f>
        <v>0.68020722</v>
      </c>
      <c r="W49" s="38">
        <f>+'9'!K11/1000</f>
        <v>10.451000000000001</v>
      </c>
      <c r="X49" s="39"/>
      <c r="Y49" s="216"/>
      <c r="Z49" s="38">
        <f>+'8'!D31/1000</f>
        <v>0</v>
      </c>
      <c r="AA49" s="38"/>
      <c r="AB49" s="38"/>
      <c r="AC49" s="38"/>
      <c r="AD49" s="38">
        <f>+AM49+BA49</f>
        <v>12</v>
      </c>
      <c r="AE49" s="235" t="s">
        <v>512</v>
      </c>
      <c r="AF49" s="38"/>
      <c r="AG49" s="38">
        <v>12</v>
      </c>
      <c r="AH49" s="38"/>
      <c r="AI49" s="499"/>
      <c r="AJ49" s="38"/>
      <c r="AK49" s="38"/>
      <c r="AL49" s="38"/>
      <c r="AM49" s="38">
        <f t="shared" si="34"/>
        <v>12</v>
      </c>
      <c r="AN49" s="87"/>
      <c r="AO49" s="38"/>
      <c r="AP49" s="38"/>
      <c r="AQ49" s="38"/>
      <c r="AR49" s="38">
        <f t="shared" ref="AR49:AR51" si="43">SUM(AN49:AQ49)</f>
        <v>0</v>
      </c>
      <c r="AS49" s="38"/>
      <c r="AT49" s="38"/>
      <c r="AU49" s="38"/>
      <c r="AV49" s="38"/>
      <c r="AW49" s="38"/>
      <c r="AX49" s="38"/>
      <c r="AY49" s="38"/>
      <c r="AZ49" s="38"/>
      <c r="BA49" s="38">
        <f>+AR49+AS49+AU49+AW49+AY49+AZ49</f>
        <v>0</v>
      </c>
      <c r="BB49" s="51"/>
      <c r="BC49" s="52">
        <v>8</v>
      </c>
      <c r="BD49" s="52"/>
      <c r="BE49" s="51"/>
      <c r="BF49" s="52"/>
    </row>
    <row r="50" spans="1:58" ht="12.95" customHeight="1">
      <c r="A50" s="41"/>
      <c r="B50" s="42" t="s">
        <v>490</v>
      </c>
      <c r="C50" s="411">
        <f t="shared" si="35"/>
        <v>9.7945913519999994</v>
      </c>
      <c r="D50" s="42" t="s">
        <v>304</v>
      </c>
      <c r="E50" s="43">
        <v>13</v>
      </c>
      <c r="F50" s="43">
        <v>1</v>
      </c>
      <c r="G50" s="496">
        <v>1230</v>
      </c>
      <c r="H50" s="45">
        <v>0.22</v>
      </c>
      <c r="I50" s="46">
        <v>0.88</v>
      </c>
      <c r="J50" s="86">
        <f t="shared" si="36"/>
        <v>49.210312320000007</v>
      </c>
      <c r="K50" s="86">
        <f t="shared" si="37"/>
        <v>10.052343755999999</v>
      </c>
      <c r="L50" s="36">
        <v>1230</v>
      </c>
      <c r="M50" s="36">
        <v>934.8</v>
      </c>
      <c r="N50" s="47">
        <f t="shared" si="38"/>
        <v>0.24</v>
      </c>
      <c r="O50" s="48">
        <f>+'Trim Rwd'!H27</f>
        <v>266</v>
      </c>
      <c r="P50" s="49">
        <f t="shared" si="39"/>
        <v>76608</v>
      </c>
      <c r="Q50" s="48">
        <v>303</v>
      </c>
      <c r="R50" s="497">
        <v>0</v>
      </c>
      <c r="S50" s="497">
        <v>15</v>
      </c>
      <c r="T50" s="38">
        <f t="shared" si="40"/>
        <v>9.7945913519999994</v>
      </c>
      <c r="U50" s="38">
        <f t="shared" si="41"/>
        <v>9.3097105920000001</v>
      </c>
      <c r="V50" s="38">
        <f t="shared" si="42"/>
        <v>0.48488075999999997</v>
      </c>
      <c r="W50" s="38">
        <f>+'9'!K12/1000</f>
        <v>10.606</v>
      </c>
      <c r="X50" s="39"/>
      <c r="Y50" s="216"/>
      <c r="Z50" s="38"/>
      <c r="AA50" s="38"/>
      <c r="AB50" s="38"/>
      <c r="AC50" s="38"/>
      <c r="AD50" s="38">
        <f>+AM50+BA50</f>
        <v>43</v>
      </c>
      <c r="AE50" s="235" t="s">
        <v>411</v>
      </c>
      <c r="AF50" s="34"/>
      <c r="AG50" s="34"/>
      <c r="AH50" s="34">
        <v>43</v>
      </c>
      <c r="AJ50" s="38"/>
      <c r="AK50" s="38"/>
      <c r="AL50" s="38"/>
      <c r="AM50" s="38">
        <f t="shared" si="34"/>
        <v>43</v>
      </c>
      <c r="AN50" s="38"/>
      <c r="AO50" s="38"/>
      <c r="AP50" s="38"/>
      <c r="AQ50" s="38"/>
      <c r="AR50" s="38">
        <f t="shared" si="43"/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34"/>
      <c r="BC50" s="500"/>
      <c r="BD50" s="500"/>
      <c r="BE50" s="34"/>
      <c r="BF50" s="500"/>
    </row>
    <row r="51" spans="1:58" ht="12.95" customHeight="1">
      <c r="A51" s="41"/>
      <c r="B51" s="42" t="s">
        <v>490</v>
      </c>
      <c r="C51" s="411">
        <f t="shared" ref="C51" si="44">(M51*E51*O51*Q51)/100000000</f>
        <v>16.370434079999999</v>
      </c>
      <c r="D51" s="42" t="s">
        <v>304</v>
      </c>
      <c r="E51" s="43">
        <v>12</v>
      </c>
      <c r="F51" s="43">
        <v>1</v>
      </c>
      <c r="G51" s="496">
        <v>1230</v>
      </c>
      <c r="H51" s="45">
        <v>0.23</v>
      </c>
      <c r="I51" s="46">
        <v>0.88</v>
      </c>
      <c r="J51" s="86">
        <f t="shared" ref="J51" si="45">E51*G51*(1-H51)*1440/1000000*2.74</f>
        <v>44.842533120000006</v>
      </c>
      <c r="K51" s="86">
        <f t="shared" ref="K51" si="46">(IF(G51&lt;L51,L51,G51)*(1-IF(H51&lt;N51,H51,N51))*E51*O51*Q51)/100000000</f>
        <v>16.370434079999999</v>
      </c>
      <c r="L51" s="36">
        <v>1230</v>
      </c>
      <c r="M51" s="36">
        <v>947.09999999999991</v>
      </c>
      <c r="N51" s="47">
        <f t="shared" ref="N51" si="47">1-(M51/L51)</f>
        <v>0.23000000000000009</v>
      </c>
      <c r="O51" s="48">
        <f>+'Trim Rwd'!H28</f>
        <v>260</v>
      </c>
      <c r="P51" s="49">
        <f t="shared" ref="P51" si="48">O51*(Q51-R51-S51)</f>
        <v>136500</v>
      </c>
      <c r="Q51" s="48">
        <v>554</v>
      </c>
      <c r="R51" s="497">
        <v>0</v>
      </c>
      <c r="S51" s="497">
        <v>29</v>
      </c>
      <c r="T51" s="38">
        <f t="shared" ref="T51" si="49">E51*M51*O51*Q51/100000000</f>
        <v>16.370434079999999</v>
      </c>
      <c r="U51" s="38">
        <f t="shared" ref="U51" si="50">E51*M51*O51*(Q51-R51-S51)/100000000</f>
        <v>15.513497999999998</v>
      </c>
      <c r="V51" s="38">
        <f t="shared" ref="V51" si="51">E51*G51*(1-N51)*O51/100*(R51+S51)/1000000</f>
        <v>0.85693607999999999</v>
      </c>
      <c r="W51" s="38">
        <f>+'9'!K13/1000</f>
        <v>13.097</v>
      </c>
      <c r="X51" s="39"/>
      <c r="Y51" s="216"/>
      <c r="Z51" s="38"/>
      <c r="AA51" s="38"/>
      <c r="AB51" s="38"/>
      <c r="AC51" s="38"/>
      <c r="AD51" s="38">
        <f>+AM51+BA51</f>
        <v>0</v>
      </c>
      <c r="AE51" s="238" t="s">
        <v>380</v>
      </c>
      <c r="AF51" s="38"/>
      <c r="AG51" s="38"/>
      <c r="AH51" s="38"/>
      <c r="AI51" s="499">
        <v>0</v>
      </c>
      <c r="AJ51" s="38"/>
      <c r="AK51" s="38"/>
      <c r="AL51" s="38"/>
      <c r="AM51" s="38">
        <f t="shared" si="34"/>
        <v>0</v>
      </c>
      <c r="AN51" s="38"/>
      <c r="AO51" s="38"/>
      <c r="AP51" s="38"/>
      <c r="AQ51" s="38"/>
      <c r="AR51" s="38">
        <f t="shared" si="43"/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51"/>
      <c r="BC51" s="52"/>
      <c r="BD51" s="52"/>
      <c r="BE51" s="51"/>
      <c r="BF51" s="52"/>
    </row>
    <row r="52" spans="1:58" ht="12.95" customHeight="1">
      <c r="A52" s="41"/>
      <c r="B52" s="42" t="s">
        <v>409</v>
      </c>
      <c r="C52" s="411"/>
      <c r="D52" s="42"/>
      <c r="E52" s="43">
        <v>19</v>
      </c>
      <c r="F52" s="43"/>
      <c r="G52" s="496"/>
      <c r="H52" s="45"/>
      <c r="I52" s="46"/>
      <c r="J52" s="86"/>
      <c r="K52" s="86"/>
      <c r="L52" s="36"/>
      <c r="M52" s="36"/>
      <c r="N52" s="47"/>
      <c r="O52" s="48"/>
      <c r="P52" s="49"/>
      <c r="Q52" s="48"/>
      <c r="R52" s="497"/>
      <c r="S52" s="497"/>
      <c r="T52" s="38"/>
      <c r="U52" s="38"/>
      <c r="V52" s="38"/>
      <c r="W52" s="38">
        <f>+'9'!K9/1000</f>
        <v>3.2869999999999999</v>
      </c>
      <c r="X52" s="39"/>
      <c r="Y52" s="216"/>
      <c r="Z52" s="38">
        <f>+'9'!D9/1000</f>
        <v>0.67900000000000005</v>
      </c>
      <c r="AA52" s="38"/>
      <c r="AB52" s="38"/>
      <c r="AC52" s="38"/>
      <c r="AD52" s="38"/>
      <c r="AE52" s="238"/>
      <c r="AF52" s="38"/>
      <c r="AG52" s="38"/>
      <c r="AH52" s="38"/>
      <c r="AI52" s="57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51"/>
      <c r="BC52" s="52"/>
      <c r="BD52" s="52"/>
      <c r="BE52" s="51"/>
      <c r="BF52" s="52"/>
    </row>
    <row r="53" spans="1:58" ht="12.95" customHeight="1">
      <c r="A53" s="41"/>
      <c r="B53" s="42"/>
      <c r="C53" s="411"/>
      <c r="D53" s="42"/>
      <c r="E53" s="43"/>
      <c r="F53" s="43"/>
      <c r="G53" s="44"/>
      <c r="H53" s="45"/>
      <c r="I53" s="46"/>
      <c r="J53" s="86"/>
      <c r="K53" s="86"/>
      <c r="L53" s="36"/>
      <c r="M53" s="36"/>
      <c r="N53" s="47"/>
      <c r="O53" s="48"/>
      <c r="P53" s="49"/>
      <c r="Q53" s="48"/>
      <c r="R53" s="497"/>
      <c r="S53" s="497"/>
      <c r="T53" s="38"/>
      <c r="U53" s="38"/>
      <c r="V53" s="38"/>
      <c r="W53" s="38"/>
      <c r="X53" s="39"/>
      <c r="Y53" s="216"/>
      <c r="Z53" s="38"/>
      <c r="AA53" s="38"/>
      <c r="AB53" s="38"/>
      <c r="AC53" s="38"/>
      <c r="AD53" s="38"/>
      <c r="AE53" s="235"/>
      <c r="AF53" s="34"/>
      <c r="AG53" s="34"/>
      <c r="AH53" s="34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4"/>
      <c r="BC53" s="500"/>
      <c r="BD53" s="52"/>
      <c r="BE53" s="51"/>
      <c r="BF53" s="52"/>
    </row>
    <row r="54" spans="1:58" ht="12.75" customHeight="1">
      <c r="A54" s="41">
        <v>45879</v>
      </c>
      <c r="B54" s="42" t="s">
        <v>490</v>
      </c>
      <c r="C54" s="411">
        <f t="shared" ref="C54" si="52">(M54*E54*O54*Q54)/100000000</f>
        <v>42.753080021917803</v>
      </c>
      <c r="D54" s="42" t="s">
        <v>304</v>
      </c>
      <c r="E54" s="43">
        <v>12</v>
      </c>
      <c r="F54" s="43">
        <v>1</v>
      </c>
      <c r="G54" s="496">
        <v>1230</v>
      </c>
      <c r="H54" s="45">
        <v>0.23</v>
      </c>
      <c r="I54" s="46">
        <v>0.88</v>
      </c>
      <c r="J54" s="86">
        <f t="shared" ref="J54" si="53">E54*G54*(1-H54)*1440/1000000*2.74</f>
        <v>44.842533120000006</v>
      </c>
      <c r="K54" s="86">
        <f t="shared" ref="K54" si="54">(IF(G54&lt;L54,L54,G54)*(1-IF(H54&lt;N54,H54,N54))*E54*O54*Q54)/100000000</f>
        <v>42.753080021917803</v>
      </c>
      <c r="L54" s="36">
        <v>1230</v>
      </c>
      <c r="M54" s="36">
        <v>947.09999999999991</v>
      </c>
      <c r="N54" s="47">
        <f t="shared" ref="N54" si="55">1-(M54/L54)</f>
        <v>0.23000000000000009</v>
      </c>
      <c r="O54" s="48">
        <f>+'Trim Rwd'!H30</f>
        <v>261.23287671232879</v>
      </c>
      <c r="P54" s="49">
        <f t="shared" ref="P54" si="56">O54*(Q54-R54-S54)</f>
        <v>356844.10958904115</v>
      </c>
      <c r="Q54" s="48">
        <v>1440</v>
      </c>
      <c r="R54" s="497">
        <v>0</v>
      </c>
      <c r="S54" s="497">
        <v>74</v>
      </c>
      <c r="T54" s="38">
        <f t="shared" ref="T54" si="57">E54*M54*O54*Q54/100000000</f>
        <v>42.753080021917803</v>
      </c>
      <c r="U54" s="38">
        <f t="shared" ref="U54" si="58">E54*M54*O54*(Q54-R54-S54)/100000000</f>
        <v>40.556046743013695</v>
      </c>
      <c r="V54" s="38">
        <f t="shared" ref="V54" si="59">E54*G54*(1-N54)*O54/100*(R54+S54)/1000000</f>
        <v>2.1970332789041094</v>
      </c>
      <c r="W54" s="38">
        <f>+'10'!K13/1000</f>
        <v>38.950000000000003</v>
      </c>
      <c r="X54" s="498">
        <f>SUM(W54:W58)/SUM(K54:K58)</f>
        <v>0.91104547274797243</v>
      </c>
      <c r="Y54" s="216">
        <v>0</v>
      </c>
      <c r="Z54" s="38">
        <f>+'5'!D59/1000</f>
        <v>0</v>
      </c>
      <c r="AA54" s="50">
        <f>SUM(U54:U58)-SUM(W54:W58)-SUM(Z54:Z58)-SUM(Y54:Y58)</f>
        <v>1.6060467430136924</v>
      </c>
      <c r="AB54" s="50">
        <f>(SUM(K54:K58)-SUM(W54:W58)-SUM(Y54:Y58)-SUM(Z54:Z58)-SUM(AC54:AC58)-SUM(V54:V58))-AA54</f>
        <v>0</v>
      </c>
      <c r="AC54" s="38">
        <f>K54-T54</f>
        <v>0</v>
      </c>
      <c r="AD54" s="38">
        <f>+AM54+BA54</f>
        <v>15</v>
      </c>
      <c r="AE54" s="235" t="s">
        <v>433</v>
      </c>
      <c r="AF54" s="38">
        <v>15</v>
      </c>
      <c r="AG54" s="38"/>
      <c r="AH54" s="38"/>
      <c r="AI54" s="499"/>
      <c r="AJ54" s="38"/>
      <c r="AK54" s="38"/>
      <c r="AL54" s="38"/>
      <c r="AM54" s="38">
        <f t="shared" ref="AM54:AM57" si="60">SUM(AF54:AL54)+AT54+AV54+AX54</f>
        <v>15</v>
      </c>
      <c r="AN54" s="38"/>
      <c r="AO54" s="38"/>
      <c r="AP54" s="38"/>
      <c r="AQ54" s="38"/>
      <c r="AR54" s="38">
        <f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34">
        <v>5</v>
      </c>
      <c r="BC54" s="52"/>
      <c r="BD54" s="52"/>
      <c r="BE54" s="34"/>
      <c r="BF54" s="52"/>
    </row>
    <row r="55" spans="1:58" ht="12.95" customHeight="1">
      <c r="A55" s="41"/>
      <c r="B55" s="42"/>
      <c r="C55" s="411"/>
      <c r="D55" s="42"/>
      <c r="E55" s="43"/>
      <c r="F55" s="43"/>
      <c r="G55" s="496"/>
      <c r="H55" s="45"/>
      <c r="I55" s="46"/>
      <c r="J55" s="86"/>
      <c r="K55" s="86"/>
      <c r="L55" s="36"/>
      <c r="M55" s="36"/>
      <c r="N55" s="47"/>
      <c r="O55" s="48"/>
      <c r="P55" s="49"/>
      <c r="Q55" s="48"/>
      <c r="R55" s="497"/>
      <c r="S55" s="497"/>
      <c r="T55" s="38"/>
      <c r="U55" s="38"/>
      <c r="V55" s="38"/>
      <c r="W55" s="38"/>
      <c r="X55" s="39"/>
      <c r="Y55" s="216"/>
      <c r="Z55" s="38"/>
      <c r="AA55" s="38"/>
      <c r="AB55" s="38"/>
      <c r="AC55" s="38"/>
      <c r="AD55" s="38">
        <f>+AM55+BA55</f>
        <v>14</v>
      </c>
      <c r="AE55" s="235" t="s">
        <v>406</v>
      </c>
      <c r="AF55" s="38"/>
      <c r="AG55" s="38">
        <v>14</v>
      </c>
      <c r="AH55" s="38"/>
      <c r="AI55" s="499"/>
      <c r="AJ55" s="38"/>
      <c r="AK55" s="38"/>
      <c r="AL55" s="38"/>
      <c r="AM55" s="38">
        <f t="shared" si="60"/>
        <v>14</v>
      </c>
      <c r="AN55" s="87"/>
      <c r="AO55" s="38"/>
      <c r="AP55" s="38"/>
      <c r="AQ55" s="38"/>
      <c r="AR55" s="38">
        <f t="shared" ref="AR55:AR57" si="61">SUM(AN55:AQ55)</f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51"/>
      <c r="BC55" s="52">
        <v>6</v>
      </c>
      <c r="BD55" s="52"/>
      <c r="BE55" s="51"/>
      <c r="BF55" s="52"/>
    </row>
    <row r="56" spans="1:58" ht="12.95" customHeight="1">
      <c r="A56" s="41"/>
      <c r="B56" s="42"/>
      <c r="C56" s="411"/>
      <c r="D56" s="42"/>
      <c r="E56" s="43"/>
      <c r="F56" s="43"/>
      <c r="G56" s="44"/>
      <c r="H56" s="45"/>
      <c r="I56" s="46"/>
      <c r="J56" s="86"/>
      <c r="K56" s="86"/>
      <c r="L56" s="36"/>
      <c r="M56" s="36"/>
      <c r="N56" s="47"/>
      <c r="O56" s="48"/>
      <c r="P56" s="49"/>
      <c r="Q56" s="48"/>
      <c r="R56" s="497"/>
      <c r="S56" s="497"/>
      <c r="T56" s="38"/>
      <c r="U56" s="38"/>
      <c r="V56" s="38"/>
      <c r="W56" s="38"/>
      <c r="X56" s="39"/>
      <c r="Y56" s="216"/>
      <c r="Z56" s="38"/>
      <c r="AA56" s="38"/>
      <c r="AB56" s="38"/>
      <c r="AC56" s="38"/>
      <c r="AD56" s="38">
        <f>+AM56+BA56</f>
        <v>45</v>
      </c>
      <c r="AE56" s="235" t="s">
        <v>513</v>
      </c>
      <c r="AF56" s="34"/>
      <c r="AG56" s="34"/>
      <c r="AH56" s="34">
        <v>45</v>
      </c>
      <c r="AJ56" s="38"/>
      <c r="AK56" s="38"/>
      <c r="AL56" s="38"/>
      <c r="AM56" s="38">
        <f t="shared" si="60"/>
        <v>45</v>
      </c>
      <c r="AN56" s="38"/>
      <c r="AO56" s="38"/>
      <c r="AP56" s="38"/>
      <c r="AQ56" s="38"/>
      <c r="AR56" s="38">
        <f t="shared" si="61"/>
        <v>0</v>
      </c>
      <c r="AS56" s="38"/>
      <c r="AT56" s="38"/>
      <c r="AU56" s="38"/>
      <c r="AV56" s="38"/>
      <c r="AW56" s="38"/>
      <c r="AX56" s="38"/>
      <c r="AY56" s="38"/>
      <c r="AZ56" s="38"/>
      <c r="BA56" s="38">
        <f>+AR56+AS56+AU56+AW56+AY56+AZ56</f>
        <v>0</v>
      </c>
      <c r="BB56" s="34"/>
      <c r="BC56" s="500"/>
      <c r="BD56" s="500"/>
      <c r="BE56" s="34"/>
      <c r="BF56" s="500"/>
    </row>
    <row r="57" spans="1:58" ht="12.95" customHeight="1">
      <c r="A57" s="41"/>
      <c r="B57" s="42"/>
      <c r="C57" s="411"/>
      <c r="D57" s="42"/>
      <c r="E57" s="43"/>
      <c r="F57" s="43"/>
      <c r="G57" s="44"/>
      <c r="H57" s="45"/>
      <c r="I57" s="46"/>
      <c r="J57" s="86"/>
      <c r="K57" s="86"/>
      <c r="L57" s="36"/>
      <c r="M57" s="36"/>
      <c r="N57" s="47"/>
      <c r="O57" s="48"/>
      <c r="P57" s="49"/>
      <c r="Q57" s="35"/>
      <c r="R57" s="497"/>
      <c r="S57" s="497"/>
      <c r="T57" s="38"/>
      <c r="U57" s="38"/>
      <c r="V57" s="38"/>
      <c r="W57" s="38"/>
      <c r="X57" s="39"/>
      <c r="Y57" s="216"/>
      <c r="Z57" s="38"/>
      <c r="AA57" s="38"/>
      <c r="AB57" s="38"/>
      <c r="AC57" s="38"/>
      <c r="AD57" s="38">
        <f>+AM57+BA57</f>
        <v>0</v>
      </c>
      <c r="AE57" s="238" t="s">
        <v>380</v>
      </c>
      <c r="AF57" s="38"/>
      <c r="AG57" s="38"/>
      <c r="AH57" s="38"/>
      <c r="AI57" s="499">
        <v>0</v>
      </c>
      <c r="AJ57" s="38"/>
      <c r="AK57" s="38"/>
      <c r="AL57" s="38"/>
      <c r="AM57" s="38">
        <f t="shared" si="60"/>
        <v>0</v>
      </c>
      <c r="AN57" s="38"/>
      <c r="AO57" s="38"/>
      <c r="AP57" s="38"/>
      <c r="AQ57" s="38"/>
      <c r="AR57" s="38">
        <f t="shared" si="61"/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>+AR57+AS57+AU57+AW57+AY57+AZ57</f>
        <v>0</v>
      </c>
      <c r="BB57" s="51"/>
      <c r="BC57" s="52"/>
      <c r="BD57" s="52"/>
      <c r="BE57" s="51"/>
      <c r="BF57" s="52"/>
    </row>
    <row r="58" spans="1:58" ht="12.95" customHeight="1">
      <c r="A58" s="41"/>
      <c r="B58" s="42"/>
      <c r="C58" s="411"/>
      <c r="D58" s="42"/>
      <c r="E58" s="43"/>
      <c r="F58" s="43"/>
      <c r="G58" s="44"/>
      <c r="H58" s="45"/>
      <c r="I58" s="46"/>
      <c r="J58" s="86"/>
      <c r="K58" s="86"/>
      <c r="L58" s="36"/>
      <c r="M58" s="36"/>
      <c r="N58" s="47"/>
      <c r="O58" s="48"/>
      <c r="P58" s="49"/>
      <c r="Q58" s="48"/>
      <c r="R58" s="497"/>
      <c r="S58" s="497"/>
      <c r="T58" s="38"/>
      <c r="U58" s="38"/>
      <c r="V58" s="38"/>
      <c r="W58" s="38"/>
      <c r="X58" s="39"/>
      <c r="Y58" s="216"/>
      <c r="Z58" s="38"/>
      <c r="AA58" s="38"/>
      <c r="AB58" s="38"/>
      <c r="AC58" s="38"/>
      <c r="AD58" s="38"/>
      <c r="AE58" s="235"/>
      <c r="AF58" s="34"/>
      <c r="AG58" s="34"/>
      <c r="AH58" s="34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4"/>
      <c r="BC58" s="500"/>
      <c r="BD58" s="500"/>
      <c r="BE58" s="34"/>
      <c r="BF58" s="500"/>
    </row>
    <row r="59" spans="1:58" ht="12.75" customHeight="1">
      <c r="A59" s="41">
        <v>45880</v>
      </c>
      <c r="B59" s="42" t="s">
        <v>490</v>
      </c>
      <c r="C59" s="411">
        <f t="shared" ref="C59" si="62">(M59*E59*O59*Q59)/100000000</f>
        <v>27.991919339999995</v>
      </c>
      <c r="D59" s="42" t="s">
        <v>304</v>
      </c>
      <c r="E59" s="43">
        <v>12</v>
      </c>
      <c r="F59" s="43">
        <v>1</v>
      </c>
      <c r="G59" s="496">
        <v>1230</v>
      </c>
      <c r="H59" s="45">
        <v>0.23</v>
      </c>
      <c r="I59" s="46">
        <v>0.88</v>
      </c>
      <c r="J59" s="86">
        <f t="shared" ref="J59" si="63">E59*G59*(1-H59)*1440/1000000*2.74</f>
        <v>44.842533120000006</v>
      </c>
      <c r="K59" s="86">
        <f t="shared" ref="K59" si="64">(IF(G59&lt;L59,L59,G59)*(1-IF(H59&lt;N59,H59,N59))*E59*O59*Q59)/100000000</f>
        <v>27.991919339999995</v>
      </c>
      <c r="L59" s="36">
        <v>1230</v>
      </c>
      <c r="M59" s="36">
        <v>947.09999999999991</v>
      </c>
      <c r="N59" s="47">
        <f t="shared" ref="N59" si="65">1-(M59/L59)</f>
        <v>0.23000000000000009</v>
      </c>
      <c r="O59" s="48">
        <f>+'Trim Rwd'!H33</f>
        <v>264.83333333333331</v>
      </c>
      <c r="P59" s="49">
        <f t="shared" ref="P59" si="66">O59*(Q59-R59-S59)</f>
        <v>235966.49999999997</v>
      </c>
      <c r="Q59" s="48">
        <v>930</v>
      </c>
      <c r="R59" s="497">
        <v>0</v>
      </c>
      <c r="S59" s="497">
        <v>39</v>
      </c>
      <c r="T59" s="38">
        <f t="shared" ref="T59" si="67">E59*M59*O59*Q59/100000000</f>
        <v>27.991919339999995</v>
      </c>
      <c r="U59" s="38">
        <f t="shared" ref="U59" si="68">E59*M59*O59*(Q59-R59-S59)/100000000</f>
        <v>26.818064657999994</v>
      </c>
      <c r="V59" s="38">
        <f t="shared" ref="V59" si="69">E59*G59*(1-N59)*O59/100*(R59+S59)/1000000</f>
        <v>1.1738546819999998</v>
      </c>
      <c r="W59" s="38">
        <f>+'11'!K13/1000</f>
        <v>27.157</v>
      </c>
      <c r="X59" s="498">
        <f>SUM(W59:W63)/SUM(K59:K63)</f>
        <v>0.90631824825211993</v>
      </c>
      <c r="Y59" s="216">
        <v>0</v>
      </c>
      <c r="Z59" s="38">
        <f>+'5'!D64/1000</f>
        <v>0</v>
      </c>
      <c r="AA59" s="50">
        <f>SUM(U59:U63)-SUM(W59:W63)-SUM(Z59:Z63)-SUM(Y59:Y63)</f>
        <v>2.1562559379999939</v>
      </c>
      <c r="AB59" s="50">
        <f>(SUM(K59:K63)-SUM(W59:W63)-SUM(Y59:Y63)-SUM(Z59:Z63)-SUM(AC59:AC63)-SUM(V59:V63))-AA59</f>
        <v>0.21528936000000787</v>
      </c>
      <c r="AC59" s="38">
        <f>K59-T59</f>
        <v>0</v>
      </c>
      <c r="AD59" s="38">
        <f>+AM59+BA59</f>
        <v>17</v>
      </c>
      <c r="AE59" s="235" t="s">
        <v>474</v>
      </c>
      <c r="AF59" s="38">
        <v>17</v>
      </c>
      <c r="AG59" s="38"/>
      <c r="AH59" s="38"/>
      <c r="AI59" s="499"/>
      <c r="AJ59" s="38"/>
      <c r="AK59" s="38"/>
      <c r="AL59" s="38"/>
      <c r="AM59" s="38">
        <f t="shared" ref="AM59:AM62" si="70">SUM(AF59:AL59)+AT59+AV59+AX59</f>
        <v>17</v>
      </c>
      <c r="AN59" s="38"/>
      <c r="AO59" s="38"/>
      <c r="AP59" s="38"/>
      <c r="AQ59" s="38"/>
      <c r="AR59" s="38">
        <f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34">
        <v>13</v>
      </c>
      <c r="BC59" s="52"/>
      <c r="BD59" s="52"/>
      <c r="BE59" s="34"/>
      <c r="BF59" s="52"/>
    </row>
    <row r="60" spans="1:58" ht="12.95" customHeight="1">
      <c r="A60" s="41"/>
      <c r="B60" s="42" t="s">
        <v>490</v>
      </c>
      <c r="C60" s="411">
        <f t="shared" ref="C60" si="71">(M60*E60*O60*Q60)/100000000</f>
        <v>16.577280719999997</v>
      </c>
      <c r="D60" s="42" t="s">
        <v>304</v>
      </c>
      <c r="E60" s="43">
        <v>13</v>
      </c>
      <c r="F60" s="43">
        <v>1</v>
      </c>
      <c r="G60" s="496">
        <v>1230</v>
      </c>
      <c r="H60" s="45">
        <v>0.22</v>
      </c>
      <c r="I60" s="46">
        <v>0.88</v>
      </c>
      <c r="J60" s="86">
        <f t="shared" ref="J60" si="72">E60*G60*(1-H60)*1440/1000000*2.74</f>
        <v>49.210312320000007</v>
      </c>
      <c r="K60" s="86">
        <f t="shared" ref="K60" si="73">(IF(G60&lt;L60,L60,G60)*(1-IF(H60&lt;N60,H60,N60))*E60*O60*Q60)/100000000</f>
        <v>16.792570080000001</v>
      </c>
      <c r="L60" s="36">
        <v>1230</v>
      </c>
      <c r="M60" s="36">
        <v>947.09999999999991</v>
      </c>
      <c r="N60" s="47">
        <f t="shared" ref="N60" si="74">1-(M60/L60)</f>
        <v>0.23000000000000009</v>
      </c>
      <c r="O60" s="48">
        <f>+'Trim Rwd'!H35</f>
        <v>264</v>
      </c>
      <c r="P60" s="49">
        <f t="shared" ref="P60" si="75">O60*(Q60-R60-S60)</f>
        <v>129360</v>
      </c>
      <c r="Q60" s="48">
        <v>510</v>
      </c>
      <c r="R60" s="497">
        <v>0</v>
      </c>
      <c r="S60" s="497">
        <v>20</v>
      </c>
      <c r="T60" s="38">
        <f t="shared" ref="T60" si="76">E60*M60*O60*Q60/100000000</f>
        <v>16.577280719999997</v>
      </c>
      <c r="U60" s="38">
        <f t="shared" ref="U60" si="77">E60*M60*O60*(Q60-R60-S60)/100000000</f>
        <v>15.927191279999997</v>
      </c>
      <c r="V60" s="38">
        <f t="shared" ref="V60" si="78">E60*G60*(1-N60)*O60/100*(R60+S60)/1000000</f>
        <v>0.65008943999999991</v>
      </c>
      <c r="W60" s="38">
        <f>+'11'!K12/1000</f>
        <v>13.432</v>
      </c>
      <c r="X60" s="39"/>
      <c r="Y60" s="216"/>
      <c r="Z60" s="38"/>
      <c r="AA60" s="38"/>
      <c r="AB60" s="38"/>
      <c r="AC60" s="38"/>
      <c r="AD60" s="38">
        <f>+AM60+BA60</f>
        <v>15</v>
      </c>
      <c r="AE60" s="235" t="s">
        <v>406</v>
      </c>
      <c r="AF60" s="38"/>
      <c r="AG60" s="38">
        <v>15</v>
      </c>
      <c r="AH60" s="38"/>
      <c r="AI60" s="499"/>
      <c r="AJ60" s="38"/>
      <c r="AK60" s="38"/>
      <c r="AL60" s="38"/>
      <c r="AM60" s="38">
        <f t="shared" si="70"/>
        <v>15</v>
      </c>
      <c r="AN60" s="87"/>
      <c r="AO60" s="38"/>
      <c r="AP60" s="38"/>
      <c r="AQ60" s="38"/>
      <c r="AR60" s="38">
        <f t="shared" ref="AR60:AR62" si="79">SUM(AN60:AQ60)</f>
        <v>0</v>
      </c>
      <c r="AS60" s="38"/>
      <c r="AT60" s="38"/>
      <c r="AU60" s="38"/>
      <c r="AV60" s="38"/>
      <c r="AW60" s="38"/>
      <c r="AX60" s="38"/>
      <c r="AY60" s="38"/>
      <c r="AZ60" s="38"/>
      <c r="BA60" s="38">
        <f>+AR60+AS60+AU60+AW60+AY60+AZ60</f>
        <v>0</v>
      </c>
      <c r="BB60" s="51"/>
      <c r="BC60" s="52">
        <v>6</v>
      </c>
      <c r="BD60" s="52"/>
      <c r="BE60" s="51"/>
      <c r="BF60" s="52"/>
    </row>
    <row r="61" spans="1:58" ht="12.95" customHeight="1">
      <c r="A61" s="41"/>
      <c r="B61" s="42"/>
      <c r="C61" s="411"/>
      <c r="D61" s="42"/>
      <c r="E61" s="43"/>
      <c r="F61" s="43"/>
      <c r="G61" s="44"/>
      <c r="H61" s="45"/>
      <c r="I61" s="46"/>
      <c r="J61" s="86"/>
      <c r="K61" s="86"/>
      <c r="L61" s="36"/>
      <c r="M61" s="36"/>
      <c r="N61" s="47"/>
      <c r="O61" s="48"/>
      <c r="P61" s="49"/>
      <c r="Q61" s="48"/>
      <c r="R61" s="497"/>
      <c r="S61" s="497"/>
      <c r="T61" s="38"/>
      <c r="U61" s="38"/>
      <c r="V61" s="38"/>
      <c r="W61" s="38"/>
      <c r="X61" s="39"/>
      <c r="Y61" s="216"/>
      <c r="Z61" s="38"/>
      <c r="AA61" s="38"/>
      <c r="AB61" s="38"/>
      <c r="AC61" s="38"/>
      <c r="AD61" s="38">
        <f>+AM61+BA61</f>
        <v>27</v>
      </c>
      <c r="AE61" s="235" t="s">
        <v>513</v>
      </c>
      <c r="AF61" s="34"/>
      <c r="AG61" s="34"/>
      <c r="AH61" s="34">
        <v>27</v>
      </c>
      <c r="AJ61" s="38"/>
      <c r="AK61" s="38"/>
      <c r="AL61" s="38"/>
      <c r="AM61" s="38">
        <f t="shared" si="70"/>
        <v>27</v>
      </c>
      <c r="AN61" s="38"/>
      <c r="AO61" s="38"/>
      <c r="AP61" s="38"/>
      <c r="AQ61" s="38"/>
      <c r="AR61" s="38">
        <f t="shared" si="79"/>
        <v>0</v>
      </c>
      <c r="AS61" s="38"/>
      <c r="AT61" s="38"/>
      <c r="AU61" s="38"/>
      <c r="AV61" s="38"/>
      <c r="AW61" s="38"/>
      <c r="AX61" s="38"/>
      <c r="AY61" s="38"/>
      <c r="AZ61" s="38"/>
      <c r="BA61" s="38">
        <f>+AR61+AS61+AU61+AW61+AY61+AZ61</f>
        <v>0</v>
      </c>
      <c r="BB61" s="34"/>
      <c r="BC61" s="500"/>
      <c r="BD61" s="500"/>
      <c r="BE61" s="34"/>
      <c r="BF61" s="500"/>
    </row>
    <row r="62" spans="1:58" ht="12.95" customHeight="1">
      <c r="A62" s="41"/>
      <c r="B62" s="42"/>
      <c r="C62" s="411"/>
      <c r="D62" s="42"/>
      <c r="E62" s="43"/>
      <c r="F62" s="43"/>
      <c r="G62" s="44"/>
      <c r="H62" s="45"/>
      <c r="I62" s="46"/>
      <c r="J62" s="86"/>
      <c r="K62" s="86"/>
      <c r="L62" s="36"/>
      <c r="M62" s="36"/>
      <c r="N62" s="47"/>
      <c r="O62" s="48"/>
      <c r="P62" s="49"/>
      <c r="Q62" s="35"/>
      <c r="R62" s="497"/>
      <c r="S62" s="497"/>
      <c r="T62" s="38"/>
      <c r="U62" s="38"/>
      <c r="V62" s="38"/>
      <c r="W62" s="38"/>
      <c r="X62" s="39"/>
      <c r="Y62" s="216"/>
      <c r="Z62" s="38"/>
      <c r="AA62" s="38"/>
      <c r="AB62" s="38"/>
      <c r="AC62" s="38"/>
      <c r="AD62" s="38">
        <f>+AM62+BA62</f>
        <v>0</v>
      </c>
      <c r="AE62" s="238" t="s">
        <v>380</v>
      </c>
      <c r="AF62" s="38"/>
      <c r="AG62" s="38"/>
      <c r="AH62" s="38"/>
      <c r="AI62" s="499">
        <v>0</v>
      </c>
      <c r="AJ62" s="38"/>
      <c r="AK62" s="38"/>
      <c r="AL62" s="38"/>
      <c r="AM62" s="38">
        <f t="shared" si="70"/>
        <v>0</v>
      </c>
      <c r="AN62" s="38"/>
      <c r="AO62" s="38"/>
      <c r="AP62" s="38"/>
      <c r="AQ62" s="38"/>
      <c r="AR62" s="38">
        <f t="shared" si="79"/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51"/>
      <c r="BC62" s="52"/>
      <c r="BD62" s="52"/>
      <c r="BE62" s="51"/>
      <c r="BF62" s="52"/>
    </row>
    <row r="63" spans="1:58" ht="12.95" customHeight="1">
      <c r="A63" s="41"/>
      <c r="B63" s="42"/>
      <c r="C63" s="411"/>
      <c r="D63" s="42"/>
      <c r="E63" s="43"/>
      <c r="F63" s="43"/>
      <c r="G63" s="44"/>
      <c r="H63" s="45"/>
      <c r="I63" s="46"/>
      <c r="J63" s="86"/>
      <c r="K63" s="86"/>
      <c r="L63" s="36"/>
      <c r="M63" s="36"/>
      <c r="N63" s="47"/>
      <c r="O63" s="48"/>
      <c r="P63" s="49"/>
      <c r="Q63" s="48"/>
      <c r="R63" s="497"/>
      <c r="S63" s="497"/>
      <c r="T63" s="38"/>
      <c r="U63" s="38"/>
      <c r="V63" s="38"/>
      <c r="W63" s="38"/>
      <c r="X63" s="39"/>
      <c r="Y63" s="216"/>
      <c r="Z63" s="38"/>
      <c r="AA63" s="38"/>
      <c r="AB63" s="38"/>
      <c r="AC63" s="38"/>
      <c r="AD63" s="38"/>
      <c r="AE63" s="235"/>
      <c r="AF63" s="34"/>
      <c r="AG63" s="34"/>
      <c r="AH63" s="34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4"/>
      <c r="BC63" s="500"/>
      <c r="BD63" s="52"/>
      <c r="BE63" s="34"/>
      <c r="BF63" s="52"/>
    </row>
    <row r="64" spans="1:58" ht="12.75" customHeight="1">
      <c r="A64" s="41">
        <v>45881</v>
      </c>
      <c r="B64" s="42" t="s">
        <v>490</v>
      </c>
      <c r="C64" s="411">
        <f t="shared" ref="C64:C65" si="80">(M64*E64*O64*Q64)/100000000</f>
        <v>16.902325439999998</v>
      </c>
      <c r="D64" s="42" t="s">
        <v>304</v>
      </c>
      <c r="E64" s="43">
        <v>13</v>
      </c>
      <c r="F64" s="43">
        <v>1</v>
      </c>
      <c r="G64" s="496">
        <v>1230</v>
      </c>
      <c r="H64" s="45">
        <v>0.22</v>
      </c>
      <c r="I64" s="46">
        <v>0.88</v>
      </c>
      <c r="J64" s="86">
        <f t="shared" ref="J64:J65" si="81">E64*G64*(1-H64)*1440/1000000*2.74</f>
        <v>49.210312320000007</v>
      </c>
      <c r="K64" s="86">
        <f t="shared" ref="K64:K65" si="82">(IF(G64&lt;L64,L64,G64)*(1-IF(H64&lt;N64,H64,N64))*E64*O64*Q64)/100000000</f>
        <v>17.121836160000001</v>
      </c>
      <c r="L64" s="36">
        <v>1230</v>
      </c>
      <c r="M64" s="36">
        <v>947.09999999999991</v>
      </c>
      <c r="N64" s="47">
        <f t="shared" ref="N64:N65" si="83">1-(M64/L64)</f>
        <v>0.23000000000000009</v>
      </c>
      <c r="O64" s="48">
        <f>+'Trim Rwd'!E37</f>
        <v>264</v>
      </c>
      <c r="P64" s="49">
        <f t="shared" ref="P64:P65" si="84">O64*(Q64-R64-S64)</f>
        <v>132000</v>
      </c>
      <c r="Q64" s="48">
        <v>520</v>
      </c>
      <c r="R64" s="497">
        <v>0</v>
      </c>
      <c r="S64" s="497">
        <v>20</v>
      </c>
      <c r="T64" s="38">
        <f t="shared" ref="T64:T65" si="85">E64*M64*O64*Q64/100000000</f>
        <v>16.902325439999998</v>
      </c>
      <c r="U64" s="38">
        <f t="shared" ref="U64:U65" si="86">E64*M64*O64*(Q64-R64-S64)/100000000</f>
        <v>16.252235999999996</v>
      </c>
      <c r="V64" s="38">
        <f t="shared" ref="V64:V65" si="87">E64*G64*(1-N64)*O64/100*(R64+S64)/1000000</f>
        <v>0.65008943999999991</v>
      </c>
      <c r="W64" s="38">
        <f>+'12'!K12/1000</f>
        <v>22.178000000000001</v>
      </c>
      <c r="X64" s="498">
        <f>SUM(W64:W68)/SUM(K64:K68)</f>
        <v>0.91632863744845972</v>
      </c>
      <c r="Y64" s="216">
        <v>0</v>
      </c>
      <c r="Z64" s="38">
        <f>+'5'!D69/1000</f>
        <v>0</v>
      </c>
      <c r="AA64" s="50">
        <f>SUM(U64:U68)-SUM(W64:W68)-SUM(Z64:Z68)-SUM(Y64:Y68)</f>
        <v>1.6556424233103328</v>
      </c>
      <c r="AB64" s="50">
        <f>(SUM(K64:K68)-SUM(W64:W68)-SUM(Y64:Y68)-SUM(Z64:Z68)-SUM(AC64:AC68)-SUM(V64:V68))-AA64</f>
        <v>7.1054273576010019E-15</v>
      </c>
      <c r="AC64" s="38">
        <f>K64-T64</f>
        <v>0.21951072000000238</v>
      </c>
      <c r="AD64" s="38">
        <f>+AM64+BA64</f>
        <v>10</v>
      </c>
      <c r="AE64" s="235" t="s">
        <v>433</v>
      </c>
      <c r="AF64" s="38">
        <v>10</v>
      </c>
      <c r="AG64" s="38"/>
      <c r="AH64" s="38"/>
      <c r="AI64" s="499"/>
      <c r="AJ64" s="38"/>
      <c r="AK64" s="38"/>
      <c r="AL64" s="38"/>
      <c r="AM64" s="38">
        <f t="shared" ref="AM64:AM67" si="88">SUM(AF64:AL64)+AT64+AV64+AX64</f>
        <v>10</v>
      </c>
      <c r="AN64" s="38"/>
      <c r="AO64" s="38"/>
      <c r="AP64" s="38"/>
      <c r="AQ64" s="38"/>
      <c r="AR64" s="38">
        <f>SUM(AN64:AQ64)</f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0</v>
      </c>
      <c r="BB64" s="34">
        <v>5</v>
      </c>
      <c r="BC64" s="52"/>
      <c r="BD64" s="52"/>
      <c r="BE64" s="34"/>
      <c r="BF64" s="52"/>
    </row>
    <row r="65" spans="1:58" ht="12.95" customHeight="1">
      <c r="A65" s="41"/>
      <c r="B65" s="42" t="s">
        <v>490</v>
      </c>
      <c r="C65" s="411">
        <f t="shared" si="80"/>
        <v>5.5992502799999997</v>
      </c>
      <c r="D65" s="42" t="s">
        <v>304</v>
      </c>
      <c r="E65" s="43">
        <v>13</v>
      </c>
      <c r="F65" s="43">
        <v>1</v>
      </c>
      <c r="G65" s="496">
        <v>1230</v>
      </c>
      <c r="H65" s="45">
        <f>+N65</f>
        <v>0.29000000000000004</v>
      </c>
      <c r="I65" s="46">
        <v>0.88</v>
      </c>
      <c r="J65" s="86">
        <f t="shared" si="81"/>
        <v>44.794002239999998</v>
      </c>
      <c r="K65" s="86">
        <f t="shared" si="82"/>
        <v>5.5992502799999997</v>
      </c>
      <c r="L65" s="36">
        <v>1230</v>
      </c>
      <c r="M65" s="36">
        <v>873.3</v>
      </c>
      <c r="N65" s="47">
        <f t="shared" si="83"/>
        <v>0.29000000000000004</v>
      </c>
      <c r="O65" s="48">
        <f>+'Trim Rwd'!E38</f>
        <v>274</v>
      </c>
      <c r="P65" s="49">
        <f t="shared" si="84"/>
        <v>47676</v>
      </c>
      <c r="Q65" s="48">
        <v>180</v>
      </c>
      <c r="R65" s="497">
        <v>0</v>
      </c>
      <c r="S65" s="497">
        <v>6</v>
      </c>
      <c r="T65" s="38">
        <f t="shared" si="85"/>
        <v>5.5992502799999997</v>
      </c>
      <c r="U65" s="38">
        <f t="shared" si="86"/>
        <v>5.4126086039999999</v>
      </c>
      <c r="V65" s="38">
        <f t="shared" si="87"/>
        <v>0.18664167600000001</v>
      </c>
      <c r="W65" s="38">
        <f>+'12'!K13/1000</f>
        <v>19.067</v>
      </c>
      <c r="X65" s="39"/>
      <c r="Y65" s="216"/>
      <c r="Z65" s="38"/>
      <c r="AA65" s="38"/>
      <c r="AB65" s="38"/>
      <c r="AC65" s="38"/>
      <c r="AD65" s="38">
        <f>+AM65+BA65</f>
        <v>12</v>
      </c>
      <c r="AE65" s="235" t="s">
        <v>536</v>
      </c>
      <c r="AF65" s="38"/>
      <c r="AG65" s="38">
        <v>12</v>
      </c>
      <c r="AH65" s="38"/>
      <c r="AI65" s="499"/>
      <c r="AJ65" s="38"/>
      <c r="AK65" s="38"/>
      <c r="AL65" s="38"/>
      <c r="AM65" s="38">
        <f t="shared" si="88"/>
        <v>12</v>
      </c>
      <c r="AN65" s="87"/>
      <c r="AO65" s="38"/>
      <c r="AP65" s="38"/>
      <c r="AQ65" s="38"/>
      <c r="AR65" s="38">
        <f t="shared" ref="AR65:AR67" si="89">SUM(AN65:AQ65)</f>
        <v>0</v>
      </c>
      <c r="AS65" s="38"/>
      <c r="AT65" s="38"/>
      <c r="AU65" s="38"/>
      <c r="AV65" s="38"/>
      <c r="AW65" s="38"/>
      <c r="AX65" s="38"/>
      <c r="AY65" s="38"/>
      <c r="AZ65" s="38"/>
      <c r="BA65" s="38">
        <f>+AR65+AS65+AU65+AW65+AY65+AZ65</f>
        <v>0</v>
      </c>
      <c r="BB65" s="51"/>
      <c r="BC65" s="52">
        <v>5</v>
      </c>
      <c r="BD65" s="52"/>
      <c r="BE65" s="51"/>
      <c r="BF65" s="52"/>
    </row>
    <row r="66" spans="1:58" ht="12.95" customHeight="1">
      <c r="A66" s="41"/>
      <c r="B66" s="42" t="s">
        <v>490</v>
      </c>
      <c r="C66" s="411">
        <f t="shared" ref="C66" si="90">(M66*E66*O66*Q66)/100000000</f>
        <v>22.290057285517239</v>
      </c>
      <c r="D66" s="42" t="s">
        <v>304</v>
      </c>
      <c r="E66" s="43">
        <v>12</v>
      </c>
      <c r="F66" s="43">
        <v>1</v>
      </c>
      <c r="G66" s="496">
        <v>1230</v>
      </c>
      <c r="H66" s="45">
        <v>0.23</v>
      </c>
      <c r="I66" s="46">
        <v>0.88</v>
      </c>
      <c r="J66" s="86">
        <f t="shared" ref="J66" si="91">E66*G66*(1-H66)*1440/1000000*2.74</f>
        <v>44.842533120000006</v>
      </c>
      <c r="K66" s="86">
        <f t="shared" ref="K66" si="92">(IF(G66&lt;L66,L66,G66)*(1-IF(H66&lt;N66,H66,N66))*E66*O66*Q66)/100000000</f>
        <v>22.290057285517239</v>
      </c>
      <c r="L66" s="36">
        <v>1230</v>
      </c>
      <c r="M66" s="36">
        <v>947.09999999999991</v>
      </c>
      <c r="N66" s="47">
        <f t="shared" ref="N66" si="93">1-(M66/L66)</f>
        <v>0.23000000000000009</v>
      </c>
      <c r="O66" s="48">
        <f>+'Trim Rwd'!H39</f>
        <v>265.0344827586207</v>
      </c>
      <c r="P66" s="49">
        <f t="shared" ref="P66" si="94">O66*(Q66-R66-S66)</f>
        <v>186849.31034482759</v>
      </c>
      <c r="Q66" s="48">
        <v>740</v>
      </c>
      <c r="R66" s="497">
        <v>0</v>
      </c>
      <c r="S66" s="497">
        <v>35</v>
      </c>
      <c r="T66" s="38">
        <f t="shared" ref="T66" si="95">E66*M66*O66*Q66/100000000</f>
        <v>22.290057285517239</v>
      </c>
      <c r="U66" s="38">
        <f t="shared" ref="U66" si="96">E66*M66*O66*(Q66-R66-S66)/100000000</f>
        <v>21.235797819310342</v>
      </c>
      <c r="V66" s="38">
        <f t="shared" ref="V66" si="97">E66*G66*(1-N66)*O66/100*(R66+S66)/1000000</f>
        <v>1.0542594662068965</v>
      </c>
      <c r="W66" s="38">
        <f>+'12'!K14/1000</f>
        <v>0</v>
      </c>
      <c r="X66" s="39"/>
      <c r="Y66" s="216"/>
      <c r="Z66" s="38"/>
      <c r="AA66" s="38"/>
      <c r="AB66" s="38"/>
      <c r="AC66" s="38"/>
      <c r="AD66" s="38">
        <f>+AM66+BA66</f>
        <v>39</v>
      </c>
      <c r="AE66" s="235" t="s">
        <v>491</v>
      </c>
      <c r="AF66" s="34"/>
      <c r="AG66" s="34"/>
      <c r="AH66" s="34">
        <v>39</v>
      </c>
      <c r="AJ66" s="38"/>
      <c r="AK66" s="38"/>
      <c r="AL66" s="38"/>
      <c r="AM66" s="38">
        <f t="shared" si="88"/>
        <v>39</v>
      </c>
      <c r="AN66" s="38"/>
      <c r="AO66" s="38"/>
      <c r="AP66" s="38"/>
      <c r="AQ66" s="38"/>
      <c r="AR66" s="38">
        <f t="shared" si="89"/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+AR66+AS66+AU66+AW66+AY66+AZ66</f>
        <v>0</v>
      </c>
      <c r="BB66" s="34"/>
      <c r="BC66" s="500"/>
      <c r="BD66" s="500"/>
      <c r="BE66" s="34"/>
      <c r="BF66" s="500"/>
    </row>
    <row r="67" spans="1:58" ht="12.95" customHeight="1">
      <c r="A67" s="41"/>
      <c r="B67" s="42"/>
      <c r="C67" s="411"/>
      <c r="D67" s="42"/>
      <c r="E67" s="43"/>
      <c r="F67" s="43"/>
      <c r="G67" s="44"/>
      <c r="H67" s="45"/>
      <c r="I67" s="46"/>
      <c r="J67" s="86"/>
      <c r="K67" s="86"/>
      <c r="L67" s="36"/>
      <c r="M67" s="36"/>
      <c r="N67" s="47"/>
      <c r="O67" s="48"/>
      <c r="P67" s="49"/>
      <c r="Q67" s="48"/>
      <c r="R67" s="497"/>
      <c r="S67" s="497"/>
      <c r="T67" s="38"/>
      <c r="U67" s="38"/>
      <c r="V67" s="38"/>
      <c r="W67" s="38"/>
      <c r="X67" s="39"/>
      <c r="Y67" s="216"/>
      <c r="Z67" s="38"/>
      <c r="AA67" s="38"/>
      <c r="AB67" s="38"/>
      <c r="AC67" s="38"/>
      <c r="AD67" s="38">
        <f>+AM67+BA67</f>
        <v>0</v>
      </c>
      <c r="AE67" s="238" t="s">
        <v>380</v>
      </c>
      <c r="AF67" s="38"/>
      <c r="AG67" s="38"/>
      <c r="AH67" s="38"/>
      <c r="AI67" s="499">
        <v>0</v>
      </c>
      <c r="AJ67" s="38"/>
      <c r="AK67" s="38"/>
      <c r="AL67" s="38"/>
      <c r="AM67" s="38">
        <f t="shared" si="88"/>
        <v>0</v>
      </c>
      <c r="AN67" s="38"/>
      <c r="AO67" s="38"/>
      <c r="AP67" s="38"/>
      <c r="AQ67" s="38"/>
      <c r="AR67" s="38">
        <f t="shared" si="89"/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51"/>
      <c r="BC67" s="52"/>
      <c r="BD67" s="52"/>
      <c r="BE67" s="51"/>
      <c r="BF67" s="52"/>
    </row>
    <row r="68" spans="1:58" ht="12.95" customHeight="1">
      <c r="A68" s="41"/>
      <c r="B68" s="42"/>
      <c r="C68" s="411"/>
      <c r="D68" s="42"/>
      <c r="E68" s="43"/>
      <c r="F68" s="43"/>
      <c r="G68" s="496"/>
      <c r="H68" s="45"/>
      <c r="I68" s="46"/>
      <c r="J68" s="86"/>
      <c r="K68" s="86"/>
      <c r="L68" s="36"/>
      <c r="M68" s="36"/>
      <c r="N68" s="47"/>
      <c r="O68" s="48"/>
      <c r="P68" s="49"/>
      <c r="Q68" s="48"/>
      <c r="R68" s="497"/>
      <c r="S68" s="497"/>
      <c r="T68" s="38"/>
      <c r="U68" s="38"/>
      <c r="V68" s="38"/>
      <c r="W68" s="38"/>
      <c r="X68" s="39"/>
      <c r="Y68" s="216"/>
      <c r="Z68" s="38"/>
      <c r="AA68" s="38"/>
      <c r="AB68" s="38"/>
      <c r="AC68" s="38"/>
      <c r="AD68" s="38"/>
      <c r="AE68" s="235"/>
      <c r="AF68" s="38"/>
      <c r="AG68" s="38"/>
      <c r="AH68" s="38"/>
      <c r="AI68" s="499"/>
      <c r="AJ68" s="38"/>
      <c r="AK68" s="38"/>
      <c r="AL68" s="38"/>
      <c r="AM68" s="38"/>
      <c r="AN68" s="87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51"/>
      <c r="BC68" s="52"/>
      <c r="BD68" s="52"/>
      <c r="BE68" s="52"/>
      <c r="BF68" s="52"/>
    </row>
    <row r="69" spans="1:58" ht="12.75" customHeight="1">
      <c r="A69" s="41">
        <v>45882</v>
      </c>
      <c r="B69" s="42" t="s">
        <v>490</v>
      </c>
      <c r="C69" s="411">
        <f t="shared" ref="C69:C70" si="98">(M69*E69*O69*Q69)/100000000</f>
        <v>4.8370291199999995</v>
      </c>
      <c r="D69" s="42" t="s">
        <v>304</v>
      </c>
      <c r="E69" s="43">
        <v>12</v>
      </c>
      <c r="F69" s="43">
        <v>1</v>
      </c>
      <c r="G69" s="496">
        <v>1230</v>
      </c>
      <c r="H69" s="45">
        <v>0.23</v>
      </c>
      <c r="I69" s="46">
        <v>0.88</v>
      </c>
      <c r="J69" s="86">
        <f t="shared" ref="J69:J70" si="99">E69*G69*(1-H69)*1440/1000000*2.74</f>
        <v>44.842533120000006</v>
      </c>
      <c r="K69" s="86">
        <f t="shared" ref="K69:K70" si="100">(IF(G69&lt;L69,L69,G69)*(1-IF(H69&lt;N69,H69,N69))*E69*O69*Q69)/100000000</f>
        <v>4.8370291199999995</v>
      </c>
      <c r="L69" s="36">
        <v>1230</v>
      </c>
      <c r="M69" s="36">
        <v>947.09999999999991</v>
      </c>
      <c r="N69" s="47">
        <f t="shared" ref="N69:N70" si="101">1-(M69/L69)</f>
        <v>0.23000000000000009</v>
      </c>
      <c r="O69" s="48">
        <f>+'Trim Rwd'!H42</f>
        <v>266</v>
      </c>
      <c r="P69" s="49">
        <f t="shared" ref="P69:P70" si="102">O69*(Q69-R69-S69)</f>
        <v>39368</v>
      </c>
      <c r="Q69" s="48">
        <v>160</v>
      </c>
      <c r="R69" s="497">
        <v>0</v>
      </c>
      <c r="S69" s="497">
        <v>12</v>
      </c>
      <c r="T69" s="38">
        <f t="shared" ref="T69:T70" si="103">E69*M69*O69*Q69/100000000</f>
        <v>4.8370291199999995</v>
      </c>
      <c r="U69" s="38">
        <f t="shared" ref="U69:U70" si="104">E69*M69*O69*(Q69-R69-S69)/100000000</f>
        <v>4.4742519359999999</v>
      </c>
      <c r="V69" s="38">
        <f t="shared" ref="V69:V70" si="105">E69*G69*(1-N69)*O69/100*(R69+S69)/1000000</f>
        <v>0.36277718399999997</v>
      </c>
      <c r="W69" s="38">
        <f>+'13'!K13/1000</f>
        <v>7.984</v>
      </c>
      <c r="X69" s="498">
        <f>SUM(W69:W73)/SUM(K69:K73)</f>
        <v>0.95002271047008535</v>
      </c>
      <c r="Y69" s="216">
        <v>0</v>
      </c>
      <c r="Z69" s="38">
        <f>+'5'!D74/1000</f>
        <v>0</v>
      </c>
      <c r="AA69" s="50">
        <f>SUM(U69:U73)-SUM(W69:W73)-SUM(Z69:Z73)-SUM(Y69:Y73)</f>
        <v>-0.18024750400000755</v>
      </c>
      <c r="AB69" s="50">
        <f>(SUM(K69:K73)-SUM(W69:W73)-SUM(Y69:Y73)-SUM(Z69:Z73)-SUM(AC69:AC73)-SUM(V69:V73))-AA69</f>
        <v>0.5403340800000016</v>
      </c>
      <c r="AC69" s="38">
        <f>K69-T69</f>
        <v>0</v>
      </c>
      <c r="AD69" s="38">
        <f>+AM69+BA69</f>
        <v>18</v>
      </c>
      <c r="AE69" s="235" t="s">
        <v>544</v>
      </c>
      <c r="AF69" s="38">
        <v>18</v>
      </c>
      <c r="AG69" s="38"/>
      <c r="AH69" s="38"/>
      <c r="AI69" s="499"/>
      <c r="AJ69" s="38"/>
      <c r="AK69" s="38"/>
      <c r="AL69" s="38"/>
      <c r="AM69" s="38">
        <f t="shared" ref="AM69:AM72" si="106">SUM(AF69:AL69)+AT69+AV69+AX69</f>
        <v>18</v>
      </c>
      <c r="AN69" s="38"/>
      <c r="AO69" s="38"/>
      <c r="AP69" s="38"/>
      <c r="AQ69" s="38"/>
      <c r="AR69" s="38">
        <f>SUM(AN69:AQ69)</f>
        <v>0</v>
      </c>
      <c r="AS69" s="38"/>
      <c r="AT69" s="38"/>
      <c r="AU69" s="38"/>
      <c r="AV69" s="38"/>
      <c r="AW69" s="38"/>
      <c r="AX69" s="38"/>
      <c r="AY69" s="38"/>
      <c r="AZ69" s="38"/>
      <c r="BA69" s="38">
        <f>+AR69+AS69+AU69+AW69+AY69+AZ69</f>
        <v>0</v>
      </c>
      <c r="BB69" s="34">
        <v>9</v>
      </c>
      <c r="BC69" s="52"/>
      <c r="BD69" s="52"/>
      <c r="BE69" s="34"/>
      <c r="BF69" s="52"/>
    </row>
    <row r="70" spans="1:58" ht="12.95" customHeight="1">
      <c r="A70" s="41"/>
      <c r="B70" s="42" t="s">
        <v>490</v>
      </c>
      <c r="C70" s="411">
        <f t="shared" si="98"/>
        <v>41.605724159999994</v>
      </c>
      <c r="D70" s="42" t="s">
        <v>304</v>
      </c>
      <c r="E70" s="43">
        <v>13</v>
      </c>
      <c r="F70" s="43">
        <v>1</v>
      </c>
      <c r="G70" s="496">
        <v>1230</v>
      </c>
      <c r="H70" s="45">
        <v>0.22</v>
      </c>
      <c r="I70" s="46">
        <v>0.88</v>
      </c>
      <c r="J70" s="86">
        <f t="shared" si="99"/>
        <v>49.210312320000007</v>
      </c>
      <c r="K70" s="86">
        <f t="shared" si="100"/>
        <v>42.146058240000002</v>
      </c>
      <c r="L70" s="36">
        <v>1230</v>
      </c>
      <c r="M70" s="36">
        <v>947.09999999999991</v>
      </c>
      <c r="N70" s="47">
        <f t="shared" si="101"/>
        <v>0.23000000000000009</v>
      </c>
      <c r="O70" s="48">
        <f>+'Trim Rwd'!H44</f>
        <v>264</v>
      </c>
      <c r="P70" s="49">
        <f t="shared" si="102"/>
        <v>324720</v>
      </c>
      <c r="Q70" s="48">
        <v>1280</v>
      </c>
      <c r="R70" s="497">
        <v>0</v>
      </c>
      <c r="S70" s="497">
        <v>50</v>
      </c>
      <c r="T70" s="38">
        <f t="shared" si="103"/>
        <v>41.605724159999994</v>
      </c>
      <c r="U70" s="38">
        <f t="shared" si="104"/>
        <v>39.980500559999996</v>
      </c>
      <c r="V70" s="38">
        <f t="shared" si="105"/>
        <v>1.6252235999999998</v>
      </c>
      <c r="W70" s="38">
        <f>+'13'!K12/1000</f>
        <v>36.651000000000003</v>
      </c>
      <c r="X70" s="39"/>
      <c r="Y70" s="216"/>
      <c r="Z70" s="38"/>
      <c r="AA70" s="38"/>
      <c r="AB70" s="38"/>
      <c r="AC70" s="38"/>
      <c r="AD70" s="38">
        <f>+AM70+BA70</f>
        <v>0</v>
      </c>
      <c r="AE70" s="235" t="s">
        <v>286</v>
      </c>
      <c r="AF70" s="38"/>
      <c r="AG70" s="38">
        <v>0</v>
      </c>
      <c r="AH70" s="38"/>
      <c r="AI70" s="499"/>
      <c r="AJ70" s="38"/>
      <c r="AK70" s="38"/>
      <c r="AL70" s="38"/>
      <c r="AM70" s="38">
        <f t="shared" si="106"/>
        <v>0</v>
      </c>
      <c r="AN70" s="87"/>
      <c r="AO70" s="38"/>
      <c r="AP70" s="38"/>
      <c r="AQ70" s="38"/>
      <c r="AR70" s="38">
        <f t="shared" ref="AR70:AR72" si="107"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+AR70+AS70+AU70+AW70+AY70+AZ70</f>
        <v>0</v>
      </c>
      <c r="BB70" s="51"/>
      <c r="BC70" s="52">
        <v>0</v>
      </c>
      <c r="BD70" s="52"/>
      <c r="BE70" s="51"/>
      <c r="BF70" s="52"/>
    </row>
    <row r="71" spans="1:58" ht="12.95" customHeight="1">
      <c r="A71" s="41"/>
      <c r="B71" s="42"/>
      <c r="C71" s="411"/>
      <c r="D71" s="42"/>
      <c r="E71" s="43"/>
      <c r="F71" s="43"/>
      <c r="G71" s="44"/>
      <c r="H71" s="45"/>
      <c r="I71" s="46"/>
      <c r="J71" s="86"/>
      <c r="K71" s="86"/>
      <c r="L71" s="36"/>
      <c r="M71" s="36"/>
      <c r="N71" s="47"/>
      <c r="O71" s="48"/>
      <c r="P71" s="49"/>
      <c r="Q71" s="48"/>
      <c r="R71" s="497"/>
      <c r="S71" s="497"/>
      <c r="T71" s="38"/>
      <c r="U71" s="38"/>
      <c r="V71" s="38"/>
      <c r="W71" s="38"/>
      <c r="X71" s="39"/>
      <c r="Y71" s="216"/>
      <c r="Z71" s="38"/>
      <c r="AA71" s="38"/>
      <c r="AB71" s="38"/>
      <c r="AC71" s="38"/>
      <c r="AD71" s="38">
        <f>+AM71+BA71</f>
        <v>44</v>
      </c>
      <c r="AE71" s="235" t="s">
        <v>452</v>
      </c>
      <c r="AF71" s="34"/>
      <c r="AG71" s="34"/>
      <c r="AH71" s="34">
        <v>44</v>
      </c>
      <c r="AJ71" s="38"/>
      <c r="AK71" s="38"/>
      <c r="AL71" s="38"/>
      <c r="AM71" s="38">
        <f t="shared" si="106"/>
        <v>44</v>
      </c>
      <c r="AN71" s="38"/>
      <c r="AO71" s="38"/>
      <c r="AP71" s="38"/>
      <c r="AQ71" s="38"/>
      <c r="AR71" s="38">
        <f t="shared" si="107"/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34"/>
      <c r="BC71" s="500"/>
      <c r="BD71" s="500"/>
      <c r="BE71" s="34"/>
      <c r="BF71" s="500"/>
    </row>
    <row r="72" spans="1:58" ht="12.95" customHeight="1">
      <c r="A72" s="41"/>
      <c r="B72" s="42"/>
      <c r="C72" s="411"/>
      <c r="D72" s="42"/>
      <c r="E72" s="43"/>
      <c r="F72" s="43"/>
      <c r="G72" s="44"/>
      <c r="H72" s="45"/>
      <c r="I72" s="46"/>
      <c r="J72" s="86"/>
      <c r="K72" s="86"/>
      <c r="L72" s="36"/>
      <c r="M72" s="36"/>
      <c r="N72" s="47"/>
      <c r="O72" s="48"/>
      <c r="P72" s="49"/>
      <c r="Q72" s="35"/>
      <c r="R72" s="497"/>
      <c r="S72" s="497"/>
      <c r="T72" s="38"/>
      <c r="U72" s="38"/>
      <c r="V72" s="38"/>
      <c r="W72" s="38"/>
      <c r="X72" s="39"/>
      <c r="Y72" s="216"/>
      <c r="Z72" s="38"/>
      <c r="AA72" s="38"/>
      <c r="AB72" s="38"/>
      <c r="AC72" s="38"/>
      <c r="AD72" s="38">
        <f>+AM72+BA72</f>
        <v>0</v>
      </c>
      <c r="AE72" s="238" t="s">
        <v>380</v>
      </c>
      <c r="AF72" s="38"/>
      <c r="AG72" s="38"/>
      <c r="AH72" s="38"/>
      <c r="AI72" s="499">
        <v>0</v>
      </c>
      <c r="AJ72" s="38"/>
      <c r="AK72" s="38"/>
      <c r="AL72" s="38"/>
      <c r="AM72" s="38">
        <f t="shared" si="106"/>
        <v>0</v>
      </c>
      <c r="AN72" s="38"/>
      <c r="AO72" s="38"/>
      <c r="AP72" s="38"/>
      <c r="AQ72" s="38"/>
      <c r="AR72" s="38">
        <f t="shared" si="107"/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51"/>
      <c r="BC72" s="52"/>
      <c r="BD72" s="52"/>
      <c r="BE72" s="51"/>
      <c r="BF72" s="52"/>
    </row>
    <row r="73" spans="1:58" ht="12.95" customHeight="1">
      <c r="A73" s="41"/>
      <c r="B73" s="42"/>
      <c r="C73" s="411"/>
      <c r="D73" s="42"/>
      <c r="E73" s="43"/>
      <c r="F73" s="43"/>
      <c r="G73" s="44"/>
      <c r="H73" s="45"/>
      <c r="I73" s="46"/>
      <c r="J73" s="86"/>
      <c r="K73" s="86"/>
      <c r="L73" s="36"/>
      <c r="M73" s="36"/>
      <c r="N73" s="47"/>
      <c r="O73" s="48"/>
      <c r="P73" s="49"/>
      <c r="Q73" s="48"/>
      <c r="R73" s="497"/>
      <c r="S73" s="497"/>
      <c r="T73" s="38"/>
      <c r="U73" s="38"/>
      <c r="V73" s="38"/>
      <c r="W73" s="38"/>
      <c r="X73" s="39"/>
      <c r="Y73" s="216"/>
      <c r="Z73" s="38"/>
      <c r="AA73" s="38"/>
      <c r="AB73" s="38"/>
      <c r="AC73" s="38"/>
      <c r="AD73" s="38"/>
      <c r="AE73" s="235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2"/>
      <c r="BD73" s="52"/>
      <c r="BE73" s="52"/>
      <c r="BF73" s="52"/>
    </row>
    <row r="74" spans="1:58" ht="12.75" customHeight="1">
      <c r="A74" s="41">
        <v>45883</v>
      </c>
      <c r="B74" s="42" t="s">
        <v>490</v>
      </c>
      <c r="C74" s="411">
        <f t="shared" ref="C74:C75" si="108">(M74*E74*O74*Q74)/100000000</f>
        <v>20.625760508294114</v>
      </c>
      <c r="D74" s="42" t="s">
        <v>304</v>
      </c>
      <c r="E74" s="43">
        <v>13</v>
      </c>
      <c r="F74" s="43">
        <v>1</v>
      </c>
      <c r="G74" s="496">
        <v>1230</v>
      </c>
      <c r="H74" s="45">
        <v>0.22</v>
      </c>
      <c r="I74" s="46">
        <v>0.88</v>
      </c>
      <c r="J74" s="86">
        <f t="shared" ref="J74:J75" si="109">E74*G74*(1-H74)*1440/1000000*2.74</f>
        <v>49.210312320000007</v>
      </c>
      <c r="K74" s="86">
        <f t="shared" ref="K74:K75" si="110">(IF(G74&lt;L74,L74,G74)*(1-IF(H74&lt;N74,H74,N74))*E74*O74*Q74)/100000000</f>
        <v>20.893627527882348</v>
      </c>
      <c r="L74" s="36">
        <v>1230</v>
      </c>
      <c r="M74" s="36">
        <v>947.09999999999991</v>
      </c>
      <c r="N74" s="47">
        <f t="shared" ref="N74:N75" si="111">1-(M74/L74)</f>
        <v>0.23000000000000009</v>
      </c>
      <c r="O74" s="48">
        <f>+'Trim Rwd'!H46</f>
        <v>264.64705882352939</v>
      </c>
      <c r="P74" s="49">
        <f t="shared" ref="P74:P75" si="112">O74*(Q74-R74-S74)</f>
        <v>159582.17647058822</v>
      </c>
      <c r="Q74" s="48">
        <v>633</v>
      </c>
      <c r="R74" s="497">
        <v>0</v>
      </c>
      <c r="S74" s="497">
        <v>30</v>
      </c>
      <c r="T74" s="38">
        <f t="shared" ref="T74:T75" si="113">E74*M74*O74*Q74/100000000</f>
        <v>20.625760508294114</v>
      </c>
      <c r="U74" s="38">
        <f t="shared" ref="U74:U75" si="114">E74*M74*O74*(Q74-R74-S74)/100000000</f>
        <v>19.648236313588232</v>
      </c>
      <c r="V74" s="38">
        <f t="shared" ref="V74:V75" si="115">E74*G74*(1-N74)*O74/100*(R74+S74)/1000000</f>
        <v>0.97752419470588225</v>
      </c>
      <c r="W74" s="38">
        <f>+'14'!K12/1000</f>
        <v>19.867999999999999</v>
      </c>
      <c r="X74" s="498">
        <f>SUM(W74:W78)/SUM(K74:K78)</f>
        <v>0.91292631390021106</v>
      </c>
      <c r="Y74" s="216">
        <v>0</v>
      </c>
      <c r="Z74" s="38">
        <f>+'5'!D79/1000</f>
        <v>0</v>
      </c>
      <c r="AA74" s="50">
        <f>SUM(U74:U78)-SUM(W74:W78)-SUM(Z74:Z78)-SUM(Y74:Y78)</f>
        <v>1.3341945635882269</v>
      </c>
      <c r="AB74" s="50">
        <f>(SUM(K74:K78)-SUM(W74:W78)-SUM(Y74:Y78)-SUM(Z74:Z78)-SUM(AC74:AC78)-SUM(V74:V78))-AA74</f>
        <v>0.32259825000001019</v>
      </c>
      <c r="AC74" s="38">
        <f>K74-T74</f>
        <v>0.267867019588234</v>
      </c>
      <c r="AD74" s="38">
        <f>+AM74+BA74</f>
        <v>21</v>
      </c>
      <c r="AE74" s="235" t="s">
        <v>544</v>
      </c>
      <c r="AF74" s="38">
        <v>21</v>
      </c>
      <c r="AG74" s="38"/>
      <c r="AH74" s="38"/>
      <c r="AI74" s="499"/>
      <c r="AJ74" s="38"/>
      <c r="AK74" s="38"/>
      <c r="AL74" s="38"/>
      <c r="AM74" s="38">
        <f t="shared" ref="AM74:AM77" si="116">SUM(AF74:AL74)+AT74+AV74+AX74</f>
        <v>21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+AR74+AS74+AU74+AW74+AY74+AZ74</f>
        <v>0</v>
      </c>
      <c r="BB74" s="34">
        <v>9</v>
      </c>
      <c r="BC74" s="52"/>
      <c r="BD74" s="52"/>
      <c r="BE74" s="34"/>
      <c r="BF74" s="52"/>
    </row>
    <row r="75" spans="1:58" ht="12.95" customHeight="1">
      <c r="A75" s="41"/>
      <c r="B75" s="42" t="s">
        <v>490</v>
      </c>
      <c r="C75" s="411">
        <f t="shared" si="108"/>
        <v>24.840065249999995</v>
      </c>
      <c r="D75" s="42" t="s">
        <v>304</v>
      </c>
      <c r="E75" s="43">
        <v>12.5</v>
      </c>
      <c r="F75" s="43">
        <v>1</v>
      </c>
      <c r="G75" s="496">
        <v>1230</v>
      </c>
      <c r="H75" s="45">
        <v>0.22</v>
      </c>
      <c r="I75" s="46">
        <v>0.88</v>
      </c>
      <c r="J75" s="86">
        <f t="shared" si="109"/>
        <v>47.317608000000007</v>
      </c>
      <c r="K75" s="86">
        <f t="shared" si="110"/>
        <v>25.162663500000001</v>
      </c>
      <c r="L75" s="36">
        <v>1230</v>
      </c>
      <c r="M75" s="36">
        <v>947.09999999999991</v>
      </c>
      <c r="N75" s="47">
        <f t="shared" si="111"/>
        <v>0.23000000000000009</v>
      </c>
      <c r="O75" s="48">
        <f>+'Trim Rwd'!H48</f>
        <v>260</v>
      </c>
      <c r="P75" s="49">
        <f t="shared" si="112"/>
        <v>200460</v>
      </c>
      <c r="Q75" s="48">
        <v>807</v>
      </c>
      <c r="R75" s="497">
        <v>0</v>
      </c>
      <c r="S75" s="497">
        <v>36</v>
      </c>
      <c r="T75" s="38">
        <f t="shared" si="113"/>
        <v>24.840065249999995</v>
      </c>
      <c r="U75" s="38">
        <f t="shared" si="114"/>
        <v>23.731958249999995</v>
      </c>
      <c r="V75" s="38">
        <f t="shared" si="115"/>
        <v>1.1081069999999997</v>
      </c>
      <c r="W75" s="38">
        <f>+'14'!K14/1000</f>
        <v>22.178000000000001</v>
      </c>
      <c r="X75" s="39"/>
      <c r="Y75" s="216"/>
      <c r="Z75" s="38"/>
      <c r="AA75" s="38"/>
      <c r="AB75" s="38"/>
      <c r="AC75" s="38"/>
      <c r="AD75" s="38">
        <f>+AM75+BA75</f>
        <v>0</v>
      </c>
      <c r="AE75" s="235" t="s">
        <v>286</v>
      </c>
      <c r="AF75" s="38"/>
      <c r="AG75" s="38">
        <v>0</v>
      </c>
      <c r="AH75" s="38"/>
      <c r="AI75" s="499"/>
      <c r="AJ75" s="38"/>
      <c r="AK75" s="38"/>
      <c r="AL75" s="38"/>
      <c r="AM75" s="38">
        <f t="shared" si="116"/>
        <v>0</v>
      </c>
      <c r="AN75" s="87"/>
      <c r="AO75" s="38"/>
      <c r="AP75" s="38"/>
      <c r="AQ75" s="38"/>
      <c r="AR75" s="38">
        <f t="shared" ref="AR75:AR77" si="117"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51"/>
      <c r="BC75" s="52">
        <v>0</v>
      </c>
      <c r="BD75" s="52"/>
      <c r="BE75" s="51"/>
      <c r="BF75" s="52"/>
    </row>
    <row r="76" spans="1:58" ht="12.95" customHeight="1">
      <c r="A76" s="41"/>
      <c r="B76" s="42"/>
      <c r="C76" s="411"/>
      <c r="D76" s="42"/>
      <c r="E76" s="43"/>
      <c r="F76" s="43"/>
      <c r="G76" s="44"/>
      <c r="H76" s="45"/>
      <c r="I76" s="46"/>
      <c r="J76" s="86"/>
      <c r="K76" s="86"/>
      <c r="L76" s="36"/>
      <c r="M76" s="36"/>
      <c r="N76" s="47"/>
      <c r="O76" s="48"/>
      <c r="P76" s="49"/>
      <c r="Q76" s="48"/>
      <c r="R76" s="497"/>
      <c r="S76" s="497"/>
      <c r="T76" s="38"/>
      <c r="U76" s="38"/>
      <c r="V76" s="38"/>
      <c r="W76" s="38"/>
      <c r="X76" s="39"/>
      <c r="Y76" s="216"/>
      <c r="Z76" s="38"/>
      <c r="AA76" s="38"/>
      <c r="AB76" s="38"/>
      <c r="AC76" s="38"/>
      <c r="AD76" s="38">
        <f>+AM76+BA76</f>
        <v>45</v>
      </c>
      <c r="AE76" s="235" t="s">
        <v>452</v>
      </c>
      <c r="AF76" s="34"/>
      <c r="AG76" s="34"/>
      <c r="AH76" s="34">
        <v>45</v>
      </c>
      <c r="AJ76" s="38"/>
      <c r="AK76" s="38"/>
      <c r="AL76" s="38"/>
      <c r="AM76" s="38">
        <f t="shared" si="116"/>
        <v>45</v>
      </c>
      <c r="AN76" s="38"/>
      <c r="AO76" s="38"/>
      <c r="AP76" s="38"/>
      <c r="AQ76" s="38"/>
      <c r="AR76" s="38">
        <f t="shared" si="117"/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34"/>
      <c r="BC76" s="500"/>
      <c r="BD76" s="500"/>
      <c r="BE76" s="34"/>
      <c r="BF76" s="500"/>
    </row>
    <row r="77" spans="1:58" ht="12.95" customHeight="1">
      <c r="A77" s="41"/>
      <c r="B77" s="42"/>
      <c r="C77" s="411"/>
      <c r="D77" s="42"/>
      <c r="E77" s="43"/>
      <c r="F77" s="43"/>
      <c r="G77" s="44"/>
      <c r="H77" s="45"/>
      <c r="I77" s="46"/>
      <c r="J77" s="86"/>
      <c r="K77" s="86"/>
      <c r="L77" s="36"/>
      <c r="M77" s="36"/>
      <c r="N77" s="47"/>
      <c r="O77" s="48"/>
      <c r="P77" s="49"/>
      <c r="Q77" s="35"/>
      <c r="R77" s="497"/>
      <c r="S77" s="497"/>
      <c r="T77" s="38"/>
      <c r="U77" s="38"/>
      <c r="V77" s="38"/>
      <c r="W77" s="38"/>
      <c r="X77" s="39"/>
      <c r="Y77" s="216"/>
      <c r="Z77" s="38"/>
      <c r="AA77" s="38"/>
      <c r="AB77" s="38"/>
      <c r="AC77" s="38"/>
      <c r="AD77" s="38">
        <f>+AM77+BA77</f>
        <v>0</v>
      </c>
      <c r="AE77" s="238" t="s">
        <v>380</v>
      </c>
      <c r="AF77" s="38"/>
      <c r="AG77" s="38"/>
      <c r="AH77" s="38"/>
      <c r="AI77" s="499">
        <v>0</v>
      </c>
      <c r="AJ77" s="38"/>
      <c r="AK77" s="38"/>
      <c r="AL77" s="38"/>
      <c r="AM77" s="38">
        <f t="shared" si="116"/>
        <v>0</v>
      </c>
      <c r="AN77" s="38"/>
      <c r="AO77" s="38"/>
      <c r="AP77" s="38"/>
      <c r="AQ77" s="38"/>
      <c r="AR77" s="38">
        <f t="shared" si="117"/>
        <v>0</v>
      </c>
      <c r="AS77" s="38"/>
      <c r="AT77" s="38"/>
      <c r="AU77" s="38"/>
      <c r="AV77" s="38"/>
      <c r="AW77" s="38"/>
      <c r="AX77" s="38"/>
      <c r="AY77" s="38"/>
      <c r="AZ77" s="38"/>
      <c r="BA77" s="38">
        <f>+AR77+AS77+AU77+AW77+AY77+AZ77</f>
        <v>0</v>
      </c>
      <c r="BB77" s="51"/>
      <c r="BC77" s="52"/>
      <c r="BD77" s="52"/>
      <c r="BE77" s="51"/>
      <c r="BF77" s="52"/>
    </row>
    <row r="78" spans="1:58" ht="12.95" customHeight="1">
      <c r="A78" s="41"/>
      <c r="B78" s="42"/>
      <c r="C78" s="411"/>
      <c r="D78" s="42"/>
      <c r="E78" s="43"/>
      <c r="F78" s="43"/>
      <c r="G78" s="44"/>
      <c r="H78" s="45"/>
      <c r="I78" s="46"/>
      <c r="J78" s="86"/>
      <c r="K78" s="86"/>
      <c r="L78" s="36"/>
      <c r="M78" s="36"/>
      <c r="N78" s="47"/>
      <c r="O78" s="48"/>
      <c r="P78" s="49"/>
      <c r="Q78" s="48"/>
      <c r="R78" s="497"/>
      <c r="S78" s="497"/>
      <c r="T78" s="38"/>
      <c r="U78" s="38"/>
      <c r="V78" s="38"/>
      <c r="W78" s="38"/>
      <c r="X78" s="39"/>
      <c r="Y78" s="216"/>
      <c r="Z78" s="38"/>
      <c r="AA78" s="50"/>
      <c r="AB78" s="50"/>
      <c r="AC78" s="38"/>
      <c r="AD78" s="38"/>
      <c r="AE78" s="2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4"/>
      <c r="BC78" s="52"/>
      <c r="BD78" s="52"/>
      <c r="BE78" s="52"/>
      <c r="BF78" s="52"/>
    </row>
    <row r="79" spans="1:58" ht="12.75" customHeight="1">
      <c r="A79" s="41">
        <v>45884</v>
      </c>
      <c r="B79" s="42" t="s">
        <v>490</v>
      </c>
      <c r="C79" s="411">
        <f t="shared" ref="C79" si="118">(M79*E79*O79*Q79)/100000000</f>
        <v>48.974919839999991</v>
      </c>
      <c r="D79" s="42" t="s">
        <v>304</v>
      </c>
      <c r="E79" s="43">
        <v>13.5</v>
      </c>
      <c r="F79" s="43">
        <v>1</v>
      </c>
      <c r="G79" s="496">
        <v>1230</v>
      </c>
      <c r="H79" s="45">
        <v>0.22</v>
      </c>
      <c r="I79" s="46">
        <v>0.88</v>
      </c>
      <c r="J79" s="86">
        <f t="shared" ref="J79" si="119">E79*G79*(1-H79)*1440/1000000*2.74</f>
        <v>51.10301664</v>
      </c>
      <c r="K79" s="86">
        <f t="shared" ref="K79" si="120">(IF(G79&lt;L79,L79,G79)*(1-IF(H79&lt;N79,H79,N79))*E79*O79*Q79)/100000000</f>
        <v>49.610957759999998</v>
      </c>
      <c r="L79" s="36">
        <v>1230</v>
      </c>
      <c r="M79" s="36">
        <v>947.09999999999991</v>
      </c>
      <c r="N79" s="47">
        <f t="shared" ref="N79" si="121">1-(M79/L79)</f>
        <v>0.23000000000000009</v>
      </c>
      <c r="O79" s="48">
        <f>+'Trim Rwd'!H50</f>
        <v>266</v>
      </c>
      <c r="P79" s="49">
        <f t="shared" ref="P79" si="122">O79*(Q79-R79-S79)</f>
        <v>368942</v>
      </c>
      <c r="Q79" s="48">
        <v>1440</v>
      </c>
      <c r="R79" s="497">
        <v>0</v>
      </c>
      <c r="S79" s="497">
        <v>53</v>
      </c>
      <c r="T79" s="38">
        <f t="shared" ref="T79" si="123">E79*M79*O79*Q79/100000000</f>
        <v>48.974919839999991</v>
      </c>
      <c r="U79" s="38">
        <f t="shared" ref="U79" si="124">E79*M79*O79*(Q79-R79-S79)/100000000</f>
        <v>47.172370706999999</v>
      </c>
      <c r="V79" s="38">
        <f t="shared" ref="V79" si="125">E79*G79*(1-N79)*O79/100*(R79+S79)/1000000</f>
        <v>1.8025491329999999</v>
      </c>
      <c r="W79" s="38">
        <f>+'15'!K11/1000</f>
        <v>44.924999999999997</v>
      </c>
      <c r="X79" s="498">
        <f>SUM(W79:W83)/SUM(K79:K83)</f>
        <v>0.90554591220211911</v>
      </c>
      <c r="Y79" s="216">
        <v>0</v>
      </c>
      <c r="Z79" s="38">
        <f>+'15'!D25/1000</f>
        <v>0.309</v>
      </c>
      <c r="AA79" s="50">
        <f>SUM(U79:U83)-SUM(W79:W83)-SUM(Z79:Z83)-SUM(Y79:Y83)</f>
        <v>1.9383707070000018</v>
      </c>
      <c r="AB79" s="50">
        <f>(SUM(K79:K83)-SUM(W79:W83)-SUM(Y79:Y83)-SUM(Z79:Z83)-SUM(AC79:AC83)-SUM(V79:V83))-AA79</f>
        <v>-7.7715611723760958E-15</v>
      </c>
      <c r="AC79" s="38">
        <f>K79-T79</f>
        <v>0.63603792000000681</v>
      </c>
      <c r="AD79" s="38">
        <f>+AM79+BA79</f>
        <v>14</v>
      </c>
      <c r="AE79" s="235" t="s">
        <v>436</v>
      </c>
      <c r="AF79" s="38">
        <v>14</v>
      </c>
      <c r="AG79" s="38"/>
      <c r="AH79" s="38"/>
      <c r="AI79" s="499"/>
      <c r="AJ79" s="38"/>
      <c r="AK79" s="38"/>
      <c r="AL79" s="38"/>
      <c r="AM79" s="38">
        <f t="shared" ref="AM79:AM82" si="126">SUM(AF79:AL79)+AT79+AV79+AX79</f>
        <v>14</v>
      </c>
      <c r="AN79" s="38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34">
        <v>6</v>
      </c>
      <c r="BC79" s="52"/>
      <c r="BD79" s="52"/>
      <c r="BE79" s="34"/>
      <c r="BF79" s="52"/>
    </row>
    <row r="80" spans="1:58" ht="12.95" customHeight="1">
      <c r="A80" s="41"/>
      <c r="B80" s="42"/>
      <c r="C80" s="411"/>
      <c r="D80" s="42"/>
      <c r="E80" s="43"/>
      <c r="F80" s="43"/>
      <c r="G80" s="496"/>
      <c r="H80" s="45"/>
      <c r="I80" s="46"/>
      <c r="J80" s="86"/>
      <c r="K80" s="86"/>
      <c r="L80" s="36"/>
      <c r="M80" s="36"/>
      <c r="N80" s="47"/>
      <c r="O80" s="48"/>
      <c r="P80" s="49"/>
      <c r="Q80" s="48"/>
      <c r="R80" s="497"/>
      <c r="S80" s="497"/>
      <c r="T80" s="38"/>
      <c r="U80" s="38"/>
      <c r="V80" s="38"/>
      <c r="W80" s="38"/>
      <c r="X80" s="39"/>
      <c r="Y80" s="216"/>
      <c r="Z80" s="38"/>
      <c r="AA80" s="38"/>
      <c r="AB80" s="38"/>
      <c r="AC80" s="38"/>
      <c r="AD80" s="38">
        <f>+AM80+BA80</f>
        <v>7</v>
      </c>
      <c r="AE80" s="235" t="s">
        <v>429</v>
      </c>
      <c r="AF80" s="38"/>
      <c r="AG80" s="38">
        <v>7</v>
      </c>
      <c r="AH80" s="38"/>
      <c r="AI80" s="499"/>
      <c r="AJ80" s="38"/>
      <c r="AK80" s="38"/>
      <c r="AL80" s="38"/>
      <c r="AM80" s="38">
        <f t="shared" si="126"/>
        <v>7</v>
      </c>
      <c r="AN80" s="87"/>
      <c r="AO80" s="38"/>
      <c r="AP80" s="38"/>
      <c r="AQ80" s="38"/>
      <c r="AR80" s="38">
        <f t="shared" ref="AR80:AR82" si="127"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51"/>
      <c r="BC80" s="52">
        <v>4</v>
      </c>
      <c r="BD80" s="52"/>
      <c r="BE80" s="51"/>
      <c r="BF80" s="52"/>
    </row>
    <row r="81" spans="1:58" ht="12.95" customHeight="1">
      <c r="A81" s="41"/>
      <c r="B81" s="42"/>
      <c r="C81" s="411"/>
      <c r="D81" s="42"/>
      <c r="E81" s="43"/>
      <c r="F81" s="43"/>
      <c r="G81" s="44"/>
      <c r="H81" s="45"/>
      <c r="I81" s="46"/>
      <c r="J81" s="86"/>
      <c r="K81" s="86"/>
      <c r="L81" s="36"/>
      <c r="M81" s="36"/>
      <c r="N81" s="47"/>
      <c r="O81" s="48"/>
      <c r="P81" s="49"/>
      <c r="Q81" s="48"/>
      <c r="R81" s="497"/>
      <c r="S81" s="497"/>
      <c r="T81" s="38"/>
      <c r="U81" s="38"/>
      <c r="V81" s="38"/>
      <c r="W81" s="38"/>
      <c r="X81" s="39"/>
      <c r="Y81" s="216"/>
      <c r="Z81" s="38"/>
      <c r="AA81" s="38"/>
      <c r="AB81" s="38"/>
      <c r="AC81" s="38"/>
      <c r="AD81" s="38">
        <f>+AM81+BA81</f>
        <v>32</v>
      </c>
      <c r="AE81" s="235" t="s">
        <v>411</v>
      </c>
      <c r="AF81" s="34"/>
      <c r="AG81" s="34"/>
      <c r="AH81" s="34">
        <v>32</v>
      </c>
      <c r="AJ81" s="38"/>
      <c r="AK81" s="38"/>
      <c r="AL81" s="38"/>
      <c r="AM81" s="38">
        <f t="shared" si="126"/>
        <v>32</v>
      </c>
      <c r="AN81" s="38"/>
      <c r="AO81" s="38"/>
      <c r="AP81" s="38"/>
      <c r="AQ81" s="38"/>
      <c r="AR81" s="38">
        <f t="shared" si="127"/>
        <v>0</v>
      </c>
      <c r="AS81" s="38"/>
      <c r="AT81" s="38"/>
      <c r="AU81" s="38"/>
      <c r="AV81" s="38"/>
      <c r="AW81" s="38"/>
      <c r="AX81" s="38"/>
      <c r="AY81" s="38"/>
      <c r="AZ81" s="38"/>
      <c r="BA81" s="38">
        <f>+AR81+AS81+AU81+AW81+AY81+AZ81</f>
        <v>0</v>
      </c>
      <c r="BB81" s="34"/>
      <c r="BC81" s="500"/>
      <c r="BD81" s="500"/>
      <c r="BE81" s="34"/>
      <c r="BF81" s="500"/>
    </row>
    <row r="82" spans="1:58" ht="12.95" customHeight="1">
      <c r="A82" s="41"/>
      <c r="B82" s="42"/>
      <c r="C82" s="411"/>
      <c r="D82" s="42"/>
      <c r="E82" s="43"/>
      <c r="F82" s="43"/>
      <c r="G82" s="44"/>
      <c r="H82" s="45"/>
      <c r="I82" s="46"/>
      <c r="J82" s="86"/>
      <c r="K82" s="86"/>
      <c r="L82" s="36"/>
      <c r="M82" s="36"/>
      <c r="N82" s="47"/>
      <c r="O82" s="48"/>
      <c r="P82" s="49"/>
      <c r="Q82" s="35"/>
      <c r="R82" s="497"/>
      <c r="S82" s="497"/>
      <c r="T82" s="38"/>
      <c r="U82" s="38"/>
      <c r="V82" s="38"/>
      <c r="W82" s="38"/>
      <c r="X82" s="39"/>
      <c r="Y82" s="216"/>
      <c r="Z82" s="38"/>
      <c r="AA82" s="38"/>
      <c r="AB82" s="38"/>
      <c r="AC82" s="38"/>
      <c r="AD82" s="38">
        <f>+AM82+BA82</f>
        <v>0</v>
      </c>
      <c r="AE82" s="238" t="s">
        <v>380</v>
      </c>
      <c r="AF82" s="38"/>
      <c r="AG82" s="38"/>
      <c r="AH82" s="38"/>
      <c r="AI82" s="499">
        <v>0</v>
      </c>
      <c r="AJ82" s="38"/>
      <c r="AK82" s="38"/>
      <c r="AL82" s="38"/>
      <c r="AM82" s="38">
        <f t="shared" si="126"/>
        <v>0</v>
      </c>
      <c r="AN82" s="38"/>
      <c r="AO82" s="38"/>
      <c r="AP82" s="38"/>
      <c r="AQ82" s="38"/>
      <c r="AR82" s="38">
        <f t="shared" si="127"/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>+AR82+AS82+AU82+AW82+AY82+AZ82</f>
        <v>0</v>
      </c>
      <c r="BB82" s="51"/>
      <c r="BC82" s="52"/>
      <c r="BD82" s="52"/>
      <c r="BE82" s="51"/>
      <c r="BF82" s="52"/>
    </row>
    <row r="83" spans="1:58" ht="12.75" customHeight="1">
      <c r="A83" s="41"/>
      <c r="B83" s="42"/>
      <c r="C83" s="411"/>
      <c r="D83" s="42"/>
      <c r="E83" s="43"/>
      <c r="F83" s="43"/>
      <c r="G83" s="44"/>
      <c r="H83" s="45"/>
      <c r="I83" s="46"/>
      <c r="J83" s="86"/>
      <c r="K83" s="86"/>
      <c r="L83" s="36"/>
      <c r="M83" s="36"/>
      <c r="N83" s="47"/>
      <c r="O83" s="48"/>
      <c r="P83" s="49"/>
      <c r="Q83" s="48"/>
      <c r="R83" s="497"/>
      <c r="S83" s="497"/>
      <c r="T83" s="38"/>
      <c r="U83" s="38"/>
      <c r="V83" s="38"/>
      <c r="W83" s="38"/>
      <c r="X83" s="39"/>
      <c r="Y83" s="216"/>
      <c r="Z83" s="38"/>
      <c r="AA83" s="50"/>
      <c r="AB83" s="50"/>
      <c r="AC83" s="38"/>
      <c r="AD83" s="38"/>
      <c r="AE83" s="169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4"/>
      <c r="BC83" s="52"/>
      <c r="BD83" s="52"/>
      <c r="BE83" s="52"/>
      <c r="BF83" s="52"/>
    </row>
    <row r="84" spans="1:58" ht="12.75" customHeight="1">
      <c r="A84" s="41">
        <v>45885</v>
      </c>
      <c r="B84" s="42" t="s">
        <v>490</v>
      </c>
      <c r="C84" s="411">
        <f t="shared" ref="C84" si="128">(M84*E84*O84*Q84)/100000000</f>
        <v>48.974919839999991</v>
      </c>
      <c r="D84" s="42" t="s">
        <v>304</v>
      </c>
      <c r="E84" s="43">
        <v>13.5</v>
      </c>
      <c r="F84" s="43">
        <v>1</v>
      </c>
      <c r="G84" s="496">
        <v>1230</v>
      </c>
      <c r="H84" s="45">
        <v>0.22</v>
      </c>
      <c r="I84" s="46">
        <v>0.88</v>
      </c>
      <c r="J84" s="86">
        <f t="shared" ref="J84" si="129">E84*G84*(1-H84)*1440/1000000*2.74</f>
        <v>51.10301664</v>
      </c>
      <c r="K84" s="86">
        <f t="shared" ref="K84" si="130">(IF(G84&lt;L84,L84,G84)*(1-IF(H84&lt;N84,H84,N84))*E84*O84*Q84)/100000000</f>
        <v>49.610957759999998</v>
      </c>
      <c r="L84" s="36">
        <v>1230</v>
      </c>
      <c r="M84" s="36">
        <v>947.09999999999991</v>
      </c>
      <c r="N84" s="47">
        <f t="shared" ref="N84" si="131">1-(M84/L84)</f>
        <v>0.23000000000000009</v>
      </c>
      <c r="O84" s="48">
        <f>+'Trim Rwd'!H52</f>
        <v>266</v>
      </c>
      <c r="P84" s="49">
        <f t="shared" ref="P84" si="132">O84*(Q84-R84-S84)</f>
        <v>366548</v>
      </c>
      <c r="Q84" s="48">
        <v>1440</v>
      </c>
      <c r="R84" s="497">
        <v>0</v>
      </c>
      <c r="S84" s="497">
        <v>62</v>
      </c>
      <c r="T84" s="38">
        <f t="shared" ref="T84" si="133">E84*M84*O84*Q84/100000000</f>
        <v>48.974919839999991</v>
      </c>
      <c r="U84" s="38">
        <f t="shared" ref="U84" si="134">E84*M84*O84*(Q84-R84-S84)/100000000</f>
        <v>46.866277457999992</v>
      </c>
      <c r="V84" s="38">
        <f t="shared" ref="V84" si="135">E84*G84*(1-N84)*O84/100*(R84+S84)/1000000</f>
        <v>2.1086423819999998</v>
      </c>
      <c r="W84" s="38">
        <f>+'16'!K11/1000</f>
        <v>45.956000000000003</v>
      </c>
      <c r="X84" s="498">
        <f>SUM(W84:W88)/SUM(K84:K88)</f>
        <v>0.92632761137808772</v>
      </c>
      <c r="Y84" s="216">
        <v>0</v>
      </c>
      <c r="Z84" s="38">
        <f>+'16'!D16/1000</f>
        <v>0.56000000000000005</v>
      </c>
      <c r="AA84" s="50">
        <f>SUM(U84:U88)-SUM(W84:W88)-SUM(Z84:Z88)-SUM(Y84:Y88)</f>
        <v>0.35027745799998877</v>
      </c>
      <c r="AB84" s="50">
        <f>(SUM(K84:K88)-SUM(W84:W88)-SUM(Y84:Y88)-SUM(Z84:Z88)-SUM(AC84:AC88)-SUM(V84:V88))-AA84</f>
        <v>-4.4408920985006262E-16</v>
      </c>
      <c r="AC84" s="38">
        <f>K84-T84</f>
        <v>0.63603792000000681</v>
      </c>
      <c r="AD84" s="38">
        <f>+AM84+BA84</f>
        <v>8</v>
      </c>
      <c r="AE84" s="235" t="s">
        <v>563</v>
      </c>
      <c r="AF84" s="38">
        <v>8</v>
      </c>
      <c r="AG84" s="38"/>
      <c r="AH84" s="38"/>
      <c r="AI84" s="499"/>
      <c r="AJ84" s="38"/>
      <c r="AK84" s="38"/>
      <c r="AL84" s="38"/>
      <c r="AM84" s="38">
        <f t="shared" ref="AM84:AM87" si="136">SUM(AF84:AL84)+AT84+AV84+AX84</f>
        <v>8</v>
      </c>
      <c r="AN84" s="38"/>
      <c r="AO84" s="38"/>
      <c r="AP84" s="38"/>
      <c r="AQ84" s="38"/>
      <c r="AR84" s="38">
        <f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34">
        <v>4</v>
      </c>
      <c r="BC84" s="52"/>
      <c r="BD84" s="52"/>
      <c r="BE84" s="34"/>
      <c r="BF84" s="52"/>
    </row>
    <row r="85" spans="1:58" ht="12.95" customHeight="1">
      <c r="A85" s="41"/>
      <c r="B85" s="42"/>
      <c r="C85" s="411"/>
      <c r="D85" s="42"/>
      <c r="E85" s="43"/>
      <c r="F85" s="43"/>
      <c r="G85" s="496"/>
      <c r="H85" s="45"/>
      <c r="I85" s="46"/>
      <c r="J85" s="86"/>
      <c r="K85" s="86"/>
      <c r="L85" s="36"/>
      <c r="M85" s="36"/>
      <c r="N85" s="47"/>
      <c r="O85" s="48"/>
      <c r="P85" s="49"/>
      <c r="Q85" s="48"/>
      <c r="R85" s="497"/>
      <c r="S85" s="497"/>
      <c r="T85" s="38"/>
      <c r="U85" s="38"/>
      <c r="V85" s="38"/>
      <c r="W85" s="38"/>
      <c r="X85" s="39"/>
      <c r="Y85" s="216"/>
      <c r="Z85" s="38"/>
      <c r="AA85" s="38"/>
      <c r="AB85" s="38"/>
      <c r="AC85" s="38"/>
      <c r="AD85" s="38">
        <f>+AM85+BA85</f>
        <v>16</v>
      </c>
      <c r="AE85" s="235" t="s">
        <v>512</v>
      </c>
      <c r="AF85" s="38"/>
      <c r="AG85" s="38">
        <v>16</v>
      </c>
      <c r="AH85" s="38"/>
      <c r="AI85" s="499"/>
      <c r="AJ85" s="38"/>
      <c r="AK85" s="38"/>
      <c r="AL85" s="38"/>
      <c r="AM85" s="38">
        <f t="shared" si="136"/>
        <v>16</v>
      </c>
      <c r="AN85" s="87"/>
      <c r="AO85" s="38"/>
      <c r="AP85" s="38"/>
      <c r="AQ85" s="38"/>
      <c r="AR85" s="38">
        <f t="shared" ref="AR85:AR87" si="137">SUM(AN85:AQ85)</f>
        <v>0</v>
      </c>
      <c r="AS85" s="38"/>
      <c r="AT85" s="38"/>
      <c r="AU85" s="38"/>
      <c r="AV85" s="38"/>
      <c r="AW85" s="38"/>
      <c r="AX85" s="38"/>
      <c r="AY85" s="38"/>
      <c r="AZ85" s="38"/>
      <c r="BA85" s="38">
        <f>+AR85+AS85+AU85+AW85+AY85+AZ85</f>
        <v>0</v>
      </c>
      <c r="BB85" s="51"/>
      <c r="BC85" s="52">
        <v>8</v>
      </c>
      <c r="BD85" s="52"/>
      <c r="BE85" s="51"/>
      <c r="BF85" s="52"/>
    </row>
    <row r="86" spans="1:58" ht="12.95" customHeight="1">
      <c r="A86" s="41"/>
      <c r="B86" s="42"/>
      <c r="C86" s="411"/>
      <c r="D86" s="42"/>
      <c r="E86" s="43"/>
      <c r="F86" s="43"/>
      <c r="G86" s="44"/>
      <c r="H86" s="45"/>
      <c r="I86" s="46"/>
      <c r="J86" s="86"/>
      <c r="K86" s="86"/>
      <c r="L86" s="36"/>
      <c r="M86" s="36"/>
      <c r="N86" s="47"/>
      <c r="O86" s="48"/>
      <c r="P86" s="49"/>
      <c r="Q86" s="48"/>
      <c r="R86" s="497"/>
      <c r="S86" s="497"/>
      <c r="T86" s="38"/>
      <c r="U86" s="38"/>
      <c r="V86" s="38"/>
      <c r="W86" s="38"/>
      <c r="X86" s="39"/>
      <c r="Y86" s="216"/>
      <c r="Z86" s="38"/>
      <c r="AA86" s="38"/>
      <c r="AB86" s="38"/>
      <c r="AC86" s="38"/>
      <c r="AD86" s="38">
        <f>+AM86+BA86</f>
        <v>38</v>
      </c>
      <c r="AE86" s="235" t="s">
        <v>566</v>
      </c>
      <c r="AF86" s="34"/>
      <c r="AG86" s="34"/>
      <c r="AH86" s="34">
        <v>38</v>
      </c>
      <c r="AJ86" s="38"/>
      <c r="AK86" s="38"/>
      <c r="AL86" s="38"/>
      <c r="AM86" s="38">
        <f t="shared" si="136"/>
        <v>38</v>
      </c>
      <c r="AN86" s="38"/>
      <c r="AO86" s="38"/>
      <c r="AP86" s="38"/>
      <c r="AQ86" s="38"/>
      <c r="AR86" s="38">
        <f t="shared" si="137"/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+AR86+AS86+AU86+AW86+AY86+AZ86</f>
        <v>0</v>
      </c>
      <c r="BB86" s="34"/>
      <c r="BC86" s="500"/>
      <c r="BD86" s="500"/>
      <c r="BE86" s="34"/>
      <c r="BF86" s="500"/>
    </row>
    <row r="87" spans="1:58" ht="12.95" customHeight="1">
      <c r="A87" s="41"/>
      <c r="B87" s="42"/>
      <c r="C87" s="411"/>
      <c r="D87" s="42"/>
      <c r="E87" s="43"/>
      <c r="F87" s="43"/>
      <c r="G87" s="44"/>
      <c r="H87" s="45"/>
      <c r="I87" s="46"/>
      <c r="J87" s="86"/>
      <c r="K87" s="86"/>
      <c r="L87" s="36"/>
      <c r="M87" s="36"/>
      <c r="N87" s="47"/>
      <c r="O87" s="48"/>
      <c r="P87" s="49"/>
      <c r="Q87" s="35"/>
      <c r="R87" s="497"/>
      <c r="S87" s="497"/>
      <c r="T87" s="38"/>
      <c r="U87" s="38"/>
      <c r="V87" s="38"/>
      <c r="W87" s="38"/>
      <c r="X87" s="39"/>
      <c r="Y87" s="216"/>
      <c r="Z87" s="38"/>
      <c r="AA87" s="38"/>
      <c r="AB87" s="38"/>
      <c r="AC87" s="38"/>
      <c r="AD87" s="38">
        <f>+AM87+BA87</f>
        <v>0</v>
      </c>
      <c r="AE87" s="238" t="s">
        <v>380</v>
      </c>
      <c r="AF87" s="38"/>
      <c r="AG87" s="38"/>
      <c r="AH87" s="38"/>
      <c r="AI87" s="499">
        <v>0</v>
      </c>
      <c r="AJ87" s="38"/>
      <c r="AK87" s="38"/>
      <c r="AL87" s="38"/>
      <c r="AM87" s="38">
        <f t="shared" si="136"/>
        <v>0</v>
      </c>
      <c r="AN87" s="38"/>
      <c r="AO87" s="38"/>
      <c r="AP87" s="38"/>
      <c r="AQ87" s="38"/>
      <c r="AR87" s="38">
        <f t="shared" si="137"/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51"/>
      <c r="BC87" s="52"/>
      <c r="BD87" s="52"/>
      <c r="BE87" s="51"/>
      <c r="BF87" s="52"/>
    </row>
    <row r="88" spans="1:58" ht="12.95" customHeight="1">
      <c r="A88" s="41"/>
      <c r="B88" s="3"/>
      <c r="C88" s="411"/>
      <c r="D88" s="42"/>
      <c r="E88" s="43"/>
      <c r="F88" s="43"/>
      <c r="G88" s="44"/>
      <c r="H88" s="45"/>
      <c r="I88" s="46"/>
      <c r="J88" s="86"/>
      <c r="K88" s="86"/>
      <c r="L88" s="36"/>
      <c r="M88" s="36"/>
      <c r="N88" s="47"/>
      <c r="O88" s="48"/>
      <c r="P88" s="49"/>
      <c r="Q88" s="35"/>
      <c r="R88" s="497"/>
      <c r="S88" s="497"/>
      <c r="T88" s="38"/>
      <c r="U88" s="38"/>
      <c r="V88" s="38"/>
      <c r="W88" s="38"/>
      <c r="X88" s="39"/>
      <c r="Y88" s="39"/>
      <c r="Z88" s="38"/>
      <c r="AA88" s="50"/>
      <c r="AB88" s="50"/>
      <c r="AC88" s="38"/>
      <c r="AD88" s="38"/>
      <c r="AE88" s="21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4"/>
      <c r="BC88" s="52"/>
      <c r="BD88" s="52"/>
      <c r="BE88" s="52"/>
      <c r="BF88" s="52"/>
    </row>
    <row r="89" spans="1:58" ht="12.75" customHeight="1">
      <c r="A89" s="41">
        <v>45886</v>
      </c>
      <c r="B89" s="42" t="s">
        <v>490</v>
      </c>
      <c r="C89" s="411">
        <f t="shared" ref="C89" si="138">(M89*E89*O89*Q89)/100000000</f>
        <v>30.439273094999994</v>
      </c>
      <c r="D89" s="42" t="s">
        <v>304</v>
      </c>
      <c r="E89" s="43">
        <v>13.5</v>
      </c>
      <c r="F89" s="43">
        <v>1</v>
      </c>
      <c r="G89" s="496">
        <v>1230</v>
      </c>
      <c r="H89" s="45">
        <v>0.22</v>
      </c>
      <c r="I89" s="46">
        <v>0.88</v>
      </c>
      <c r="J89" s="86">
        <f t="shared" ref="J89" si="139">E89*G89*(1-H89)*1440/1000000*2.74</f>
        <v>51.10301664</v>
      </c>
      <c r="K89" s="86">
        <f t="shared" ref="K89" si="140">(IF(G89&lt;L89,L89,G89)*(1-IF(H89&lt;N89,H89,N89))*E89*O89*Q89)/100000000</f>
        <v>30.834588329999999</v>
      </c>
      <c r="L89" s="36">
        <v>1230</v>
      </c>
      <c r="M89" s="36">
        <v>947.09999999999991</v>
      </c>
      <c r="N89" s="47">
        <f t="shared" ref="N89" si="141">1-(M89/L89)</f>
        <v>0.23000000000000009</v>
      </c>
      <c r="O89" s="48">
        <f>+'Trim Rwd'!H54</f>
        <v>266</v>
      </c>
      <c r="P89" s="49">
        <f t="shared" ref="P89" si="142">O89*(Q89-R89-S89)</f>
        <v>227962</v>
      </c>
      <c r="Q89" s="48">
        <v>895</v>
      </c>
      <c r="R89" s="497">
        <v>0</v>
      </c>
      <c r="S89" s="497">
        <v>38</v>
      </c>
      <c r="T89" s="38">
        <f t="shared" ref="T89" si="143">E89*M89*O89*Q89/100000000</f>
        <v>30.439273094999994</v>
      </c>
      <c r="U89" s="38">
        <f t="shared" ref="U89" si="144">E89*M89*O89*(Q89-R89-S89)/100000000</f>
        <v>29.146879376999998</v>
      </c>
      <c r="V89" s="38">
        <f t="shared" ref="V89" si="145">E89*G89*(1-N89)*O89/100*(R89+S89)/1000000</f>
        <v>1.2923937179999998</v>
      </c>
      <c r="W89" s="38">
        <f>+'17'!K11/1000</f>
        <v>30.588999999999999</v>
      </c>
      <c r="X89" s="498">
        <f>SUM(W89:W93)/SUM(K89:K93)</f>
        <v>0.92867599385729549</v>
      </c>
      <c r="Y89" s="216">
        <v>0</v>
      </c>
      <c r="Z89" s="38">
        <f>+'15'!D35/1000</f>
        <v>6.8311447141530706E-6</v>
      </c>
      <c r="AA89" s="50">
        <f>SUM(U89:U93)-SUM(W89:W93)-SUM(Z89:Z93)-SUM(Y89:Y93)</f>
        <v>0.89553689585528207</v>
      </c>
      <c r="AB89" s="50">
        <f>(SUM(K89:K93)-SUM(W89:W93)-SUM(Y89:Y93)-SUM(Z89:Z93)-SUM(AC89:AC93)-SUM(V89:V93))-AA89</f>
        <v>-1.9984014443252818E-15</v>
      </c>
      <c r="AC89" s="38">
        <f>K89-T89</f>
        <v>0.39531523500000532</v>
      </c>
      <c r="AD89" s="38">
        <f>+AM89+BA89</f>
        <v>9</v>
      </c>
      <c r="AE89" s="235" t="s">
        <v>407</v>
      </c>
      <c r="AF89" s="38">
        <v>9</v>
      </c>
      <c r="AG89" s="38"/>
      <c r="AH89" s="38"/>
      <c r="AI89" s="499"/>
      <c r="AJ89" s="38"/>
      <c r="AK89" s="38"/>
      <c r="AL89" s="38"/>
      <c r="AM89" s="38">
        <f t="shared" ref="AM89:AM92" si="146">SUM(AF89:AL89)+AT89+AV89+AX89</f>
        <v>9</v>
      </c>
      <c r="AN89" s="38"/>
      <c r="AO89" s="38"/>
      <c r="AP89" s="38"/>
      <c r="AQ89" s="38"/>
      <c r="AR89" s="38">
        <f>SUM(AN89:AQ89)</f>
        <v>0</v>
      </c>
      <c r="AS89" s="38"/>
      <c r="AT89" s="38"/>
      <c r="AU89" s="38"/>
      <c r="AV89" s="38"/>
      <c r="AW89" s="38"/>
      <c r="AX89" s="38"/>
      <c r="AY89" s="38"/>
      <c r="AZ89" s="38"/>
      <c r="BA89" s="38">
        <f>+AR89+AS89+AU89+AW89+AY89+AZ89</f>
        <v>0</v>
      </c>
      <c r="BB89" s="34">
        <v>3</v>
      </c>
      <c r="BC89" s="52"/>
      <c r="BD89" s="52"/>
      <c r="BE89" s="34"/>
      <c r="BF89" s="52"/>
    </row>
    <row r="90" spans="1:58" ht="12.95" customHeight="1">
      <c r="A90" s="41"/>
      <c r="B90" s="42" t="s">
        <v>490</v>
      </c>
      <c r="C90" s="411">
        <f t="shared" ref="C90" si="147">(M90*E90*O90*Q90)/100000000</f>
        <v>16.259339249999996</v>
      </c>
      <c r="D90" s="42" t="s">
        <v>304</v>
      </c>
      <c r="E90" s="43">
        <v>12</v>
      </c>
      <c r="F90" s="43">
        <v>1</v>
      </c>
      <c r="G90" s="496">
        <v>1230</v>
      </c>
      <c r="H90" s="45">
        <v>0.23</v>
      </c>
      <c r="I90" s="46">
        <v>0.88</v>
      </c>
      <c r="J90" s="86">
        <f t="shared" ref="J90" si="148">E90*G90*(1-H90)*1440/1000000*2.74</f>
        <v>44.842533120000006</v>
      </c>
      <c r="K90" s="86">
        <f t="shared" ref="K90" si="149">(IF(G90&lt;L90,L90,G90)*(1-IF(H90&lt;N90,H90,N90))*E90*O90*Q90)/100000000</f>
        <v>16.259339249999996</v>
      </c>
      <c r="L90" s="36">
        <v>1230</v>
      </c>
      <c r="M90" s="36">
        <v>947.09999999999991</v>
      </c>
      <c r="N90" s="47">
        <f t="shared" ref="N90" si="150">1-(M90/L90)</f>
        <v>0.23000000000000009</v>
      </c>
      <c r="O90" s="48">
        <f>+'Trim Rwd'!H55</f>
        <v>262.5</v>
      </c>
      <c r="P90" s="49">
        <f t="shared" ref="P90" si="151">O90*(Q90-R90-S90)</f>
        <v>136237.5</v>
      </c>
      <c r="Q90" s="48">
        <v>545</v>
      </c>
      <c r="R90" s="497">
        <v>0</v>
      </c>
      <c r="S90" s="497">
        <v>26</v>
      </c>
      <c r="T90" s="38">
        <f t="shared" ref="T90" si="152">E90*M90*O90*Q90/100000000</f>
        <v>16.259339249999996</v>
      </c>
      <c r="U90" s="38">
        <f t="shared" ref="U90" si="153">E90*M90*O90*(Q90-R90-S90)/100000000</f>
        <v>15.483664349999998</v>
      </c>
      <c r="V90" s="38">
        <f t="shared" ref="V90" si="154">E90*G90*(1-N90)*O90/100*(R90+S90)/1000000</f>
        <v>0.77567489999999994</v>
      </c>
      <c r="W90" s="38">
        <f>+'17'!K13/1000</f>
        <v>13.146000000000001</v>
      </c>
      <c r="X90" s="39"/>
      <c r="Y90" s="216"/>
      <c r="Z90" s="38"/>
      <c r="AA90" s="38"/>
      <c r="AB90" s="38"/>
      <c r="AC90" s="38"/>
      <c r="AD90" s="38">
        <f>+AM90+BA90</f>
        <v>16</v>
      </c>
      <c r="AE90" s="235" t="s">
        <v>406</v>
      </c>
      <c r="AF90" s="38"/>
      <c r="AG90" s="38">
        <v>16</v>
      </c>
      <c r="AH90" s="38"/>
      <c r="AI90" s="499"/>
      <c r="AJ90" s="38"/>
      <c r="AK90" s="38"/>
      <c r="AL90" s="38"/>
      <c r="AM90" s="38">
        <f t="shared" si="146"/>
        <v>16</v>
      </c>
      <c r="AN90" s="87"/>
      <c r="AO90" s="38"/>
      <c r="AP90" s="38"/>
      <c r="AQ90" s="38"/>
      <c r="AR90" s="38">
        <f t="shared" ref="AR90:AR92" si="155">SUM(AN90:AQ90)</f>
        <v>0</v>
      </c>
      <c r="AS90" s="38"/>
      <c r="AT90" s="38"/>
      <c r="AU90" s="38"/>
      <c r="AV90" s="38"/>
      <c r="AW90" s="38"/>
      <c r="AX90" s="38"/>
      <c r="AY90" s="38"/>
      <c r="AZ90" s="38"/>
      <c r="BA90" s="38">
        <f>+AR90+AS90+AU90+AW90+AY90+AZ90</f>
        <v>0</v>
      </c>
      <c r="BB90" s="51"/>
      <c r="BC90" s="52">
        <v>6</v>
      </c>
      <c r="BD90" s="52"/>
      <c r="BE90" s="51"/>
      <c r="BF90" s="52"/>
    </row>
    <row r="91" spans="1:58" ht="12.95" customHeight="1">
      <c r="A91" s="41"/>
      <c r="B91" s="42"/>
      <c r="C91" s="411"/>
      <c r="D91" s="42"/>
      <c r="E91" s="43"/>
      <c r="F91" s="43"/>
      <c r="G91" s="44"/>
      <c r="H91" s="45"/>
      <c r="I91" s="46"/>
      <c r="J91" s="86"/>
      <c r="K91" s="86"/>
      <c r="L91" s="36"/>
      <c r="M91" s="36"/>
      <c r="N91" s="47"/>
      <c r="O91" s="48"/>
      <c r="P91" s="49"/>
      <c r="Q91" s="48"/>
      <c r="R91" s="497"/>
      <c r="S91" s="497"/>
      <c r="T91" s="38"/>
      <c r="U91" s="38"/>
      <c r="V91" s="38"/>
      <c r="W91" s="38"/>
      <c r="X91" s="39"/>
      <c r="Y91" s="216"/>
      <c r="Z91" s="38"/>
      <c r="AA91" s="38"/>
      <c r="AB91" s="38"/>
      <c r="AC91" s="38"/>
      <c r="AD91" s="38">
        <f>+AM91+BA91</f>
        <v>39</v>
      </c>
      <c r="AE91" s="235" t="s">
        <v>567</v>
      </c>
      <c r="AF91" s="34"/>
      <c r="AG91" s="34"/>
      <c r="AH91" s="34">
        <v>39</v>
      </c>
      <c r="AJ91" s="38"/>
      <c r="AK91" s="38"/>
      <c r="AL91" s="38"/>
      <c r="AM91" s="38">
        <f t="shared" si="146"/>
        <v>39</v>
      </c>
      <c r="AN91" s="38"/>
      <c r="AO91" s="38"/>
      <c r="AP91" s="38"/>
      <c r="AQ91" s="38"/>
      <c r="AR91" s="38">
        <f t="shared" si="155"/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34"/>
      <c r="BC91" s="500"/>
      <c r="BD91" s="500"/>
      <c r="BE91" s="34"/>
      <c r="BF91" s="500"/>
    </row>
    <row r="92" spans="1:58" ht="12.95" customHeight="1">
      <c r="A92" s="41"/>
      <c r="B92" s="42"/>
      <c r="C92" s="411"/>
      <c r="D92" s="42"/>
      <c r="E92" s="43"/>
      <c r="F92" s="43"/>
      <c r="G92" s="44"/>
      <c r="H92" s="45"/>
      <c r="I92" s="46"/>
      <c r="J92" s="86"/>
      <c r="K92" s="86"/>
      <c r="L92" s="36"/>
      <c r="M92" s="36"/>
      <c r="N92" s="47"/>
      <c r="O92" s="48"/>
      <c r="P92" s="49"/>
      <c r="Q92" s="35"/>
      <c r="R92" s="497"/>
      <c r="S92" s="497"/>
      <c r="T92" s="38"/>
      <c r="U92" s="38"/>
      <c r="V92" s="38"/>
      <c r="W92" s="38"/>
      <c r="X92" s="39"/>
      <c r="Y92" s="216"/>
      <c r="Z92" s="38"/>
      <c r="AA92" s="38"/>
      <c r="AB92" s="38"/>
      <c r="AC92" s="38"/>
      <c r="AD92" s="38">
        <f>+AM92+BA92</f>
        <v>0</v>
      </c>
      <c r="AE92" s="238" t="s">
        <v>380</v>
      </c>
      <c r="AF92" s="38"/>
      <c r="AG92" s="38"/>
      <c r="AH92" s="38"/>
      <c r="AI92" s="499">
        <v>0</v>
      </c>
      <c r="AJ92" s="38"/>
      <c r="AK92" s="38"/>
      <c r="AL92" s="38"/>
      <c r="AM92" s="38">
        <f t="shared" si="146"/>
        <v>0</v>
      </c>
      <c r="AN92" s="38"/>
      <c r="AO92" s="38"/>
      <c r="AP92" s="38"/>
      <c r="AQ92" s="38"/>
      <c r="AR92" s="38">
        <f t="shared" si="155"/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51"/>
      <c r="BC92" s="52"/>
      <c r="BD92" s="52"/>
      <c r="BE92" s="51"/>
      <c r="BF92" s="52"/>
    </row>
    <row r="93" spans="1:58" ht="12.95" customHeight="1">
      <c r="A93" s="41"/>
      <c r="B93" s="42"/>
      <c r="C93" s="411"/>
      <c r="D93" s="42"/>
      <c r="E93" s="43"/>
      <c r="F93" s="43"/>
      <c r="G93" s="496"/>
      <c r="H93" s="45"/>
      <c r="I93" s="46"/>
      <c r="J93" s="86"/>
      <c r="K93" s="86"/>
      <c r="L93" s="36"/>
      <c r="M93" s="36"/>
      <c r="N93" s="47"/>
      <c r="O93" s="48"/>
      <c r="P93" s="49"/>
      <c r="Q93" s="48"/>
      <c r="R93" s="497"/>
      <c r="S93" s="497"/>
      <c r="T93" s="38"/>
      <c r="U93" s="38"/>
      <c r="V93" s="38"/>
      <c r="W93" s="38"/>
      <c r="X93" s="498"/>
      <c r="Y93" s="216"/>
      <c r="Z93" s="38"/>
      <c r="AA93" s="50"/>
      <c r="AB93" s="50"/>
      <c r="AC93" s="38"/>
      <c r="AD93" s="38"/>
      <c r="AE93" s="235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4"/>
      <c r="BC93" s="52"/>
      <c r="BD93" s="52"/>
      <c r="BE93" s="52"/>
      <c r="BF93" s="52"/>
    </row>
    <row r="94" spans="1:58" ht="12.75" customHeight="1">
      <c r="A94" s="41">
        <v>45887</v>
      </c>
      <c r="B94" s="42" t="s">
        <v>490</v>
      </c>
      <c r="C94" s="411">
        <f t="shared" ref="C94" si="156">(M94*E94*O94*Q94)/100000000</f>
        <v>38.067737399999999</v>
      </c>
      <c r="D94" s="42" t="s">
        <v>304</v>
      </c>
      <c r="E94" s="43">
        <v>12</v>
      </c>
      <c r="F94" s="43">
        <v>1</v>
      </c>
      <c r="G94" s="496">
        <v>1230</v>
      </c>
      <c r="H94" s="45">
        <v>0.23</v>
      </c>
      <c r="I94" s="46">
        <v>0.88</v>
      </c>
      <c r="J94" s="86">
        <f t="shared" ref="J94" si="157">E94*G94*(1-H94)*1440/1000000*2.74</f>
        <v>44.842533120000006</v>
      </c>
      <c r="K94" s="86">
        <f t="shared" ref="K94" si="158">(IF(G94&lt;L94,L94,G94)*(1-IF(H94&lt;N94,H94,N94))*E94*O94*Q94)/100000000</f>
        <v>38.067737399999999</v>
      </c>
      <c r="L94" s="36">
        <v>1230</v>
      </c>
      <c r="M94" s="36">
        <v>947.09999999999991</v>
      </c>
      <c r="N94" s="47">
        <f t="shared" ref="N94" si="159">1-(M94/L94)</f>
        <v>0.23000000000000009</v>
      </c>
      <c r="O94" s="48">
        <f>+'Trim Rwd'!H58</f>
        <v>262.5</v>
      </c>
      <c r="P94" s="49">
        <f t="shared" ref="P94" si="160">O94*(Q94-R94-S94)</f>
        <v>322875</v>
      </c>
      <c r="Q94" s="48">
        <v>1276</v>
      </c>
      <c r="R94" s="497">
        <v>0</v>
      </c>
      <c r="S94" s="497">
        <v>46</v>
      </c>
      <c r="T94" s="38">
        <f t="shared" ref="T94" si="161">E94*M94*O94*Q94/100000000</f>
        <v>38.067737399999999</v>
      </c>
      <c r="U94" s="38">
        <f t="shared" ref="U94" si="162">E94*M94*O94*(Q94-R94-S94)/100000000</f>
        <v>36.695389499999997</v>
      </c>
      <c r="V94" s="38">
        <f t="shared" ref="V94" si="163">E94*G94*(1-N94)*O94/100*(R94+S94)/1000000</f>
        <v>1.3723478999999996</v>
      </c>
      <c r="W94" s="38">
        <f>+'18'!K13/1000</f>
        <v>41.093000000000004</v>
      </c>
      <c r="X94" s="498">
        <f>SUM(W94:W98)/SUM(K94:K98)</f>
        <v>0.99878774754597033</v>
      </c>
      <c r="Y94" s="216">
        <v>0</v>
      </c>
      <c r="Z94" s="38">
        <v>0</v>
      </c>
      <c r="AA94" s="50">
        <f>SUM(U94:U98)-SUM(W94:W98)-SUM(Z94:Z98)-SUM(Y94:Y98)</f>
        <v>-1.6403631840000088</v>
      </c>
      <c r="AB94" s="50">
        <f>(SUM(K94:K98)-SUM(W94:W98)-SUM(Y94:Y98)-SUM(Z94:Z98)-SUM(AC94:AC98)-SUM(V94:V98))-AA94</f>
        <v>6.7394652000003274E-2</v>
      </c>
      <c r="AC94" s="38">
        <f>K94-T94</f>
        <v>0</v>
      </c>
      <c r="AD94" s="38">
        <f>+AM94+BA94</f>
        <v>0</v>
      </c>
      <c r="AE94" s="235" t="s">
        <v>387</v>
      </c>
      <c r="AF94" s="38">
        <v>0</v>
      </c>
      <c r="AG94" s="38"/>
      <c r="AH94" s="38"/>
      <c r="AI94" s="499"/>
      <c r="AJ94" s="38"/>
      <c r="AK94" s="38"/>
      <c r="AL94" s="38"/>
      <c r="AM94" s="38">
        <f t="shared" ref="AM94:AM97" si="164">SUM(AF94:AL94)+AT94+AV94+AX94</f>
        <v>0</v>
      </c>
      <c r="AN94" s="38"/>
      <c r="AO94" s="38"/>
      <c r="AP94" s="38"/>
      <c r="AQ94" s="38"/>
      <c r="AR94" s="38">
        <f>SUM(AN94:AQ94)</f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>+AR94+AS94+AU94+AW94+AY94+AZ94</f>
        <v>0</v>
      </c>
      <c r="BB94" s="34">
        <v>0</v>
      </c>
      <c r="BC94" s="52"/>
      <c r="BD94" s="52"/>
      <c r="BE94" s="34"/>
      <c r="BF94" s="52"/>
    </row>
    <row r="95" spans="1:58" ht="12.95" customHeight="1">
      <c r="A95" s="41"/>
      <c r="B95" s="42" t="s">
        <v>490</v>
      </c>
      <c r="C95" s="411">
        <f t="shared" ref="C95" si="165">(M95*E95*O95*Q95)/100000000</f>
        <v>5.1893882039999992</v>
      </c>
      <c r="D95" s="42" t="s">
        <v>304</v>
      </c>
      <c r="E95" s="43">
        <v>13</v>
      </c>
      <c r="F95" s="43">
        <v>1</v>
      </c>
      <c r="G95" s="496">
        <v>1230</v>
      </c>
      <c r="H95" s="45">
        <v>0.22</v>
      </c>
      <c r="I95" s="46">
        <v>0.88</v>
      </c>
      <c r="J95" s="86">
        <f t="shared" ref="J95" si="166">E95*G95*(1-H95)*1440/1000000*2.74</f>
        <v>49.210312320000007</v>
      </c>
      <c r="K95" s="86">
        <f t="shared" ref="K95" si="167">(IF(G95&lt;L95,L95,G95)*(1-IF(H95&lt;N95,H95,N95))*E95*O95*Q95)/100000000</f>
        <v>5.2567828560000001</v>
      </c>
      <c r="L95" s="36">
        <v>1230</v>
      </c>
      <c r="M95" s="36">
        <v>947.09999999999991</v>
      </c>
      <c r="N95" s="47">
        <f t="shared" ref="N95" si="168">1-(M95/L95)</f>
        <v>0.23000000000000009</v>
      </c>
      <c r="O95" s="48">
        <f>+'Trim Rwd'!H57</f>
        <v>257</v>
      </c>
      <c r="P95" s="49">
        <f t="shared" ref="P95" si="169">O95*(Q95-R95-S95)</f>
        <v>40092</v>
      </c>
      <c r="Q95" s="48">
        <v>164</v>
      </c>
      <c r="R95" s="497">
        <v>0</v>
      </c>
      <c r="S95" s="497">
        <v>8</v>
      </c>
      <c r="T95" s="38">
        <f t="shared" ref="T95" si="170">E95*M95*O95*Q95/100000000</f>
        <v>5.1893882039999992</v>
      </c>
      <c r="U95" s="38">
        <f t="shared" ref="U95" si="171">E95*M95*O95*(Q95-R95-S95)/100000000</f>
        <v>4.9362473159999993</v>
      </c>
      <c r="V95" s="38">
        <f t="shared" ref="V95" si="172">E95*G95*(1-N95)*O95/100*(R95+S95)/1000000</f>
        <v>0.25314088799999995</v>
      </c>
      <c r="W95" s="38">
        <f>+'18'!K12/1000</f>
        <v>2.1789999999999998</v>
      </c>
      <c r="X95" s="39"/>
      <c r="Y95" s="216"/>
      <c r="Z95" s="38"/>
      <c r="AA95" s="38"/>
      <c r="AB95" s="38"/>
      <c r="AC95" s="38"/>
      <c r="AD95" s="38">
        <f>+AM95+BA95</f>
        <v>8</v>
      </c>
      <c r="AE95" s="235" t="s">
        <v>429</v>
      </c>
      <c r="AF95" s="38"/>
      <c r="AG95" s="38">
        <v>8</v>
      </c>
      <c r="AH95" s="38"/>
      <c r="AI95" s="499"/>
      <c r="AJ95" s="38"/>
      <c r="AK95" s="38"/>
      <c r="AL95" s="38"/>
      <c r="AM95" s="38">
        <f t="shared" si="164"/>
        <v>8</v>
      </c>
      <c r="AN95" s="87"/>
      <c r="AO95" s="38"/>
      <c r="AP95" s="38"/>
      <c r="AQ95" s="38"/>
      <c r="AR95" s="38">
        <f t="shared" ref="AR95:AR97" si="173"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51"/>
      <c r="BC95" s="52">
        <v>4</v>
      </c>
      <c r="BD95" s="52"/>
      <c r="BE95" s="51"/>
      <c r="BF95" s="52"/>
    </row>
    <row r="96" spans="1:58" ht="12.95" customHeight="1">
      <c r="A96" s="41"/>
      <c r="B96" s="42"/>
      <c r="C96" s="411"/>
      <c r="D96" s="42"/>
      <c r="E96" s="43"/>
      <c r="F96" s="43"/>
      <c r="G96" s="44"/>
      <c r="H96" s="45"/>
      <c r="I96" s="46"/>
      <c r="J96" s="86"/>
      <c r="K96" s="86"/>
      <c r="L96" s="36"/>
      <c r="M96" s="36"/>
      <c r="N96" s="47"/>
      <c r="O96" s="48"/>
      <c r="P96" s="49"/>
      <c r="Q96" s="48"/>
      <c r="R96" s="497"/>
      <c r="S96" s="497"/>
      <c r="T96" s="38"/>
      <c r="U96" s="38"/>
      <c r="V96" s="38"/>
      <c r="W96" s="38"/>
      <c r="X96" s="39"/>
      <c r="Y96" s="216"/>
      <c r="Z96" s="38"/>
      <c r="AA96" s="38"/>
      <c r="AB96" s="38"/>
      <c r="AC96" s="38"/>
      <c r="AD96" s="38">
        <f>+AM96+BA96</f>
        <v>46</v>
      </c>
      <c r="AE96" s="235" t="s">
        <v>567</v>
      </c>
      <c r="AF96" s="34"/>
      <c r="AG96" s="34"/>
      <c r="AH96" s="34">
        <v>46</v>
      </c>
      <c r="AJ96" s="38"/>
      <c r="AK96" s="38"/>
      <c r="AL96" s="38"/>
      <c r="AM96" s="38">
        <f t="shared" si="164"/>
        <v>46</v>
      </c>
      <c r="AN96" s="38"/>
      <c r="AO96" s="38"/>
      <c r="AP96" s="38"/>
      <c r="AQ96" s="38"/>
      <c r="AR96" s="38">
        <f t="shared" si="173"/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34"/>
      <c r="BC96" s="500"/>
      <c r="BD96" s="500"/>
      <c r="BE96" s="34"/>
      <c r="BF96" s="500"/>
    </row>
    <row r="97" spans="1:58" ht="12.95" customHeight="1">
      <c r="A97" s="41"/>
      <c r="B97" s="42"/>
      <c r="C97" s="411"/>
      <c r="D97" s="42"/>
      <c r="E97" s="43"/>
      <c r="F97" s="43"/>
      <c r="G97" s="44"/>
      <c r="H97" s="45"/>
      <c r="I97" s="46"/>
      <c r="J97" s="86"/>
      <c r="K97" s="86"/>
      <c r="L97" s="36"/>
      <c r="M97" s="36"/>
      <c r="N97" s="47"/>
      <c r="O97" s="48"/>
      <c r="P97" s="49"/>
      <c r="Q97" s="35"/>
      <c r="R97" s="497"/>
      <c r="S97" s="497"/>
      <c r="T97" s="38"/>
      <c r="U97" s="38"/>
      <c r="V97" s="38"/>
      <c r="W97" s="38"/>
      <c r="X97" s="39"/>
      <c r="Y97" s="216"/>
      <c r="Z97" s="38"/>
      <c r="AA97" s="38"/>
      <c r="AB97" s="38"/>
      <c r="AC97" s="38"/>
      <c r="AD97" s="38">
        <f>+AM97+BA97</f>
        <v>0</v>
      </c>
      <c r="AE97" s="238" t="s">
        <v>380</v>
      </c>
      <c r="AF97" s="38"/>
      <c r="AG97" s="38"/>
      <c r="AH97" s="38"/>
      <c r="AI97" s="499">
        <v>0</v>
      </c>
      <c r="AJ97" s="38"/>
      <c r="AK97" s="38"/>
      <c r="AL97" s="38"/>
      <c r="AM97" s="38">
        <f t="shared" si="164"/>
        <v>0</v>
      </c>
      <c r="AN97" s="38"/>
      <c r="AO97" s="38"/>
      <c r="AP97" s="38"/>
      <c r="AQ97" s="38"/>
      <c r="AR97" s="38">
        <f t="shared" si="173"/>
        <v>0</v>
      </c>
      <c r="AS97" s="38"/>
      <c r="AT97" s="38"/>
      <c r="AU97" s="38"/>
      <c r="AV97" s="38"/>
      <c r="AW97" s="38"/>
      <c r="AX97" s="38"/>
      <c r="AY97" s="38"/>
      <c r="AZ97" s="38"/>
      <c r="BA97" s="38">
        <f>+AR97+AS97+AU97+AW97+AY97+AZ97</f>
        <v>0</v>
      </c>
      <c r="BB97" s="51"/>
      <c r="BC97" s="52"/>
      <c r="BD97" s="52"/>
      <c r="BE97" s="51"/>
      <c r="BF97" s="52"/>
    </row>
    <row r="98" spans="1:58" ht="12.95" customHeight="1">
      <c r="A98" s="41"/>
      <c r="B98" s="42"/>
      <c r="C98" s="411"/>
      <c r="D98" s="42"/>
      <c r="E98" s="43"/>
      <c r="F98" s="43"/>
      <c r="G98" s="496"/>
      <c r="H98" s="45"/>
      <c r="I98" s="46"/>
      <c r="J98" s="86"/>
      <c r="K98" s="86"/>
      <c r="L98" s="36"/>
      <c r="M98" s="36"/>
      <c r="N98" s="47"/>
      <c r="O98" s="48"/>
      <c r="P98" s="49"/>
      <c r="Q98" s="48"/>
      <c r="R98" s="497"/>
      <c r="S98" s="497"/>
      <c r="T98" s="38"/>
      <c r="U98" s="38"/>
      <c r="V98" s="38"/>
      <c r="W98" s="38"/>
      <c r="X98" s="498"/>
      <c r="Y98" s="216"/>
      <c r="Z98" s="38"/>
      <c r="AA98" s="50"/>
      <c r="AB98" s="50"/>
      <c r="AC98" s="38"/>
      <c r="AD98" s="38"/>
      <c r="AE98" s="235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4"/>
      <c r="BC98" s="52"/>
      <c r="BD98" s="52"/>
      <c r="BE98" s="52"/>
      <c r="BF98" s="52"/>
    </row>
    <row r="99" spans="1:58" ht="12.75" customHeight="1">
      <c r="A99" s="41">
        <v>45888</v>
      </c>
      <c r="B99" s="42" t="s">
        <v>490</v>
      </c>
      <c r="C99" s="411">
        <f t="shared" ref="C99" si="174">(M99*E99*O99*Q99)/100000000</f>
        <v>45.016273753043478</v>
      </c>
      <c r="D99" s="42" t="s">
        <v>304</v>
      </c>
      <c r="E99" s="43">
        <v>13</v>
      </c>
      <c r="F99" s="43">
        <v>1</v>
      </c>
      <c r="G99" s="496">
        <v>1230</v>
      </c>
      <c r="H99" s="45">
        <v>0.22</v>
      </c>
      <c r="I99" s="46">
        <v>0.88</v>
      </c>
      <c r="J99" s="86">
        <f t="shared" ref="J99" si="175">E99*G99*(1-H99)*1440/1000000*2.74</f>
        <v>49.210312320000007</v>
      </c>
      <c r="K99" s="86">
        <f t="shared" ref="K99" si="176">(IF(G99&lt;L99,L99,G99)*(1-IF(H99&lt;N99,H99,N99))*E99*O99*Q99)/100000000</f>
        <v>46.157117759999998</v>
      </c>
      <c r="L99" s="36">
        <v>1215.1778656126482</v>
      </c>
      <c r="M99" s="36">
        <v>935.68695652173915</v>
      </c>
      <c r="N99" s="47">
        <f t="shared" ref="N99" si="177">1-(M99/L99)</f>
        <v>0.22999999999999998</v>
      </c>
      <c r="O99" s="48">
        <f>+'Trim Rwd'!H60</f>
        <v>257</v>
      </c>
      <c r="P99" s="49">
        <f t="shared" ref="P99" si="178">O99*(Q99-R99-S99)</f>
        <v>303774</v>
      </c>
      <c r="Q99" s="48">
        <v>1440</v>
      </c>
      <c r="R99" s="497">
        <f>60+30+115</f>
        <v>205</v>
      </c>
      <c r="S99" s="497">
        <v>53</v>
      </c>
      <c r="T99" s="38">
        <f t="shared" ref="T99" si="179">E99*M99*O99*Q99/100000000</f>
        <v>45.016273753043478</v>
      </c>
      <c r="U99" s="38">
        <f t="shared" ref="U99" si="180">E99*M99*O99*(Q99-R99-S99)/100000000</f>
        <v>36.950858038956525</v>
      </c>
      <c r="V99" s="38">
        <f t="shared" ref="V99" si="181">E99*G99*(1-N99)*O99/100*(R99+S99)/1000000</f>
        <v>8.1637936379999996</v>
      </c>
      <c r="W99" s="38">
        <f>+'19'!K12/1000</f>
        <v>34.768000000000001</v>
      </c>
      <c r="X99" s="498">
        <f>SUM(W99:W103)/SUM(K99:K103)</f>
        <v>0.75325327245909912</v>
      </c>
      <c r="Y99" s="216">
        <v>0</v>
      </c>
      <c r="Z99" s="38">
        <f>+'15'!D45/1000</f>
        <v>0</v>
      </c>
      <c r="AA99" s="50">
        <f>SUM(U99:U103)-SUM(W99:W103)-SUM(Z99:Z103)-SUM(Y99:Y103)</f>
        <v>2.1828580389565246</v>
      </c>
      <c r="AB99" s="50">
        <f>(SUM(K99:K103)-SUM(W99:W103)-SUM(Y99:Y103)-SUM(Z99:Z103)-SUM(AC99:AC103)-SUM(V99:V103))-AA99</f>
        <v>-9.8377923913046672E-2</v>
      </c>
      <c r="AC99" s="38">
        <f>K99-T99</f>
        <v>1.1408440069565202</v>
      </c>
      <c r="AD99" s="38">
        <f>+AM99+BA99</f>
        <v>24</v>
      </c>
      <c r="AE99" s="235" t="s">
        <v>544</v>
      </c>
      <c r="AF99" s="38">
        <v>24</v>
      </c>
      <c r="AG99" s="38"/>
      <c r="AH99" s="38"/>
      <c r="AI99" s="499"/>
      <c r="AJ99" s="38"/>
      <c r="AK99" s="38"/>
      <c r="AL99" s="38"/>
      <c r="AM99" s="38">
        <f t="shared" ref="AM99:AM103" si="182">SUM(AF99:AL99)+AT99+AV99+AX99</f>
        <v>24</v>
      </c>
      <c r="AN99" s="38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34">
        <v>9</v>
      </c>
      <c r="BC99" s="52"/>
      <c r="BD99" s="52"/>
      <c r="BE99" s="34"/>
      <c r="BF99" s="52"/>
    </row>
    <row r="100" spans="1:58" ht="12.95" customHeight="1">
      <c r="A100" s="41"/>
      <c r="B100" s="42"/>
      <c r="C100" s="411"/>
      <c r="D100" s="42"/>
      <c r="E100" s="43"/>
      <c r="F100" s="43"/>
      <c r="G100" s="496"/>
      <c r="H100" s="45"/>
      <c r="I100" s="46"/>
      <c r="J100" s="86"/>
      <c r="K100" s="86"/>
      <c r="L100" s="36"/>
      <c r="M100" s="36"/>
      <c r="N100" s="47"/>
      <c r="O100" s="48"/>
      <c r="P100" s="49"/>
      <c r="Q100" s="48"/>
      <c r="R100" s="497"/>
      <c r="S100" s="497"/>
      <c r="T100" s="38"/>
      <c r="U100" s="38"/>
      <c r="V100" s="38"/>
      <c r="W100" s="38"/>
      <c r="X100" s="39"/>
      <c r="Y100" s="216"/>
      <c r="Z100" s="38"/>
      <c r="AA100" s="38"/>
      <c r="AB100" s="38"/>
      <c r="AC100" s="38"/>
      <c r="AD100" s="38">
        <f>+AM100+BA100</f>
        <v>0</v>
      </c>
      <c r="AE100" s="235" t="s">
        <v>286</v>
      </c>
      <c r="AF100" s="38"/>
      <c r="AG100" s="38">
        <v>0</v>
      </c>
      <c r="AH100" s="38"/>
      <c r="AI100" s="499"/>
      <c r="AJ100" s="38"/>
      <c r="AK100" s="38"/>
      <c r="AL100" s="38"/>
      <c r="AM100" s="38">
        <f t="shared" si="182"/>
        <v>0</v>
      </c>
      <c r="AN100" s="87"/>
      <c r="AO100" s="38"/>
      <c r="AP100" s="38"/>
      <c r="AQ100" s="38"/>
      <c r="AR100" s="38">
        <f t="shared" ref="AR100:AR103" si="183"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51"/>
      <c r="BC100" s="52">
        <v>0</v>
      </c>
      <c r="BD100" s="52"/>
      <c r="BE100" s="51"/>
      <c r="BF100" s="52"/>
    </row>
    <row r="101" spans="1:58" ht="12.95" customHeight="1">
      <c r="A101" s="41"/>
      <c r="B101" s="42"/>
      <c r="C101" s="411"/>
      <c r="D101" s="42"/>
      <c r="E101" s="43"/>
      <c r="F101" s="43"/>
      <c r="G101" s="44"/>
      <c r="H101" s="45"/>
      <c r="I101" s="46"/>
      <c r="J101" s="86"/>
      <c r="K101" s="86"/>
      <c r="L101" s="36"/>
      <c r="M101" s="36"/>
      <c r="N101" s="47"/>
      <c r="O101" s="48"/>
      <c r="P101" s="49"/>
      <c r="Q101" s="48"/>
      <c r="R101" s="497"/>
      <c r="S101" s="497"/>
      <c r="T101" s="38"/>
      <c r="U101" s="38"/>
      <c r="V101" s="38"/>
      <c r="W101" s="38"/>
      <c r="X101" s="39"/>
      <c r="Y101" s="216"/>
      <c r="Z101" s="38"/>
      <c r="AA101" s="38"/>
      <c r="AB101" s="38"/>
      <c r="AC101" s="38"/>
      <c r="AD101" s="38">
        <f>+AM101+BA101</f>
        <v>29</v>
      </c>
      <c r="AE101" s="235" t="s">
        <v>513</v>
      </c>
      <c r="AF101" s="34"/>
      <c r="AG101" s="34"/>
      <c r="AH101" s="34">
        <v>29</v>
      </c>
      <c r="AJ101" s="38"/>
      <c r="AK101" s="38"/>
      <c r="AL101" s="38"/>
      <c r="AM101" s="38">
        <f t="shared" si="182"/>
        <v>29</v>
      </c>
      <c r="AN101" s="38"/>
      <c r="AO101" s="38"/>
      <c r="AP101" s="38"/>
      <c r="AQ101" s="38"/>
      <c r="AR101" s="38">
        <f t="shared" si="183"/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+AR101+AS101+AU101+AW101+AY101+AZ101</f>
        <v>0</v>
      </c>
      <c r="BB101" s="34"/>
      <c r="BC101" s="500"/>
      <c r="BD101" s="500"/>
      <c r="BE101" s="34"/>
      <c r="BF101" s="500"/>
    </row>
    <row r="102" spans="1:58" ht="12.95" customHeight="1">
      <c r="A102" s="41"/>
      <c r="B102" s="42"/>
      <c r="C102" s="411"/>
      <c r="D102" s="42"/>
      <c r="E102" s="43"/>
      <c r="F102" s="43"/>
      <c r="G102" s="44"/>
      <c r="H102" s="45"/>
      <c r="I102" s="46"/>
      <c r="J102" s="86"/>
      <c r="K102" s="86"/>
      <c r="L102" s="36"/>
      <c r="M102" s="36"/>
      <c r="N102" s="47"/>
      <c r="O102" s="48"/>
      <c r="P102" s="49"/>
      <c r="Q102" s="35"/>
      <c r="R102" s="497"/>
      <c r="S102" s="497"/>
      <c r="T102" s="38"/>
      <c r="U102" s="38"/>
      <c r="V102" s="38"/>
      <c r="W102" s="38"/>
      <c r="X102" s="39"/>
      <c r="Y102" s="216"/>
      <c r="Z102" s="38"/>
      <c r="AA102" s="38"/>
      <c r="AB102" s="38"/>
      <c r="AC102" s="38"/>
      <c r="AD102" s="38">
        <f>+AM102+BA102</f>
        <v>90</v>
      </c>
      <c r="AE102" s="238" t="s">
        <v>585</v>
      </c>
      <c r="AF102" s="38"/>
      <c r="AG102" s="38"/>
      <c r="AH102" s="38"/>
      <c r="AI102" s="499">
        <v>0</v>
      </c>
      <c r="AJ102" s="38"/>
      <c r="AK102" s="38"/>
      <c r="AL102" s="38"/>
      <c r="AM102" s="38">
        <f t="shared" si="182"/>
        <v>0</v>
      </c>
      <c r="AN102" s="38">
        <f>60+30</f>
        <v>90</v>
      </c>
      <c r="AO102" s="38"/>
      <c r="AP102" s="38"/>
      <c r="AQ102" s="38"/>
      <c r="AR102" s="38">
        <f t="shared" si="183"/>
        <v>90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90</v>
      </c>
      <c r="BB102" s="51"/>
      <c r="BC102" s="52"/>
      <c r="BD102" s="52"/>
      <c r="BE102" s="51"/>
      <c r="BF102" s="52"/>
    </row>
    <row r="103" spans="1:58" ht="12.95" customHeight="1">
      <c r="A103" s="41"/>
      <c r="B103" s="42"/>
      <c r="C103" s="411"/>
      <c r="D103" s="42"/>
      <c r="E103" s="43"/>
      <c r="F103" s="43"/>
      <c r="G103" s="496"/>
      <c r="H103" s="45"/>
      <c r="I103" s="46"/>
      <c r="J103" s="86"/>
      <c r="K103" s="86"/>
      <c r="L103" s="36"/>
      <c r="M103" s="36"/>
      <c r="N103" s="47"/>
      <c r="O103" s="48"/>
      <c r="P103" s="49"/>
      <c r="Q103" s="48"/>
      <c r="R103" s="497"/>
      <c r="S103" s="497"/>
      <c r="T103" s="38"/>
      <c r="U103" s="38"/>
      <c r="V103" s="38"/>
      <c r="W103" s="38"/>
      <c r="X103" s="39"/>
      <c r="Y103" s="216"/>
      <c r="Z103" s="38"/>
      <c r="AA103" s="38"/>
      <c r="AB103" s="38"/>
      <c r="AC103" s="38"/>
      <c r="AD103" s="38">
        <f>+AM103+BA103</f>
        <v>115</v>
      </c>
      <c r="AE103" s="238" t="s">
        <v>584</v>
      </c>
      <c r="AF103" s="38"/>
      <c r="AG103" s="38"/>
      <c r="AH103" s="38"/>
      <c r="AI103" s="38"/>
      <c r="AJ103" s="38"/>
      <c r="AK103" s="38"/>
      <c r="AL103" s="38"/>
      <c r="AM103" s="38">
        <f t="shared" si="182"/>
        <v>0</v>
      </c>
      <c r="AN103" s="38"/>
      <c r="AO103" s="38">
        <v>115</v>
      </c>
      <c r="AP103" s="38"/>
      <c r="AQ103" s="38"/>
      <c r="AR103" s="38">
        <f t="shared" si="183"/>
        <v>115</v>
      </c>
      <c r="AS103" s="38"/>
      <c r="AT103" s="38"/>
      <c r="AU103" s="38"/>
      <c r="AV103" s="38"/>
      <c r="AW103" s="38"/>
      <c r="AX103" s="38"/>
      <c r="AY103" s="38"/>
      <c r="AZ103" s="38"/>
      <c r="BA103" s="38">
        <f>+AR103+AS103+AU103+AW103+AY103+AZ103</f>
        <v>115</v>
      </c>
      <c r="BB103" s="34"/>
      <c r="BC103" s="52"/>
      <c r="BD103" s="52"/>
      <c r="BE103" s="52"/>
      <c r="BF103" s="52">
        <v>1</v>
      </c>
    </row>
    <row r="104" spans="1:58" ht="13.5" customHeight="1">
      <c r="A104" s="41"/>
      <c r="B104" s="42"/>
      <c r="C104" s="411"/>
      <c r="D104" s="42"/>
      <c r="E104" s="43"/>
      <c r="F104" s="43"/>
      <c r="G104" s="496"/>
      <c r="H104" s="45"/>
      <c r="I104" s="46"/>
      <c r="J104" s="86"/>
      <c r="K104" s="86"/>
      <c r="L104" s="36"/>
      <c r="M104" s="36"/>
      <c r="N104" s="47"/>
      <c r="O104" s="48"/>
      <c r="P104" s="49"/>
      <c r="Q104" s="48"/>
      <c r="R104" s="497"/>
      <c r="S104" s="497"/>
      <c r="T104" s="38"/>
      <c r="U104" s="38"/>
      <c r="V104" s="38"/>
      <c r="W104" s="38"/>
      <c r="X104" s="498"/>
      <c r="Y104" s="216"/>
      <c r="Z104" s="38"/>
      <c r="AA104" s="50"/>
      <c r="AB104" s="50"/>
      <c r="AC104" s="38"/>
      <c r="AD104" s="38"/>
      <c r="AE104" s="235"/>
      <c r="AF104" s="38"/>
      <c r="AG104" s="38"/>
      <c r="AH104" s="38"/>
      <c r="AI104" s="499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4"/>
      <c r="BC104" s="52"/>
      <c r="BD104" s="52"/>
      <c r="BE104" s="52"/>
      <c r="BF104" s="52"/>
    </row>
    <row r="105" spans="1:58" ht="12.75" customHeight="1">
      <c r="A105" s="41">
        <v>45889</v>
      </c>
      <c r="B105" s="42" t="s">
        <v>490</v>
      </c>
      <c r="C105" s="411">
        <f t="shared" ref="C105" si="184">(M105*E105*O105*Q105)/100000000</f>
        <v>17.890784244666666</v>
      </c>
      <c r="D105" s="42" t="s">
        <v>304</v>
      </c>
      <c r="E105" s="43">
        <v>13</v>
      </c>
      <c r="F105" s="43">
        <v>1</v>
      </c>
      <c r="G105" s="496">
        <v>1230</v>
      </c>
      <c r="H105" s="45">
        <v>0.22</v>
      </c>
      <c r="I105" s="46">
        <v>0.88</v>
      </c>
      <c r="J105" s="86">
        <f t="shared" ref="J105" si="185">E105*G105*(1-H105)*1440/1000000*2.74</f>
        <v>49.210312320000007</v>
      </c>
      <c r="K105" s="86">
        <f t="shared" ref="K105" si="186">(IF(G105&lt;L105,L105,G105)*(1-IF(H105&lt;N105,H105,N105))*E105*O105*Q105)/100000000</f>
        <v>18.123132091999999</v>
      </c>
      <c r="L105" s="36">
        <v>1230</v>
      </c>
      <c r="M105" s="36">
        <v>947.09999999999991</v>
      </c>
      <c r="N105" s="47">
        <f t="shared" ref="N105" si="187">1-(M105/L105)</f>
        <v>0.23000000000000009</v>
      </c>
      <c r="O105" s="48">
        <f>+'Trim Rwd'!H62</f>
        <v>258.55555555555554</v>
      </c>
      <c r="P105" s="49">
        <f t="shared" ref="P105" si="188">O105*(Q105-R105-S105)</f>
        <v>136258.77777777778</v>
      </c>
      <c r="Q105" s="48">
        <v>562</v>
      </c>
      <c r="R105" s="497">
        <v>0</v>
      </c>
      <c r="S105" s="497">
        <v>35</v>
      </c>
      <c r="T105" s="38">
        <f t="shared" ref="T105" si="189">E105*M105*O105*Q105/100000000</f>
        <v>17.890784244666666</v>
      </c>
      <c r="U105" s="38">
        <f t="shared" ref="U105" si="190">E105*M105*O105*(Q105-R105-S105)/100000000</f>
        <v>16.776589496333333</v>
      </c>
      <c r="V105" s="38">
        <f t="shared" ref="V105" si="191">E105*G105*(1-N105)*O105/100*(R105+S105)/1000000</f>
        <v>1.1141947483333332</v>
      </c>
      <c r="W105" s="38">
        <f>+'20'!K12/1000</f>
        <v>17.715</v>
      </c>
      <c r="X105" s="498">
        <f>SUM(W105:W108)/SUM(K105:K108)</f>
        <v>0.93323277801661286</v>
      </c>
      <c r="Y105" s="216">
        <v>0</v>
      </c>
      <c r="Z105" s="38">
        <v>0</v>
      </c>
      <c r="AA105" s="50">
        <f>SUM(U105:U108)-SUM(W105:W108)-SUM(Z105:Z108)-SUM(Y105:Y108)</f>
        <v>-0.10595453808176958</v>
      </c>
      <c r="AB105" s="50">
        <f>(SUM(K105:K108)-SUM(W105:W108)-SUM(Y105:Y108)-SUM(Z105:Z108)-SUM(AC105:AC108)-SUM(V105:V108))-AA105</f>
        <v>1.8873791418627661E-15</v>
      </c>
      <c r="AC105" s="38">
        <f>K105-T105</f>
        <v>0.23234784733333314</v>
      </c>
      <c r="AD105" s="38">
        <f>+AM105+BA105</f>
        <v>32</v>
      </c>
      <c r="AE105" s="235" t="s">
        <v>590</v>
      </c>
      <c r="AF105" s="38">
        <v>32</v>
      </c>
      <c r="AG105" s="38"/>
      <c r="AH105" s="38"/>
      <c r="AI105" s="499"/>
      <c r="AJ105" s="38"/>
      <c r="AK105" s="38"/>
      <c r="AL105" s="38"/>
      <c r="AM105" s="38">
        <f t="shared" ref="AM105:AM107" si="192">SUM(AF105:AL105)+AT105+AV105+AX105</f>
        <v>32</v>
      </c>
      <c r="AN105" s="38"/>
      <c r="AO105" s="38"/>
      <c r="AP105" s="38"/>
      <c r="AQ105" s="38"/>
      <c r="AR105" s="38">
        <f>SUM(AN105:AQ105)</f>
        <v>0</v>
      </c>
      <c r="AS105" s="38"/>
      <c r="AT105" s="38"/>
      <c r="AU105" s="38"/>
      <c r="AV105" s="38"/>
      <c r="AW105" s="38"/>
      <c r="AX105" s="38"/>
      <c r="AY105" s="38"/>
      <c r="AZ105" s="38"/>
      <c r="BA105" s="38">
        <f>+AR105+AS105+AU105+AW105+AY105+AZ105</f>
        <v>0</v>
      </c>
      <c r="BB105" s="34">
        <v>12</v>
      </c>
      <c r="BC105" s="52"/>
      <c r="BD105" s="52"/>
      <c r="BE105" s="34"/>
      <c r="BF105" s="52"/>
    </row>
    <row r="106" spans="1:58" ht="12.95" customHeight="1">
      <c r="A106" s="41"/>
      <c r="B106" s="42" t="s">
        <v>490</v>
      </c>
      <c r="C106" s="411">
        <f t="shared" ref="C106" si="193">(M106*E106*O106*Q106)/100000000</f>
        <v>25.854105920603768</v>
      </c>
      <c r="D106" s="42" t="s">
        <v>304</v>
      </c>
      <c r="E106" s="43">
        <v>12</v>
      </c>
      <c r="F106" s="43">
        <v>1</v>
      </c>
      <c r="G106" s="496">
        <v>1230</v>
      </c>
      <c r="H106" s="45">
        <v>0.23</v>
      </c>
      <c r="I106" s="46">
        <v>0.88</v>
      </c>
      <c r="J106" s="86">
        <f t="shared" ref="J106" si="194">E106*G106*(1-H106)*1440/1000000*2.74</f>
        <v>44.842533120000006</v>
      </c>
      <c r="K106" s="86">
        <f t="shared" ref="K106" si="195">(IF(G106&lt;L106,L106,G106)*(1-IF(H106&lt;N106,H106,N106))*E106*O106*Q106)/100000000</f>
        <v>25.854105920603768</v>
      </c>
      <c r="L106" s="36">
        <v>1230</v>
      </c>
      <c r="M106" s="36">
        <v>947.09999999999991</v>
      </c>
      <c r="N106" s="47">
        <f t="shared" ref="N106" si="196">1-(M106/L106)</f>
        <v>0.23000000000000009</v>
      </c>
      <c r="O106" s="48">
        <f>+'Trim Rwd'!H64</f>
        <v>259.09433962264148</v>
      </c>
      <c r="P106" s="49">
        <f t="shared" ref="P106" si="197">O106*(Q106-R106-S106)</f>
        <v>216084.67924528301</v>
      </c>
      <c r="Q106" s="48">
        <v>878</v>
      </c>
      <c r="R106" s="497">
        <v>0</v>
      </c>
      <c r="S106" s="497">
        <v>44</v>
      </c>
      <c r="T106" s="38">
        <f t="shared" ref="T106" si="198">E106*M106*O106*Q106/100000000</f>
        <v>25.854105920603768</v>
      </c>
      <c r="U106" s="38">
        <f t="shared" ref="U106" si="199">E106*M106*O106*(Q106-R106-S106)/100000000</f>
        <v>24.558455965584898</v>
      </c>
      <c r="V106" s="38">
        <f t="shared" ref="V106" si="200">E106*G106*(1-N106)*O106/100*(R106+S106)/1000000</f>
        <v>1.2956499550188678</v>
      </c>
      <c r="W106" s="38">
        <f>+'20'!K13/1000</f>
        <v>23.326000000000001</v>
      </c>
      <c r="X106" s="39"/>
      <c r="Y106" s="216"/>
      <c r="Z106" s="38">
        <f>+'20'!D25/1000</f>
        <v>0.4</v>
      </c>
      <c r="AA106" s="38"/>
      <c r="AB106" s="38"/>
      <c r="AC106" s="38"/>
      <c r="AD106" s="38">
        <f>+AM106+BA106</f>
        <v>0</v>
      </c>
      <c r="AE106" s="235" t="s">
        <v>286</v>
      </c>
      <c r="AF106" s="38"/>
      <c r="AG106" s="38">
        <v>0</v>
      </c>
      <c r="AH106" s="38"/>
      <c r="AI106" s="499"/>
      <c r="AJ106" s="38"/>
      <c r="AK106" s="38"/>
      <c r="AL106" s="38"/>
      <c r="AM106" s="38">
        <f t="shared" si="192"/>
        <v>0</v>
      </c>
      <c r="AN106" s="87"/>
      <c r="AO106" s="38"/>
      <c r="AP106" s="38"/>
      <c r="AQ106" s="38"/>
      <c r="AR106" s="38">
        <f t="shared" ref="AR106:AR107" si="201">SUM(AN106:AQ106)</f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+AR106+AS106+AU106+AW106+AY106+AZ106</f>
        <v>0</v>
      </c>
      <c r="BB106" s="51"/>
      <c r="BC106" s="52">
        <v>0</v>
      </c>
      <c r="BD106" s="52"/>
      <c r="BE106" s="51"/>
      <c r="BF106" s="52"/>
    </row>
    <row r="107" spans="1:58" ht="12.95" customHeight="1">
      <c r="A107" s="41"/>
      <c r="B107" s="42"/>
      <c r="C107" s="411"/>
      <c r="D107" s="42"/>
      <c r="E107" s="43"/>
      <c r="F107" s="43"/>
      <c r="G107" s="44"/>
      <c r="H107" s="45"/>
      <c r="I107" s="46"/>
      <c r="J107" s="86"/>
      <c r="K107" s="86"/>
      <c r="L107" s="36"/>
      <c r="M107" s="36"/>
      <c r="N107" s="47"/>
      <c r="O107" s="48"/>
      <c r="P107" s="49"/>
      <c r="Q107" s="48"/>
      <c r="R107" s="497"/>
      <c r="S107" s="497"/>
      <c r="T107" s="38"/>
      <c r="U107" s="38"/>
      <c r="V107" s="38"/>
      <c r="W107" s="38"/>
      <c r="X107" s="39"/>
      <c r="Y107" s="216"/>
      <c r="Z107" s="38"/>
      <c r="AA107" s="38"/>
      <c r="AB107" s="38"/>
      <c r="AC107" s="38"/>
      <c r="AD107" s="38">
        <f>+AM107+BA107</f>
        <v>47</v>
      </c>
      <c r="AE107" s="235" t="s">
        <v>491</v>
      </c>
      <c r="AF107" s="34"/>
      <c r="AG107" s="34"/>
      <c r="AH107" s="34">
        <v>47</v>
      </c>
      <c r="AJ107" s="38"/>
      <c r="AK107" s="38"/>
      <c r="AL107" s="38"/>
      <c r="AM107" s="38">
        <f t="shared" si="192"/>
        <v>47</v>
      </c>
      <c r="AN107" s="38"/>
      <c r="AO107" s="38"/>
      <c r="AP107" s="38"/>
      <c r="AQ107" s="38"/>
      <c r="AR107" s="38">
        <f t="shared" si="201"/>
        <v>0</v>
      </c>
      <c r="AS107" s="38"/>
      <c r="AT107" s="38"/>
      <c r="AU107" s="38"/>
      <c r="AV107" s="38"/>
      <c r="AW107" s="38"/>
      <c r="AX107" s="38"/>
      <c r="AY107" s="38"/>
      <c r="AZ107" s="38"/>
      <c r="BA107" s="38">
        <f>+AR107+AS107+AU107+AW107+AY107+AZ107</f>
        <v>0</v>
      </c>
      <c r="BB107" s="34"/>
      <c r="BC107" s="500"/>
      <c r="BD107" s="500"/>
      <c r="BE107" s="34"/>
      <c r="BF107" s="500"/>
    </row>
    <row r="108" spans="1:58" ht="12.95" customHeight="1">
      <c r="A108" s="41"/>
      <c r="B108" s="42"/>
      <c r="C108" s="411"/>
      <c r="D108" s="42"/>
      <c r="E108" s="43"/>
      <c r="F108" s="43"/>
      <c r="G108" s="44"/>
      <c r="H108" s="45"/>
      <c r="I108" s="46"/>
      <c r="J108" s="86"/>
      <c r="K108" s="86"/>
      <c r="L108" s="36"/>
      <c r="M108" s="36"/>
      <c r="N108" s="47"/>
      <c r="O108" s="48"/>
      <c r="P108" s="49"/>
      <c r="Q108" s="35"/>
      <c r="R108" s="497"/>
      <c r="S108" s="497"/>
      <c r="T108" s="38"/>
      <c r="U108" s="38"/>
      <c r="V108" s="38"/>
      <c r="W108" s="38"/>
      <c r="X108" s="39"/>
      <c r="Y108" s="216"/>
      <c r="Z108" s="38"/>
      <c r="AA108" s="38"/>
      <c r="AB108" s="38"/>
      <c r="AC108" s="38"/>
      <c r="AD108" s="38"/>
      <c r="AE108" s="238"/>
      <c r="AF108" s="38"/>
      <c r="AG108" s="38"/>
      <c r="AH108" s="38"/>
      <c r="AI108" s="499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51"/>
      <c r="BC108" s="52"/>
      <c r="BD108" s="52"/>
      <c r="BE108" s="51"/>
      <c r="BF108" s="52"/>
    </row>
    <row r="109" spans="1:58" ht="12.75" customHeight="1">
      <c r="A109" s="41">
        <v>45890</v>
      </c>
      <c r="B109" s="42" t="s">
        <v>490</v>
      </c>
      <c r="C109" s="411">
        <f t="shared" ref="C109:C110" si="202">(M109*E109*O109*Q109)/100000000</f>
        <v>11.181538368</v>
      </c>
      <c r="D109" s="42" t="s">
        <v>304</v>
      </c>
      <c r="E109" s="43">
        <v>13</v>
      </c>
      <c r="F109" s="43">
        <v>1</v>
      </c>
      <c r="G109" s="496">
        <v>1230</v>
      </c>
      <c r="H109" s="45">
        <v>0.22</v>
      </c>
      <c r="I109" s="46">
        <v>0.88</v>
      </c>
      <c r="J109" s="86">
        <f t="shared" ref="J109:J110" si="203">E109*G109*(1-H109)*1440/1000000*2.74</f>
        <v>49.210312320000007</v>
      </c>
      <c r="K109" s="86">
        <f t="shared" ref="K109:K110" si="204">(IF(G109&lt;L109,L109,G109)*(1-IF(H109&lt;N109,H109,N109))*E109*O109*Q109)/100000000</f>
        <v>11.326753152</v>
      </c>
      <c r="L109" s="36">
        <v>1230</v>
      </c>
      <c r="M109" s="36">
        <v>947.09999999999991</v>
      </c>
      <c r="N109" s="47">
        <f t="shared" ref="N109:N110" si="205">1-(M109/L109)</f>
        <v>0.23000000000000009</v>
      </c>
      <c r="O109" s="48">
        <f>+'Trim Rwd'!H67</f>
        <v>264</v>
      </c>
      <c r="P109" s="49">
        <f t="shared" ref="P109:P110" si="206">O109*(Q109-R109-S109)</f>
        <v>85536</v>
      </c>
      <c r="Q109" s="48">
        <v>344</v>
      </c>
      <c r="R109" s="497">
        <v>0</v>
      </c>
      <c r="S109" s="497">
        <v>20</v>
      </c>
      <c r="T109" s="38">
        <f t="shared" ref="T109:T110" si="207">E109*M109*O109*Q109/100000000</f>
        <v>11.181538368</v>
      </c>
      <c r="U109" s="38">
        <f t="shared" ref="U109:U110" si="208">E109*M109*O109*(Q109-R109-S109)/100000000</f>
        <v>10.531448928</v>
      </c>
      <c r="V109" s="38">
        <f t="shared" ref="V109:V110" si="209">E109*G109*(1-N109)*O109/100*(R109+S109)/1000000</f>
        <v>0.65008943999999991</v>
      </c>
      <c r="W109" s="38">
        <f>+'21'!K12/1000</f>
        <v>15.503</v>
      </c>
      <c r="X109" s="498">
        <f>SUM(W109:W112)/SUM(K109:K112)</f>
        <v>0.9519032187092431</v>
      </c>
      <c r="Y109" s="216">
        <v>0</v>
      </c>
      <c r="Z109" s="38">
        <f>+'15'!D55/1000</f>
        <v>0</v>
      </c>
      <c r="AA109" s="50">
        <f>SUM(U109:U112)-SUM(W109:W112)-SUM(Z109:Z112)-SUM(Y109:Y112)</f>
        <v>-0.16955317200000053</v>
      </c>
      <c r="AB109" s="50">
        <f>(SUM(K109:K112)-SUM(W109:W112)-SUM(Y109:Y112)-SUM(Z109:Z112)-SUM(AC109:AC112)-SUM(V109:V112))-AA109</f>
        <v>1.7763568394002505E-15</v>
      </c>
      <c r="AC109" s="38">
        <f>K109-T109</f>
        <v>0.14521478400000021</v>
      </c>
      <c r="AD109" s="38">
        <f>+AM109+BA109</f>
        <v>24</v>
      </c>
      <c r="AE109" s="235" t="s">
        <v>511</v>
      </c>
      <c r="AF109" s="38">
        <v>24</v>
      </c>
      <c r="AG109" s="38"/>
      <c r="AH109" s="38"/>
      <c r="AI109" s="499"/>
      <c r="AJ109" s="38"/>
      <c r="AK109" s="38"/>
      <c r="AL109" s="38"/>
      <c r="AM109" s="38">
        <f t="shared" ref="AM109:AM111" si="210">SUM(AF109:AL109)+AT109+AV109+AX109</f>
        <v>24</v>
      </c>
      <c r="AN109" s="38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34">
        <v>8</v>
      </c>
      <c r="BC109" s="52"/>
      <c r="BD109" s="52"/>
      <c r="BE109" s="34"/>
      <c r="BF109" s="52"/>
    </row>
    <row r="110" spans="1:58" ht="12.95" customHeight="1">
      <c r="A110" s="41"/>
      <c r="B110" s="42" t="s">
        <v>490</v>
      </c>
      <c r="C110" s="411">
        <f t="shared" si="202"/>
        <v>32.697680399999996</v>
      </c>
      <c r="D110" s="42" t="s">
        <v>304</v>
      </c>
      <c r="E110" s="43">
        <v>12</v>
      </c>
      <c r="F110" s="43">
        <v>1</v>
      </c>
      <c r="G110" s="496">
        <v>1230</v>
      </c>
      <c r="H110" s="45">
        <v>0.23</v>
      </c>
      <c r="I110" s="46">
        <v>0.88</v>
      </c>
      <c r="J110" s="86">
        <f t="shared" si="203"/>
        <v>44.842533120000006</v>
      </c>
      <c r="K110" s="86">
        <f t="shared" si="204"/>
        <v>32.697680399999996</v>
      </c>
      <c r="L110" s="36">
        <v>1230</v>
      </c>
      <c r="M110" s="36">
        <v>947.09999999999991</v>
      </c>
      <c r="N110" s="47">
        <f t="shared" si="205"/>
        <v>0.23000000000000009</v>
      </c>
      <c r="O110" s="48">
        <f>+'Trim Rwd'!H68</f>
        <v>262.5</v>
      </c>
      <c r="P110" s="49">
        <f t="shared" si="206"/>
        <v>274575</v>
      </c>
      <c r="Q110" s="48">
        <v>1096</v>
      </c>
      <c r="R110" s="497">
        <v>0</v>
      </c>
      <c r="S110" s="497">
        <v>50</v>
      </c>
      <c r="T110" s="38">
        <f t="shared" si="207"/>
        <v>32.697680399999996</v>
      </c>
      <c r="U110" s="38">
        <f t="shared" si="208"/>
        <v>31.205997899999996</v>
      </c>
      <c r="V110" s="38">
        <f t="shared" si="209"/>
        <v>1.4916824999999998</v>
      </c>
      <c r="W110" s="38">
        <f>+'21'!K13/1000</f>
        <v>26.404</v>
      </c>
      <c r="X110" s="39"/>
      <c r="Y110" s="216"/>
      <c r="Z110" s="38">
        <f>+'20'!D29/1000</f>
        <v>0</v>
      </c>
      <c r="AA110" s="38"/>
      <c r="AB110" s="38"/>
      <c r="AC110" s="38"/>
      <c r="AD110" s="38">
        <f>+AM110+BA110</f>
        <v>6</v>
      </c>
      <c r="AE110" s="235" t="s">
        <v>388</v>
      </c>
      <c r="AF110" s="38"/>
      <c r="AG110" s="38">
        <v>6</v>
      </c>
      <c r="AH110" s="38"/>
      <c r="AI110" s="499"/>
      <c r="AJ110" s="38"/>
      <c r="AK110" s="38"/>
      <c r="AL110" s="38"/>
      <c r="AM110" s="38">
        <f t="shared" si="210"/>
        <v>6</v>
      </c>
      <c r="AN110" s="87"/>
      <c r="AO110" s="38"/>
      <c r="AP110" s="38"/>
      <c r="AQ110" s="38"/>
      <c r="AR110" s="38">
        <f t="shared" ref="AR110:AR111" si="211">SUM(AN110:AQ110)</f>
        <v>0</v>
      </c>
      <c r="AS110" s="38"/>
      <c r="AT110" s="38"/>
      <c r="AU110" s="38"/>
      <c r="AV110" s="38"/>
      <c r="AW110" s="38"/>
      <c r="AX110" s="38"/>
      <c r="AY110" s="38"/>
      <c r="AZ110" s="38"/>
      <c r="BA110" s="38">
        <f>+AR110+AS110+AU110+AW110+AY110+AZ110</f>
        <v>0</v>
      </c>
      <c r="BB110" s="51"/>
      <c r="BC110" s="52">
        <v>3</v>
      </c>
      <c r="BD110" s="52"/>
      <c r="BE110" s="51"/>
      <c r="BF110" s="52"/>
    </row>
    <row r="111" spans="1:58" ht="12.95" customHeight="1">
      <c r="A111" s="41"/>
      <c r="B111" s="42"/>
      <c r="C111" s="411"/>
      <c r="D111" s="42"/>
      <c r="E111" s="43"/>
      <c r="F111" s="43"/>
      <c r="G111" s="44"/>
      <c r="H111" s="45"/>
      <c r="I111" s="46"/>
      <c r="J111" s="86"/>
      <c r="K111" s="86"/>
      <c r="L111" s="36"/>
      <c r="M111" s="36"/>
      <c r="N111" s="47"/>
      <c r="O111" s="48"/>
      <c r="P111" s="49"/>
      <c r="Q111" s="48"/>
      <c r="R111" s="497"/>
      <c r="S111" s="497"/>
      <c r="T111" s="38"/>
      <c r="U111" s="38"/>
      <c r="V111" s="38"/>
      <c r="W111" s="38"/>
      <c r="X111" s="39"/>
      <c r="Y111" s="216"/>
      <c r="Z111" s="38"/>
      <c r="AA111" s="38"/>
      <c r="AB111" s="38"/>
      <c r="AC111" s="38"/>
      <c r="AD111" s="38">
        <f>+AM111+BA111</f>
        <v>40</v>
      </c>
      <c r="AE111" s="235" t="s">
        <v>594</v>
      </c>
      <c r="AF111" s="34"/>
      <c r="AG111" s="34"/>
      <c r="AH111" s="34">
        <v>40</v>
      </c>
      <c r="AJ111" s="38"/>
      <c r="AK111" s="38"/>
      <c r="AL111" s="38"/>
      <c r="AM111" s="38">
        <f t="shared" si="210"/>
        <v>40</v>
      </c>
      <c r="AN111" s="38"/>
      <c r="AO111" s="38"/>
      <c r="AP111" s="38"/>
      <c r="AQ111" s="38"/>
      <c r="AR111" s="38">
        <f t="shared" si="211"/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+AR111+AS111+AU111+AW111+AY111+AZ111</f>
        <v>0</v>
      </c>
      <c r="BB111" s="34"/>
      <c r="BC111" s="500"/>
      <c r="BD111" s="500"/>
      <c r="BE111" s="34"/>
      <c r="BF111" s="500"/>
    </row>
    <row r="112" spans="1:58" ht="12.95" customHeight="1">
      <c r="A112" s="41"/>
      <c r="B112" s="42"/>
      <c r="C112" s="411"/>
      <c r="D112" s="42"/>
      <c r="E112" s="43"/>
      <c r="F112" s="43"/>
      <c r="G112" s="44"/>
      <c r="H112" s="45"/>
      <c r="I112" s="46"/>
      <c r="J112" s="86"/>
      <c r="K112" s="86"/>
      <c r="L112" s="36"/>
      <c r="M112" s="36"/>
      <c r="N112" s="47"/>
      <c r="O112" s="48"/>
      <c r="P112" s="49"/>
      <c r="Q112" s="35"/>
      <c r="R112" s="497"/>
      <c r="S112" s="497"/>
      <c r="T112" s="38"/>
      <c r="U112" s="38"/>
      <c r="V112" s="38"/>
      <c r="W112" s="38"/>
      <c r="X112" s="39"/>
      <c r="Y112" s="216"/>
      <c r="Z112" s="38"/>
      <c r="AA112" s="38"/>
      <c r="AB112" s="38"/>
      <c r="AC112" s="38"/>
      <c r="AD112" s="38"/>
      <c r="AE112" s="238"/>
      <c r="AF112" s="38"/>
      <c r="AG112" s="38"/>
      <c r="AH112" s="38"/>
      <c r="AI112" s="499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51"/>
      <c r="BC112" s="52"/>
      <c r="BD112" s="52"/>
      <c r="BE112" s="51"/>
      <c r="BF112" s="52"/>
    </row>
    <row r="113" spans="1:58" ht="12.75" customHeight="1">
      <c r="A113" s="41">
        <v>45891</v>
      </c>
      <c r="B113" s="42" t="s">
        <v>490</v>
      </c>
      <c r="C113" s="411">
        <f t="shared" ref="C113" si="212">(M113*E113*O113*Q113)/100000000</f>
        <v>24.614118897260866</v>
      </c>
      <c r="D113" s="42" t="s">
        <v>304</v>
      </c>
      <c r="E113" s="43">
        <v>12</v>
      </c>
      <c r="F113" s="43">
        <v>1</v>
      </c>
      <c r="G113" s="496">
        <v>1230</v>
      </c>
      <c r="H113" s="45">
        <v>0.23</v>
      </c>
      <c r="I113" s="46">
        <v>0.88</v>
      </c>
      <c r="J113" s="86">
        <f t="shared" ref="J113" si="213">E113*G113*(1-H113)*1440/1000000*2.74</f>
        <v>44.842533120000006</v>
      </c>
      <c r="K113" s="86">
        <f t="shared" ref="K113" si="214">(IF(G113&lt;L113,L113,G113)*(1-IF(H113&lt;N113,H113,N113))*E113*O113*Q113)/100000000</f>
        <v>24.614118897260866</v>
      </c>
      <c r="L113" s="36">
        <v>1230</v>
      </c>
      <c r="M113" s="36">
        <v>947.09999999999991</v>
      </c>
      <c r="N113" s="47">
        <f t="shared" ref="N113" si="215">1-(M113/L113)</f>
        <v>0.23000000000000009</v>
      </c>
      <c r="O113" s="48">
        <f>+'Trim Rwd'!H70</f>
        <v>263.79347826086956</v>
      </c>
      <c r="P113" s="49">
        <f t="shared" ref="P113" si="216">O113*(Q113-R113-S113)</f>
        <v>206550.29347826086</v>
      </c>
      <c r="Q113" s="48">
        <v>821</v>
      </c>
      <c r="R113" s="497">
        <v>0</v>
      </c>
      <c r="S113" s="497">
        <v>38</v>
      </c>
      <c r="T113" s="38">
        <f t="shared" ref="T113" si="217">E113*M113*O113*Q113/100000000</f>
        <v>24.614118897260866</v>
      </c>
      <c r="U113" s="38">
        <f t="shared" ref="U113" si="218">E113*M113*O113*(Q113-R113-S113)/100000000</f>
        <v>23.474853954391303</v>
      </c>
      <c r="V113" s="38">
        <f t="shared" ref="V113" si="219">E113*G113*(1-N113)*O113/100*(R113+S113)/1000000</f>
        <v>1.1392649428695651</v>
      </c>
      <c r="W113" s="38">
        <f>+'22'!K13/1000</f>
        <v>28.231999999999999</v>
      </c>
      <c r="X113" s="498">
        <f>SUM(W113:W116)/SUM(K113:K116)</f>
        <v>1.0052664550061754</v>
      </c>
      <c r="Y113" s="216">
        <v>0</v>
      </c>
      <c r="Z113" s="38">
        <f>+'15'!D59/1000</f>
        <v>0</v>
      </c>
      <c r="AA113" s="50">
        <f>SUM(U113:U116)-SUM(W113:W116)-SUM(Z113:Z116)-SUM(Y113:Y116)</f>
        <v>-2.3069907443350299</v>
      </c>
      <c r="AB113" s="50">
        <f>(SUM(K113:K116)-SUM(W113:W116)-SUM(Y113:Y116)-SUM(Z113:Z116)-SUM(AC113:AC116)-SUM(V113:V116))-AA113</f>
        <v>0</v>
      </c>
      <c r="AC113" s="38">
        <f>K113-T113</f>
        <v>0</v>
      </c>
      <c r="AD113" s="38">
        <f>+AM113+BA113</f>
        <v>16</v>
      </c>
      <c r="AE113" s="235" t="s">
        <v>511</v>
      </c>
      <c r="AF113" s="38">
        <v>16</v>
      </c>
      <c r="AG113" s="38"/>
      <c r="AH113" s="38"/>
      <c r="AI113" s="499"/>
      <c r="AJ113" s="38"/>
      <c r="AK113" s="38"/>
      <c r="AL113" s="38"/>
      <c r="AM113" s="38">
        <f t="shared" ref="AM113:AM115" si="220">SUM(AF113:AL113)+AT113+AV113+AX113</f>
        <v>16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>
        <v>8</v>
      </c>
      <c r="BC113" s="52"/>
      <c r="BD113" s="52"/>
      <c r="BE113" s="34"/>
      <c r="BF113" s="52"/>
    </row>
    <row r="114" spans="1:58" ht="12.95" customHeight="1">
      <c r="A114" s="41"/>
      <c r="B114" s="42" t="s">
        <v>409</v>
      </c>
      <c r="C114" s="411">
        <f t="shared" ref="C114" si="221">(M114*E114*O114*Q114)/100000000</f>
        <v>19.918352843999998</v>
      </c>
      <c r="D114" s="42" t="s">
        <v>304</v>
      </c>
      <c r="E114" s="43">
        <v>13</v>
      </c>
      <c r="F114" s="43">
        <v>1</v>
      </c>
      <c r="G114" s="496">
        <v>1230</v>
      </c>
      <c r="H114" s="45">
        <v>0.22</v>
      </c>
      <c r="I114" s="46">
        <v>0.88</v>
      </c>
      <c r="J114" s="86">
        <f t="shared" ref="J114" si="222">E114*G114*(1-H114)*1440/1000000*2.74</f>
        <v>49.210312320000007</v>
      </c>
      <c r="K114" s="86">
        <f t="shared" ref="K114" si="223">(IF(G114&lt;L114,L114,G114)*(1-IF(H114&lt;N114,H114,N114))*E114*O114*Q114)/100000000</f>
        <v>19.918352843999998</v>
      </c>
      <c r="L114" s="36">
        <v>1230</v>
      </c>
      <c r="M114" s="36">
        <v>959.4</v>
      </c>
      <c r="N114" s="47">
        <f t="shared" ref="N114" si="224">1-(M114/L114)</f>
        <v>0.21999999999999997</v>
      </c>
      <c r="O114" s="48">
        <f>+'Trim Rwd'!H72</f>
        <v>258</v>
      </c>
      <c r="P114" s="49">
        <f t="shared" ref="P114" si="225">O114*(Q114-R114-S114)</f>
        <v>152220</v>
      </c>
      <c r="Q114" s="48">
        <v>619</v>
      </c>
      <c r="R114" s="497">
        <v>0</v>
      </c>
      <c r="S114" s="497">
        <f>67-S113</f>
        <v>29</v>
      </c>
      <c r="T114" s="38">
        <f t="shared" ref="T114" si="226">E114*M114*O114*Q114/100000000</f>
        <v>19.918352843999998</v>
      </c>
      <c r="U114" s="38">
        <f t="shared" ref="U114" si="227">E114*M114*O114*(Q114-R114-S114)/100000000</f>
        <v>18.985182839999997</v>
      </c>
      <c r="V114" s="38">
        <f t="shared" ref="V114" si="228">E114*G114*(1-N114)*O114/100*(R114+S114)/1000000</f>
        <v>0.93317000400000005</v>
      </c>
      <c r="W114" s="38">
        <f>+'22'!K7/1000</f>
        <v>16.535</v>
      </c>
      <c r="X114" s="39"/>
      <c r="Y114" s="216"/>
      <c r="Z114" s="38">
        <f>+'20'!D33/1000</f>
        <v>2.7538726333907058E-5</v>
      </c>
      <c r="AA114" s="38"/>
      <c r="AB114" s="38"/>
      <c r="AC114" s="38"/>
      <c r="AD114" s="38">
        <f>+AM114+BA114</f>
        <v>6</v>
      </c>
      <c r="AE114" s="235" t="s">
        <v>508</v>
      </c>
      <c r="AF114" s="38"/>
      <c r="AG114" s="38">
        <v>6</v>
      </c>
      <c r="AH114" s="38"/>
      <c r="AI114" s="499"/>
      <c r="AJ114" s="38"/>
      <c r="AK114" s="38"/>
      <c r="AL114" s="38"/>
      <c r="AM114" s="38">
        <f t="shared" si="220"/>
        <v>6</v>
      </c>
      <c r="AN114" s="87"/>
      <c r="AO114" s="38"/>
      <c r="AP114" s="38"/>
      <c r="AQ114" s="38"/>
      <c r="AR114" s="38">
        <f t="shared" ref="AR114:AR115" si="229">SUM(AN114:AQ114)</f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>+AR114+AS114+AU114+AW114+AY114+AZ114</f>
        <v>0</v>
      </c>
      <c r="BB114" s="51"/>
      <c r="BC114" s="52">
        <v>2</v>
      </c>
      <c r="BD114" s="52"/>
      <c r="BE114" s="51"/>
      <c r="BF114" s="52"/>
    </row>
    <row r="115" spans="1:58" ht="12.95" customHeight="1">
      <c r="A115" s="41"/>
      <c r="B115" s="42"/>
      <c r="C115" s="411"/>
      <c r="D115" s="42"/>
      <c r="E115" s="43"/>
      <c r="F115" s="43"/>
      <c r="G115" s="44"/>
      <c r="H115" s="45"/>
      <c r="I115" s="46"/>
      <c r="J115" s="86"/>
      <c r="K115" s="86"/>
      <c r="L115" s="36"/>
      <c r="M115" s="36"/>
      <c r="N115" s="47"/>
      <c r="O115" s="48"/>
      <c r="P115" s="49"/>
      <c r="Q115" s="48"/>
      <c r="R115" s="497"/>
      <c r="S115" s="497"/>
      <c r="T115" s="38"/>
      <c r="U115" s="38"/>
      <c r="V115" s="38"/>
      <c r="W115" s="38"/>
      <c r="X115" s="39"/>
      <c r="Y115" s="216"/>
      <c r="Z115" s="38"/>
      <c r="AA115" s="38"/>
      <c r="AB115" s="38"/>
      <c r="AC115" s="38"/>
      <c r="AD115" s="38">
        <f>+AM115+BA115</f>
        <v>45</v>
      </c>
      <c r="AE115" s="235" t="s">
        <v>411</v>
      </c>
      <c r="AF115" s="34"/>
      <c r="AG115" s="34"/>
      <c r="AH115" s="34">
        <v>45</v>
      </c>
      <c r="AJ115" s="38"/>
      <c r="AK115" s="38"/>
      <c r="AL115" s="38"/>
      <c r="AM115" s="38">
        <f t="shared" si="220"/>
        <v>45</v>
      </c>
      <c r="AN115" s="38"/>
      <c r="AO115" s="38"/>
      <c r="AP115" s="38"/>
      <c r="AQ115" s="38"/>
      <c r="AR115" s="38">
        <f t="shared" si="229"/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/>
      <c r="BC115" s="500"/>
      <c r="BD115" s="500"/>
      <c r="BE115" s="34"/>
      <c r="BF115" s="500"/>
    </row>
    <row r="116" spans="1:58" ht="12.95" customHeight="1">
      <c r="A116" s="41"/>
      <c r="B116" s="42"/>
      <c r="C116" s="411"/>
      <c r="D116" s="42"/>
      <c r="E116" s="43"/>
      <c r="F116" s="43"/>
      <c r="G116" s="44"/>
      <c r="H116" s="45"/>
      <c r="I116" s="46"/>
      <c r="J116" s="86"/>
      <c r="K116" s="86"/>
      <c r="L116" s="36"/>
      <c r="M116" s="36"/>
      <c r="N116" s="47"/>
      <c r="O116" s="48"/>
      <c r="P116" s="49"/>
      <c r="Q116" s="35"/>
      <c r="R116" s="497"/>
      <c r="S116" s="497"/>
      <c r="T116" s="38"/>
      <c r="U116" s="38"/>
      <c r="V116" s="38"/>
      <c r="W116" s="38"/>
      <c r="X116" s="39"/>
      <c r="Y116" s="216"/>
      <c r="Z116" s="38"/>
      <c r="AA116" s="38"/>
      <c r="AB116" s="38"/>
      <c r="AC116" s="38"/>
      <c r="AD116" s="38"/>
      <c r="AE116" s="238"/>
      <c r="AF116" s="38"/>
      <c r="AG116" s="38"/>
      <c r="AH116" s="38"/>
      <c r="AI116" s="499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51"/>
      <c r="BC116" s="52"/>
      <c r="BD116" s="52"/>
      <c r="BE116" s="51"/>
      <c r="BF116" s="52"/>
    </row>
    <row r="117" spans="1:58" ht="12.75" customHeight="1">
      <c r="A117" s="41">
        <v>45892</v>
      </c>
      <c r="B117" s="42" t="s">
        <v>409</v>
      </c>
      <c r="C117" s="411">
        <f t="shared" ref="C117" si="230">(M117*E117*O117*Q117)/100000000</f>
        <v>46.138697279999988</v>
      </c>
      <c r="D117" s="42" t="s">
        <v>304</v>
      </c>
      <c r="E117" s="43">
        <v>13</v>
      </c>
      <c r="F117" s="43">
        <v>1</v>
      </c>
      <c r="G117" s="496">
        <v>1230</v>
      </c>
      <c r="H117" s="45">
        <f>+N117</f>
        <v>0.22333333333333349</v>
      </c>
      <c r="I117" s="46">
        <v>0.88</v>
      </c>
      <c r="J117" s="86">
        <f t="shared" ref="J117" si="231">E117*G117*(1-H117)*1440/1000000*2.74</f>
        <v>49.000011839999999</v>
      </c>
      <c r="K117" s="86">
        <f t="shared" ref="K117" si="232">(IF(G117&lt;L117,L117,G117)*(1-IF(H117&lt;N117,H117,N117))*E117*O117*Q117)/100000000</f>
        <v>46.138697279999988</v>
      </c>
      <c r="L117" s="36">
        <v>1230</v>
      </c>
      <c r="M117" s="36">
        <v>955.29999999999984</v>
      </c>
      <c r="N117" s="47">
        <f t="shared" ref="N117" si="233">1-(M117/L117)</f>
        <v>0.22333333333333349</v>
      </c>
      <c r="O117" s="48">
        <f>+'Trim Rwd'!H74</f>
        <v>258</v>
      </c>
      <c r="P117" s="49">
        <f t="shared" ref="P117" si="234">O117*(Q117-R117-S117)</f>
        <v>355782</v>
      </c>
      <c r="Q117" s="48">
        <v>1440</v>
      </c>
      <c r="R117" s="497">
        <v>0</v>
      </c>
      <c r="S117" s="497">
        <v>61</v>
      </c>
      <c r="T117" s="38">
        <f t="shared" ref="T117" si="235">E117*M117*O117*Q117/100000000</f>
        <v>46.138697279999988</v>
      </c>
      <c r="U117" s="38">
        <f t="shared" ref="U117" si="236">E117*M117*O117*(Q117-R117-S117)/100000000</f>
        <v>44.184210797999995</v>
      </c>
      <c r="V117" s="38">
        <f t="shared" ref="V117" si="237">E117*G117*(1-N117)*O117/100*(R117+S117)/1000000</f>
        <v>1.9544864819999994</v>
      </c>
      <c r="W117" s="38">
        <f>+'23'!K7/1000</f>
        <v>41.915999999999997</v>
      </c>
      <c r="X117" s="498">
        <f>SUM(W117:W121)/SUM(K117:K121)</f>
        <v>0.90847818579762052</v>
      </c>
      <c r="Y117" s="216">
        <v>0</v>
      </c>
      <c r="Z117" s="38">
        <f>+'23'!D34/1000</f>
        <v>0.56999999999999995</v>
      </c>
      <c r="AA117" s="50">
        <f>SUM(U117:U121)-SUM(W117:W121)-SUM(Z117:Z121)-SUM(Y117:Y121)</f>
        <v>1.6982107979999985</v>
      </c>
      <c r="AB117" s="50">
        <f>(SUM(K117:K121)-SUM(W117:W121)-SUM(Y117:Y121)-SUM(Z117:Z121)-SUM(AC117:AC121)-SUM(V117:V121))-AA117</f>
        <v>-6.4392935428259079E-15</v>
      </c>
      <c r="AC117" s="38">
        <f>K117-T117</f>
        <v>0</v>
      </c>
      <c r="AD117" s="38">
        <f>+AM117+BA117</f>
        <v>16</v>
      </c>
      <c r="AE117" s="235" t="s">
        <v>608</v>
      </c>
      <c r="AF117" s="38">
        <v>16</v>
      </c>
      <c r="AG117" s="38"/>
      <c r="AH117" s="38"/>
      <c r="AI117" s="499"/>
      <c r="AJ117" s="38"/>
      <c r="AK117" s="38"/>
      <c r="AL117" s="38"/>
      <c r="AM117" s="38">
        <f t="shared" ref="AM117:AM120" si="238">SUM(AF117:AL117)+AT117+AV117+AX117</f>
        <v>16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>
        <v>7</v>
      </c>
      <c r="BC117" s="52"/>
      <c r="BD117" s="52"/>
      <c r="BE117" s="34"/>
      <c r="BF117" s="52"/>
    </row>
    <row r="118" spans="1:58" ht="12.95" customHeight="1">
      <c r="A118" s="41"/>
      <c r="B118" s="42"/>
      <c r="C118" s="411"/>
      <c r="D118" s="42"/>
      <c r="E118" s="43"/>
      <c r="F118" s="43"/>
      <c r="G118" s="496"/>
      <c r="H118" s="45"/>
      <c r="I118" s="46"/>
      <c r="J118" s="86"/>
      <c r="K118" s="86"/>
      <c r="L118" s="36"/>
      <c r="M118" s="36"/>
      <c r="N118" s="47"/>
      <c r="O118" s="48"/>
      <c r="P118" s="49"/>
      <c r="Q118" s="48"/>
      <c r="R118" s="497"/>
      <c r="S118" s="497"/>
      <c r="T118" s="38"/>
      <c r="U118" s="38"/>
      <c r="V118" s="38"/>
      <c r="W118" s="38"/>
      <c r="X118" s="39"/>
      <c r="Y118" s="216"/>
      <c r="Z118" s="38"/>
      <c r="AA118" s="38"/>
      <c r="AB118" s="38"/>
      <c r="AC118" s="38"/>
      <c r="AD118" s="38">
        <f>+AM118+BA118</f>
        <v>2</v>
      </c>
      <c r="AE118" s="235" t="s">
        <v>607</v>
      </c>
      <c r="AF118" s="38"/>
      <c r="AG118" s="38">
        <v>2</v>
      </c>
      <c r="AH118" s="38"/>
      <c r="AI118" s="499"/>
      <c r="AJ118" s="38"/>
      <c r="AK118" s="38"/>
      <c r="AL118" s="38"/>
      <c r="AM118" s="38">
        <f t="shared" si="238"/>
        <v>2</v>
      </c>
      <c r="AN118" s="87"/>
      <c r="AO118" s="38"/>
      <c r="AP118" s="38"/>
      <c r="AQ118" s="38"/>
      <c r="AR118" s="38">
        <f t="shared" ref="AR118:AR120" si="239">SUM(AN118:AQ118)</f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>+AR118+AS118+AU118+AW118+AY118+AZ118</f>
        <v>0</v>
      </c>
      <c r="BB118" s="51"/>
      <c r="BC118" s="52">
        <v>1</v>
      </c>
      <c r="BD118" s="52"/>
      <c r="BE118" s="51"/>
      <c r="BF118" s="52"/>
    </row>
    <row r="119" spans="1:58" ht="12.95" customHeight="1">
      <c r="A119" s="41"/>
      <c r="B119" s="42"/>
      <c r="C119" s="411"/>
      <c r="D119" s="42"/>
      <c r="E119" s="43"/>
      <c r="F119" s="43"/>
      <c r="G119" s="44"/>
      <c r="H119" s="45"/>
      <c r="I119" s="46"/>
      <c r="J119" s="86"/>
      <c r="K119" s="86"/>
      <c r="L119" s="36"/>
      <c r="M119" s="36"/>
      <c r="N119" s="47"/>
      <c r="O119" s="48"/>
      <c r="P119" s="49"/>
      <c r="Q119" s="48"/>
      <c r="R119" s="497"/>
      <c r="S119" s="497"/>
      <c r="T119" s="38"/>
      <c r="U119" s="38"/>
      <c r="V119" s="38"/>
      <c r="W119" s="38"/>
      <c r="X119" s="39"/>
      <c r="Y119" s="216"/>
      <c r="Z119" s="38"/>
      <c r="AA119" s="38"/>
      <c r="AB119" s="38"/>
      <c r="AC119" s="38"/>
      <c r="AD119" s="38">
        <f>+AM119+BA119</f>
        <v>43</v>
      </c>
      <c r="AE119" s="235" t="s">
        <v>567</v>
      </c>
      <c r="AF119" s="34"/>
      <c r="AG119" s="34"/>
      <c r="AH119" s="34">
        <v>43</v>
      </c>
      <c r="AJ119" s="38"/>
      <c r="AK119" s="38"/>
      <c r="AL119" s="38"/>
      <c r="AM119" s="38">
        <f t="shared" si="238"/>
        <v>43</v>
      </c>
      <c r="AN119" s="38"/>
      <c r="AO119" s="38"/>
      <c r="AP119" s="38"/>
      <c r="AQ119" s="38"/>
      <c r="AR119" s="38">
        <f t="shared" si="239"/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/>
      <c r="BC119" s="500"/>
      <c r="BD119" s="500"/>
      <c r="BE119" s="34"/>
      <c r="BF119" s="500"/>
    </row>
    <row r="120" spans="1:58" ht="12.95" customHeight="1">
      <c r="A120" s="41"/>
      <c r="B120" s="42"/>
      <c r="C120" s="411"/>
      <c r="D120" s="42"/>
      <c r="E120" s="43"/>
      <c r="F120" s="43"/>
      <c r="G120" s="44"/>
      <c r="H120" s="594"/>
      <c r="I120" s="46"/>
      <c r="J120" s="86"/>
      <c r="K120" s="86"/>
      <c r="L120" s="36"/>
      <c r="M120" s="36"/>
      <c r="N120" s="47"/>
      <c r="O120" s="48"/>
      <c r="P120" s="49"/>
      <c r="Q120" s="35"/>
      <c r="R120" s="497"/>
      <c r="S120" s="497"/>
      <c r="T120" s="38"/>
      <c r="U120" s="38"/>
      <c r="V120" s="38"/>
      <c r="W120" s="38"/>
      <c r="X120" s="39"/>
      <c r="Y120" s="216"/>
      <c r="Z120" s="38"/>
      <c r="AA120" s="38"/>
      <c r="AB120" s="38"/>
      <c r="AC120" s="38"/>
      <c r="AD120" s="38">
        <f>+AM120+BA120</f>
        <v>0</v>
      </c>
      <c r="AE120" s="238" t="s">
        <v>380</v>
      </c>
      <c r="AF120" s="38"/>
      <c r="AG120" s="38"/>
      <c r="AH120" s="38"/>
      <c r="AI120" s="499">
        <v>0</v>
      </c>
      <c r="AJ120" s="38"/>
      <c r="AK120" s="38"/>
      <c r="AL120" s="38"/>
      <c r="AM120" s="38">
        <f t="shared" si="238"/>
        <v>0</v>
      </c>
      <c r="AN120" s="38"/>
      <c r="AO120" s="38"/>
      <c r="AP120" s="38"/>
      <c r="AQ120" s="38"/>
      <c r="AR120" s="38">
        <f t="shared" si="239"/>
        <v>0</v>
      </c>
      <c r="AS120" s="38"/>
      <c r="AT120" s="38"/>
      <c r="AU120" s="38"/>
      <c r="AV120" s="38"/>
      <c r="AW120" s="38"/>
      <c r="AX120" s="38"/>
      <c r="AY120" s="38"/>
      <c r="AZ120" s="38"/>
      <c r="BA120" s="38">
        <f>+AR120+AS120+AU120+AW120+AY120+AZ120</f>
        <v>0</v>
      </c>
      <c r="BB120" s="51"/>
      <c r="BC120" s="52"/>
      <c r="BD120" s="52"/>
      <c r="BE120" s="51"/>
      <c r="BF120" s="52"/>
    </row>
    <row r="121" spans="1:58" ht="12.95" customHeight="1">
      <c r="A121" s="41"/>
      <c r="B121" s="42"/>
      <c r="C121" s="411"/>
      <c r="D121" s="42"/>
      <c r="E121" s="43"/>
      <c r="F121" s="43"/>
      <c r="G121" s="44"/>
      <c r="H121" s="594"/>
      <c r="I121" s="46"/>
      <c r="J121" s="86"/>
      <c r="K121" s="86"/>
      <c r="L121" s="36"/>
      <c r="M121" s="36"/>
      <c r="N121" s="47"/>
      <c r="O121" s="48"/>
      <c r="P121" s="49"/>
      <c r="Q121" s="48"/>
      <c r="R121" s="497"/>
      <c r="S121" s="497"/>
      <c r="T121" s="38"/>
      <c r="U121" s="38"/>
      <c r="V121" s="38"/>
      <c r="W121" s="38"/>
      <c r="X121" s="39"/>
      <c r="Y121" s="216"/>
      <c r="Z121" s="38"/>
      <c r="AA121" s="38"/>
      <c r="AB121" s="38"/>
      <c r="AC121" s="38"/>
      <c r="AD121" s="38"/>
      <c r="AE121" s="235"/>
      <c r="AF121" s="34"/>
      <c r="AG121" s="34"/>
      <c r="AH121" s="34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4"/>
      <c r="BC121" s="500"/>
      <c r="BD121" s="52"/>
      <c r="BE121" s="52"/>
      <c r="BF121" s="52"/>
    </row>
    <row r="122" spans="1:58" ht="12.75" customHeight="1">
      <c r="A122" s="41">
        <v>45893</v>
      </c>
      <c r="B122" s="42" t="s">
        <v>409</v>
      </c>
      <c r="C122" s="411">
        <f t="shared" ref="C122" si="240">(M122*E122*O122*Q122)/100000000</f>
        <v>46.336717439999994</v>
      </c>
      <c r="D122" s="42" t="s">
        <v>304</v>
      </c>
      <c r="E122" s="43">
        <v>13</v>
      </c>
      <c r="F122" s="43">
        <v>1</v>
      </c>
      <c r="G122" s="496">
        <v>1230</v>
      </c>
      <c r="H122" s="594">
        <v>0.22</v>
      </c>
      <c r="I122" s="46">
        <v>0.88</v>
      </c>
      <c r="J122" s="86">
        <f t="shared" ref="J122" si="241">E122*G122*(1-H122)*1440/1000000*2.74</f>
        <v>49.210312320000007</v>
      </c>
      <c r="K122" s="86">
        <f t="shared" ref="K122" si="242">(IF(G122&lt;L122,L122,G122)*(1-IF(H122&lt;N122,H122,N122))*E122*O122*Q122)/100000000</f>
        <v>46.336717439999994</v>
      </c>
      <c r="L122" s="36">
        <v>1230</v>
      </c>
      <c r="M122" s="36">
        <v>959.4</v>
      </c>
      <c r="N122" s="47">
        <f t="shared" ref="N122" si="243">1-(M122/L122)</f>
        <v>0.21999999999999997</v>
      </c>
      <c r="O122" s="48">
        <f>+'Trim Rwd'!H76</f>
        <v>258</v>
      </c>
      <c r="P122" s="49">
        <f t="shared" ref="P122" si="244">O122*(Q122-R122-S122)</f>
        <v>356814</v>
      </c>
      <c r="Q122" s="48">
        <v>1440</v>
      </c>
      <c r="R122" s="497">
        <v>0</v>
      </c>
      <c r="S122" s="497">
        <v>57</v>
      </c>
      <c r="T122" s="38">
        <f t="shared" ref="T122" si="245">E122*M122*O122*Q122/100000000</f>
        <v>46.336717439999994</v>
      </c>
      <c r="U122" s="38">
        <f t="shared" ref="U122" si="246">E122*M122*O122*(Q122-R122-S122)/100000000</f>
        <v>44.502555707999996</v>
      </c>
      <c r="V122" s="38">
        <f t="shared" ref="V122" si="247">E122*G122*(1-N122)*O122/100*(R122+S122)/1000000</f>
        <v>1.8341617320000001</v>
      </c>
      <c r="W122" s="38">
        <f>+'24'!K7/1000</f>
        <v>44.848999999999997</v>
      </c>
      <c r="X122" s="498">
        <f>SUM(W122:W126)/SUM(K122:K126)</f>
        <v>0.96789333551893486</v>
      </c>
      <c r="Y122" s="216">
        <v>0</v>
      </c>
      <c r="Z122" s="38">
        <v>0</v>
      </c>
      <c r="AA122" s="50">
        <f>SUM(U122:U126)-SUM(W122:W126)-SUM(Z122:Z126)-SUM(Y122:Y126)</f>
        <v>-0.34644429200000104</v>
      </c>
      <c r="AB122" s="50">
        <f>(SUM(K122:K126)-SUM(W122:W126)-SUM(Y122:Y126)-SUM(Z122:Z126)-SUM(AC122:AC126)-SUM(V122:V126))-AA122</f>
        <v>-1.7763568394002505E-15</v>
      </c>
      <c r="AC122" s="38">
        <f>K122-T122</f>
        <v>0</v>
      </c>
      <c r="AD122" s="38">
        <f>+AM122+BA122</f>
        <v>14</v>
      </c>
      <c r="AE122" s="235" t="s">
        <v>436</v>
      </c>
      <c r="AF122" s="38">
        <v>14</v>
      </c>
      <c r="AG122" s="38"/>
      <c r="AH122" s="38"/>
      <c r="AI122" s="499"/>
      <c r="AJ122" s="38"/>
      <c r="AK122" s="38"/>
      <c r="AL122" s="38"/>
      <c r="AM122" s="38">
        <f t="shared" ref="AM122:AM125" si="248">SUM(AF122:AL122)+AT122+AV122+AX122</f>
        <v>14</v>
      </c>
      <c r="AN122" s="38"/>
      <c r="AO122" s="38"/>
      <c r="AP122" s="38"/>
      <c r="AQ122" s="38"/>
      <c r="AR122" s="38">
        <f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>+AR122+AS122+AU122+AW122+AY122+AZ122</f>
        <v>0</v>
      </c>
      <c r="BB122" s="34">
        <v>6</v>
      </c>
      <c r="BC122" s="52"/>
      <c r="BD122" s="52"/>
      <c r="BE122" s="34"/>
      <c r="BF122" s="52"/>
    </row>
    <row r="123" spans="1:58" ht="12.95" customHeight="1">
      <c r="A123" s="41"/>
      <c r="B123" s="42"/>
      <c r="C123" s="411"/>
      <c r="D123" s="42"/>
      <c r="E123" s="43"/>
      <c r="F123" s="43"/>
      <c r="G123" s="496"/>
      <c r="H123" s="594"/>
      <c r="I123" s="46"/>
      <c r="J123" s="86"/>
      <c r="K123" s="86"/>
      <c r="L123" s="36"/>
      <c r="M123" s="36"/>
      <c r="N123" s="47"/>
      <c r="O123" s="48"/>
      <c r="P123" s="49"/>
      <c r="Q123" s="48"/>
      <c r="R123" s="497"/>
      <c r="S123" s="497"/>
      <c r="T123" s="38"/>
      <c r="U123" s="38"/>
      <c r="V123" s="38"/>
      <c r="W123" s="38"/>
      <c r="X123" s="39"/>
      <c r="Y123" s="216"/>
      <c r="Z123" s="38"/>
      <c r="AA123" s="38"/>
      <c r="AB123" s="38"/>
      <c r="AC123" s="38"/>
      <c r="AD123" s="38">
        <f>+AM123+BA123</f>
        <v>4</v>
      </c>
      <c r="AE123" s="235" t="s">
        <v>508</v>
      </c>
      <c r="AF123" s="38"/>
      <c r="AG123" s="38">
        <v>4</v>
      </c>
      <c r="AH123" s="38"/>
      <c r="AI123" s="499"/>
      <c r="AJ123" s="38"/>
      <c r="AK123" s="38"/>
      <c r="AL123" s="38"/>
      <c r="AM123" s="38">
        <f t="shared" si="248"/>
        <v>4</v>
      </c>
      <c r="AN123" s="87"/>
      <c r="AO123" s="38"/>
      <c r="AP123" s="38"/>
      <c r="AQ123" s="38"/>
      <c r="AR123" s="38">
        <f t="shared" ref="AR123:AR125" si="249">SUM(AN123:AQ123)</f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51"/>
      <c r="BC123" s="52">
        <v>2</v>
      </c>
      <c r="BD123" s="52"/>
      <c r="BE123" s="51"/>
      <c r="BF123" s="52"/>
    </row>
    <row r="124" spans="1:58" ht="12.95" customHeight="1">
      <c r="A124" s="41"/>
      <c r="B124" s="42"/>
      <c r="C124" s="411"/>
      <c r="D124" s="42"/>
      <c r="E124" s="43"/>
      <c r="F124" s="43"/>
      <c r="G124" s="44"/>
      <c r="H124" s="594"/>
      <c r="I124" s="46"/>
      <c r="J124" s="86"/>
      <c r="K124" s="86"/>
      <c r="L124" s="36"/>
      <c r="M124" s="36"/>
      <c r="N124" s="47"/>
      <c r="O124" s="48"/>
      <c r="P124" s="49"/>
      <c r="Q124" s="48"/>
      <c r="R124" s="497"/>
      <c r="S124" s="497"/>
      <c r="T124" s="38"/>
      <c r="U124" s="38"/>
      <c r="V124" s="38"/>
      <c r="W124" s="38"/>
      <c r="X124" s="39"/>
      <c r="Y124" s="216"/>
      <c r="Z124" s="38"/>
      <c r="AA124" s="38"/>
      <c r="AB124" s="38"/>
      <c r="AC124" s="38"/>
      <c r="AD124" s="38">
        <f>+AM124+BA124</f>
        <v>39</v>
      </c>
      <c r="AE124" s="235" t="s">
        <v>411</v>
      </c>
      <c r="AF124" s="34"/>
      <c r="AG124" s="34"/>
      <c r="AH124" s="34">
        <v>39</v>
      </c>
      <c r="AJ124" s="38"/>
      <c r="AK124" s="38"/>
      <c r="AL124" s="38"/>
      <c r="AM124" s="38">
        <f t="shared" si="248"/>
        <v>39</v>
      </c>
      <c r="AN124" s="38"/>
      <c r="AO124" s="38"/>
      <c r="AP124" s="38"/>
      <c r="AQ124" s="38"/>
      <c r="AR124" s="38">
        <f t="shared" si="249"/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>+AR124+AS124+AU124+AW124+AY124+AZ124</f>
        <v>0</v>
      </c>
      <c r="BB124" s="34"/>
      <c r="BC124" s="500"/>
      <c r="BD124" s="500"/>
      <c r="BE124" s="34"/>
      <c r="BF124" s="500"/>
    </row>
    <row r="125" spans="1:58" ht="12.95" customHeight="1">
      <c r="A125" s="41"/>
      <c r="B125" s="42"/>
      <c r="C125" s="411"/>
      <c r="D125" s="42"/>
      <c r="E125" s="43"/>
      <c r="F125" s="43"/>
      <c r="G125" s="44"/>
      <c r="H125" s="594"/>
      <c r="I125" s="46"/>
      <c r="J125" s="86"/>
      <c r="K125" s="86"/>
      <c r="L125" s="36"/>
      <c r="M125" s="36"/>
      <c r="N125" s="47"/>
      <c r="O125" s="48"/>
      <c r="P125" s="49"/>
      <c r="Q125" s="35"/>
      <c r="R125" s="497"/>
      <c r="S125" s="497"/>
      <c r="T125" s="38"/>
      <c r="U125" s="38"/>
      <c r="V125" s="38"/>
      <c r="W125" s="38"/>
      <c r="X125" s="39"/>
      <c r="Y125" s="216"/>
      <c r="Z125" s="38"/>
      <c r="AA125" s="38"/>
      <c r="AB125" s="38"/>
      <c r="AC125" s="38"/>
      <c r="AD125" s="38">
        <f>+AM125+BA125</f>
        <v>0</v>
      </c>
      <c r="AE125" s="238" t="s">
        <v>380</v>
      </c>
      <c r="AF125" s="38"/>
      <c r="AG125" s="38"/>
      <c r="AH125" s="38"/>
      <c r="AI125" s="499">
        <v>0</v>
      </c>
      <c r="AJ125" s="38"/>
      <c r="AK125" s="38"/>
      <c r="AL125" s="38"/>
      <c r="AM125" s="38">
        <f t="shared" si="248"/>
        <v>0</v>
      </c>
      <c r="AN125" s="38"/>
      <c r="AO125" s="38"/>
      <c r="AP125" s="38"/>
      <c r="AQ125" s="38"/>
      <c r="AR125" s="38">
        <f t="shared" si="249"/>
        <v>0</v>
      </c>
      <c r="AS125" s="38"/>
      <c r="AT125" s="38"/>
      <c r="AU125" s="38"/>
      <c r="AV125" s="38"/>
      <c r="AW125" s="38"/>
      <c r="AX125" s="38"/>
      <c r="AY125" s="38"/>
      <c r="AZ125" s="38"/>
      <c r="BA125" s="38">
        <f>+AR125+AS125+AU125+AW125+AY125+AZ125</f>
        <v>0</v>
      </c>
      <c r="BB125" s="51"/>
      <c r="BC125" s="52"/>
      <c r="BD125" s="52"/>
      <c r="BE125" s="51"/>
      <c r="BF125" s="52"/>
    </row>
    <row r="126" spans="1:58" ht="12.95" customHeight="1">
      <c r="A126" s="41"/>
      <c r="B126" s="42"/>
      <c r="C126" s="411"/>
      <c r="D126" s="42"/>
      <c r="E126" s="43"/>
      <c r="F126" s="43"/>
      <c r="G126" s="44"/>
      <c r="H126" s="594"/>
      <c r="I126" s="46"/>
      <c r="J126" s="86"/>
      <c r="K126" s="86"/>
      <c r="L126" s="36"/>
      <c r="M126" s="36"/>
      <c r="N126" s="47"/>
      <c r="O126" s="48"/>
      <c r="P126" s="49"/>
      <c r="Q126" s="48"/>
      <c r="R126" s="497"/>
      <c r="S126" s="497"/>
      <c r="T126" s="38"/>
      <c r="U126" s="38"/>
      <c r="V126" s="38"/>
      <c r="W126" s="38"/>
      <c r="X126" s="39"/>
      <c r="Y126" s="216"/>
      <c r="Z126" s="38"/>
      <c r="AA126" s="38"/>
      <c r="AB126" s="38"/>
      <c r="AC126" s="38"/>
      <c r="AD126" s="38"/>
      <c r="AE126" s="235"/>
      <c r="AF126" s="34"/>
      <c r="AG126" s="34"/>
      <c r="AH126" s="34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4"/>
      <c r="BC126" s="500"/>
      <c r="BD126" s="52"/>
      <c r="BE126" s="52"/>
      <c r="BF126" s="52"/>
    </row>
    <row r="127" spans="1:58" ht="12.75" customHeight="1">
      <c r="A127" s="41">
        <v>45894</v>
      </c>
      <c r="B127" s="42" t="s">
        <v>409</v>
      </c>
      <c r="C127" s="411">
        <f t="shared" ref="C127" si="250">(M127*E127*O127*Q127)/100000000</f>
        <v>45.756129978000004</v>
      </c>
      <c r="D127" s="42" t="s">
        <v>304</v>
      </c>
      <c r="E127" s="43">
        <v>13</v>
      </c>
      <c r="F127" s="43">
        <v>1</v>
      </c>
      <c r="G127" s="496">
        <v>1230</v>
      </c>
      <c r="H127" s="594">
        <f>+N127</f>
        <v>0.22777200400767572</v>
      </c>
      <c r="I127" s="46">
        <v>0.88</v>
      </c>
      <c r="J127" s="86">
        <f t="shared" ref="J127" si="251">E127*G127*(1-H127)*1440/1000000*2.74</f>
        <v>48.719975467987162</v>
      </c>
      <c r="K127" s="86">
        <f t="shared" ref="K127" si="252">(IF(G127&lt;L127,L127,G127)*(1-IF(H127&lt;N127,H127,N127))*E127*O127*Q127)/100000000</f>
        <v>45.875013396863835</v>
      </c>
      <c r="L127" s="36">
        <v>1226.8125</v>
      </c>
      <c r="M127" s="36">
        <v>947.37895833333334</v>
      </c>
      <c r="N127" s="47">
        <f t="shared" ref="N127" si="253">1-(M127/L127)</f>
        <v>0.22777200400767572</v>
      </c>
      <c r="O127" s="48">
        <f>+'Trim Rwd'!H78</f>
        <v>258</v>
      </c>
      <c r="P127" s="49">
        <f t="shared" ref="P127" si="254">O127*(Q127-R127-S127)</f>
        <v>354492</v>
      </c>
      <c r="Q127" s="48">
        <v>1440</v>
      </c>
      <c r="R127" s="497">
        <v>0</v>
      </c>
      <c r="S127" s="497">
        <v>66</v>
      </c>
      <c r="T127" s="38">
        <f t="shared" ref="T127" si="255">E127*M127*O127*Q127/100000000</f>
        <v>45.756129978000004</v>
      </c>
      <c r="U127" s="38">
        <f t="shared" ref="U127" si="256">E127*M127*O127*(Q127-R127-S127)/100000000</f>
        <v>43.658974020675004</v>
      </c>
      <c r="V127" s="38">
        <f t="shared" ref="V127" si="257">E127*G127*(1-N127)*O127/100*(R127+S127)/1000000</f>
        <v>2.1026047806895916</v>
      </c>
      <c r="W127" s="38">
        <f>+'25'!K7/1000</f>
        <v>40.912999999999997</v>
      </c>
      <c r="X127" s="498">
        <f>SUM(W127:W131)/SUM(K127:K131)</f>
        <v>0.89183625181888104</v>
      </c>
      <c r="Y127" s="216">
        <v>0</v>
      </c>
      <c r="Z127" s="38">
        <f>+'25'!D34/1000</f>
        <v>0.89700000000000002</v>
      </c>
      <c r="AA127" s="50">
        <f>SUM(U127:U131)-SUM(W127:W131)-SUM(Z127:Z131)-SUM(Y127:Y131)</f>
        <v>1.8489740206750069</v>
      </c>
      <c r="AB127" s="50">
        <f>(SUM(K127:K131)-SUM(W127:W131)-SUM(Y127:Y131)-SUM(Z127:Z131)-SUM(AC127:AC131)-SUM(V127:V131))-AA127</f>
        <v>-5.4488233645912931E-3</v>
      </c>
      <c r="AC127" s="38">
        <f>K127-T127</f>
        <v>0.11888341886383103</v>
      </c>
      <c r="AD127" s="38">
        <f>+AM127+BA127</f>
        <v>14</v>
      </c>
      <c r="AE127" s="235" t="s">
        <v>436</v>
      </c>
      <c r="AF127" s="38">
        <v>14</v>
      </c>
      <c r="AG127" s="38"/>
      <c r="AH127" s="38"/>
      <c r="AI127" s="499"/>
      <c r="AJ127" s="38"/>
      <c r="AK127" s="38"/>
      <c r="AL127" s="38"/>
      <c r="AM127" s="38">
        <f t="shared" ref="AM127:AM130" si="258">SUM(AF127:AL127)+AT127+AV127+AX127</f>
        <v>14</v>
      </c>
      <c r="AN127" s="38"/>
      <c r="AO127" s="38"/>
      <c r="AP127" s="38"/>
      <c r="AQ127" s="38"/>
      <c r="AR127" s="38">
        <f>SUM(AN127:AQ127)</f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>+AR127+AS127+AU127+AW127+AY127+AZ127</f>
        <v>0</v>
      </c>
      <c r="BB127" s="34">
        <v>6</v>
      </c>
      <c r="BC127" s="52"/>
      <c r="BD127" s="52"/>
      <c r="BE127" s="34"/>
      <c r="BF127" s="52"/>
    </row>
    <row r="128" spans="1:58" ht="12.95" customHeight="1">
      <c r="A128" s="41"/>
      <c r="B128" s="42"/>
      <c r="C128" s="411"/>
      <c r="D128" s="42"/>
      <c r="E128" s="43"/>
      <c r="F128" s="43"/>
      <c r="G128" s="496"/>
      <c r="H128" s="594"/>
      <c r="I128" s="46"/>
      <c r="J128" s="86"/>
      <c r="K128" s="86"/>
      <c r="L128" s="36"/>
      <c r="M128" s="36"/>
      <c r="N128" s="47"/>
      <c r="O128" s="48"/>
      <c r="P128" s="49"/>
      <c r="Q128" s="48"/>
      <c r="R128" s="497"/>
      <c r="S128" s="497"/>
      <c r="T128" s="38"/>
      <c r="U128" s="38"/>
      <c r="V128" s="38"/>
      <c r="W128" s="38"/>
      <c r="X128" s="39"/>
      <c r="Y128" s="216"/>
      <c r="Z128" s="38"/>
      <c r="AA128" s="38"/>
      <c r="AB128" s="38"/>
      <c r="AC128" s="38"/>
      <c r="AD128" s="38">
        <f>+AM128+BA128</f>
        <v>0</v>
      </c>
      <c r="AE128" s="235" t="s">
        <v>286</v>
      </c>
      <c r="AF128" s="38"/>
      <c r="AG128" s="38">
        <v>0</v>
      </c>
      <c r="AH128" s="38"/>
      <c r="AI128" s="499"/>
      <c r="AJ128" s="38"/>
      <c r="AK128" s="38"/>
      <c r="AL128" s="38"/>
      <c r="AM128" s="38">
        <f t="shared" si="258"/>
        <v>0</v>
      </c>
      <c r="AN128" s="87"/>
      <c r="AO128" s="38"/>
      <c r="AP128" s="38"/>
      <c r="AQ128" s="38"/>
      <c r="AR128" s="38">
        <f t="shared" ref="AR128:AR130" si="259">SUM(AN128:AQ128)</f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>+AR128+AS128+AU128+AW128+AY128+AZ128</f>
        <v>0</v>
      </c>
      <c r="BB128" s="51"/>
      <c r="BC128" s="52">
        <v>0</v>
      </c>
      <c r="BD128" s="52"/>
      <c r="BE128" s="51"/>
      <c r="BF128" s="52"/>
    </row>
    <row r="129" spans="1:58" ht="12.95" customHeight="1">
      <c r="A129" s="41"/>
      <c r="B129" s="42"/>
      <c r="C129" s="411"/>
      <c r="D129" s="42"/>
      <c r="E129" s="43"/>
      <c r="F129" s="43"/>
      <c r="G129" s="44"/>
      <c r="H129" s="594"/>
      <c r="I129" s="46"/>
      <c r="J129" s="86"/>
      <c r="K129" s="86"/>
      <c r="L129" s="36"/>
      <c r="M129" s="36"/>
      <c r="N129" s="47"/>
      <c r="O129" s="48"/>
      <c r="P129" s="49"/>
      <c r="Q129" s="48"/>
      <c r="R129" s="497"/>
      <c r="S129" s="497"/>
      <c r="T129" s="38"/>
      <c r="U129" s="38"/>
      <c r="V129" s="38"/>
      <c r="W129" s="38"/>
      <c r="X129" s="39"/>
      <c r="Y129" s="216"/>
      <c r="Z129" s="38"/>
      <c r="AA129" s="38"/>
      <c r="AB129" s="38"/>
      <c r="AC129" s="38"/>
      <c r="AD129" s="38">
        <f>+AM129+BA129</f>
        <v>52</v>
      </c>
      <c r="AE129" s="235" t="s">
        <v>567</v>
      </c>
      <c r="AF129" s="34"/>
      <c r="AG129" s="34"/>
      <c r="AH129" s="34">
        <v>52</v>
      </c>
      <c r="AJ129" s="38"/>
      <c r="AK129" s="38"/>
      <c r="AL129" s="38"/>
      <c r="AM129" s="38">
        <f t="shared" si="258"/>
        <v>52</v>
      </c>
      <c r="AN129" s="38"/>
      <c r="AO129" s="38"/>
      <c r="AP129" s="38"/>
      <c r="AQ129" s="38"/>
      <c r="AR129" s="38">
        <f t="shared" si="259"/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0</v>
      </c>
      <c r="BB129" s="34"/>
      <c r="BC129" s="500"/>
      <c r="BD129" s="500"/>
      <c r="BE129" s="34"/>
      <c r="BF129" s="500"/>
    </row>
    <row r="130" spans="1:58" ht="12.95" customHeight="1">
      <c r="A130" s="41"/>
      <c r="B130" s="42"/>
      <c r="C130" s="411"/>
      <c r="D130" s="42"/>
      <c r="E130" s="43"/>
      <c r="F130" s="43"/>
      <c r="G130" s="44"/>
      <c r="H130" s="594"/>
      <c r="I130" s="46"/>
      <c r="J130" s="86"/>
      <c r="K130" s="86"/>
      <c r="L130" s="36"/>
      <c r="M130" s="36"/>
      <c r="N130" s="47"/>
      <c r="O130" s="48"/>
      <c r="P130" s="49"/>
      <c r="Q130" s="35"/>
      <c r="R130" s="497"/>
      <c r="S130" s="497"/>
      <c r="T130" s="38"/>
      <c r="U130" s="38"/>
      <c r="V130" s="38"/>
      <c r="W130" s="38"/>
      <c r="X130" s="39"/>
      <c r="Y130" s="216"/>
      <c r="Z130" s="38"/>
      <c r="AA130" s="38"/>
      <c r="AB130" s="38"/>
      <c r="AC130" s="38"/>
      <c r="AD130" s="38">
        <f>+AM130+BA130</f>
        <v>0</v>
      </c>
      <c r="AE130" s="238" t="s">
        <v>380</v>
      </c>
      <c r="AF130" s="38"/>
      <c r="AG130" s="38"/>
      <c r="AH130" s="38"/>
      <c r="AI130" s="499">
        <v>0</v>
      </c>
      <c r="AJ130" s="38"/>
      <c r="AK130" s="38"/>
      <c r="AL130" s="38"/>
      <c r="AM130" s="38">
        <f t="shared" si="258"/>
        <v>0</v>
      </c>
      <c r="AN130" s="38"/>
      <c r="AO130" s="38"/>
      <c r="AP130" s="38"/>
      <c r="AQ130" s="38"/>
      <c r="AR130" s="38">
        <f t="shared" si="259"/>
        <v>0</v>
      </c>
      <c r="AS130" s="38"/>
      <c r="AT130" s="38"/>
      <c r="AU130" s="38"/>
      <c r="AV130" s="38"/>
      <c r="AW130" s="38"/>
      <c r="AX130" s="38"/>
      <c r="AY130" s="38"/>
      <c r="AZ130" s="38"/>
      <c r="BA130" s="38">
        <f>+AR130+AS130+AU130+AW130+AY130+AZ130</f>
        <v>0</v>
      </c>
      <c r="BB130" s="51"/>
      <c r="BC130" s="52"/>
      <c r="BD130" s="52"/>
      <c r="BE130" s="51"/>
      <c r="BF130" s="52"/>
    </row>
    <row r="131" spans="1:58" ht="12.95" customHeight="1">
      <c r="A131" s="41"/>
      <c r="B131" s="42"/>
      <c r="C131" s="411"/>
      <c r="D131" s="42"/>
      <c r="E131" s="43"/>
      <c r="F131" s="43"/>
      <c r="G131" s="44"/>
      <c r="H131" s="594"/>
      <c r="I131" s="46"/>
      <c r="J131" s="86"/>
      <c r="K131" s="86"/>
      <c r="L131" s="36"/>
      <c r="M131" s="36"/>
      <c r="N131" s="47"/>
      <c r="O131" s="48"/>
      <c r="P131" s="49"/>
      <c r="Q131" s="48"/>
      <c r="R131" s="497"/>
      <c r="S131" s="497"/>
      <c r="T131" s="38"/>
      <c r="U131" s="38"/>
      <c r="V131" s="38"/>
      <c r="W131" s="38"/>
      <c r="X131" s="39"/>
      <c r="Y131" s="216"/>
      <c r="Z131" s="38"/>
      <c r="AA131" s="38"/>
      <c r="AB131" s="38"/>
      <c r="AC131" s="38"/>
      <c r="AD131" s="38"/>
      <c r="AE131" s="235"/>
      <c r="AF131" s="34"/>
      <c r="AG131" s="34"/>
      <c r="AH131" s="34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4"/>
      <c r="BC131" s="500"/>
      <c r="BD131" s="52"/>
      <c r="BE131" s="52"/>
      <c r="BF131" s="52"/>
    </row>
    <row r="132" spans="1:58" ht="12.75" customHeight="1">
      <c r="A132" s="41">
        <v>45895</v>
      </c>
      <c r="B132" s="42" t="s">
        <v>409</v>
      </c>
      <c r="C132" s="411">
        <f t="shared" ref="C132" si="260">(M132*E132*O132*Q132)/100000000</f>
        <v>33.360218892000006</v>
      </c>
      <c r="D132" s="42" t="s">
        <v>304</v>
      </c>
      <c r="E132" s="43">
        <v>13</v>
      </c>
      <c r="F132" s="43">
        <v>1</v>
      </c>
      <c r="G132" s="496">
        <v>1230</v>
      </c>
      <c r="H132" s="594">
        <f>+N132</f>
        <v>0.22999999999999998</v>
      </c>
      <c r="I132" s="46">
        <v>0.88</v>
      </c>
      <c r="J132" s="86">
        <f t="shared" ref="J132" si="261">E132*G132*(1-H132)*1440/1000000*2.74</f>
        <v>48.579410880000005</v>
      </c>
      <c r="K132" s="86">
        <f t="shared" ref="K132" si="262">(IF(G132&lt;L132,L132,G132)*(1-IF(H132&lt;N132,H132,N132))*E132*O132*Q132)/100000000</f>
        <v>33.608146572000003</v>
      </c>
      <c r="L132" s="36">
        <v>1220.9262759924386</v>
      </c>
      <c r="M132" s="36">
        <v>940.11323251417775</v>
      </c>
      <c r="N132" s="47">
        <f t="shared" ref="N132" si="263">1-(M132/L132)</f>
        <v>0.22999999999999998</v>
      </c>
      <c r="O132" s="48">
        <f>+'Trim Rwd'!H80</f>
        <v>258</v>
      </c>
      <c r="P132" s="49">
        <f t="shared" ref="P132" si="264">O132*(Q132-R132-S132)</f>
        <v>260064</v>
      </c>
      <c r="Q132" s="48">
        <v>1058</v>
      </c>
      <c r="R132" s="497">
        <v>0</v>
      </c>
      <c r="S132" s="497">
        <v>50</v>
      </c>
      <c r="T132" s="38">
        <f t="shared" ref="T132" si="265">E132*M132*O132*Q132/100000000</f>
        <v>33.360218892000006</v>
      </c>
      <c r="U132" s="38">
        <f t="shared" ref="U132" si="266">E132*M132*O132*(Q132-R132-S132)/100000000</f>
        <v>31.783649001073726</v>
      </c>
      <c r="V132" s="38">
        <f t="shared" ref="V132" si="267">E132*G132*(1-N132)*O132/100*(R132+S132)/1000000</f>
        <v>1.5882867000000003</v>
      </c>
      <c r="W132" s="38">
        <f>+'26'!K7/1000</f>
        <v>34.619999999999997</v>
      </c>
      <c r="X132" s="498">
        <f>SUM(W132:W136)/SUM(K132:K136)</f>
        <v>0.88567217476587135</v>
      </c>
      <c r="Y132" s="216">
        <v>0</v>
      </c>
      <c r="Z132" s="38">
        <f>+'26'!D7/1000</f>
        <v>0.29699999999999999</v>
      </c>
      <c r="AA132" s="50">
        <f>SUM(U132:U136)-SUM(W132:W136)-SUM(Z132:Z136)-SUM(Y132:Y136)</f>
        <v>1.9888873690737341</v>
      </c>
      <c r="AB132" s="50">
        <f>(SUM(K132:K136)-SUM(W132:W136)-SUM(Y132:Y136)-SUM(Z132:Z136)-SUM(AC132:AC136)-SUM(V132:V136))-AA132</f>
        <v>0.16050200692628125</v>
      </c>
      <c r="AC132" s="38">
        <f>K132-T132</f>
        <v>0.24792767999999654</v>
      </c>
      <c r="AD132" s="38">
        <f>+AM132+BA132</f>
        <v>12</v>
      </c>
      <c r="AE132" s="235" t="s">
        <v>436</v>
      </c>
      <c r="AF132" s="38">
        <v>12</v>
      </c>
      <c r="AG132" s="38"/>
      <c r="AH132" s="38"/>
      <c r="AI132" s="499"/>
      <c r="AJ132" s="38"/>
      <c r="AK132" s="38"/>
      <c r="AL132" s="38"/>
      <c r="AM132" s="38">
        <f t="shared" ref="AM132:AM135" si="268">SUM(AF132:AL132)+AT132+AV132+AX132</f>
        <v>12</v>
      </c>
      <c r="AN132" s="38"/>
      <c r="AO132" s="38"/>
      <c r="AP132" s="38"/>
      <c r="AQ132" s="38"/>
      <c r="AR132" s="38">
        <f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>+AR132+AS132+AU132+AW132+AY132+AZ132</f>
        <v>0</v>
      </c>
      <c r="BB132" s="34">
        <v>6</v>
      </c>
      <c r="BC132" s="52"/>
      <c r="BD132" s="52"/>
      <c r="BE132" s="34"/>
      <c r="BF132" s="52"/>
    </row>
    <row r="133" spans="1:58" ht="12.95" customHeight="1">
      <c r="A133" s="41"/>
      <c r="B133" s="42" t="s">
        <v>490</v>
      </c>
      <c r="C133" s="411">
        <f t="shared" ref="C133" si="269">(M133*E133*O133*Q133)/100000000</f>
        <v>11.275209792000004</v>
      </c>
      <c r="D133" s="42" t="s">
        <v>304</v>
      </c>
      <c r="E133" s="43">
        <v>12</v>
      </c>
      <c r="F133" s="43">
        <v>1</v>
      </c>
      <c r="G133" s="496">
        <v>1230</v>
      </c>
      <c r="H133" s="45">
        <f>+N133</f>
        <v>0.22999999999999998</v>
      </c>
      <c r="I133" s="46">
        <v>0.88</v>
      </c>
      <c r="J133" s="86">
        <f t="shared" ref="J133" si="270">E133*G133*(1-H133)*1440/1000000*2.74</f>
        <v>44.842533120000006</v>
      </c>
      <c r="K133" s="86">
        <f t="shared" ref="K133" si="271">(IF(G133&lt;L133,L133,G133)*(1-IF(H133&lt;N133,H133,N133))*E133*O133*Q133)/100000000</f>
        <v>11.461576896000002</v>
      </c>
      <c r="L133" s="36">
        <v>1210</v>
      </c>
      <c r="M133" s="36">
        <v>931.7</v>
      </c>
      <c r="N133" s="47">
        <f t="shared" ref="N133" si="272">1-(M133/L133)</f>
        <v>0.22999999999999998</v>
      </c>
      <c r="O133" s="48">
        <f>+'Trim Rwd'!H81</f>
        <v>264</v>
      </c>
      <c r="P133" s="49">
        <f t="shared" ref="P133" si="273">O133*(Q133-R133-S133)</f>
        <v>93192</v>
      </c>
      <c r="Q133" s="48">
        <v>382</v>
      </c>
      <c r="R133" s="497">
        <v>0</v>
      </c>
      <c r="S133" s="497">
        <v>29</v>
      </c>
      <c r="T133" s="38">
        <f t="shared" ref="T133" si="274">E133*M133*O133*Q133/100000000</f>
        <v>11.275209792000004</v>
      </c>
      <c r="U133" s="38">
        <f t="shared" ref="U133" si="275">E133*M133*O133*(Q133-R133-S133)/100000000</f>
        <v>10.419238368000002</v>
      </c>
      <c r="V133" s="38">
        <f t="shared" ref="V133" si="276">E133*G133*(1-N133)*O133/100*(R133+S133)/1000000</f>
        <v>0.87011971200000016</v>
      </c>
      <c r="W133" s="38">
        <f>+'26'!K13/1000</f>
        <v>5.2969999999999997</v>
      </c>
      <c r="X133" s="39"/>
      <c r="Y133" s="216"/>
      <c r="Z133" s="38"/>
      <c r="AA133" s="38"/>
      <c r="AB133" s="38"/>
      <c r="AC133" s="38"/>
      <c r="AD133" s="38">
        <f>+AM133+BA133</f>
        <v>0</v>
      </c>
      <c r="AE133" s="235" t="s">
        <v>286</v>
      </c>
      <c r="AF133" s="38"/>
      <c r="AG133" s="38">
        <v>0</v>
      </c>
      <c r="AH133" s="38"/>
      <c r="AI133" s="499"/>
      <c r="AJ133" s="38"/>
      <c r="AK133" s="38"/>
      <c r="AL133" s="38"/>
      <c r="AM133" s="38">
        <f t="shared" si="268"/>
        <v>0</v>
      </c>
      <c r="AN133" s="87"/>
      <c r="AO133" s="38"/>
      <c r="AP133" s="38"/>
      <c r="AQ133" s="38"/>
      <c r="AR133" s="38">
        <f t="shared" ref="AR133:AR135" si="277"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51"/>
      <c r="BC133" s="52">
        <v>0</v>
      </c>
      <c r="BD133" s="52"/>
      <c r="BE133" s="51"/>
      <c r="BF133" s="52"/>
    </row>
    <row r="134" spans="1:58" ht="12.95" customHeight="1">
      <c r="A134" s="41"/>
      <c r="B134" s="42"/>
      <c r="C134" s="411"/>
      <c r="D134" s="42"/>
      <c r="E134" s="43"/>
      <c r="F134" s="43"/>
      <c r="G134" s="44"/>
      <c r="H134" s="45"/>
      <c r="I134" s="46"/>
      <c r="J134" s="86"/>
      <c r="K134" s="86"/>
      <c r="L134" s="36"/>
      <c r="M134" s="36"/>
      <c r="N134" s="47"/>
      <c r="O134" s="48"/>
      <c r="P134" s="49"/>
      <c r="Q134" s="48"/>
      <c r="R134" s="497"/>
      <c r="S134" s="497"/>
      <c r="T134" s="38"/>
      <c r="U134" s="38"/>
      <c r="V134" s="38"/>
      <c r="W134" s="38"/>
      <c r="X134" s="39"/>
      <c r="Y134" s="216"/>
      <c r="Z134" s="38"/>
      <c r="AA134" s="38"/>
      <c r="AB134" s="38"/>
      <c r="AC134" s="38"/>
      <c r="AD134" s="38">
        <f>+AM134+BA134</f>
        <v>67</v>
      </c>
      <c r="AE134" s="235" t="s">
        <v>438</v>
      </c>
      <c r="AF134" s="34"/>
      <c r="AG134" s="34"/>
      <c r="AH134" s="34">
        <v>67</v>
      </c>
      <c r="AJ134" s="38"/>
      <c r="AK134" s="38"/>
      <c r="AL134" s="38"/>
      <c r="AM134" s="38">
        <f t="shared" si="268"/>
        <v>67</v>
      </c>
      <c r="AN134" s="38"/>
      <c r="AO134" s="38"/>
      <c r="AP134" s="38"/>
      <c r="AQ134" s="38"/>
      <c r="AR134" s="38">
        <f t="shared" si="277"/>
        <v>0</v>
      </c>
      <c r="AS134" s="38"/>
      <c r="AT134" s="38"/>
      <c r="AU134" s="38"/>
      <c r="AV134" s="38"/>
      <c r="AW134" s="38"/>
      <c r="AX134" s="38"/>
      <c r="AY134" s="38"/>
      <c r="AZ134" s="38"/>
      <c r="BA134" s="38">
        <f>+AR134+AS134+AU134+AW134+AY134+AZ134</f>
        <v>0</v>
      </c>
      <c r="BB134" s="34"/>
      <c r="BC134" s="500"/>
      <c r="BD134" s="500"/>
      <c r="BE134" s="34"/>
      <c r="BF134" s="500"/>
    </row>
    <row r="135" spans="1:58" ht="12.95" customHeight="1">
      <c r="A135" s="41"/>
      <c r="B135" s="42"/>
      <c r="C135" s="411"/>
      <c r="D135" s="42"/>
      <c r="E135" s="43"/>
      <c r="F135" s="43"/>
      <c r="G135" s="44"/>
      <c r="H135" s="45"/>
      <c r="I135" s="46"/>
      <c r="J135" s="86"/>
      <c r="K135" s="86"/>
      <c r="L135" s="36"/>
      <c r="M135" s="36"/>
      <c r="N135" s="47"/>
      <c r="O135" s="48"/>
      <c r="P135" s="49"/>
      <c r="Q135" s="35"/>
      <c r="R135" s="497"/>
      <c r="S135" s="497"/>
      <c r="T135" s="38"/>
      <c r="U135" s="38"/>
      <c r="V135" s="38"/>
      <c r="W135" s="38"/>
      <c r="X135" s="39"/>
      <c r="Y135" s="216"/>
      <c r="Z135" s="38"/>
      <c r="AA135" s="38"/>
      <c r="AB135" s="38"/>
      <c r="AC135" s="38"/>
      <c r="AD135" s="38">
        <f>+AM135+BA135</f>
        <v>0</v>
      </c>
      <c r="AE135" s="238" t="s">
        <v>380</v>
      </c>
      <c r="AF135" s="38"/>
      <c r="AG135" s="38"/>
      <c r="AH135" s="38"/>
      <c r="AI135" s="499">
        <v>0</v>
      </c>
      <c r="AJ135" s="38"/>
      <c r="AK135" s="38"/>
      <c r="AL135" s="38"/>
      <c r="AM135" s="38">
        <f t="shared" si="268"/>
        <v>0</v>
      </c>
      <c r="AN135" s="38"/>
      <c r="AO135" s="38"/>
      <c r="AP135" s="38"/>
      <c r="AQ135" s="38"/>
      <c r="AR135" s="38">
        <f t="shared" si="277"/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+AR135+AS135+AU135+AW135+AY135+AZ135</f>
        <v>0</v>
      </c>
      <c r="BB135" s="51"/>
      <c r="BC135" s="52"/>
      <c r="BD135" s="52"/>
      <c r="BE135" s="51"/>
      <c r="BF135" s="52"/>
    </row>
    <row r="136" spans="1:58" ht="12.95" customHeight="1">
      <c r="A136" s="41"/>
      <c r="B136" s="42"/>
      <c r="C136" s="411"/>
      <c r="D136" s="42"/>
      <c r="E136" s="43"/>
      <c r="F136" s="43"/>
      <c r="G136" s="44"/>
      <c r="H136" s="45"/>
      <c r="I136" s="46"/>
      <c r="J136" s="86"/>
      <c r="K136" s="86"/>
      <c r="L136" s="36"/>
      <c r="M136" s="36"/>
      <c r="N136" s="47"/>
      <c r="O136" s="48"/>
      <c r="P136" s="49"/>
      <c r="Q136" s="48"/>
      <c r="R136" s="497"/>
      <c r="S136" s="497"/>
      <c r="T136" s="38"/>
      <c r="U136" s="38"/>
      <c r="V136" s="38"/>
      <c r="W136" s="38"/>
      <c r="X136" s="39"/>
      <c r="Y136" s="216"/>
      <c r="Z136" s="38"/>
      <c r="AA136" s="38"/>
      <c r="AB136" s="38"/>
      <c r="AC136" s="38"/>
      <c r="AD136" s="38"/>
      <c r="AE136" s="235"/>
      <c r="AF136" s="34"/>
      <c r="AG136" s="34"/>
      <c r="AH136" s="34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4"/>
      <c r="BC136" s="500"/>
      <c r="BD136" s="52"/>
      <c r="BE136" s="52"/>
      <c r="BF136" s="52"/>
    </row>
    <row r="137" spans="1:58" ht="12.75" customHeight="1">
      <c r="A137" s="41">
        <v>45896</v>
      </c>
      <c r="B137" s="42" t="s">
        <v>490</v>
      </c>
      <c r="C137" s="411">
        <f t="shared" ref="C137" si="278">(M137*E137*O137*Q137)/100000000</f>
        <v>43.200333791999995</v>
      </c>
      <c r="D137" s="42" t="s">
        <v>304</v>
      </c>
      <c r="E137" s="43">
        <v>12</v>
      </c>
      <c r="F137" s="43">
        <v>1</v>
      </c>
      <c r="G137" s="496">
        <v>1230</v>
      </c>
      <c r="H137" s="45">
        <f>+N137</f>
        <v>0.23000000000000009</v>
      </c>
      <c r="I137" s="46">
        <v>0.88</v>
      </c>
      <c r="J137" s="86">
        <f t="shared" ref="J137" si="279">E137*G137*(1-H137)*1440/1000000*2.74</f>
        <v>44.842533119999999</v>
      </c>
      <c r="K137" s="86">
        <f t="shared" ref="K137" si="280">(IF(G137&lt;L137,L137,G137)*(1-IF(H137&lt;N137,H137,N137))*E137*O137*Q137)/100000000</f>
        <v>43.20594432</v>
      </c>
      <c r="L137" s="36">
        <v>1229.8402777777778</v>
      </c>
      <c r="M137" s="36">
        <v>946.97701388888879</v>
      </c>
      <c r="N137" s="47">
        <f t="shared" ref="N137" si="281">1-(M137/L137)</f>
        <v>0.23000000000000009</v>
      </c>
      <c r="O137" s="48">
        <f>+'Trim Rwd'!H83</f>
        <v>264</v>
      </c>
      <c r="P137" s="49">
        <f t="shared" ref="P137" si="282">O137*(Q137-R137-S137)</f>
        <v>361152</v>
      </c>
      <c r="Q137" s="48">
        <v>1440</v>
      </c>
      <c r="R137" s="497">
        <v>0</v>
      </c>
      <c r="S137" s="497">
        <v>72</v>
      </c>
      <c r="T137" s="38">
        <f t="shared" ref="T137" si="283">E137*M137*O137*Q137/100000000</f>
        <v>43.200333791999995</v>
      </c>
      <c r="U137" s="38">
        <f t="shared" ref="U137" si="284">E137*M137*O137*(Q137-R137-S137)/100000000</f>
        <v>41.040317102399996</v>
      </c>
      <c r="V137" s="38">
        <f t="shared" ref="V137" si="285">E137*G137*(1-N137)*O137/100*(R137+S137)/1000000</f>
        <v>2.160297216</v>
      </c>
      <c r="W137" s="38">
        <f>+'27'!K13/1000</f>
        <v>40.606000000000002</v>
      </c>
      <c r="X137" s="498">
        <f>SUM(W137:W141)/SUM(K137:K141)</f>
        <v>0.93982438386848344</v>
      </c>
      <c r="Y137" s="216">
        <v>0</v>
      </c>
      <c r="Z137" s="38">
        <f>+'27'!D7/1000</f>
        <v>0.44</v>
      </c>
      <c r="AA137" s="50">
        <f>SUM(U137:U141)-SUM(W137:W141)-SUM(Z137:Z141)-SUM(Y137:Y141)</f>
        <v>-5.6828976000056763E-3</v>
      </c>
      <c r="AB137" s="50">
        <f>(SUM(K137:K141)-SUM(W137:W141)-SUM(Y137:Y141)-SUM(Z137:Z141)-SUM(AC137:AC141)-SUM(V137:V141))-AA137</f>
        <v>-2.8052640000092444E-4</v>
      </c>
      <c r="AC137" s="38">
        <f>K137-T137</f>
        <v>5.6105280000053881E-3</v>
      </c>
      <c r="AD137" s="38">
        <f>+AM137+BA137</f>
        <v>9</v>
      </c>
      <c r="AE137" s="235" t="s">
        <v>407</v>
      </c>
      <c r="AF137" s="38">
        <v>9</v>
      </c>
      <c r="AG137" s="38"/>
      <c r="AH137" s="38"/>
      <c r="AI137" s="499"/>
      <c r="AJ137" s="38"/>
      <c r="AK137" s="38"/>
      <c r="AL137" s="38"/>
      <c r="AM137" s="38">
        <f t="shared" ref="AM137:AM140" si="286">SUM(AF137:AL137)+AT137+AV137+AX137</f>
        <v>9</v>
      </c>
      <c r="AN137" s="38"/>
      <c r="AO137" s="38"/>
      <c r="AP137" s="38"/>
      <c r="AQ137" s="38"/>
      <c r="AR137" s="38">
        <f>SUM(AN137:AQ137)</f>
        <v>0</v>
      </c>
      <c r="AS137" s="38"/>
      <c r="AT137" s="38"/>
      <c r="AU137" s="38"/>
      <c r="AV137" s="38"/>
      <c r="AW137" s="38"/>
      <c r="AX137" s="38"/>
      <c r="AY137" s="38"/>
      <c r="AZ137" s="38"/>
      <c r="BA137" s="38">
        <f>+AR137+AS137+AU137+AW137+AY137+AZ137</f>
        <v>0</v>
      </c>
      <c r="BB137" s="34">
        <v>3</v>
      </c>
      <c r="BC137" s="52"/>
      <c r="BD137" s="52"/>
      <c r="BE137" s="34"/>
      <c r="BF137" s="52"/>
    </row>
    <row r="138" spans="1:58" ht="12.95" customHeight="1">
      <c r="A138" s="41"/>
      <c r="B138" s="42"/>
      <c r="C138" s="411"/>
      <c r="D138" s="42"/>
      <c r="E138" s="43"/>
      <c r="F138" s="43"/>
      <c r="G138" s="496"/>
      <c r="H138" s="594"/>
      <c r="I138" s="46"/>
      <c r="J138" s="86"/>
      <c r="K138" s="86"/>
      <c r="L138" s="36"/>
      <c r="M138" s="36"/>
      <c r="N138" s="47"/>
      <c r="O138" s="48"/>
      <c r="P138" s="49"/>
      <c r="Q138" s="48"/>
      <c r="R138" s="497"/>
      <c r="S138" s="497"/>
      <c r="T138" s="38"/>
      <c r="U138" s="38"/>
      <c r="V138" s="38"/>
      <c r="W138" s="38"/>
      <c r="X138" s="39"/>
      <c r="Y138" s="216"/>
      <c r="Z138" s="38"/>
      <c r="AA138" s="38"/>
      <c r="AB138" s="38"/>
      <c r="AC138" s="38"/>
      <c r="AD138" s="38">
        <f>+AM138+BA138</f>
        <v>16</v>
      </c>
      <c r="AE138" s="235" t="s">
        <v>512</v>
      </c>
      <c r="AF138" s="38"/>
      <c r="AG138" s="38">
        <v>16</v>
      </c>
      <c r="AH138" s="38"/>
      <c r="AI138" s="499"/>
      <c r="AJ138" s="38"/>
      <c r="AK138" s="38"/>
      <c r="AL138" s="38"/>
      <c r="AM138" s="38">
        <f t="shared" si="286"/>
        <v>16</v>
      </c>
      <c r="AN138" s="87"/>
      <c r="AO138" s="38"/>
      <c r="AP138" s="38"/>
      <c r="AQ138" s="38"/>
      <c r="AR138" s="38">
        <f t="shared" ref="AR138:AR140" si="287">SUM(AN138:AQ138)</f>
        <v>0</v>
      </c>
      <c r="AS138" s="38"/>
      <c r="AT138" s="38"/>
      <c r="AU138" s="38"/>
      <c r="AV138" s="38"/>
      <c r="AW138" s="38"/>
      <c r="AX138" s="38"/>
      <c r="AY138" s="38"/>
      <c r="AZ138" s="38"/>
      <c r="BA138" s="38">
        <f>+AR138+AS138+AU138+AW138+AY138+AZ138</f>
        <v>0</v>
      </c>
      <c r="BB138" s="51"/>
      <c r="BC138" s="52">
        <v>8</v>
      </c>
      <c r="BD138" s="52"/>
      <c r="BE138" s="51"/>
      <c r="BF138" s="52"/>
    </row>
    <row r="139" spans="1:58" ht="12.95" customHeight="1">
      <c r="A139" s="41"/>
      <c r="B139" s="42"/>
      <c r="C139" s="411"/>
      <c r="D139" s="42"/>
      <c r="E139" s="43"/>
      <c r="F139" s="43"/>
      <c r="G139" s="44"/>
      <c r="H139" s="594"/>
      <c r="I139" s="46"/>
      <c r="J139" s="86"/>
      <c r="K139" s="86"/>
      <c r="L139" s="36"/>
      <c r="M139" s="36"/>
      <c r="N139" s="47"/>
      <c r="O139" s="48"/>
      <c r="P139" s="49"/>
      <c r="Q139" s="48"/>
      <c r="R139" s="497"/>
      <c r="S139" s="497"/>
      <c r="T139" s="38"/>
      <c r="U139" s="38"/>
      <c r="V139" s="38"/>
      <c r="W139" s="38"/>
      <c r="X139" s="39"/>
      <c r="Y139" s="216"/>
      <c r="Z139" s="38"/>
      <c r="AA139" s="38"/>
      <c r="AB139" s="38"/>
      <c r="AC139" s="38"/>
      <c r="AD139" s="38">
        <f>+AM139+BA139</f>
        <v>47</v>
      </c>
      <c r="AE139" s="235" t="s">
        <v>626</v>
      </c>
      <c r="AF139" s="34"/>
      <c r="AG139" s="34"/>
      <c r="AH139" s="34">
        <v>47</v>
      </c>
      <c r="AJ139" s="38"/>
      <c r="AK139" s="38"/>
      <c r="AL139" s="38"/>
      <c r="AM139" s="38">
        <f t="shared" si="286"/>
        <v>47</v>
      </c>
      <c r="AN139" s="38"/>
      <c r="AO139" s="38"/>
      <c r="AP139" s="38"/>
      <c r="AQ139" s="38"/>
      <c r="AR139" s="38">
        <f t="shared" si="287"/>
        <v>0</v>
      </c>
      <c r="AS139" s="38"/>
      <c r="AT139" s="38"/>
      <c r="AU139" s="38"/>
      <c r="AV139" s="38"/>
      <c r="AW139" s="38"/>
      <c r="AX139" s="38"/>
      <c r="AY139" s="38"/>
      <c r="AZ139" s="38"/>
      <c r="BA139" s="38">
        <f>+AR139+AS139+AU139+AW139+AY139+AZ139</f>
        <v>0</v>
      </c>
      <c r="BB139" s="34"/>
      <c r="BC139" s="500"/>
      <c r="BD139" s="500"/>
      <c r="BE139" s="34"/>
      <c r="BF139" s="500"/>
    </row>
    <row r="140" spans="1:58" ht="12.95" customHeight="1">
      <c r="A140" s="41"/>
      <c r="B140" s="42"/>
      <c r="C140" s="411"/>
      <c r="D140" s="42"/>
      <c r="E140" s="43"/>
      <c r="F140" s="43"/>
      <c r="G140" s="44"/>
      <c r="H140" s="594"/>
      <c r="I140" s="46"/>
      <c r="J140" s="86"/>
      <c r="K140" s="86"/>
      <c r="L140" s="36"/>
      <c r="M140" s="36"/>
      <c r="N140" s="47"/>
      <c r="O140" s="48"/>
      <c r="P140" s="49"/>
      <c r="Q140" s="35"/>
      <c r="R140" s="497"/>
      <c r="S140" s="497"/>
      <c r="T140" s="38"/>
      <c r="U140" s="38"/>
      <c r="V140" s="38"/>
      <c r="W140" s="38"/>
      <c r="X140" s="39"/>
      <c r="Y140" s="216"/>
      <c r="Z140" s="38"/>
      <c r="AA140" s="38"/>
      <c r="AB140" s="38"/>
      <c r="AC140" s="38"/>
      <c r="AD140" s="38">
        <f>+AM140+BA140</f>
        <v>0</v>
      </c>
      <c r="AE140" s="238" t="s">
        <v>380</v>
      </c>
      <c r="AF140" s="38"/>
      <c r="AG140" s="38"/>
      <c r="AH140" s="38"/>
      <c r="AI140" s="499">
        <v>0</v>
      </c>
      <c r="AJ140" s="38"/>
      <c r="AK140" s="38"/>
      <c r="AL140" s="38"/>
      <c r="AM140" s="38">
        <f t="shared" si="286"/>
        <v>0</v>
      </c>
      <c r="AN140" s="38"/>
      <c r="AO140" s="38"/>
      <c r="AP140" s="38"/>
      <c r="AQ140" s="38"/>
      <c r="AR140" s="38">
        <f t="shared" si="287"/>
        <v>0</v>
      </c>
      <c r="AS140" s="38"/>
      <c r="AT140" s="38"/>
      <c r="AU140" s="38"/>
      <c r="AV140" s="38"/>
      <c r="AW140" s="38"/>
      <c r="AX140" s="38"/>
      <c r="AY140" s="38"/>
      <c r="AZ140" s="38"/>
      <c r="BA140" s="38">
        <f>+AR140+AS140+AU140+AW140+AY140+AZ140</f>
        <v>0</v>
      </c>
      <c r="BB140" s="51"/>
      <c r="BC140" s="52"/>
      <c r="BD140" s="52"/>
      <c r="BE140" s="51"/>
      <c r="BF140" s="52"/>
    </row>
    <row r="141" spans="1:58" ht="12.95" customHeight="1">
      <c r="A141" s="41"/>
      <c r="B141" s="42"/>
      <c r="C141" s="411"/>
      <c r="D141" s="42"/>
      <c r="E141" s="43"/>
      <c r="F141" s="43"/>
      <c r="G141" s="44"/>
      <c r="H141" s="45"/>
      <c r="I141" s="46"/>
      <c r="J141" s="86"/>
      <c r="K141" s="86"/>
      <c r="L141" s="36"/>
      <c r="M141" s="36"/>
      <c r="N141" s="47"/>
      <c r="O141" s="48"/>
      <c r="P141" s="49"/>
      <c r="Q141" s="48"/>
      <c r="R141" s="497"/>
      <c r="S141" s="497"/>
      <c r="T141" s="38"/>
      <c r="U141" s="38"/>
      <c r="V141" s="38"/>
      <c r="W141" s="38"/>
      <c r="X141" s="39"/>
      <c r="Y141" s="216"/>
      <c r="Z141" s="38"/>
      <c r="AA141" s="38"/>
      <c r="AB141" s="38"/>
      <c r="AC141" s="38"/>
      <c r="AD141" s="38"/>
      <c r="AE141" s="235"/>
      <c r="AF141" s="34"/>
      <c r="AG141" s="34"/>
      <c r="AH141" s="34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4"/>
      <c r="BC141" s="500"/>
      <c r="BD141" s="52"/>
      <c r="BE141" s="52"/>
      <c r="BF141" s="52"/>
    </row>
    <row r="142" spans="1:58" ht="12.75" customHeight="1">
      <c r="A142" s="41">
        <v>45897</v>
      </c>
      <c r="B142" s="42" t="s">
        <v>490</v>
      </c>
      <c r="C142" s="411">
        <f t="shared" ref="C142" si="288">(M142*E142*O142*Q142)/100000000</f>
        <v>42.752629820108112</v>
      </c>
      <c r="D142" s="42" t="s">
        <v>304</v>
      </c>
      <c r="E142" s="43">
        <v>12</v>
      </c>
      <c r="F142" s="43">
        <v>1</v>
      </c>
      <c r="G142" s="496">
        <v>1230</v>
      </c>
      <c r="H142" s="45">
        <f>+N142</f>
        <v>0.22999999999999998</v>
      </c>
      <c r="I142" s="46">
        <v>0.88</v>
      </c>
      <c r="J142" s="86">
        <f t="shared" ref="J142" si="289">E142*G142*(1-H142)*1440/1000000*2.74</f>
        <v>44.842533120000006</v>
      </c>
      <c r="K142" s="86">
        <f t="shared" ref="K142" si="290">(IF(G142&lt;L142,L142,G142)*(1-IF(H142&lt;N142,H142,N142))*E142*O142*Q142)/100000000</f>
        <v>43.228060384864875</v>
      </c>
      <c r="L142" s="36">
        <v>1216.4722222222222</v>
      </c>
      <c r="M142" s="36">
        <v>936.68361111111108</v>
      </c>
      <c r="N142" s="47">
        <f t="shared" ref="N142" si="291">1-(M142/L142)</f>
        <v>0.22999999999999998</v>
      </c>
      <c r="O142" s="48">
        <f>+'Trim Rwd'!H85</f>
        <v>264.13513513513516</v>
      </c>
      <c r="P142" s="49">
        <f t="shared" ref="P142" si="292">O142*(Q142-R142-S142)</f>
        <v>355525.89189189195</v>
      </c>
      <c r="Q142" s="48">
        <v>1440</v>
      </c>
      <c r="R142" s="497">
        <v>0</v>
      </c>
      <c r="S142" s="497">
        <v>94</v>
      </c>
      <c r="T142" s="38">
        <f t="shared" ref="T142" si="293">E142*M142*O142*Q142/100000000</f>
        <v>42.752629820108112</v>
      </c>
      <c r="U142" s="38">
        <f t="shared" ref="U142" si="294">E142*M142*O142*(Q142-R142-S142)/100000000</f>
        <v>39.961833151295501</v>
      </c>
      <c r="V142" s="38">
        <f t="shared" ref="V142" si="295">E142*G142*(1-N142)*O142/100*(R142+S142)/1000000</f>
        <v>2.8218317195675682</v>
      </c>
      <c r="W142" s="38">
        <f>+'28'!K13/1000</f>
        <v>39.936999999999998</v>
      </c>
      <c r="X142" s="498">
        <f>SUM(W142:W146)/SUM(K142:K146)</f>
        <v>0.92386749820454228</v>
      </c>
      <c r="Y142" s="216">
        <v>0</v>
      </c>
      <c r="Z142" s="38">
        <f>+'28'!D34/1000</f>
        <v>1.04</v>
      </c>
      <c r="AA142" s="50">
        <f>SUM(U142:U146)-SUM(W142:W146)-SUM(Z142:Z146)-SUM(Y142:Y146)</f>
        <v>-1.0151668487044967</v>
      </c>
      <c r="AB142" s="50">
        <f>(SUM(K142:K146)-SUM(W142:W146)-SUM(Y142:Y146)-SUM(Z142:Z146)-SUM(AC142:AC146)-SUM(V142:V146))-AA142</f>
        <v>-3.1035050754957272E-2</v>
      </c>
      <c r="AC142" s="38">
        <f>K142-T142</f>
        <v>0.47543056475676337</v>
      </c>
      <c r="AD142" s="38">
        <f>+AM142+BA142</f>
        <v>36</v>
      </c>
      <c r="AE142" s="235" t="s">
        <v>544</v>
      </c>
      <c r="AF142" s="38">
        <v>36</v>
      </c>
      <c r="AG142" s="38"/>
      <c r="AH142" s="38"/>
      <c r="AI142" s="499"/>
      <c r="AJ142" s="38"/>
      <c r="AK142" s="38"/>
      <c r="AL142" s="38"/>
      <c r="AM142" s="38">
        <f t="shared" ref="AM142:AM145" si="296">SUM(AF142:AL142)+AT142+AV142+AX142</f>
        <v>36</v>
      </c>
      <c r="AN142" s="38"/>
      <c r="AO142" s="38"/>
      <c r="AP142" s="38"/>
      <c r="AQ142" s="38"/>
      <c r="AR142" s="38">
        <f>SUM(AN142:AQ142)</f>
        <v>0</v>
      </c>
      <c r="AS142" s="38"/>
      <c r="AT142" s="38"/>
      <c r="AU142" s="38"/>
      <c r="AV142" s="38"/>
      <c r="AW142" s="38"/>
      <c r="AX142" s="38"/>
      <c r="AY142" s="38"/>
      <c r="AZ142" s="38"/>
      <c r="BA142" s="38">
        <f>+AR142+AS142+AU142+AW142+AY142+AZ142</f>
        <v>0</v>
      </c>
      <c r="BB142" s="34">
        <v>9</v>
      </c>
      <c r="BC142" s="52"/>
      <c r="BD142" s="52"/>
      <c r="BE142" s="34"/>
      <c r="BF142" s="52"/>
    </row>
    <row r="143" spans="1:58" ht="12.95" customHeight="1">
      <c r="A143" s="41"/>
      <c r="B143" s="42"/>
      <c r="C143" s="411"/>
      <c r="D143" s="42"/>
      <c r="E143" s="43"/>
      <c r="F143" s="43"/>
      <c r="G143" s="496"/>
      <c r="H143" s="594"/>
      <c r="I143" s="46"/>
      <c r="J143" s="86"/>
      <c r="K143" s="86"/>
      <c r="L143" s="36"/>
      <c r="M143" s="36"/>
      <c r="N143" s="47"/>
      <c r="O143" s="48"/>
      <c r="P143" s="49"/>
      <c r="Q143" s="48"/>
      <c r="R143" s="497"/>
      <c r="S143" s="497"/>
      <c r="T143" s="38"/>
      <c r="U143" s="38"/>
      <c r="V143" s="38"/>
      <c r="W143" s="38"/>
      <c r="X143" s="39"/>
      <c r="Y143" s="216"/>
      <c r="Z143" s="38"/>
      <c r="AA143" s="38"/>
      <c r="AB143" s="38"/>
      <c r="AC143" s="38"/>
      <c r="AD143" s="38">
        <f>+AM143+BA143</f>
        <v>9</v>
      </c>
      <c r="AE143" s="235" t="s">
        <v>388</v>
      </c>
      <c r="AF143" s="38"/>
      <c r="AG143" s="38">
        <v>9</v>
      </c>
      <c r="AH143" s="38"/>
      <c r="AI143" s="499"/>
      <c r="AJ143" s="38"/>
      <c r="AK143" s="38"/>
      <c r="AL143" s="38"/>
      <c r="AM143" s="38">
        <f t="shared" si="296"/>
        <v>9</v>
      </c>
      <c r="AN143" s="87"/>
      <c r="AO143" s="38"/>
      <c r="AP143" s="38"/>
      <c r="AQ143" s="38"/>
      <c r="AR143" s="38">
        <f t="shared" ref="AR143:AR145" si="297">SUM(AN143:AQ143)</f>
        <v>0</v>
      </c>
      <c r="AS143" s="38"/>
      <c r="AT143" s="38"/>
      <c r="AU143" s="38"/>
      <c r="AV143" s="38"/>
      <c r="AW143" s="38"/>
      <c r="AX143" s="38"/>
      <c r="AY143" s="38"/>
      <c r="AZ143" s="38"/>
      <c r="BA143" s="38">
        <f>+AR143+AS143+AU143+AW143+AY143+AZ143</f>
        <v>0</v>
      </c>
      <c r="BB143" s="51"/>
      <c r="BC143" s="52">
        <v>3</v>
      </c>
      <c r="BD143" s="52"/>
      <c r="BE143" s="51"/>
      <c r="BF143" s="52"/>
    </row>
    <row r="144" spans="1:58" ht="12.95" customHeight="1">
      <c r="A144" s="41"/>
      <c r="B144" s="42"/>
      <c r="C144" s="411"/>
      <c r="D144" s="42"/>
      <c r="E144" s="43"/>
      <c r="F144" s="43"/>
      <c r="G144" s="44"/>
      <c r="H144" s="594"/>
      <c r="I144" s="46"/>
      <c r="J144" s="86"/>
      <c r="K144" s="86"/>
      <c r="L144" s="36"/>
      <c r="M144" s="36"/>
      <c r="N144" s="47"/>
      <c r="O144" s="48"/>
      <c r="P144" s="49"/>
      <c r="Q144" s="48"/>
      <c r="R144" s="497"/>
      <c r="S144" s="497"/>
      <c r="T144" s="38"/>
      <c r="U144" s="38"/>
      <c r="V144" s="38"/>
      <c r="W144" s="38"/>
      <c r="X144" s="39"/>
      <c r="Y144" s="216"/>
      <c r="Z144" s="38"/>
      <c r="AA144" s="38"/>
      <c r="AB144" s="38"/>
      <c r="AC144" s="38"/>
      <c r="AD144" s="38">
        <f>+AM144+BA144</f>
        <v>49</v>
      </c>
      <c r="AE144" s="235" t="s">
        <v>567</v>
      </c>
      <c r="AF144" s="34"/>
      <c r="AG144" s="34"/>
      <c r="AH144" s="34">
        <v>49</v>
      </c>
      <c r="AJ144" s="38"/>
      <c r="AK144" s="38"/>
      <c r="AL144" s="38"/>
      <c r="AM144" s="38">
        <f t="shared" si="296"/>
        <v>49</v>
      </c>
      <c r="AN144" s="38"/>
      <c r="AO144" s="38"/>
      <c r="AP144" s="38"/>
      <c r="AQ144" s="38"/>
      <c r="AR144" s="38">
        <f t="shared" si="297"/>
        <v>0</v>
      </c>
      <c r="AS144" s="38"/>
      <c r="AT144" s="38"/>
      <c r="AU144" s="38"/>
      <c r="AV144" s="38"/>
      <c r="AW144" s="38"/>
      <c r="AX144" s="38"/>
      <c r="AY144" s="38"/>
      <c r="AZ144" s="38"/>
      <c r="BA144" s="38">
        <f>+AR144+AS144+AU144+AW144+AY144+AZ144</f>
        <v>0</v>
      </c>
      <c r="BB144" s="34"/>
      <c r="BC144" s="500"/>
      <c r="BD144" s="500"/>
      <c r="BE144" s="34"/>
      <c r="BF144" s="500"/>
    </row>
    <row r="145" spans="1:58" ht="12.95" customHeight="1">
      <c r="A145" s="41"/>
      <c r="B145" s="42"/>
      <c r="C145" s="411"/>
      <c r="D145" s="42"/>
      <c r="E145" s="43"/>
      <c r="F145" s="43"/>
      <c r="G145" s="44"/>
      <c r="H145" s="594"/>
      <c r="I145" s="46"/>
      <c r="J145" s="86"/>
      <c r="K145" s="86"/>
      <c r="L145" s="36"/>
      <c r="M145" s="36"/>
      <c r="N145" s="47"/>
      <c r="O145" s="48"/>
      <c r="P145" s="49"/>
      <c r="Q145" s="35"/>
      <c r="R145" s="497"/>
      <c r="S145" s="497"/>
      <c r="T145" s="38"/>
      <c r="U145" s="38"/>
      <c r="V145" s="38"/>
      <c r="W145" s="38"/>
      <c r="X145" s="39"/>
      <c r="Y145" s="216"/>
      <c r="Z145" s="38"/>
      <c r="AA145" s="38"/>
      <c r="AB145" s="38"/>
      <c r="AC145" s="38"/>
      <c r="AD145" s="38">
        <f>+AM145+BA145</f>
        <v>0</v>
      </c>
      <c r="AE145" s="238" t="s">
        <v>380</v>
      </c>
      <c r="AF145" s="38"/>
      <c r="AG145" s="38"/>
      <c r="AH145" s="38"/>
      <c r="AI145" s="499">
        <v>0</v>
      </c>
      <c r="AJ145" s="38"/>
      <c r="AK145" s="38"/>
      <c r="AL145" s="38"/>
      <c r="AM145" s="38">
        <f t="shared" si="296"/>
        <v>0</v>
      </c>
      <c r="AN145" s="38"/>
      <c r="AO145" s="38"/>
      <c r="AP145" s="38"/>
      <c r="AQ145" s="38"/>
      <c r="AR145" s="38">
        <f t="shared" si="297"/>
        <v>0</v>
      </c>
      <c r="AS145" s="38"/>
      <c r="AT145" s="38"/>
      <c r="AU145" s="38"/>
      <c r="AV145" s="38"/>
      <c r="AW145" s="38"/>
      <c r="AX145" s="38"/>
      <c r="AY145" s="38"/>
      <c r="AZ145" s="38"/>
      <c r="BA145" s="38">
        <f>+AR145+AS145+AU145+AW145+AY145+AZ145</f>
        <v>0</v>
      </c>
      <c r="BB145" s="51"/>
      <c r="BC145" s="52"/>
      <c r="BD145" s="52"/>
      <c r="BE145" s="51"/>
      <c r="BF145" s="52"/>
    </row>
    <row r="146" spans="1:58" ht="12.95" customHeight="1">
      <c r="A146" s="41"/>
      <c r="B146" s="42"/>
      <c r="C146" s="411"/>
      <c r="D146" s="42"/>
      <c r="E146" s="43"/>
      <c r="F146" s="43"/>
      <c r="G146" s="496"/>
      <c r="H146" s="45"/>
      <c r="I146" s="46"/>
      <c r="J146" s="86"/>
      <c r="K146" s="86"/>
      <c r="L146" s="36"/>
      <c r="M146" s="36"/>
      <c r="N146" s="47"/>
      <c r="O146" s="48"/>
      <c r="P146" s="49"/>
      <c r="Q146" s="48"/>
      <c r="R146" s="497"/>
      <c r="S146" s="497"/>
      <c r="T146" s="38"/>
      <c r="U146" s="38"/>
      <c r="V146" s="38"/>
      <c r="W146" s="38"/>
      <c r="X146" s="39"/>
      <c r="Y146" s="216"/>
      <c r="Z146" s="38"/>
      <c r="AA146" s="38"/>
      <c r="AB146" s="38"/>
      <c r="AC146" s="38"/>
      <c r="AD146" s="38"/>
      <c r="AE146" s="235"/>
      <c r="AF146" s="38"/>
      <c r="AG146" s="38"/>
      <c r="AH146" s="38"/>
      <c r="AI146" s="499"/>
      <c r="AJ146" s="38"/>
      <c r="AK146" s="38"/>
      <c r="AL146" s="38"/>
      <c r="AM146" s="38"/>
      <c r="AN146" s="87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51"/>
      <c r="BC146" s="52"/>
      <c r="BD146" s="52"/>
      <c r="BE146" s="52"/>
      <c r="BF146" s="52"/>
    </row>
    <row r="147" spans="1:58" ht="12.75" customHeight="1">
      <c r="A147" s="41">
        <v>45898</v>
      </c>
      <c r="B147" s="42" t="s">
        <v>490</v>
      </c>
      <c r="C147" s="411">
        <f t="shared" ref="C147" si="298">(M147*E147*O147*Q147)/100000000</f>
        <v>20.839051269473686</v>
      </c>
      <c r="D147" s="42" t="s">
        <v>304</v>
      </c>
      <c r="E147" s="43">
        <v>12</v>
      </c>
      <c r="F147" s="43">
        <v>1</v>
      </c>
      <c r="G147" s="496">
        <v>1230</v>
      </c>
      <c r="H147" s="45">
        <f>+N147</f>
        <v>0.23000000000000009</v>
      </c>
      <c r="I147" s="46">
        <v>0.88</v>
      </c>
      <c r="J147" s="86">
        <f t="shared" ref="J147" si="299">E147*G147*(1-H147)*1440/1000000*2.74</f>
        <v>44.842533119999999</v>
      </c>
      <c r="K147" s="86">
        <f t="shared" ref="K147" si="300">(IF(G147&lt;L147,L147,G147)*(1-IF(H147&lt;N147,H147,N147))*E147*O147*Q147)/100000000</f>
        <v>20.839051269473686</v>
      </c>
      <c r="L147" s="36">
        <v>1230</v>
      </c>
      <c r="M147" s="36">
        <v>947.09999999999991</v>
      </c>
      <c r="N147" s="47">
        <f t="shared" ref="N147" si="301">1-(M147/L147)</f>
        <v>0.23000000000000009</v>
      </c>
      <c r="O147" s="48">
        <f>+'Trim Rwd'!H88</f>
        <v>265.73684210526318</v>
      </c>
      <c r="P147" s="49">
        <f t="shared" ref="P147" si="302">O147*(Q147-R147-S147)</f>
        <v>176715</v>
      </c>
      <c r="Q147" s="48">
        <v>690</v>
      </c>
      <c r="R147" s="497">
        <v>0</v>
      </c>
      <c r="S147" s="497">
        <v>25</v>
      </c>
      <c r="T147" s="38">
        <f t="shared" ref="T147" si="303">E147*M147*O147*Q147/100000000</f>
        <v>20.839051269473686</v>
      </c>
      <c r="U147" s="38">
        <f t="shared" ref="U147" si="304">E147*M147*O147*(Q147-R147-S147)/100000000</f>
        <v>20.084013179999999</v>
      </c>
      <c r="V147" s="38">
        <f t="shared" ref="V147" si="305">E147*G147*(1-N147)*O147/100*(R147+S147)/1000000</f>
        <v>0.75503808947368423</v>
      </c>
      <c r="W147" s="38">
        <f>+'29'!K13/1000</f>
        <v>17.556999999999999</v>
      </c>
      <c r="X147" s="498">
        <f>SUM(W147:W151)/SUM(K147:K151)</f>
        <v>0.82356973734924932</v>
      </c>
      <c r="Y147" s="216">
        <v>0</v>
      </c>
      <c r="Z147" s="38">
        <f>+'28'!D39/1000</f>
        <v>0</v>
      </c>
      <c r="AA147" s="50">
        <f>SUM(U147:U151)-SUM(W147:W151)-SUM(Z147:Z151)-SUM(Y147:Y151)</f>
        <v>5.1358265261176488</v>
      </c>
      <c r="AB147" s="50">
        <f>(SUM(K147:K151)-SUM(W147:W151)-SUM(Y147:Y151)-SUM(Z147:Z151)-SUM(AC147:AC151)-SUM(V147:V151))-AA147</f>
        <v>0.31787179411765543</v>
      </c>
      <c r="AC147" s="38">
        <f>K147-T147</f>
        <v>0</v>
      </c>
      <c r="AD147" s="38">
        <f>+AM147+BA147</f>
        <v>0</v>
      </c>
      <c r="AE147" s="235" t="s">
        <v>387</v>
      </c>
      <c r="AF147" s="38">
        <v>0</v>
      </c>
      <c r="AG147" s="38"/>
      <c r="AH147" s="38"/>
      <c r="AI147" s="499"/>
      <c r="AJ147" s="38"/>
      <c r="AK147" s="38"/>
      <c r="AL147" s="38"/>
      <c r="AM147" s="38">
        <f t="shared" ref="AM147:AM150" si="306">SUM(AF147:AL147)+AT147+AV147+AX147</f>
        <v>0</v>
      </c>
      <c r="AN147" s="38"/>
      <c r="AO147" s="38"/>
      <c r="AP147" s="38"/>
      <c r="AQ147" s="38"/>
      <c r="AR147" s="38">
        <f>SUM(AN147:AQ147)</f>
        <v>0</v>
      </c>
      <c r="AS147" s="38"/>
      <c r="AT147" s="38"/>
      <c r="AU147" s="38"/>
      <c r="AV147" s="38"/>
      <c r="AW147" s="38"/>
      <c r="AX147" s="38"/>
      <c r="AY147" s="38"/>
      <c r="AZ147" s="38"/>
      <c r="BA147" s="38">
        <f>+AR147+AS147+AU147+AW147+AY147+AZ147</f>
        <v>0</v>
      </c>
      <c r="BB147" s="34">
        <v>0</v>
      </c>
      <c r="BC147" s="52"/>
      <c r="BD147" s="52"/>
      <c r="BE147" s="34"/>
      <c r="BF147" s="52"/>
    </row>
    <row r="148" spans="1:58" ht="12.95" customHeight="1">
      <c r="A148" s="41"/>
      <c r="B148" s="42" t="s">
        <v>490</v>
      </c>
      <c r="C148" s="411">
        <f t="shared" ref="C148" si="307">(M148*E148*O148*Q148)/100000000</f>
        <v>24.476128147058819</v>
      </c>
      <c r="D148" s="42" t="s">
        <v>304</v>
      </c>
      <c r="E148" s="43">
        <v>13</v>
      </c>
      <c r="F148" s="43">
        <v>1</v>
      </c>
      <c r="G148" s="496">
        <v>1230</v>
      </c>
      <c r="H148" s="45">
        <v>0.22</v>
      </c>
      <c r="I148" s="46">
        <v>0.88</v>
      </c>
      <c r="J148" s="86">
        <f t="shared" ref="J148" si="308">E148*G148*(1-H148)*1440/1000000*2.74</f>
        <v>49.210312320000007</v>
      </c>
      <c r="K148" s="86">
        <f t="shared" ref="K148" si="309">(IF(G148&lt;L148,L148,G148)*(1-IF(H148&lt;N148,H148,N148))*E148*O148*Q148)/100000000</f>
        <v>24.793999941176473</v>
      </c>
      <c r="L148" s="36">
        <v>1230</v>
      </c>
      <c r="M148" s="36">
        <v>947.09999999999991</v>
      </c>
      <c r="N148" s="47">
        <f t="shared" ref="N148" si="310">1-(M148/L148)</f>
        <v>0.23000000000000009</v>
      </c>
      <c r="O148" s="48">
        <f>+'Trim Rwd'!H90</f>
        <v>265.05882352941177</v>
      </c>
      <c r="P148" s="49">
        <f t="shared" ref="P148" si="311">O148*(Q148-R148-S148)</f>
        <v>190312.23529411765</v>
      </c>
      <c r="Q148" s="48">
        <v>750</v>
      </c>
      <c r="R148" s="497">
        <v>0</v>
      </c>
      <c r="S148" s="497">
        <f>57-S147</f>
        <v>32</v>
      </c>
      <c r="T148" s="38">
        <f t="shared" ref="T148" si="312">E148*M148*O148*Q148/100000000</f>
        <v>24.476128147058819</v>
      </c>
      <c r="U148" s="38">
        <f t="shared" ref="U148" si="313">E148*M148*O148*(Q148-R148-S148)/100000000</f>
        <v>23.431813346117643</v>
      </c>
      <c r="V148" s="38">
        <f t="shared" ref="V148" si="314">E148*G148*(1-N148)*O148/100*(R148+S148)/1000000</f>
        <v>1.0443148009411765</v>
      </c>
      <c r="W148" s="38">
        <f>+'29'!K12/1000</f>
        <v>20.024999999999999</v>
      </c>
      <c r="X148" s="39"/>
      <c r="Y148" s="216"/>
      <c r="Z148" s="38">
        <f>+'29'!D25/1000</f>
        <v>0.79800000000000004</v>
      </c>
      <c r="AA148" s="38"/>
      <c r="AB148" s="38"/>
      <c r="AC148" s="38"/>
      <c r="AD148" s="38">
        <f>+AM148+BA148</f>
        <v>24</v>
      </c>
      <c r="AE148" s="235" t="s">
        <v>640</v>
      </c>
      <c r="AF148" s="38"/>
      <c r="AG148" s="38">
        <v>24</v>
      </c>
      <c r="AH148" s="38"/>
      <c r="AI148" s="499"/>
      <c r="AJ148" s="38"/>
      <c r="AK148" s="38"/>
      <c r="AL148" s="38"/>
      <c r="AM148" s="38">
        <f t="shared" si="306"/>
        <v>24</v>
      </c>
      <c r="AN148" s="87"/>
      <c r="AO148" s="38"/>
      <c r="AP148" s="38"/>
      <c r="AQ148" s="38"/>
      <c r="AR148" s="38">
        <f t="shared" ref="AR148:AR150" si="315">SUM(AN148:AQ148)</f>
        <v>0</v>
      </c>
      <c r="AS148" s="38"/>
      <c r="AT148" s="38"/>
      <c r="AU148" s="38"/>
      <c r="AV148" s="38"/>
      <c r="AW148" s="38"/>
      <c r="AX148" s="38"/>
      <c r="AY148" s="38"/>
      <c r="AZ148" s="38"/>
      <c r="BA148" s="38">
        <f>+AR148+AS148+AU148+AW148+AY148+AZ148</f>
        <v>0</v>
      </c>
      <c r="BB148" s="51"/>
      <c r="BC148" s="52">
        <v>11</v>
      </c>
      <c r="BD148" s="52"/>
      <c r="BE148" s="51"/>
      <c r="BF148" s="52"/>
    </row>
    <row r="149" spans="1:58" ht="12.95" customHeight="1">
      <c r="A149" s="41"/>
      <c r="B149" s="42"/>
      <c r="C149" s="411"/>
      <c r="D149" s="42"/>
      <c r="E149" s="43"/>
      <c r="F149" s="43"/>
      <c r="G149" s="44"/>
      <c r="H149" s="594"/>
      <c r="I149" s="46"/>
      <c r="J149" s="86"/>
      <c r="K149" s="86"/>
      <c r="L149" s="36"/>
      <c r="M149" s="36"/>
      <c r="N149" s="47"/>
      <c r="O149" s="48"/>
      <c r="P149" s="49"/>
      <c r="Q149" s="48"/>
      <c r="R149" s="497"/>
      <c r="S149" s="497"/>
      <c r="T149" s="38"/>
      <c r="U149" s="38"/>
      <c r="V149" s="38"/>
      <c r="W149" s="38"/>
      <c r="X149" s="39"/>
      <c r="Y149" s="216"/>
      <c r="Z149" s="38"/>
      <c r="AA149" s="38"/>
      <c r="AB149" s="38"/>
      <c r="AC149" s="38"/>
      <c r="AD149" s="38">
        <f>+AM149+BA149</f>
        <v>33</v>
      </c>
      <c r="AE149" s="235" t="s">
        <v>457</v>
      </c>
      <c r="AF149" s="34"/>
      <c r="AG149" s="34"/>
      <c r="AH149" s="34">
        <v>33</v>
      </c>
      <c r="AJ149" s="38"/>
      <c r="AK149" s="38"/>
      <c r="AL149" s="38"/>
      <c r="AM149" s="38">
        <f t="shared" si="306"/>
        <v>33</v>
      </c>
      <c r="AN149" s="38"/>
      <c r="AO149" s="38"/>
      <c r="AP149" s="38"/>
      <c r="AQ149" s="38"/>
      <c r="AR149" s="38">
        <f t="shared" si="315"/>
        <v>0</v>
      </c>
      <c r="AS149" s="38"/>
      <c r="AT149" s="38"/>
      <c r="AU149" s="38"/>
      <c r="AV149" s="38"/>
      <c r="AW149" s="38"/>
      <c r="AX149" s="38"/>
      <c r="AY149" s="38"/>
      <c r="AZ149" s="38"/>
      <c r="BA149" s="38">
        <f>+AR149+AS149+AU149+AW149+AY149+AZ149</f>
        <v>0</v>
      </c>
      <c r="BB149" s="34"/>
      <c r="BC149" s="500"/>
      <c r="BD149" s="500"/>
      <c r="BE149" s="34"/>
      <c r="BF149" s="500"/>
    </row>
    <row r="150" spans="1:58" ht="12.95" customHeight="1">
      <c r="A150" s="41"/>
      <c r="B150" s="42"/>
      <c r="C150" s="411"/>
      <c r="D150" s="42"/>
      <c r="E150" s="43"/>
      <c r="F150" s="43"/>
      <c r="G150" s="44"/>
      <c r="H150" s="594"/>
      <c r="I150" s="46"/>
      <c r="J150" s="86"/>
      <c r="K150" s="86"/>
      <c r="L150" s="36"/>
      <c r="M150" s="36"/>
      <c r="N150" s="47"/>
      <c r="O150" s="48"/>
      <c r="P150" s="49"/>
      <c r="Q150" s="35"/>
      <c r="R150" s="497"/>
      <c r="S150" s="497"/>
      <c r="T150" s="38"/>
      <c r="U150" s="38"/>
      <c r="V150" s="38"/>
      <c r="W150" s="38"/>
      <c r="X150" s="39"/>
      <c r="Y150" s="216"/>
      <c r="Z150" s="38"/>
      <c r="AA150" s="38"/>
      <c r="AB150" s="38"/>
      <c r="AC150" s="38"/>
      <c r="AD150" s="38">
        <f>+AM150+BA150</f>
        <v>0</v>
      </c>
      <c r="AE150" s="238" t="s">
        <v>380</v>
      </c>
      <c r="AF150" s="38"/>
      <c r="AG150" s="38"/>
      <c r="AH150" s="38"/>
      <c r="AI150" s="499">
        <v>0</v>
      </c>
      <c r="AJ150" s="38"/>
      <c r="AK150" s="38"/>
      <c r="AL150" s="38"/>
      <c r="AM150" s="38">
        <f t="shared" si="306"/>
        <v>0</v>
      </c>
      <c r="AN150" s="38"/>
      <c r="AO150" s="38"/>
      <c r="AP150" s="38"/>
      <c r="AQ150" s="38"/>
      <c r="AR150" s="38">
        <f t="shared" si="315"/>
        <v>0</v>
      </c>
      <c r="AS150" s="38"/>
      <c r="AT150" s="38"/>
      <c r="AU150" s="38"/>
      <c r="AV150" s="38"/>
      <c r="AW150" s="38"/>
      <c r="AX150" s="38"/>
      <c r="AY150" s="38"/>
      <c r="AZ150" s="38"/>
      <c r="BA150" s="38">
        <f>+AR150+AS150+AU150+AW150+AY150+AZ150</f>
        <v>0</v>
      </c>
      <c r="BB150" s="51"/>
      <c r="BC150" s="52"/>
      <c r="BD150" s="52"/>
      <c r="BE150" s="51"/>
      <c r="BF150" s="52"/>
    </row>
    <row r="151" spans="1:58" ht="12.95" customHeight="1">
      <c r="A151" s="41"/>
      <c r="B151" s="42"/>
      <c r="C151" s="411"/>
      <c r="D151" s="42"/>
      <c r="E151" s="43"/>
      <c r="F151" s="43"/>
      <c r="G151" s="496"/>
      <c r="H151" s="45"/>
      <c r="I151" s="46"/>
      <c r="J151" s="86"/>
      <c r="K151" s="86"/>
      <c r="L151" s="36"/>
      <c r="M151" s="36"/>
      <c r="N151" s="47"/>
      <c r="O151" s="48"/>
      <c r="P151" s="49"/>
      <c r="Q151" s="48"/>
      <c r="R151" s="497"/>
      <c r="S151" s="497"/>
      <c r="T151" s="38"/>
      <c r="U151" s="38"/>
      <c r="V151" s="38"/>
      <c r="W151" s="38"/>
      <c r="X151" s="39"/>
      <c r="Y151" s="216"/>
      <c r="Z151" s="38"/>
      <c r="AA151" s="38"/>
      <c r="AB151" s="38"/>
      <c r="AC151" s="38"/>
      <c r="AD151" s="38"/>
      <c r="AE151" s="235"/>
      <c r="AF151" s="38"/>
      <c r="AG151" s="38"/>
      <c r="AH151" s="38"/>
      <c r="AI151" s="499"/>
      <c r="AJ151" s="38"/>
      <c r="AK151" s="38"/>
      <c r="AL151" s="38"/>
      <c r="AM151" s="38"/>
      <c r="AN151" s="87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51"/>
      <c r="BC151" s="52"/>
      <c r="BD151" s="52"/>
      <c r="BE151" s="52"/>
      <c r="BF151" s="52"/>
    </row>
    <row r="152" spans="1:58" ht="12.75" customHeight="1">
      <c r="A152" s="41">
        <v>45899</v>
      </c>
      <c r="B152" s="42" t="s">
        <v>490</v>
      </c>
      <c r="C152" s="411">
        <f t="shared" ref="C152:C153" si="316">(M152*E152*O152*Q152)/100000000</f>
        <v>27.636188579999999</v>
      </c>
      <c r="D152" s="42" t="s">
        <v>304</v>
      </c>
      <c r="E152" s="43">
        <v>13</v>
      </c>
      <c r="F152" s="43">
        <v>1</v>
      </c>
      <c r="G152" s="496">
        <v>1230</v>
      </c>
      <c r="H152" s="45">
        <v>0.22</v>
      </c>
      <c r="I152" s="46">
        <v>0.88</v>
      </c>
      <c r="J152" s="86">
        <f t="shared" ref="J152:J153" si="317">E152*G152*(1-H152)*1440/1000000*2.74</f>
        <v>49.210312320000007</v>
      </c>
      <c r="K152" s="86">
        <f t="shared" ref="K152:K153" si="318">(IF(G152&lt;L152,L152,G152)*(1-IF(H152&lt;N152,H152,N152))*E152*O152*Q152)/100000000</f>
        <v>27.995100119999996</v>
      </c>
      <c r="L152" s="36">
        <v>1230</v>
      </c>
      <c r="M152" s="36">
        <v>947.09999999999991</v>
      </c>
      <c r="N152" s="47">
        <f t="shared" ref="N152:N153" si="319">1-(M152/L152)</f>
        <v>0.23000000000000009</v>
      </c>
      <c r="O152" s="48">
        <f>+'Trim Rwd'!H93</f>
        <v>258</v>
      </c>
      <c r="P152" s="49">
        <f t="shared" ref="P152:P153" si="320">O152*(Q152-R152-S152)</f>
        <v>215946</v>
      </c>
      <c r="Q152" s="48">
        <v>870</v>
      </c>
      <c r="R152" s="497">
        <v>0</v>
      </c>
      <c r="S152" s="497">
        <v>33</v>
      </c>
      <c r="T152" s="38">
        <f t="shared" ref="T152:T153" si="321">E152*M152*O152*Q152/100000000</f>
        <v>27.636188579999999</v>
      </c>
      <c r="U152" s="38">
        <f t="shared" ref="U152:U153" si="322">E152*M152*O152*(Q152-R152-S152)/100000000</f>
        <v>26.587919357999997</v>
      </c>
      <c r="V152" s="38">
        <f t="shared" ref="V152:V153" si="323">E152*G152*(1-N152)*O152/100*(R152+S152)/1000000</f>
        <v>1.0482692220000001</v>
      </c>
      <c r="W152" s="38">
        <f>+'30'!K12/1000</f>
        <v>31.658999999999999</v>
      </c>
      <c r="X152" s="498">
        <f>SUM(W152:W156)/SUM(K152:K156)</f>
        <v>0.87476475753086813</v>
      </c>
      <c r="Y152" s="216">
        <v>0</v>
      </c>
      <c r="Z152" s="38">
        <f>+'30'!D34/1000</f>
        <v>0.24</v>
      </c>
      <c r="AA152" s="50">
        <f>SUM(U152:U156)-SUM(W152:W156)-SUM(Z152:Z156)-SUM(Y152:Y156)</f>
        <v>3.1098926379999927</v>
      </c>
      <c r="AB152" s="50">
        <f>(SUM(K152:K156)-SUM(W152:W156)-SUM(Y152:Y156)-SUM(Z152:Z156)-SUM(AC152:AC156)-SUM(V152:V156))-AA152</f>
        <v>0</v>
      </c>
      <c r="AC152" s="38">
        <f>K152-T152</f>
        <v>0.35891153999999759</v>
      </c>
      <c r="AD152" s="38">
        <f>+AM152+BA152</f>
        <v>12</v>
      </c>
      <c r="AE152" s="235" t="s">
        <v>436</v>
      </c>
      <c r="AF152" s="38">
        <v>12</v>
      </c>
      <c r="AG152" s="38"/>
      <c r="AH152" s="38"/>
      <c r="AI152" s="499"/>
      <c r="AJ152" s="38"/>
      <c r="AK152" s="38"/>
      <c r="AL152" s="38"/>
      <c r="AM152" s="38">
        <f t="shared" ref="AM152:AM155" si="324">SUM(AF152:AL152)+AT152+AV152+AX152</f>
        <v>12</v>
      </c>
      <c r="AN152" s="38"/>
      <c r="AO152" s="38"/>
      <c r="AP152" s="38"/>
      <c r="AQ152" s="38"/>
      <c r="AR152" s="38">
        <f>SUM(AN152:AQ152)</f>
        <v>0</v>
      </c>
      <c r="AS152" s="38"/>
      <c r="AT152" s="38"/>
      <c r="AU152" s="38"/>
      <c r="AV152" s="38"/>
      <c r="AW152" s="38"/>
      <c r="AX152" s="38"/>
      <c r="AY152" s="38"/>
      <c r="AZ152" s="38"/>
      <c r="BA152" s="38">
        <f>+AR152+AS152+AU152+AW152+AY152+AZ152</f>
        <v>0</v>
      </c>
      <c r="BB152" s="34">
        <v>6</v>
      </c>
      <c r="BC152" s="52"/>
      <c r="BD152" s="52"/>
      <c r="BE152" s="34"/>
      <c r="BF152" s="52"/>
    </row>
    <row r="153" spans="1:58" ht="12.95" customHeight="1">
      <c r="A153" s="41"/>
      <c r="B153" s="42" t="s">
        <v>490</v>
      </c>
      <c r="C153" s="411">
        <f t="shared" si="316"/>
        <v>17.231916239999997</v>
      </c>
      <c r="D153" s="42" t="s">
        <v>304</v>
      </c>
      <c r="E153" s="43">
        <v>12</v>
      </c>
      <c r="F153" s="43">
        <v>1</v>
      </c>
      <c r="G153" s="496">
        <v>1230</v>
      </c>
      <c r="H153" s="45">
        <f>+N153</f>
        <v>0.23000000000000009</v>
      </c>
      <c r="I153" s="46">
        <v>0.88</v>
      </c>
      <c r="J153" s="86">
        <f t="shared" si="317"/>
        <v>44.842533119999999</v>
      </c>
      <c r="K153" s="86">
        <f t="shared" si="318"/>
        <v>17.231916239999997</v>
      </c>
      <c r="L153" s="36">
        <v>1230</v>
      </c>
      <c r="M153" s="36">
        <v>947.09999999999991</v>
      </c>
      <c r="N153" s="47">
        <f t="shared" si="319"/>
        <v>0.23000000000000009</v>
      </c>
      <c r="O153" s="48">
        <f>+'Trim Rwd'!H94</f>
        <v>266</v>
      </c>
      <c r="P153" s="49">
        <f t="shared" si="320"/>
        <v>143640</v>
      </c>
      <c r="Q153" s="48">
        <v>570</v>
      </c>
      <c r="R153" s="497">
        <v>0</v>
      </c>
      <c r="S153" s="497">
        <v>30</v>
      </c>
      <c r="T153" s="38">
        <f t="shared" si="321"/>
        <v>17.231916239999997</v>
      </c>
      <c r="U153" s="38">
        <f t="shared" si="322"/>
        <v>16.324973279999998</v>
      </c>
      <c r="V153" s="38">
        <f t="shared" si="323"/>
        <v>0.90694295999999996</v>
      </c>
      <c r="W153" s="38">
        <f>+'30'!K13/1000</f>
        <v>7.9039999999999999</v>
      </c>
      <c r="X153" s="39"/>
      <c r="Y153" s="216"/>
      <c r="Z153" s="38"/>
      <c r="AA153" s="38"/>
      <c r="AB153" s="38"/>
      <c r="AC153" s="38"/>
      <c r="AD153" s="38">
        <f>+AM153+BA153</f>
        <v>0</v>
      </c>
      <c r="AE153" s="235" t="s">
        <v>286</v>
      </c>
      <c r="AF153" s="38"/>
      <c r="AG153" s="38">
        <v>0</v>
      </c>
      <c r="AH153" s="38"/>
      <c r="AI153" s="499"/>
      <c r="AJ153" s="38"/>
      <c r="AK153" s="38"/>
      <c r="AL153" s="38"/>
      <c r="AM153" s="38">
        <f t="shared" si="324"/>
        <v>0</v>
      </c>
      <c r="AN153" s="87"/>
      <c r="AO153" s="38"/>
      <c r="AP153" s="38"/>
      <c r="AQ153" s="38"/>
      <c r="AR153" s="38">
        <f t="shared" ref="AR153:AR155" si="325">SUM(AN153:AQ153)</f>
        <v>0</v>
      </c>
      <c r="AS153" s="38"/>
      <c r="AT153" s="38"/>
      <c r="AU153" s="38"/>
      <c r="AV153" s="38"/>
      <c r="AW153" s="38"/>
      <c r="AX153" s="38"/>
      <c r="AY153" s="38"/>
      <c r="AZ153" s="38"/>
      <c r="BA153" s="38">
        <f>+AR153+AS153+AU153+AW153+AY153+AZ153</f>
        <v>0</v>
      </c>
      <c r="BB153" s="51"/>
      <c r="BC153" s="52">
        <v>0</v>
      </c>
      <c r="BD153" s="52"/>
      <c r="BE153" s="51"/>
      <c r="BF153" s="52"/>
    </row>
    <row r="154" spans="1:58" ht="12.95" customHeight="1">
      <c r="A154" s="41"/>
      <c r="B154" s="42"/>
      <c r="C154" s="411"/>
      <c r="D154" s="42"/>
      <c r="E154" s="43"/>
      <c r="F154" s="43"/>
      <c r="G154" s="44"/>
      <c r="H154" s="594"/>
      <c r="I154" s="46"/>
      <c r="J154" s="86"/>
      <c r="K154" s="86"/>
      <c r="L154" s="36"/>
      <c r="M154" s="36"/>
      <c r="N154" s="47"/>
      <c r="O154" s="48"/>
      <c r="P154" s="49"/>
      <c r="Q154" s="48"/>
      <c r="R154" s="497"/>
      <c r="S154" s="497"/>
      <c r="T154" s="38"/>
      <c r="U154" s="38"/>
      <c r="V154" s="38"/>
      <c r="W154" s="38"/>
      <c r="X154" s="39"/>
      <c r="Y154" s="216"/>
      <c r="Z154" s="38"/>
      <c r="AA154" s="38"/>
      <c r="AB154" s="38"/>
      <c r="AC154" s="38"/>
      <c r="AD154" s="38">
        <f>+AM154+BA154</f>
        <v>51</v>
      </c>
      <c r="AE154" s="235" t="s">
        <v>566</v>
      </c>
      <c r="AF154" s="34"/>
      <c r="AG154" s="34"/>
      <c r="AH154" s="34">
        <v>51</v>
      </c>
      <c r="AJ154" s="38"/>
      <c r="AK154" s="38"/>
      <c r="AL154" s="38"/>
      <c r="AM154" s="38">
        <f t="shared" si="324"/>
        <v>51</v>
      </c>
      <c r="AN154" s="38"/>
      <c r="AO154" s="38"/>
      <c r="AP154" s="38"/>
      <c r="AQ154" s="38"/>
      <c r="AR154" s="38">
        <f t="shared" si="325"/>
        <v>0</v>
      </c>
      <c r="AS154" s="38"/>
      <c r="AT154" s="38"/>
      <c r="AU154" s="38"/>
      <c r="AV154" s="38"/>
      <c r="AW154" s="38"/>
      <c r="AX154" s="38"/>
      <c r="AY154" s="38"/>
      <c r="AZ154" s="38"/>
      <c r="BA154" s="38">
        <f>+AR154+AS154+AU154+AW154+AY154+AZ154</f>
        <v>0</v>
      </c>
      <c r="BB154" s="34"/>
      <c r="BC154" s="500"/>
      <c r="BD154" s="500"/>
      <c r="BE154" s="34"/>
      <c r="BF154" s="500"/>
    </row>
    <row r="155" spans="1:58" ht="12.95" customHeight="1">
      <c r="A155" s="41"/>
      <c r="B155" s="42"/>
      <c r="C155" s="411"/>
      <c r="D155" s="42"/>
      <c r="E155" s="43"/>
      <c r="F155" s="43"/>
      <c r="G155" s="44"/>
      <c r="H155" s="594"/>
      <c r="I155" s="46"/>
      <c r="J155" s="86"/>
      <c r="K155" s="86"/>
      <c r="L155" s="36"/>
      <c r="M155" s="36"/>
      <c r="N155" s="47"/>
      <c r="O155" s="48"/>
      <c r="P155" s="49"/>
      <c r="Q155" s="35"/>
      <c r="R155" s="497"/>
      <c r="S155" s="497"/>
      <c r="T155" s="38"/>
      <c r="U155" s="38"/>
      <c r="V155" s="38"/>
      <c r="W155" s="38"/>
      <c r="X155" s="39"/>
      <c r="Y155" s="216"/>
      <c r="Z155" s="38"/>
      <c r="AA155" s="38"/>
      <c r="AB155" s="38"/>
      <c r="AC155" s="38"/>
      <c r="AD155" s="38">
        <f>+AM155+BA155</f>
        <v>0</v>
      </c>
      <c r="AE155" s="238" t="s">
        <v>380</v>
      </c>
      <c r="AF155" s="38"/>
      <c r="AG155" s="38"/>
      <c r="AH155" s="38"/>
      <c r="AI155" s="499">
        <v>0</v>
      </c>
      <c r="AJ155" s="38"/>
      <c r="AK155" s="38"/>
      <c r="AL155" s="38"/>
      <c r="AM155" s="38">
        <f t="shared" si="324"/>
        <v>0</v>
      </c>
      <c r="AN155" s="38"/>
      <c r="AO155" s="38"/>
      <c r="AP155" s="38"/>
      <c r="AQ155" s="38"/>
      <c r="AR155" s="38">
        <f t="shared" si="325"/>
        <v>0</v>
      </c>
      <c r="AS155" s="38"/>
      <c r="AT155" s="38"/>
      <c r="AU155" s="38"/>
      <c r="AV155" s="38"/>
      <c r="AW155" s="38"/>
      <c r="AX155" s="38"/>
      <c r="AY155" s="38"/>
      <c r="AZ155" s="38"/>
      <c r="BA155" s="38">
        <f>+AR155+AS155+AU155+AW155+AY155+AZ155</f>
        <v>0</v>
      </c>
      <c r="BB155" s="51"/>
      <c r="BC155" s="52"/>
      <c r="BD155" s="52"/>
      <c r="BE155" s="51"/>
      <c r="BF155" s="52"/>
    </row>
    <row r="156" spans="1:58" ht="12.95" customHeight="1">
      <c r="A156" s="41"/>
      <c r="B156" s="42"/>
      <c r="C156" s="411"/>
      <c r="D156" s="42"/>
      <c r="E156" s="43"/>
      <c r="F156" s="43"/>
      <c r="G156" s="496"/>
      <c r="H156" s="45"/>
      <c r="I156" s="46"/>
      <c r="J156" s="86"/>
      <c r="K156" s="86"/>
      <c r="L156" s="36"/>
      <c r="M156" s="36"/>
      <c r="N156" s="47"/>
      <c r="O156" s="48"/>
      <c r="P156" s="49"/>
      <c r="Q156" s="48"/>
      <c r="R156" s="497"/>
      <c r="S156" s="497"/>
      <c r="T156" s="38"/>
      <c r="U156" s="38"/>
      <c r="V156" s="38"/>
      <c r="W156" s="38"/>
      <c r="X156" s="39"/>
      <c r="Y156" s="216"/>
      <c r="Z156" s="38"/>
      <c r="AA156" s="38"/>
      <c r="AB156" s="38"/>
      <c r="AC156" s="38"/>
      <c r="AD156" s="38"/>
      <c r="AE156" s="235"/>
      <c r="AF156" s="38"/>
      <c r="AG156" s="38"/>
      <c r="AH156" s="38"/>
      <c r="AI156" s="499"/>
      <c r="AJ156" s="38"/>
      <c r="AK156" s="38"/>
      <c r="AL156" s="38"/>
      <c r="AM156" s="38"/>
      <c r="AN156" s="87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51"/>
      <c r="BC156" s="52"/>
      <c r="BD156" s="52"/>
      <c r="BE156" s="52"/>
      <c r="BF156" s="52"/>
    </row>
    <row r="157" spans="1:58" ht="12.75" customHeight="1">
      <c r="A157" s="41">
        <v>45900</v>
      </c>
      <c r="B157" s="42" t="s">
        <v>490</v>
      </c>
      <c r="C157" s="411">
        <f t="shared" ref="C157" si="326">(M157*E157*O157*Q157)/100000000</f>
        <v>6.4631051099999999</v>
      </c>
      <c r="D157" s="42" t="s">
        <v>304</v>
      </c>
      <c r="E157" s="43">
        <v>12</v>
      </c>
      <c r="F157" s="43">
        <v>1</v>
      </c>
      <c r="G157" s="496">
        <v>1230</v>
      </c>
      <c r="H157" s="45">
        <f>+N157</f>
        <v>0.23000000000000009</v>
      </c>
      <c r="I157" s="46">
        <v>0.88</v>
      </c>
      <c r="J157" s="86">
        <f t="shared" ref="J157" si="327">E157*G157*(1-H157)*1440/1000000*2.74</f>
        <v>44.842533119999999</v>
      </c>
      <c r="K157" s="86">
        <f t="shared" ref="K157" si="328">(IF(G157&lt;L157,L157,G157)*(1-IF(H157&lt;N157,H157,N157))*E157*O157*Q157)/100000000</f>
        <v>6.4631051099999999</v>
      </c>
      <c r="L157" s="36">
        <v>1230</v>
      </c>
      <c r="M157" s="36">
        <v>947.09999999999991</v>
      </c>
      <c r="N157" s="47">
        <f t="shared" ref="N157" si="329">1-(M157/L157)</f>
        <v>0.23000000000000009</v>
      </c>
      <c r="O157" s="48">
        <f>+'Trim Rwd'!H96</f>
        <v>264.5</v>
      </c>
      <c r="P157" s="49">
        <f t="shared" ref="P157" si="330">O157*(Q157-R157-S157)</f>
        <v>53693.5</v>
      </c>
      <c r="Q157" s="48">
        <v>215</v>
      </c>
      <c r="R157" s="497">
        <v>0</v>
      </c>
      <c r="S157" s="497">
        <v>12</v>
      </c>
      <c r="T157" s="38">
        <f t="shared" ref="T157" si="331">E157*M157*O157*Q157/100000000</f>
        <v>6.4631051099999999</v>
      </c>
      <c r="U157" s="38">
        <f t="shared" ref="U157" si="332">E157*M157*O157*(Q157-R157-S157)/100000000</f>
        <v>6.1023736619999989</v>
      </c>
      <c r="V157" s="38">
        <f t="shared" ref="V157" si="333">E157*G157*(1-N157)*O157/100*(R157+S157)/1000000</f>
        <v>0.36073144799999995</v>
      </c>
      <c r="W157" s="38">
        <f>+'31'!K13/1000</f>
        <v>15.606999999999999</v>
      </c>
      <c r="X157" s="498">
        <f>SUM(W157:W161)/SUM(K157:K161)</f>
        <v>0.96751081846380171</v>
      </c>
      <c r="Y157" s="216">
        <f>+SUM(RBP!AG3:AG4)</f>
        <v>4.7309999999999999</v>
      </c>
      <c r="Z157" s="38">
        <f>+'31'!D34/1000</f>
        <v>0.71</v>
      </c>
      <c r="AA157" s="50">
        <f>SUM(U157:U161)-SUM(W157:W161)-SUM(Z157:Z161)-SUM(Y157:Y161)</f>
        <v>-6.706303900500008</v>
      </c>
      <c r="AB157" s="50">
        <f>(SUM(K157:K161)-SUM(W157:W161)-SUM(Y157:Y161)-SUM(Z157:Z161)-SUM(AC157:AC161)-SUM(V157:V161))-AA157</f>
        <v>0.49738893750000113</v>
      </c>
      <c r="AC157" s="38">
        <f>K157-T157</f>
        <v>0</v>
      </c>
      <c r="AD157" s="38">
        <f>+AM157+BA157</f>
        <v>21</v>
      </c>
      <c r="AE157" s="235" t="s">
        <v>544</v>
      </c>
      <c r="AF157" s="38">
        <v>21</v>
      </c>
      <c r="AG157" s="38"/>
      <c r="AH157" s="38"/>
      <c r="AI157" s="499"/>
      <c r="AJ157" s="38"/>
      <c r="AK157" s="38"/>
      <c r="AL157" s="38"/>
      <c r="AM157" s="38">
        <f t="shared" ref="AM157:AM160" si="334">SUM(AF157:AL157)+AT157+AV157+AX157</f>
        <v>21</v>
      </c>
      <c r="AN157" s="38"/>
      <c r="AO157" s="38"/>
      <c r="AP157" s="38"/>
      <c r="AQ157" s="38"/>
      <c r="AR157" s="38">
        <f>SUM(AN157:AQ157)</f>
        <v>0</v>
      </c>
      <c r="AS157" s="38"/>
      <c r="AT157" s="38"/>
      <c r="AU157" s="38"/>
      <c r="AV157" s="38"/>
      <c r="AW157" s="38"/>
      <c r="AX157" s="38"/>
      <c r="AY157" s="38"/>
      <c r="AZ157" s="38"/>
      <c r="BA157" s="38">
        <f>+AR157+AS157+AU157+AW157+AY157+AZ157</f>
        <v>0</v>
      </c>
      <c r="BB157" s="34">
        <v>9</v>
      </c>
      <c r="BC157" s="52"/>
      <c r="BD157" s="52"/>
      <c r="BE157" s="34"/>
      <c r="BF157" s="52"/>
    </row>
    <row r="158" spans="1:58" ht="12.95" customHeight="1">
      <c r="A158" s="41"/>
      <c r="B158" s="42" t="s">
        <v>490</v>
      </c>
      <c r="C158" s="411">
        <f t="shared" ref="C158" si="335">(M158*E158*O158*Q158)/100000000</f>
        <v>25.855829999999994</v>
      </c>
      <c r="D158" s="42" t="s">
        <v>304</v>
      </c>
      <c r="E158" s="43">
        <v>12.5</v>
      </c>
      <c r="F158" s="43">
        <v>1</v>
      </c>
      <c r="G158" s="496">
        <v>1230</v>
      </c>
      <c r="H158" s="45">
        <v>0.22</v>
      </c>
      <c r="I158" s="46">
        <v>0.88</v>
      </c>
      <c r="J158" s="86">
        <f t="shared" ref="J158" si="336">E158*G158*(1-H158)*1440/1000000*2.74</f>
        <v>47.317608000000007</v>
      </c>
      <c r="K158" s="86">
        <f t="shared" ref="K158" si="337">(IF(G158&lt;L158,L158,G158)*(1-IF(H158&lt;N158,H158,N158))*E158*O158*Q158)/100000000</f>
        <v>26.19162</v>
      </c>
      <c r="L158" s="36">
        <v>1230</v>
      </c>
      <c r="M158" s="36">
        <v>947.09999999999991</v>
      </c>
      <c r="N158" s="47">
        <f t="shared" ref="N158" si="338">1-(M158/L158)</f>
        <v>0.23000000000000009</v>
      </c>
      <c r="O158" s="48">
        <f>+'Trim Rwd'!H98</f>
        <v>260</v>
      </c>
      <c r="P158" s="49">
        <f t="shared" ref="P158" si="339">O158*(Q158-R158-S158)</f>
        <v>208000</v>
      </c>
      <c r="Q158" s="48">
        <v>840</v>
      </c>
      <c r="R158" s="497">
        <v>0</v>
      </c>
      <c r="S158" s="497">
        <v>40</v>
      </c>
      <c r="T158" s="38">
        <f t="shared" ref="T158" si="340">E158*M158*O158*Q158/100000000</f>
        <v>25.855829999999994</v>
      </c>
      <c r="U158" s="38">
        <f t="shared" ref="U158" si="341">E158*M158*O158*(Q158-R158-S158)/100000000</f>
        <v>24.624599999999994</v>
      </c>
      <c r="V158" s="38">
        <f t="shared" ref="V158" si="342">E158*G158*(1-N158)*O158/100*(R158+S158)/1000000</f>
        <v>1.2312299999999998</v>
      </c>
      <c r="W158" s="38">
        <f>+'31'!K14/1000</f>
        <v>20.738</v>
      </c>
      <c r="X158" s="39"/>
      <c r="Y158" s="216"/>
      <c r="Z158" s="38"/>
      <c r="AA158" s="38"/>
      <c r="AB158" s="38"/>
      <c r="AC158" s="38"/>
      <c r="AD158" s="38">
        <f>+AM158+BA158</f>
        <v>0</v>
      </c>
      <c r="AE158" s="235" t="s">
        <v>286</v>
      </c>
      <c r="AF158" s="38"/>
      <c r="AG158" s="38">
        <v>0</v>
      </c>
      <c r="AH158" s="38"/>
      <c r="AI158" s="499"/>
      <c r="AJ158" s="38"/>
      <c r="AK158" s="38"/>
      <c r="AL158" s="38"/>
      <c r="AM158" s="38">
        <f t="shared" si="334"/>
        <v>0</v>
      </c>
      <c r="AN158" s="87"/>
      <c r="AO158" s="38"/>
      <c r="AP158" s="38"/>
      <c r="AQ158" s="38"/>
      <c r="AR158" s="38">
        <f t="shared" ref="AR158:AR160" si="343">SUM(AN158:AQ158)</f>
        <v>0</v>
      </c>
      <c r="AS158" s="38"/>
      <c r="AT158" s="38"/>
      <c r="AU158" s="38"/>
      <c r="AV158" s="38"/>
      <c r="AW158" s="38"/>
      <c r="AX158" s="38"/>
      <c r="AY158" s="38"/>
      <c r="AZ158" s="38"/>
      <c r="BA158" s="38">
        <f>+AR158+AS158+AU158+AW158+AY158+AZ158</f>
        <v>0</v>
      </c>
      <c r="BB158" s="51"/>
      <c r="BC158" s="52">
        <v>0</v>
      </c>
      <c r="BD158" s="52"/>
      <c r="BE158" s="51"/>
      <c r="BF158" s="52"/>
    </row>
    <row r="159" spans="1:58" ht="12.95" customHeight="1">
      <c r="A159" s="41"/>
      <c r="B159" s="42" t="s">
        <v>490</v>
      </c>
      <c r="C159" s="411">
        <f t="shared" ref="C159" si="344">(M159*E159*O159*Q159)/100000000</f>
        <v>12.4431181875</v>
      </c>
      <c r="D159" s="42" t="s">
        <v>304</v>
      </c>
      <c r="E159" s="43">
        <v>13</v>
      </c>
      <c r="F159" s="43">
        <v>1</v>
      </c>
      <c r="G159" s="496">
        <v>1230</v>
      </c>
      <c r="H159" s="45">
        <v>0.22</v>
      </c>
      <c r="I159" s="46">
        <v>0.88</v>
      </c>
      <c r="J159" s="86">
        <f t="shared" ref="J159" si="345">E159*G159*(1-H159)*1440/1000000*2.74</f>
        <v>49.210312320000007</v>
      </c>
      <c r="K159" s="86">
        <f t="shared" ref="K159" si="346">(IF(G159&lt;L159,L159,G159)*(1-IF(H159&lt;N159,H159,N159))*E159*O159*Q159)/100000000</f>
        <v>12.604717124999997</v>
      </c>
      <c r="L159" s="36">
        <v>1230</v>
      </c>
      <c r="M159" s="36">
        <v>947.09999999999991</v>
      </c>
      <c r="N159" s="47">
        <f t="shared" ref="N159" si="347">1-(M159/L159)</f>
        <v>0.23000000000000009</v>
      </c>
      <c r="O159" s="48">
        <f>+'Trim Rwd'!H99</f>
        <v>262.5</v>
      </c>
      <c r="P159" s="49">
        <f t="shared" ref="P159" si="348">O159*(Q159-R159-S159)</f>
        <v>95812.5</v>
      </c>
      <c r="Q159" s="48">
        <v>385</v>
      </c>
      <c r="R159" s="497">
        <v>0</v>
      </c>
      <c r="S159" s="497">
        <v>20</v>
      </c>
      <c r="T159" s="38">
        <f t="shared" ref="T159" si="349">E159*M159*O159*Q159/100000000</f>
        <v>12.4431181875</v>
      </c>
      <c r="U159" s="38">
        <f t="shared" ref="U159" si="350">E159*M159*O159*(Q159-R159-S159)/100000000</f>
        <v>11.7967224375</v>
      </c>
      <c r="V159" s="38">
        <f t="shared" ref="V159" si="351">E159*G159*(1-N159)*O159/100*(R159+S159)/1000000</f>
        <v>0.64639575000000005</v>
      </c>
      <c r="W159" s="38">
        <f>+'31'!K12/1000</f>
        <v>7.444</v>
      </c>
      <c r="X159" s="39"/>
      <c r="Y159" s="216"/>
      <c r="Z159" s="38"/>
      <c r="AA159" s="38"/>
      <c r="AB159" s="38"/>
      <c r="AC159" s="38"/>
      <c r="AD159" s="38">
        <f>+AM159+BA159</f>
        <v>51</v>
      </c>
      <c r="AE159" s="235" t="s">
        <v>566</v>
      </c>
      <c r="AF159" s="34"/>
      <c r="AG159" s="34"/>
      <c r="AH159" s="34">
        <v>51</v>
      </c>
      <c r="AJ159" s="38"/>
      <c r="AK159" s="38"/>
      <c r="AL159" s="38"/>
      <c r="AM159" s="38">
        <f t="shared" si="334"/>
        <v>51</v>
      </c>
      <c r="AN159" s="38"/>
      <c r="AO159" s="38"/>
      <c r="AP159" s="38"/>
      <c r="AQ159" s="38"/>
      <c r="AR159" s="38">
        <f t="shared" si="343"/>
        <v>0</v>
      </c>
      <c r="AS159" s="38"/>
      <c r="AT159" s="38"/>
      <c r="AU159" s="38"/>
      <c r="AV159" s="38"/>
      <c r="AW159" s="38"/>
      <c r="AX159" s="38"/>
      <c r="AY159" s="38"/>
      <c r="AZ159" s="38"/>
      <c r="BA159" s="38">
        <f>+AR159+AS159+AU159+AW159+AY159+AZ159</f>
        <v>0</v>
      </c>
      <c r="BB159" s="34"/>
      <c r="BC159" s="500"/>
      <c r="BD159" s="500"/>
      <c r="BE159" s="34"/>
      <c r="BF159" s="500"/>
    </row>
    <row r="160" spans="1:58" ht="12.95" customHeight="1">
      <c r="A160" s="41"/>
      <c r="B160" s="42"/>
      <c r="C160" s="411"/>
      <c r="D160" s="42"/>
      <c r="E160" s="43"/>
      <c r="F160" s="43"/>
      <c r="G160" s="44"/>
      <c r="H160" s="594"/>
      <c r="I160" s="46"/>
      <c r="J160" s="86"/>
      <c r="K160" s="86"/>
      <c r="L160" s="36"/>
      <c r="M160" s="36"/>
      <c r="N160" s="47"/>
      <c r="O160" s="48"/>
      <c r="P160" s="49"/>
      <c r="Q160" s="35"/>
      <c r="R160" s="497"/>
      <c r="S160" s="497"/>
      <c r="T160" s="38"/>
      <c r="U160" s="38"/>
      <c r="V160" s="38"/>
      <c r="W160" s="38"/>
      <c r="X160" s="39"/>
      <c r="Y160" s="216"/>
      <c r="Z160" s="38"/>
      <c r="AA160" s="38"/>
      <c r="AB160" s="38"/>
      <c r="AC160" s="38"/>
      <c r="AD160" s="38">
        <f>+AM160+BA160</f>
        <v>0</v>
      </c>
      <c r="AE160" s="238" t="s">
        <v>380</v>
      </c>
      <c r="AF160" s="38"/>
      <c r="AG160" s="38"/>
      <c r="AH160" s="38"/>
      <c r="AI160" s="499">
        <v>0</v>
      </c>
      <c r="AJ160" s="38"/>
      <c r="AK160" s="38"/>
      <c r="AL160" s="38"/>
      <c r="AM160" s="38">
        <f t="shared" si="334"/>
        <v>0</v>
      </c>
      <c r="AN160" s="38"/>
      <c r="AO160" s="38"/>
      <c r="AP160" s="38"/>
      <c r="AQ160" s="38"/>
      <c r="AR160" s="38">
        <f t="shared" si="343"/>
        <v>0</v>
      </c>
      <c r="AS160" s="38"/>
      <c r="AT160" s="38"/>
      <c r="AU160" s="38"/>
      <c r="AV160" s="38"/>
      <c r="AW160" s="38"/>
      <c r="AX160" s="38"/>
      <c r="AY160" s="38"/>
      <c r="AZ160" s="38"/>
      <c r="BA160" s="38">
        <f>+AR160+AS160+AU160+AW160+AY160+AZ160</f>
        <v>0</v>
      </c>
      <c r="BB160" s="51"/>
      <c r="BC160" s="52"/>
      <c r="BD160" s="52"/>
      <c r="BE160" s="51"/>
      <c r="BF160" s="52"/>
    </row>
    <row r="161" spans="1:58" ht="12.95" customHeight="1">
      <c r="A161" s="41"/>
      <c r="B161" s="42"/>
      <c r="C161" s="411"/>
      <c r="D161" s="42"/>
      <c r="E161" s="43"/>
      <c r="F161" s="43"/>
      <c r="G161" s="496"/>
      <c r="H161" s="45"/>
      <c r="I161" s="46"/>
      <c r="J161" s="86"/>
      <c r="K161" s="86"/>
      <c r="L161" s="36"/>
      <c r="M161" s="36"/>
      <c r="N161" s="47"/>
      <c r="O161" s="48"/>
      <c r="P161" s="49"/>
      <c r="Q161" s="48"/>
      <c r="R161" s="497"/>
      <c r="S161" s="497"/>
      <c r="T161" s="38"/>
      <c r="U161" s="38"/>
      <c r="V161" s="38"/>
      <c r="W161" s="38"/>
      <c r="X161" s="39"/>
      <c r="Y161" s="216"/>
      <c r="Z161" s="38"/>
      <c r="AA161" s="38"/>
      <c r="AB161" s="38"/>
      <c r="AC161" s="38"/>
      <c r="AD161" s="38"/>
      <c r="AE161" s="235"/>
      <c r="AF161" s="38"/>
      <c r="AG161" s="38"/>
      <c r="AH161" s="38"/>
      <c r="AI161" s="499"/>
      <c r="AJ161" s="38"/>
      <c r="AK161" s="38"/>
      <c r="AL161" s="38"/>
      <c r="AM161" s="38"/>
      <c r="AN161" s="87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51"/>
      <c r="BC161" s="52"/>
      <c r="BD161" s="52"/>
      <c r="BE161" s="52"/>
      <c r="BF161" s="52"/>
    </row>
    <row r="162" spans="1:58" ht="12.95" customHeight="1">
      <c r="A162" s="41"/>
      <c r="B162" s="42"/>
      <c r="C162" s="411"/>
      <c r="D162" s="42"/>
      <c r="E162" s="43"/>
      <c r="F162" s="43"/>
      <c r="G162" s="54"/>
      <c r="H162" s="55"/>
      <c r="I162" s="46"/>
      <c r="J162" s="86"/>
      <c r="K162" s="86"/>
      <c r="L162" s="36"/>
      <c r="M162" s="36"/>
      <c r="N162" s="47"/>
      <c r="O162" s="48"/>
      <c r="P162" s="49"/>
      <c r="Q162" s="335"/>
      <c r="R162" s="51"/>
      <c r="S162" s="51"/>
      <c r="T162" s="38"/>
      <c r="U162" s="38"/>
      <c r="V162" s="38"/>
      <c r="W162" s="34"/>
      <c r="X162" s="39"/>
      <c r="Y162" s="39"/>
      <c r="Z162" s="34"/>
      <c r="AA162" s="50">
        <f>U162-W162-Z162</f>
        <v>0</v>
      </c>
      <c r="AB162" s="50"/>
      <c r="AC162" s="38">
        <f>K162-T162</f>
        <v>0</v>
      </c>
      <c r="AD162" s="38"/>
      <c r="AE162" s="56"/>
      <c r="AF162" s="38"/>
      <c r="AG162" s="38"/>
      <c r="AH162" s="38"/>
      <c r="AI162" s="38"/>
      <c r="AJ162" s="38"/>
      <c r="AK162" s="38"/>
      <c r="AL162" s="38"/>
      <c r="AM162" s="38">
        <f t="shared" ref="AM162:AM163" si="352">SUM(AF162:AL162)</f>
        <v>0</v>
      </c>
      <c r="AN162" s="38"/>
      <c r="AO162" s="38"/>
      <c r="AP162" s="38"/>
      <c r="AQ162" s="38"/>
      <c r="AR162" s="38">
        <f t="shared" ref="AR162:AR163" si="353">SUM(AN162:AQ162)</f>
        <v>0</v>
      </c>
      <c r="AS162" s="38"/>
      <c r="AT162" s="38"/>
      <c r="AU162" s="38"/>
      <c r="AV162" s="38"/>
      <c r="AW162" s="38"/>
      <c r="AX162" s="38"/>
      <c r="AY162" s="38"/>
      <c r="AZ162" s="38"/>
      <c r="BA162" s="38"/>
      <c r="BB162" s="34"/>
      <c r="BC162" s="52"/>
      <c r="BD162" s="52"/>
      <c r="BE162" s="52"/>
      <c r="BF162" s="52"/>
    </row>
    <row r="163" spans="1:58">
      <c r="R163" s="501"/>
      <c r="S163" s="501"/>
      <c r="AA163" s="252">
        <f>U163-W163-Z163</f>
        <v>0</v>
      </c>
      <c r="AB163" s="252"/>
      <c r="AC163" s="253">
        <f>K163-T163</f>
        <v>0</v>
      </c>
      <c r="AD163" s="38"/>
      <c r="AF163" s="53"/>
      <c r="AG163" s="53"/>
      <c r="AH163" s="53"/>
      <c r="AI163" s="53"/>
      <c r="AJ163" s="53"/>
      <c r="AK163" s="53"/>
      <c r="AL163" s="53"/>
      <c r="AM163" s="38">
        <f t="shared" si="352"/>
        <v>0</v>
      </c>
      <c r="AN163" s="53"/>
      <c r="AO163" s="53"/>
      <c r="AP163" s="53"/>
      <c r="AQ163" s="53"/>
      <c r="AR163" s="38">
        <f t="shared" si="353"/>
        <v>0</v>
      </c>
      <c r="AS163" s="53"/>
      <c r="AT163" s="53"/>
      <c r="AU163" s="53"/>
      <c r="AV163" s="53"/>
      <c r="AW163" s="53"/>
      <c r="AX163" s="53"/>
      <c r="AY163" s="53"/>
      <c r="AZ163" s="53"/>
      <c r="BA163" s="38"/>
      <c r="BB163" s="34"/>
      <c r="BC163" s="52"/>
      <c r="BD163" s="52"/>
      <c r="BE163" s="52"/>
      <c r="BF163" s="52"/>
    </row>
    <row r="164" spans="1:58" s="28" customFormat="1" ht="12.95" customHeight="1">
      <c r="A164" s="60"/>
      <c r="B164" s="61"/>
      <c r="C164" s="412">
        <f>SUM(C6:C162)</f>
        <v>1429.862123743444</v>
      </c>
      <c r="D164" s="61"/>
      <c r="E164" s="62"/>
      <c r="F164" s="62"/>
      <c r="G164" s="63"/>
      <c r="H164" s="63"/>
      <c r="I164" s="64">
        <v>0.85</v>
      </c>
      <c r="J164" s="86"/>
      <c r="K164" s="88">
        <f>SUM(K6:K162)</f>
        <v>1439.183603312561</v>
      </c>
      <c r="L164" s="66"/>
      <c r="M164" s="66"/>
      <c r="N164" s="67"/>
      <c r="O164" s="68">
        <f>P164/(Q164-R164-S164)</f>
        <v>263.04472587514692</v>
      </c>
      <c r="P164" s="65">
        <f>SUM(P6:P162)</f>
        <v>11036041.474091789</v>
      </c>
      <c r="Q164" s="337">
        <f>SUM(Q6:Q163)</f>
        <v>44640</v>
      </c>
      <c r="R164" s="65">
        <f t="shared" ref="R164:W164" si="354">SUM(R6:R162)</f>
        <v>624</v>
      </c>
      <c r="S164" s="65">
        <f t="shared" si="354"/>
        <v>2061</v>
      </c>
      <c r="T164" s="65">
        <f t="shared" si="354"/>
        <v>1429.862123743444</v>
      </c>
      <c r="U164" s="65">
        <f t="shared" si="354"/>
        <v>1343.454162498598</v>
      </c>
      <c r="V164" s="361">
        <f t="shared" si="354"/>
        <v>86.447920557960643</v>
      </c>
      <c r="W164" s="443">
        <f t="shared" si="354"/>
        <v>1304.5219999999999</v>
      </c>
      <c r="X164" s="492">
        <f>W164/K164</f>
        <v>0.90643195002874466</v>
      </c>
      <c r="Y164" s="362">
        <f>SUM(Y6:Y162)</f>
        <v>4.7309999999999999</v>
      </c>
      <c r="Z164" s="443">
        <f>SUM(Z6:Z162)</f>
        <v>10.282034369871049</v>
      </c>
      <c r="AA164" s="65">
        <f>SUM(AA6:AA162)</f>
        <v>23.919128128727099</v>
      </c>
      <c r="AB164" s="65">
        <f>SUM(AB6:AB162)</f>
        <v>3.1999738295033322</v>
      </c>
      <c r="AC164" s="65">
        <f>SUM(AC6:AC162)</f>
        <v>6.081546426498706</v>
      </c>
      <c r="AD164" s="38">
        <f>SUM(AD6:AD163)</f>
        <v>2685</v>
      </c>
      <c r="AE164" s="69"/>
      <c r="AF164" s="65">
        <f t="shared" ref="AF164:BF164" si="355">SUM(AF6:AF163)</f>
        <v>498</v>
      </c>
      <c r="AG164" s="65">
        <f t="shared" si="355"/>
        <v>199</v>
      </c>
      <c r="AH164" s="65">
        <f t="shared" si="355"/>
        <v>1364</v>
      </c>
      <c r="AI164" s="65">
        <f t="shared" si="355"/>
        <v>0</v>
      </c>
      <c r="AJ164" s="65">
        <f t="shared" si="355"/>
        <v>0</v>
      </c>
      <c r="AK164" s="65">
        <f t="shared" si="355"/>
        <v>0</v>
      </c>
      <c r="AL164" s="65">
        <f t="shared" si="355"/>
        <v>0</v>
      </c>
      <c r="AM164" s="65">
        <f t="shared" si="355"/>
        <v>2061</v>
      </c>
      <c r="AN164" s="53">
        <f t="shared" si="355"/>
        <v>150</v>
      </c>
      <c r="AO164" s="53">
        <f t="shared" si="355"/>
        <v>414</v>
      </c>
      <c r="AP164" s="53">
        <f t="shared" si="355"/>
        <v>60</v>
      </c>
      <c r="AQ164" s="53">
        <f t="shared" si="355"/>
        <v>0</v>
      </c>
      <c r="AR164" s="65">
        <f t="shared" si="355"/>
        <v>624</v>
      </c>
      <c r="AS164" s="65">
        <f t="shared" si="355"/>
        <v>0</v>
      </c>
      <c r="AT164" s="65">
        <f t="shared" si="355"/>
        <v>0</v>
      </c>
      <c r="AU164" s="65">
        <f t="shared" si="355"/>
        <v>0</v>
      </c>
      <c r="AV164" s="65">
        <f t="shared" si="355"/>
        <v>0</v>
      </c>
      <c r="AW164" s="65">
        <f t="shared" si="355"/>
        <v>0</v>
      </c>
      <c r="AX164" s="65">
        <f t="shared" si="355"/>
        <v>0</v>
      </c>
      <c r="AY164" s="65">
        <f t="shared" si="355"/>
        <v>0</v>
      </c>
      <c r="AZ164" s="65">
        <f t="shared" si="355"/>
        <v>0</v>
      </c>
      <c r="BA164" s="65">
        <f t="shared" si="355"/>
        <v>624</v>
      </c>
      <c r="BB164" s="53">
        <f t="shared" si="355"/>
        <v>203</v>
      </c>
      <c r="BC164" s="53">
        <f t="shared" si="355"/>
        <v>106</v>
      </c>
      <c r="BD164" s="53">
        <f t="shared" si="355"/>
        <v>0</v>
      </c>
      <c r="BE164" s="53">
        <f t="shared" si="355"/>
        <v>0</v>
      </c>
      <c r="BF164" s="53">
        <f t="shared" si="355"/>
        <v>1</v>
      </c>
    </row>
    <row r="165" spans="1:58" s="28" customFormat="1" ht="12.95" customHeight="1">
      <c r="A165" s="60"/>
      <c r="B165" s="61"/>
      <c r="C165" s="61"/>
      <c r="D165" s="61"/>
      <c r="E165" s="62"/>
      <c r="F165" s="62"/>
      <c r="G165" s="63"/>
      <c r="H165" s="63"/>
      <c r="I165" s="63"/>
      <c r="J165" s="89"/>
      <c r="K165" s="89"/>
      <c r="L165" s="66"/>
      <c r="M165" s="66"/>
      <c r="N165" s="67"/>
      <c r="O165" s="662"/>
      <c r="P165" s="663"/>
      <c r="Q165" s="63">
        <f>31*1440-Q164</f>
        <v>0</v>
      </c>
      <c r="R165" s="70">
        <f>R164/Q164</f>
        <v>1.3978494623655914E-2</v>
      </c>
      <c r="S165" s="70">
        <f>S164/Q164</f>
        <v>4.6169354838709681E-2</v>
      </c>
      <c r="T165" s="348"/>
      <c r="U165" s="348"/>
      <c r="V165" s="350">
        <f>V164/K164</f>
        <v>6.0067332867734136E-2</v>
      </c>
      <c r="W165" s="366" t="s">
        <v>170</v>
      </c>
      <c r="X165" s="493">
        <v>0.85</v>
      </c>
      <c r="Y165" s="363">
        <f>Y164/K164</f>
        <v>3.2872803644445944E-3</v>
      </c>
      <c r="Z165" s="71">
        <f>Z164/K164</f>
        <v>7.144352080029919E-3</v>
      </c>
      <c r="AA165" s="71">
        <f>AA164/K164</f>
        <v>1.6619928182667294E-2</v>
      </c>
      <c r="AB165" s="71">
        <f>AB164/K164</f>
        <v>2.223464624067402E-3</v>
      </c>
      <c r="AC165" s="494">
        <f>AC164/K164</f>
        <v>4.2256918523118549E-3</v>
      </c>
      <c r="AD165" s="351"/>
      <c r="AE165" s="40"/>
      <c r="AF165" s="71">
        <f>AF164/$AD$164*$V$165</f>
        <v>1.1140980174350688E-2</v>
      </c>
      <c r="AG165" s="71">
        <f>AG164/$AD$164*$V$165</f>
        <v>4.4519177805136291E-3</v>
      </c>
      <c r="AH165" s="71">
        <f>AH164/$AD$164*$V$165</f>
        <v>3.0514652525731607E-2</v>
      </c>
      <c r="AI165" s="71">
        <f>AI164/$AD$164*$V$165</f>
        <v>0</v>
      </c>
      <c r="AJ165" s="71">
        <f t="shared" ref="AJ165:BA165" si="356">AJ164/$AD$164*$V$165</f>
        <v>0</v>
      </c>
      <c r="AK165" s="71">
        <f t="shared" si="356"/>
        <v>0</v>
      </c>
      <c r="AL165" s="71">
        <f t="shared" si="356"/>
        <v>0</v>
      </c>
      <c r="AM165" s="71">
        <f t="shared" si="356"/>
        <v>4.6107550480595921E-2</v>
      </c>
      <c r="AN165" s="71">
        <f t="shared" si="356"/>
        <v>3.355716919985147E-3</v>
      </c>
      <c r="AO165" s="71">
        <f t="shared" si="356"/>
        <v>9.2617786991590068E-3</v>
      </c>
      <c r="AP165" s="71">
        <f t="shared" si="356"/>
        <v>1.342286767994059E-3</v>
      </c>
      <c r="AQ165" s="71">
        <f t="shared" si="356"/>
        <v>0</v>
      </c>
      <c r="AR165" s="71">
        <f t="shared" si="356"/>
        <v>1.3959782387138213E-2</v>
      </c>
      <c r="AS165" s="71">
        <f t="shared" si="356"/>
        <v>0</v>
      </c>
      <c r="AT165" s="71">
        <f t="shared" si="356"/>
        <v>0</v>
      </c>
      <c r="AU165" s="71">
        <f t="shared" si="356"/>
        <v>0</v>
      </c>
      <c r="AV165" s="71">
        <f>AV164/$AD$164*$V$165</f>
        <v>0</v>
      </c>
      <c r="AW165" s="71">
        <f t="shared" ref="AW165:AZ165" si="357">AW164/$AD$164*$V$165</f>
        <v>0</v>
      </c>
      <c r="AX165" s="71">
        <f t="shared" si="357"/>
        <v>0</v>
      </c>
      <c r="AY165" s="71">
        <f t="shared" si="357"/>
        <v>0</v>
      </c>
      <c r="AZ165" s="71">
        <f t="shared" si="357"/>
        <v>0</v>
      </c>
      <c r="BA165" s="71">
        <f t="shared" si="356"/>
        <v>1.3959782387138213E-2</v>
      </c>
      <c r="BB165" s="35" t="s">
        <v>169</v>
      </c>
      <c r="BC165" s="35" t="s">
        <v>169</v>
      </c>
      <c r="BD165" s="35" t="s">
        <v>398</v>
      </c>
      <c r="BE165" s="35" t="s">
        <v>398</v>
      </c>
      <c r="BF165" s="35" t="s">
        <v>398</v>
      </c>
    </row>
    <row r="166" spans="1:58" ht="12.95" customHeight="1">
      <c r="A166" s="60"/>
      <c r="B166" s="61"/>
      <c r="C166" s="61"/>
      <c r="D166" s="61"/>
      <c r="E166" s="62"/>
      <c r="F166" s="62"/>
      <c r="G166" s="35"/>
      <c r="H166" s="35"/>
      <c r="I166" s="35"/>
      <c r="J166" s="86"/>
      <c r="K166" s="86"/>
      <c r="L166" s="36"/>
      <c r="M166" s="36"/>
      <c r="N166" s="34"/>
      <c r="O166" s="37"/>
      <c r="P166" s="29"/>
      <c r="Q166" s="35"/>
      <c r="R166" s="38">
        <f>R164-(BA164)</f>
        <v>0</v>
      </c>
      <c r="S166" s="38">
        <f>S164-SUM(AF164:AL164)</f>
        <v>0</v>
      </c>
      <c r="T166" s="34"/>
      <c r="U166" s="34"/>
      <c r="V166" s="34"/>
      <c r="W166" s="364"/>
      <c r="X166" s="365"/>
      <c r="Y166" s="72">
        <f>+Y164-(SUM(RBP!AG3:AG4))</f>
        <v>0</v>
      </c>
      <c r="Z166" s="38"/>
      <c r="AA166" s="34"/>
      <c r="AB166" s="34"/>
      <c r="AC166" s="34"/>
      <c r="AD166" s="34"/>
      <c r="AE166" s="40"/>
      <c r="AF166" s="338"/>
      <c r="AG166" s="338"/>
      <c r="AH166" s="338"/>
      <c r="AI166" s="338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502">
        <f>BB164/($Q$164/1440)/2</f>
        <v>3.274193548387097</v>
      </c>
      <c r="BC166" s="502">
        <f>BC164/($Q$164/1440)/2</f>
        <v>1.7096774193548387</v>
      </c>
      <c r="BD166" s="502">
        <f>BD164/($Q$164/1440)</f>
        <v>0</v>
      </c>
      <c r="BE166" s="502">
        <f t="shared" ref="BE166:BF166" si="358">BE164/($Q$164/1440)</f>
        <v>0</v>
      </c>
      <c r="BF166" s="502">
        <f t="shared" si="358"/>
        <v>3.2258064516129031E-2</v>
      </c>
    </row>
    <row r="167" spans="1:58">
      <c r="A167" s="73"/>
      <c r="B167" s="74"/>
      <c r="C167" s="74"/>
      <c r="D167" s="74"/>
      <c r="E167" s="75"/>
      <c r="F167" s="75"/>
      <c r="G167" s="76"/>
      <c r="H167" s="76"/>
      <c r="I167" s="76"/>
      <c r="J167" s="90"/>
      <c r="K167" s="90"/>
      <c r="O167" s="77"/>
      <c r="P167" s="78"/>
      <c r="Q167" s="76"/>
      <c r="R167" s="57"/>
      <c r="S167" s="57"/>
      <c r="U167" s="79"/>
      <c r="V167" s="79"/>
      <c r="W167" s="80" t="s">
        <v>118</v>
      </c>
      <c r="X167" s="495">
        <f>W164/U164</f>
        <v>0.97102084791178078</v>
      </c>
      <c r="Y167" s="495"/>
      <c r="Z167" s="57"/>
      <c r="AD167" s="87"/>
      <c r="AE167" s="82"/>
      <c r="AF167" s="83"/>
      <c r="AG167" s="83"/>
      <c r="AH167" s="83"/>
      <c r="AI167" s="83"/>
      <c r="AJ167" s="83"/>
      <c r="AK167" s="83"/>
      <c r="AL167" s="83"/>
      <c r="AM167" s="83"/>
      <c r="AN167" s="81"/>
      <c r="AO167" s="81"/>
      <c r="AP167" s="81"/>
      <c r="AQ167" s="81"/>
      <c r="AR167" s="81"/>
      <c r="AS167" s="83"/>
      <c r="AT167" s="83"/>
      <c r="AU167" s="83"/>
      <c r="AV167" s="83"/>
      <c r="AW167" s="83"/>
      <c r="AX167" s="83"/>
      <c r="AY167" s="83"/>
      <c r="AZ167" s="83"/>
      <c r="BA167" s="81"/>
      <c r="BB167" s="28"/>
      <c r="BC167" s="81"/>
      <c r="BD167" s="81"/>
      <c r="BE167" s="28"/>
      <c r="BF167" s="81"/>
    </row>
    <row r="168" spans="1:58">
      <c r="A168" s="73"/>
      <c r="B168" s="74"/>
      <c r="C168" s="74"/>
      <c r="D168" s="74"/>
      <c r="E168" s="75"/>
      <c r="F168" s="75"/>
      <c r="G168" s="76"/>
      <c r="H168" s="76"/>
      <c r="I168" s="76"/>
      <c r="J168" s="90"/>
      <c r="K168" s="90"/>
      <c r="O168" s="77"/>
      <c r="P168" s="78"/>
      <c r="Q168" s="76"/>
      <c r="R168" s="57"/>
      <c r="S168" s="57"/>
      <c r="U168" s="79"/>
      <c r="V168" s="79"/>
      <c r="W168" s="80">
        <f>+W164-'31'!M34/1000</f>
        <v>0</v>
      </c>
      <c r="X168" s="81"/>
      <c r="Y168" s="81"/>
      <c r="Z168" s="57">
        <f>+Z164-'31'!J56/1000</f>
        <v>3.4369871048767209E-5</v>
      </c>
      <c r="AA168" s="93"/>
      <c r="AB168" s="93"/>
      <c r="AD168" s="87">
        <f>+AD164-'31'!D52</f>
        <v>0</v>
      </c>
      <c r="AE168" s="82"/>
      <c r="AF168" s="83"/>
      <c r="AG168" s="83"/>
      <c r="AH168" s="83"/>
      <c r="AI168" s="83"/>
      <c r="AJ168" s="83"/>
      <c r="AK168" s="83"/>
      <c r="AL168" s="83"/>
      <c r="AM168" s="83"/>
      <c r="AN168" s="83"/>
      <c r="AO168" s="81"/>
      <c r="AP168" s="81"/>
      <c r="AQ168" s="81"/>
      <c r="AR168" s="83"/>
      <c r="AS168" s="81"/>
      <c r="AT168" s="81"/>
      <c r="AU168" s="81"/>
      <c r="AV168" s="81"/>
      <c r="AW168" s="81"/>
      <c r="AX168" s="81"/>
      <c r="AY168" s="81"/>
      <c r="AZ168" s="81"/>
      <c r="BA168" s="81"/>
      <c r="BB168" s="28"/>
      <c r="BC168" s="81"/>
      <c r="BD168" s="81"/>
      <c r="BE168" s="28"/>
      <c r="BF168" s="81"/>
    </row>
    <row r="169" spans="1:58">
      <c r="A169" s="73"/>
      <c r="B169" s="74"/>
      <c r="C169" s="74"/>
      <c r="D169" s="74"/>
      <c r="E169" s="75"/>
      <c r="F169" s="75"/>
      <c r="G169" s="76"/>
      <c r="H169" s="76"/>
      <c r="I169" s="76"/>
      <c r="J169" s="90"/>
      <c r="K169" s="90"/>
      <c r="O169" s="77"/>
      <c r="P169" s="78"/>
      <c r="Q169" s="76"/>
      <c r="R169" s="349"/>
      <c r="S169" s="57"/>
      <c r="U169" s="79"/>
      <c r="V169" s="79"/>
      <c r="W169" s="80" t="s">
        <v>142</v>
      </c>
      <c r="X169" s="338">
        <f>+W164+Y164</f>
        <v>1309.2529999999999</v>
      </c>
      <c r="Y169" s="81"/>
      <c r="Z169" s="57"/>
      <c r="AD169" s="87"/>
      <c r="AE169" s="82"/>
      <c r="AF169" s="87"/>
      <c r="AG169" s="87"/>
      <c r="AH169" s="87"/>
      <c r="AI169" s="87"/>
      <c r="AJ169" s="81"/>
      <c r="AK169" s="81"/>
      <c r="AL169" s="81"/>
      <c r="AM169" s="83"/>
      <c r="AN169" s="81"/>
      <c r="AO169" s="81"/>
      <c r="AP169" s="81"/>
      <c r="AQ169" s="81"/>
      <c r="AR169" s="83"/>
      <c r="AS169" s="81"/>
      <c r="AT169" s="81"/>
      <c r="AU169" s="81"/>
      <c r="AV169" s="81"/>
      <c r="AW169" s="81"/>
      <c r="AX169" s="81"/>
      <c r="AY169" s="81"/>
      <c r="AZ169" s="81"/>
      <c r="BA169" s="81"/>
      <c r="BB169" s="28"/>
      <c r="BC169" s="81"/>
      <c r="BD169" s="81"/>
      <c r="BE169" s="28"/>
      <c r="BF169" s="81"/>
    </row>
    <row r="170" spans="1:58">
      <c r="A170" s="73"/>
      <c r="C170" s="74" t="s">
        <v>300</v>
      </c>
      <c r="D170" s="74"/>
      <c r="E170" s="75"/>
      <c r="F170" s="75"/>
      <c r="G170" s="76"/>
      <c r="H170" s="76"/>
      <c r="I170" s="76"/>
      <c r="J170" s="90"/>
      <c r="K170" s="90"/>
      <c r="O170" s="77"/>
      <c r="P170" s="78"/>
      <c r="Q170" s="76"/>
      <c r="R170" s="349"/>
      <c r="S170" s="57"/>
      <c r="U170" s="79"/>
      <c r="V170" s="359"/>
      <c r="W170" s="360"/>
      <c r="X170" s="354"/>
      <c r="Y170" s="360"/>
      <c r="Z170" s="354"/>
      <c r="AD170" s="347"/>
      <c r="AE170" s="82"/>
      <c r="AF170" s="347"/>
      <c r="AG170" s="347"/>
      <c r="AH170" s="347"/>
      <c r="AI170" s="347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28"/>
      <c r="BC170" s="81"/>
      <c r="BD170" s="81"/>
      <c r="BE170" s="28"/>
      <c r="BF170" s="81"/>
    </row>
    <row r="171" spans="1:58">
      <c r="A171" s="73"/>
      <c r="B171" s="74"/>
      <c r="C171" s="74" t="s">
        <v>301</v>
      </c>
      <c r="D171" s="74"/>
      <c r="E171" s="75"/>
      <c r="F171" s="75"/>
      <c r="G171" s="76"/>
      <c r="H171" s="76"/>
      <c r="I171" s="76"/>
      <c r="J171" s="90"/>
      <c r="K171" s="90"/>
      <c r="O171" s="77"/>
      <c r="P171" s="78"/>
      <c r="Q171" s="76"/>
      <c r="R171" s="349"/>
      <c r="S171" s="57"/>
      <c r="V171" s="352"/>
      <c r="W171" s="353" t="s">
        <v>307</v>
      </c>
      <c r="X171" s="352"/>
      <c r="Y171" s="352"/>
      <c r="Z171" s="354"/>
      <c r="AE171" s="82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28"/>
      <c r="BE171" s="28"/>
    </row>
    <row r="172" spans="1:58">
      <c r="A172" s="73"/>
      <c r="B172" s="74"/>
      <c r="C172" s="74"/>
      <c r="D172" s="74"/>
      <c r="E172" s="75"/>
      <c r="F172" s="75"/>
      <c r="G172" s="76"/>
      <c r="H172" s="76"/>
      <c r="I172" s="76"/>
      <c r="J172" s="90"/>
      <c r="K172" s="90"/>
      <c r="O172" s="77"/>
      <c r="P172" s="78"/>
      <c r="Q172" s="76"/>
      <c r="R172" s="349"/>
      <c r="S172" s="57"/>
      <c r="V172" s="352"/>
      <c r="W172" s="355" t="s">
        <v>296</v>
      </c>
      <c r="X172" s="503">
        <f>Y165</f>
        <v>3.2872803644445944E-3</v>
      </c>
      <c r="Y172" s="356"/>
      <c r="Z172" s="354"/>
      <c r="AE172" s="82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28"/>
      <c r="BE172" s="28"/>
    </row>
    <row r="173" spans="1:58">
      <c r="R173" s="93"/>
      <c r="V173" s="352"/>
      <c r="W173" s="355" t="s">
        <v>149</v>
      </c>
      <c r="X173" s="358">
        <f>Z165</f>
        <v>7.144352080029919E-3</v>
      </c>
      <c r="Y173" s="357"/>
      <c r="Z173" s="352"/>
    </row>
    <row r="174" spans="1:58">
      <c r="R174" s="93"/>
      <c r="V174" s="352"/>
      <c r="W174" s="355" t="s">
        <v>150</v>
      </c>
      <c r="X174" s="358">
        <f>AC165</f>
        <v>4.2256918523118549E-3</v>
      </c>
      <c r="Y174" s="358"/>
      <c r="Z174" s="352"/>
    </row>
    <row r="175" spans="1:58">
      <c r="R175" s="93"/>
      <c r="V175" s="352"/>
      <c r="W175" s="355" t="s">
        <v>151</v>
      </c>
      <c r="X175" s="358">
        <f>AA165</f>
        <v>1.6619928182667294E-2</v>
      </c>
      <c r="Y175" s="357"/>
      <c r="Z175" s="352"/>
    </row>
    <row r="176" spans="1:58">
      <c r="V176" s="352"/>
      <c r="W176" s="355" t="s">
        <v>167</v>
      </c>
      <c r="X176" s="358">
        <f>AB165</f>
        <v>2.223464624067402E-3</v>
      </c>
      <c r="Y176" s="357" t="s">
        <v>165</v>
      </c>
      <c r="Z176" s="352"/>
    </row>
    <row r="177" spans="22:26">
      <c r="V177" s="352"/>
      <c r="W177" s="355" t="s">
        <v>223</v>
      </c>
      <c r="X177" s="358">
        <f>AF165</f>
        <v>1.1140980174350688E-2</v>
      </c>
      <c r="Y177" s="357"/>
      <c r="Z177" s="352"/>
    </row>
    <row r="178" spans="22:26">
      <c r="V178" s="352"/>
      <c r="W178" s="355" t="s">
        <v>224</v>
      </c>
      <c r="X178" s="358">
        <f>+AG165</f>
        <v>4.4519177805136291E-3</v>
      </c>
      <c r="Y178" s="357"/>
      <c r="Z178" s="352"/>
    </row>
    <row r="179" spans="22:26">
      <c r="V179" s="352"/>
      <c r="W179" s="355" t="s">
        <v>302</v>
      </c>
      <c r="X179" s="358">
        <f>+AH165</f>
        <v>3.0514652525731607E-2</v>
      </c>
      <c r="Y179" s="357"/>
      <c r="Z179" s="352"/>
    </row>
    <row r="180" spans="22:26">
      <c r="V180" s="352"/>
      <c r="W180" s="355" t="s">
        <v>225</v>
      </c>
      <c r="X180" s="358">
        <f>+AI165</f>
        <v>0</v>
      </c>
      <c r="Y180" s="357"/>
      <c r="Z180" s="352"/>
    </row>
    <row r="181" spans="22:26">
      <c r="V181" s="352"/>
      <c r="W181" s="355" t="s">
        <v>158</v>
      </c>
      <c r="X181" s="358">
        <f>+AJ165</f>
        <v>0</v>
      </c>
      <c r="Y181" s="357"/>
      <c r="Z181" s="352"/>
    </row>
    <row r="182" spans="22:26">
      <c r="V182" s="352"/>
      <c r="W182" s="355" t="s">
        <v>160</v>
      </c>
      <c r="X182" s="358">
        <f>+AK165</f>
        <v>0</v>
      </c>
      <c r="Y182" s="357"/>
      <c r="Z182" s="352"/>
    </row>
    <row r="183" spans="22:26">
      <c r="V183" s="352"/>
      <c r="W183" s="355" t="s">
        <v>159</v>
      </c>
      <c r="X183" s="358">
        <f>+AL165</f>
        <v>0</v>
      </c>
      <c r="Y183" s="357"/>
      <c r="Z183" s="352"/>
    </row>
    <row r="184" spans="22:26">
      <c r="V184" s="352"/>
      <c r="W184" s="355" t="s">
        <v>152</v>
      </c>
      <c r="X184" s="358">
        <f>+AN165</f>
        <v>3.355716919985147E-3</v>
      </c>
      <c r="Y184" s="357"/>
      <c r="Z184" s="352"/>
    </row>
    <row r="185" spans="22:26">
      <c r="V185" s="352"/>
      <c r="W185" s="355" t="s">
        <v>162</v>
      </c>
      <c r="X185" s="358">
        <f>+AO165</f>
        <v>9.2617786991590068E-3</v>
      </c>
      <c r="Y185" s="357"/>
      <c r="Z185" s="352"/>
    </row>
    <row r="186" spans="22:26">
      <c r="V186" s="352"/>
      <c r="W186" s="355" t="s">
        <v>153</v>
      </c>
      <c r="X186" s="358">
        <f>+AP165</f>
        <v>1.342286767994059E-3</v>
      </c>
      <c r="Y186" s="357"/>
      <c r="Z186" s="352"/>
    </row>
    <row r="187" spans="22:26">
      <c r="V187" s="352"/>
      <c r="W187" s="355" t="s">
        <v>161</v>
      </c>
      <c r="X187" s="358">
        <f>+AQ165</f>
        <v>0</v>
      </c>
      <c r="Y187" s="357"/>
      <c r="Z187" s="352"/>
    </row>
    <row r="188" spans="22:26">
      <c r="V188" s="352"/>
      <c r="W188" s="355" t="s">
        <v>164</v>
      </c>
      <c r="X188" s="358">
        <f>+AS165</f>
        <v>0</v>
      </c>
      <c r="Y188" s="357"/>
      <c r="Z188" s="352"/>
    </row>
    <row r="189" spans="22:26">
      <c r="V189" s="352"/>
      <c r="W189" s="355" t="s">
        <v>303</v>
      </c>
      <c r="X189" s="358">
        <f>+AT165</f>
        <v>0</v>
      </c>
      <c r="Y189" s="357"/>
      <c r="Z189" s="352"/>
    </row>
    <row r="190" spans="22:26">
      <c r="V190" s="352"/>
      <c r="W190" s="355" t="s">
        <v>239</v>
      </c>
      <c r="X190" s="358">
        <f>+AU165</f>
        <v>0</v>
      </c>
      <c r="Y190" s="357"/>
      <c r="Z190" s="352"/>
    </row>
    <row r="191" spans="22:26">
      <c r="V191" s="352"/>
      <c r="W191" s="355" t="s">
        <v>309</v>
      </c>
      <c r="X191" s="358">
        <f>+AW165</f>
        <v>0</v>
      </c>
      <c r="Y191" s="357"/>
      <c r="Z191" s="352"/>
    </row>
    <row r="192" spans="22:26">
      <c r="V192" s="352"/>
      <c r="W192" s="355" t="s">
        <v>310</v>
      </c>
      <c r="X192" s="358">
        <f>+AV165</f>
        <v>0</v>
      </c>
      <c r="Y192" s="357"/>
      <c r="Z192" s="352"/>
    </row>
    <row r="193" spans="22:26">
      <c r="V193" s="352"/>
      <c r="W193" s="352" t="s">
        <v>163</v>
      </c>
      <c r="X193" s="358">
        <f>+AX165+AY165</f>
        <v>0</v>
      </c>
      <c r="Y193" s="358"/>
      <c r="Z193" s="352"/>
    </row>
    <row r="194" spans="22:26">
      <c r="V194" s="352"/>
      <c r="W194" s="352" t="s">
        <v>308</v>
      </c>
      <c r="X194" s="358">
        <f>+AZ165</f>
        <v>0</v>
      </c>
      <c r="Y194" s="352"/>
      <c r="Z194" s="352"/>
    </row>
    <row r="195" spans="22:26">
      <c r="V195" s="352"/>
      <c r="W195" s="352"/>
      <c r="X195" s="516">
        <f>SUM(X172:X194)</f>
        <v>9.3568049971255202E-2</v>
      </c>
      <c r="Y195" s="352"/>
      <c r="Z195" s="352"/>
    </row>
    <row r="198" spans="22:26">
      <c r="X198" s="93">
        <f>+X195+X164</f>
        <v>0.99999999999999989</v>
      </c>
    </row>
  </sheetData>
  <mergeCells count="50">
    <mergeCell ref="BD3:BD5"/>
    <mergeCell ref="BE3:BE5"/>
    <mergeCell ref="BF3:BF5"/>
    <mergeCell ref="S3:S5"/>
    <mergeCell ref="T3:T5"/>
    <mergeCell ref="AF4:AH4"/>
    <mergeCell ref="W3:W5"/>
    <mergeCell ref="X3:X5"/>
    <mergeCell ref="Z3:Z5"/>
    <mergeCell ref="Y3:Y5"/>
    <mergeCell ref="AI4:AI5"/>
    <mergeCell ref="AB3:AB5"/>
    <mergeCell ref="BB3:BB5"/>
    <mergeCell ref="BC3:BC5"/>
    <mergeCell ref="AN4:AN5"/>
    <mergeCell ref="AP4:AP5"/>
    <mergeCell ref="G3:K4"/>
    <mergeCell ref="C3:C5"/>
    <mergeCell ref="L3:N4"/>
    <mergeCell ref="O3:O5"/>
    <mergeCell ref="R3:R5"/>
    <mergeCell ref="A3:A5"/>
    <mergeCell ref="B3:B5"/>
    <mergeCell ref="D3:D5"/>
    <mergeCell ref="E3:E5"/>
    <mergeCell ref="F3:F5"/>
    <mergeCell ref="AZ3:AZ5"/>
    <mergeCell ref="O165:P165"/>
    <mergeCell ref="BA3:BA5"/>
    <mergeCell ref="AT3:AU4"/>
    <mergeCell ref="P3:P5"/>
    <mergeCell ref="AK4:AK5"/>
    <mergeCell ref="AA3:AA5"/>
    <mergeCell ref="AL4:AL5"/>
    <mergeCell ref="AM3:AM5"/>
    <mergeCell ref="Q3:Q5"/>
    <mergeCell ref="AC3:AC5"/>
    <mergeCell ref="AE3:AE5"/>
    <mergeCell ref="AD3:AD5"/>
    <mergeCell ref="AF3:AL3"/>
    <mergeCell ref="AO4:AO5"/>
    <mergeCell ref="AR4:AR5"/>
    <mergeCell ref="AJ4:AJ5"/>
    <mergeCell ref="V3:V5"/>
    <mergeCell ref="U3:U5"/>
    <mergeCell ref="AV3:AW3"/>
    <mergeCell ref="AX3:AY3"/>
    <mergeCell ref="AN3:AR3"/>
    <mergeCell ref="AS3:AS5"/>
    <mergeCell ref="AQ4:AQ5"/>
  </mergeCells>
  <phoneticPr fontId="32" type="noConversion"/>
  <conditionalFormatting sqref="B6:C6 B8:C8 B27:C27 B78:C78 B83:C83 B88:C88 C165 B10:C10 B162:B165 C161:C163">
    <cfRule type="cellIs" dxfId="1629" priority="1949" stopIfTrue="1" operator="equal">
      <formula>"Towel"</formula>
    </cfRule>
    <cfRule type="cellIs" dxfId="1628" priority="1950" stopIfTrue="1" operator="equal">
      <formula>"Napkin Hs"</formula>
    </cfRule>
  </conditionalFormatting>
  <conditionalFormatting sqref="B7:C7">
    <cfRule type="cellIs" dxfId="1627" priority="1489" stopIfTrue="1" operator="equal">
      <formula>"Towel"</formula>
    </cfRule>
    <cfRule type="cellIs" dxfId="1626" priority="1490" stopIfTrue="1" operator="equal">
      <formula>"Napkin Hs"</formula>
    </cfRule>
  </conditionalFormatting>
  <conditionalFormatting sqref="B22:C22">
    <cfRule type="cellIs" dxfId="1625" priority="1495" stopIfTrue="1" operator="equal">
      <formula>"Towel"</formula>
    </cfRule>
    <cfRule type="cellIs" dxfId="1624" priority="1496" stopIfTrue="1" operator="equal">
      <formula>"Napkin Hs"</formula>
    </cfRule>
  </conditionalFormatting>
  <conditionalFormatting sqref="C73">
    <cfRule type="cellIs" dxfId="1623" priority="1759" stopIfTrue="1" operator="equal">
      <formula>"Towel"</formula>
    </cfRule>
    <cfRule type="cellIs" dxfId="1622" priority="1760" stopIfTrue="1" operator="equal">
      <formula>"Napkin Hs"</formula>
    </cfRule>
  </conditionalFormatting>
  <conditionalFormatting sqref="B73:C73">
    <cfRule type="cellIs" dxfId="1621" priority="1767" stopIfTrue="1" operator="equal">
      <formula>"Towel"</formula>
    </cfRule>
    <cfRule type="cellIs" dxfId="1620" priority="1768" stopIfTrue="1" operator="equal">
      <formula>"Napkin Hs"</formula>
    </cfRule>
  </conditionalFormatting>
  <conditionalFormatting sqref="B93:C93">
    <cfRule type="cellIs" dxfId="1619" priority="1673" stopIfTrue="1" operator="equal">
      <formula>"Towel"</formula>
    </cfRule>
    <cfRule type="cellIs" dxfId="1618" priority="1674" stopIfTrue="1" operator="equal">
      <formula>"Napkin Hs"</formula>
    </cfRule>
  </conditionalFormatting>
  <conditionalFormatting sqref="B103:C103">
    <cfRule type="cellIs" dxfId="1617" priority="1641" stopIfTrue="1" operator="equal">
      <formula>"Towel"</formula>
    </cfRule>
    <cfRule type="cellIs" dxfId="1616" priority="1642" stopIfTrue="1" operator="equal">
      <formula>"Napkin Hs"</formula>
    </cfRule>
  </conditionalFormatting>
  <conditionalFormatting sqref="B160:C160">
    <cfRule type="cellIs" dxfId="1615" priority="1519" stopIfTrue="1" operator="equal">
      <formula>"Towel"</formula>
    </cfRule>
    <cfRule type="cellIs" dxfId="1614" priority="1520" stopIfTrue="1" operator="equal">
      <formula>"Napkin Hs"</formula>
    </cfRule>
  </conditionalFormatting>
  <conditionalFormatting sqref="B161:C161">
    <cfRule type="cellIs" dxfId="1613" priority="1525" stopIfTrue="1" operator="equal">
      <formula>"Towel"</formula>
    </cfRule>
    <cfRule type="cellIs" dxfId="1612" priority="1526" stopIfTrue="1" operator="equal">
      <formula>"Napkin Hs"</formula>
    </cfRule>
  </conditionalFormatting>
  <conditionalFormatting sqref="C6 C8 C27 C78 C83 C88 C10 C162">
    <cfRule type="cellIs" dxfId="1611" priority="1948" stopIfTrue="1" operator="equal">
      <formula>"Napkin Hs"</formula>
    </cfRule>
  </conditionalFormatting>
  <conditionalFormatting sqref="C6:C8 C10">
    <cfRule type="cellIs" dxfId="1610" priority="1487" stopIfTrue="1" operator="equal">
      <formula>"Towel"</formula>
    </cfRule>
    <cfRule type="cellIs" dxfId="1609" priority="1488" stopIfTrue="1" operator="equal">
      <formula>"Napkin Hs"</formula>
    </cfRule>
  </conditionalFormatting>
  <conditionalFormatting sqref="C7">
    <cfRule type="cellIs" dxfId="1608" priority="1485" stopIfTrue="1" operator="equal">
      <formula>"Towel"</formula>
    </cfRule>
    <cfRule type="cellIs" dxfId="1607" priority="1486" stopIfTrue="1" operator="equal">
      <formula>"Napkin Hs"</formula>
    </cfRule>
  </conditionalFormatting>
  <conditionalFormatting sqref="C27 C78 C83 C88 C6 C8 C10 C162">
    <cfRule type="cellIs" dxfId="1606" priority="1947" stopIfTrue="1" operator="equal">
      <formula>"Towel"</formula>
    </cfRule>
  </conditionalFormatting>
  <conditionalFormatting sqref="C22">
    <cfRule type="cellIs" dxfId="1605" priority="1493" stopIfTrue="1" operator="equal">
      <formula>"Towel"</formula>
    </cfRule>
    <cfRule type="cellIs" dxfId="1604" priority="1494" stopIfTrue="1" operator="equal">
      <formula>"Napkin Hs"</formula>
    </cfRule>
  </conditionalFormatting>
  <conditionalFormatting sqref="C22">
    <cfRule type="cellIs" dxfId="1603" priority="1491" stopIfTrue="1" operator="equal">
      <formula>"Towel"</formula>
    </cfRule>
    <cfRule type="cellIs" dxfId="1602" priority="1492" stopIfTrue="1" operator="equal">
      <formula>"Napkin Hs"</formula>
    </cfRule>
  </conditionalFormatting>
  <conditionalFormatting sqref="C27">
    <cfRule type="cellIs" dxfId="1601" priority="1917" stopIfTrue="1" operator="equal">
      <formula>"Towel"</formula>
    </cfRule>
    <cfRule type="cellIs" dxfId="1600" priority="1918" stopIfTrue="1" operator="equal">
      <formula>"Napkin Hs"</formula>
    </cfRule>
  </conditionalFormatting>
  <conditionalFormatting sqref="C78">
    <cfRule type="cellIs" dxfId="1599" priority="1753" stopIfTrue="1" operator="equal">
      <formula>"Towel"</formula>
    </cfRule>
    <cfRule type="cellIs" dxfId="1598" priority="1754" stopIfTrue="1" operator="equal">
      <formula>"Napkin Hs"</formula>
    </cfRule>
  </conditionalFormatting>
  <conditionalFormatting sqref="C83">
    <cfRule type="cellIs" dxfId="1597" priority="1741" stopIfTrue="1" operator="equal">
      <formula>"Towel"</formula>
    </cfRule>
    <cfRule type="cellIs" dxfId="1596" priority="1742" stopIfTrue="1" operator="equal">
      <formula>"Napkin Hs"</formula>
    </cfRule>
  </conditionalFormatting>
  <conditionalFormatting sqref="C73">
    <cfRule type="cellIs" dxfId="1595" priority="1765" stopIfTrue="1" operator="equal">
      <formula>"Towel"</formula>
    </cfRule>
    <cfRule type="cellIs" dxfId="1594" priority="1766" stopIfTrue="1" operator="equal">
      <formula>"Napkin Hs"</formula>
    </cfRule>
  </conditionalFormatting>
  <conditionalFormatting sqref="C88">
    <cfRule type="cellIs" dxfId="1593" priority="1705" stopIfTrue="1" operator="equal">
      <formula>"Towel"</formula>
    </cfRule>
    <cfRule type="cellIs" dxfId="1592" priority="1706" stopIfTrue="1" operator="equal">
      <formula>"Napkin Hs"</formula>
    </cfRule>
  </conditionalFormatting>
  <conditionalFormatting sqref="C93">
    <cfRule type="cellIs" dxfId="1591" priority="1671" stopIfTrue="1" operator="equal">
      <formula>"Towel"</formula>
    </cfRule>
    <cfRule type="cellIs" dxfId="1590" priority="1672" stopIfTrue="1" operator="equal">
      <formula>"Napkin Hs"</formula>
    </cfRule>
  </conditionalFormatting>
  <conditionalFormatting sqref="C93">
    <cfRule type="cellIs" dxfId="1589" priority="1667" stopIfTrue="1" operator="equal">
      <formula>"Towel"</formula>
    </cfRule>
    <cfRule type="cellIs" dxfId="1588" priority="1668" stopIfTrue="1" operator="equal">
      <formula>"Napkin Hs"</formula>
    </cfRule>
  </conditionalFormatting>
  <conditionalFormatting sqref="C103">
    <cfRule type="cellIs" dxfId="1587" priority="1639" stopIfTrue="1" operator="equal">
      <formula>"Towel"</formula>
    </cfRule>
    <cfRule type="cellIs" dxfId="1586" priority="1640" stopIfTrue="1" operator="equal">
      <formula>"Napkin Hs"</formula>
    </cfRule>
  </conditionalFormatting>
  <conditionalFormatting sqref="C103">
    <cfRule type="cellIs" dxfId="1585" priority="1635" stopIfTrue="1" operator="equal">
      <formula>"Towel"</formula>
    </cfRule>
    <cfRule type="cellIs" dxfId="1584" priority="1636" stopIfTrue="1" operator="equal">
      <formula>"Napkin Hs"</formula>
    </cfRule>
  </conditionalFormatting>
  <conditionalFormatting sqref="C160">
    <cfRule type="cellIs" dxfId="1583" priority="1515" stopIfTrue="1" operator="equal">
      <formula>"Towel"</formula>
    </cfRule>
    <cfRule type="cellIs" dxfId="1582" priority="1516" stopIfTrue="1" operator="equal">
      <formula>"Napkin Hs"</formula>
    </cfRule>
  </conditionalFormatting>
  <conditionalFormatting sqref="C160:C161">
    <cfRule type="cellIs" dxfId="1581" priority="1517" stopIfTrue="1" operator="equal">
      <formula>"Towel"</formula>
    </cfRule>
    <cfRule type="cellIs" dxfId="1580" priority="1518" stopIfTrue="1" operator="equal">
      <formula>"Napkin Hs"</formula>
    </cfRule>
  </conditionalFormatting>
  <conditionalFormatting sqref="B15:C15">
    <cfRule type="cellIs" dxfId="1579" priority="1471" stopIfTrue="1" operator="equal">
      <formula>"Towel"</formula>
    </cfRule>
    <cfRule type="cellIs" dxfId="1578" priority="1472" stopIfTrue="1" operator="equal">
      <formula>"Napkin Hs"</formula>
    </cfRule>
  </conditionalFormatting>
  <conditionalFormatting sqref="B9:C9">
    <cfRule type="cellIs" dxfId="1577" priority="1461" stopIfTrue="1" operator="equal">
      <formula>"Towel"</formula>
    </cfRule>
    <cfRule type="cellIs" dxfId="1576" priority="1462" stopIfTrue="1" operator="equal">
      <formula>"Napkin Hs"</formula>
    </cfRule>
  </conditionalFormatting>
  <conditionalFormatting sqref="C15">
    <cfRule type="cellIs" dxfId="1575" priority="1470" stopIfTrue="1" operator="equal">
      <formula>"Napkin Hs"</formula>
    </cfRule>
  </conditionalFormatting>
  <conditionalFormatting sqref="C15">
    <cfRule type="cellIs" dxfId="1574" priority="1465" stopIfTrue="1" operator="equal">
      <formula>"Towel"</formula>
    </cfRule>
    <cfRule type="cellIs" dxfId="1573" priority="1466" stopIfTrue="1" operator="equal">
      <formula>"Napkin Hs"</formula>
    </cfRule>
  </conditionalFormatting>
  <conditionalFormatting sqref="C9">
    <cfRule type="cellIs" dxfId="1572" priority="1457" stopIfTrue="1" operator="equal">
      <formula>"Towel"</formula>
    </cfRule>
    <cfRule type="cellIs" dxfId="1571" priority="1458" stopIfTrue="1" operator="equal">
      <formula>"Napkin Hs"</formula>
    </cfRule>
  </conditionalFormatting>
  <conditionalFormatting sqref="C15">
    <cfRule type="cellIs" dxfId="1570" priority="1469" stopIfTrue="1" operator="equal">
      <formula>"Towel"</formula>
    </cfRule>
  </conditionalFormatting>
  <conditionalFormatting sqref="C9">
    <cfRule type="cellIs" dxfId="1569" priority="1460" stopIfTrue="1" operator="equal">
      <formula>"Napkin Hs"</formula>
    </cfRule>
  </conditionalFormatting>
  <conditionalFormatting sqref="C9">
    <cfRule type="cellIs" dxfId="1568" priority="1459" stopIfTrue="1" operator="equal">
      <formula>"Towel"</formula>
    </cfRule>
  </conditionalFormatting>
  <conditionalFormatting sqref="B47:C47">
    <cfRule type="cellIs" dxfId="1567" priority="1399" stopIfTrue="1" operator="equal">
      <formula>"Towel"</formula>
    </cfRule>
    <cfRule type="cellIs" dxfId="1566" priority="1400" stopIfTrue="1" operator="equal">
      <formula>"Napkin Hs"</formula>
    </cfRule>
  </conditionalFormatting>
  <conditionalFormatting sqref="C47">
    <cfRule type="cellIs" dxfId="1565" priority="1398" stopIfTrue="1" operator="equal">
      <formula>"Napkin Hs"</formula>
    </cfRule>
  </conditionalFormatting>
  <conditionalFormatting sqref="C47">
    <cfRule type="cellIs" dxfId="1564" priority="1393" stopIfTrue="1" operator="equal">
      <formula>"Towel"</formula>
    </cfRule>
    <cfRule type="cellIs" dxfId="1563" priority="1394" stopIfTrue="1" operator="equal">
      <formula>"Napkin Hs"</formula>
    </cfRule>
  </conditionalFormatting>
  <conditionalFormatting sqref="C47">
    <cfRule type="cellIs" dxfId="1562" priority="1397" stopIfTrue="1" operator="equal">
      <formula>"Towel"</formula>
    </cfRule>
  </conditionalFormatting>
  <conditionalFormatting sqref="B53:C53">
    <cfRule type="cellIs" dxfId="1561" priority="1383" stopIfTrue="1" operator="equal">
      <formula>"Towel"</formula>
    </cfRule>
    <cfRule type="cellIs" dxfId="1560" priority="1384" stopIfTrue="1" operator="equal">
      <formula>"Napkin Hs"</formula>
    </cfRule>
  </conditionalFormatting>
  <conditionalFormatting sqref="C53">
    <cfRule type="cellIs" dxfId="1559" priority="1382" stopIfTrue="1" operator="equal">
      <formula>"Napkin Hs"</formula>
    </cfRule>
  </conditionalFormatting>
  <conditionalFormatting sqref="C53">
    <cfRule type="cellIs" dxfId="1558" priority="1377" stopIfTrue="1" operator="equal">
      <formula>"Towel"</formula>
    </cfRule>
    <cfRule type="cellIs" dxfId="1557" priority="1378" stopIfTrue="1" operator="equal">
      <formula>"Napkin Hs"</formula>
    </cfRule>
  </conditionalFormatting>
  <conditionalFormatting sqref="C53">
    <cfRule type="cellIs" dxfId="1556" priority="1381" stopIfTrue="1" operator="equal">
      <formula>"Towel"</formula>
    </cfRule>
  </conditionalFormatting>
  <conditionalFormatting sqref="B58:C58">
    <cfRule type="cellIs" dxfId="1555" priority="1367" stopIfTrue="1" operator="equal">
      <formula>"Towel"</formula>
    </cfRule>
    <cfRule type="cellIs" dxfId="1554" priority="1368" stopIfTrue="1" operator="equal">
      <formula>"Napkin Hs"</formula>
    </cfRule>
  </conditionalFormatting>
  <conditionalFormatting sqref="C58">
    <cfRule type="cellIs" dxfId="1553" priority="1366" stopIfTrue="1" operator="equal">
      <formula>"Napkin Hs"</formula>
    </cfRule>
  </conditionalFormatting>
  <conditionalFormatting sqref="C58">
    <cfRule type="cellIs" dxfId="1552" priority="1361" stopIfTrue="1" operator="equal">
      <formula>"Towel"</formula>
    </cfRule>
    <cfRule type="cellIs" dxfId="1551" priority="1362" stopIfTrue="1" operator="equal">
      <formula>"Napkin Hs"</formula>
    </cfRule>
  </conditionalFormatting>
  <conditionalFormatting sqref="C58">
    <cfRule type="cellIs" dxfId="1550" priority="1365" stopIfTrue="1" operator="equal">
      <formula>"Towel"</formula>
    </cfRule>
  </conditionalFormatting>
  <conditionalFormatting sqref="B63:C63">
    <cfRule type="cellIs" dxfId="1549" priority="1351" stopIfTrue="1" operator="equal">
      <formula>"Towel"</formula>
    </cfRule>
    <cfRule type="cellIs" dxfId="1548" priority="1352" stopIfTrue="1" operator="equal">
      <formula>"Napkin Hs"</formula>
    </cfRule>
  </conditionalFormatting>
  <conditionalFormatting sqref="C63">
    <cfRule type="cellIs" dxfId="1547" priority="1350" stopIfTrue="1" operator="equal">
      <formula>"Napkin Hs"</formula>
    </cfRule>
  </conditionalFormatting>
  <conditionalFormatting sqref="C63">
    <cfRule type="cellIs" dxfId="1546" priority="1345" stopIfTrue="1" operator="equal">
      <formula>"Towel"</formula>
    </cfRule>
    <cfRule type="cellIs" dxfId="1545" priority="1346" stopIfTrue="1" operator="equal">
      <formula>"Napkin Hs"</formula>
    </cfRule>
  </conditionalFormatting>
  <conditionalFormatting sqref="C63">
    <cfRule type="cellIs" dxfId="1544" priority="1349" stopIfTrue="1" operator="equal">
      <formula>"Towel"</formula>
    </cfRule>
  </conditionalFormatting>
  <conditionalFormatting sqref="C68">
    <cfRule type="cellIs" dxfId="1543" priority="1325" stopIfTrue="1" operator="equal">
      <formula>"Towel"</formula>
    </cfRule>
    <cfRule type="cellIs" dxfId="1542" priority="1326" stopIfTrue="1" operator="equal">
      <formula>"Napkin Hs"</formula>
    </cfRule>
  </conditionalFormatting>
  <conditionalFormatting sqref="C68">
    <cfRule type="cellIs" dxfId="1541" priority="1321" stopIfTrue="1" operator="equal">
      <formula>"Towel"</formula>
    </cfRule>
    <cfRule type="cellIs" dxfId="1540" priority="1322" stopIfTrue="1" operator="equal">
      <formula>"Napkin Hs"</formula>
    </cfRule>
  </conditionalFormatting>
  <conditionalFormatting sqref="C68">
    <cfRule type="cellIs" dxfId="1539" priority="1323" stopIfTrue="1" operator="equal">
      <formula>"Towel"</formula>
    </cfRule>
    <cfRule type="cellIs" dxfId="1538" priority="1324" stopIfTrue="1" operator="equal">
      <formula>"Napkin Hs"</formula>
    </cfRule>
  </conditionalFormatting>
  <conditionalFormatting sqref="B68">
    <cfRule type="cellIs" dxfId="1537" priority="1313" stopIfTrue="1" operator="equal">
      <formula>"Towel"</formula>
    </cfRule>
    <cfRule type="cellIs" dxfId="1536" priority="1314" stopIfTrue="1" operator="equal">
      <formula>"Napkin Hs"</formula>
    </cfRule>
  </conditionalFormatting>
  <conditionalFormatting sqref="B104:C104">
    <cfRule type="cellIs" dxfId="1535" priority="1153" stopIfTrue="1" operator="equal">
      <formula>"Towel"</formula>
    </cfRule>
    <cfRule type="cellIs" dxfId="1534" priority="1154" stopIfTrue="1" operator="equal">
      <formula>"Napkin Hs"</formula>
    </cfRule>
  </conditionalFormatting>
  <conditionalFormatting sqref="C104">
    <cfRule type="cellIs" dxfId="1533" priority="1152" stopIfTrue="1" operator="equal">
      <formula>"Napkin Hs"</formula>
    </cfRule>
  </conditionalFormatting>
  <conditionalFormatting sqref="C104">
    <cfRule type="cellIs" dxfId="1532" priority="1149" stopIfTrue="1" operator="equal">
      <formula>"Towel"</formula>
    </cfRule>
    <cfRule type="cellIs" dxfId="1531" priority="1150" stopIfTrue="1" operator="equal">
      <formula>"Napkin Hs"</formula>
    </cfRule>
  </conditionalFormatting>
  <conditionalFormatting sqref="C104">
    <cfRule type="cellIs" dxfId="1530" priority="1151" stopIfTrue="1" operator="equal">
      <formula>"Towel"</formula>
    </cfRule>
  </conditionalFormatting>
  <conditionalFormatting sqref="B121:C121">
    <cfRule type="cellIs" dxfId="1529" priority="1105" stopIfTrue="1" operator="equal">
      <formula>"Towel"</formula>
    </cfRule>
    <cfRule type="cellIs" dxfId="1528" priority="1106" stopIfTrue="1" operator="equal">
      <formula>"Napkin Hs"</formula>
    </cfRule>
  </conditionalFormatting>
  <conditionalFormatting sqref="C121">
    <cfRule type="cellIs" dxfId="1527" priority="1104" stopIfTrue="1" operator="equal">
      <formula>"Napkin Hs"</formula>
    </cfRule>
  </conditionalFormatting>
  <conditionalFormatting sqref="C121">
    <cfRule type="cellIs" dxfId="1526" priority="1101" stopIfTrue="1" operator="equal">
      <formula>"Towel"</formula>
    </cfRule>
    <cfRule type="cellIs" dxfId="1525" priority="1102" stopIfTrue="1" operator="equal">
      <formula>"Napkin Hs"</formula>
    </cfRule>
  </conditionalFormatting>
  <conditionalFormatting sqref="C121">
    <cfRule type="cellIs" dxfId="1524" priority="1103" stopIfTrue="1" operator="equal">
      <formula>"Towel"</formula>
    </cfRule>
  </conditionalFormatting>
  <conditionalFormatting sqref="B126:C126">
    <cfRule type="cellIs" dxfId="1523" priority="1087" stopIfTrue="1" operator="equal">
      <formula>"Towel"</formula>
    </cfRule>
    <cfRule type="cellIs" dxfId="1522" priority="1088" stopIfTrue="1" operator="equal">
      <formula>"Napkin Hs"</formula>
    </cfRule>
  </conditionalFormatting>
  <conditionalFormatting sqref="C126">
    <cfRule type="cellIs" dxfId="1521" priority="1086" stopIfTrue="1" operator="equal">
      <formula>"Napkin Hs"</formula>
    </cfRule>
  </conditionalFormatting>
  <conditionalFormatting sqref="C126">
    <cfRule type="cellIs" dxfId="1520" priority="1083" stopIfTrue="1" operator="equal">
      <formula>"Towel"</formula>
    </cfRule>
    <cfRule type="cellIs" dxfId="1519" priority="1084" stopIfTrue="1" operator="equal">
      <formula>"Napkin Hs"</formula>
    </cfRule>
  </conditionalFormatting>
  <conditionalFormatting sqref="C126">
    <cfRule type="cellIs" dxfId="1518" priority="1085" stopIfTrue="1" operator="equal">
      <formula>"Towel"</formula>
    </cfRule>
  </conditionalFormatting>
  <conditionalFormatting sqref="B131:C131">
    <cfRule type="cellIs" dxfId="1517" priority="1069" stopIfTrue="1" operator="equal">
      <formula>"Towel"</formula>
    </cfRule>
    <cfRule type="cellIs" dxfId="1516" priority="1070" stopIfTrue="1" operator="equal">
      <formula>"Napkin Hs"</formula>
    </cfRule>
  </conditionalFormatting>
  <conditionalFormatting sqref="C131">
    <cfRule type="cellIs" dxfId="1515" priority="1068" stopIfTrue="1" operator="equal">
      <formula>"Napkin Hs"</formula>
    </cfRule>
  </conditionalFormatting>
  <conditionalFormatting sqref="C131">
    <cfRule type="cellIs" dxfId="1514" priority="1065" stopIfTrue="1" operator="equal">
      <formula>"Towel"</formula>
    </cfRule>
    <cfRule type="cellIs" dxfId="1513" priority="1066" stopIfTrue="1" operator="equal">
      <formula>"Napkin Hs"</formula>
    </cfRule>
  </conditionalFormatting>
  <conditionalFormatting sqref="C131">
    <cfRule type="cellIs" dxfId="1512" priority="1067" stopIfTrue="1" operator="equal">
      <formula>"Towel"</formula>
    </cfRule>
  </conditionalFormatting>
  <conditionalFormatting sqref="B136:C136">
    <cfRule type="cellIs" dxfId="1511" priority="1045" stopIfTrue="1" operator="equal">
      <formula>"Towel"</formula>
    </cfRule>
    <cfRule type="cellIs" dxfId="1510" priority="1046" stopIfTrue="1" operator="equal">
      <formula>"Napkin Hs"</formula>
    </cfRule>
  </conditionalFormatting>
  <conditionalFormatting sqref="C136">
    <cfRule type="cellIs" dxfId="1509" priority="1044" stopIfTrue="1" operator="equal">
      <formula>"Napkin Hs"</formula>
    </cfRule>
  </conditionalFormatting>
  <conditionalFormatting sqref="C136">
    <cfRule type="cellIs" dxfId="1508" priority="1041" stopIfTrue="1" operator="equal">
      <formula>"Towel"</formula>
    </cfRule>
    <cfRule type="cellIs" dxfId="1507" priority="1042" stopIfTrue="1" operator="equal">
      <formula>"Napkin Hs"</formula>
    </cfRule>
  </conditionalFormatting>
  <conditionalFormatting sqref="C136">
    <cfRule type="cellIs" dxfId="1506" priority="1043" stopIfTrue="1" operator="equal">
      <formula>"Towel"</formula>
    </cfRule>
  </conditionalFormatting>
  <conditionalFormatting sqref="B141:C141">
    <cfRule type="cellIs" dxfId="1505" priority="1021" stopIfTrue="1" operator="equal">
      <formula>"Towel"</formula>
    </cfRule>
    <cfRule type="cellIs" dxfId="1504" priority="1022" stopIfTrue="1" operator="equal">
      <formula>"Napkin Hs"</formula>
    </cfRule>
  </conditionalFormatting>
  <conditionalFormatting sqref="C141">
    <cfRule type="cellIs" dxfId="1503" priority="1020" stopIfTrue="1" operator="equal">
      <formula>"Napkin Hs"</formula>
    </cfRule>
  </conditionalFormatting>
  <conditionalFormatting sqref="C141">
    <cfRule type="cellIs" dxfId="1502" priority="1017" stopIfTrue="1" operator="equal">
      <formula>"Towel"</formula>
    </cfRule>
    <cfRule type="cellIs" dxfId="1501" priority="1018" stopIfTrue="1" operator="equal">
      <formula>"Napkin Hs"</formula>
    </cfRule>
  </conditionalFormatting>
  <conditionalFormatting sqref="C141">
    <cfRule type="cellIs" dxfId="1500" priority="1019" stopIfTrue="1" operator="equal">
      <formula>"Towel"</formula>
    </cfRule>
  </conditionalFormatting>
  <conditionalFormatting sqref="B146:C146">
    <cfRule type="cellIs" dxfId="1499" priority="985" stopIfTrue="1" operator="equal">
      <formula>"Towel"</formula>
    </cfRule>
    <cfRule type="cellIs" dxfId="1498" priority="986" stopIfTrue="1" operator="equal">
      <formula>"Napkin Hs"</formula>
    </cfRule>
  </conditionalFormatting>
  <conditionalFormatting sqref="C146">
    <cfRule type="cellIs" dxfId="1497" priority="984" stopIfTrue="1" operator="equal">
      <formula>"Napkin Hs"</formula>
    </cfRule>
  </conditionalFormatting>
  <conditionalFormatting sqref="C146">
    <cfRule type="cellIs" dxfId="1496" priority="981" stopIfTrue="1" operator="equal">
      <formula>"Towel"</formula>
    </cfRule>
    <cfRule type="cellIs" dxfId="1495" priority="982" stopIfTrue="1" operator="equal">
      <formula>"Napkin Hs"</formula>
    </cfRule>
  </conditionalFormatting>
  <conditionalFormatting sqref="C146">
    <cfRule type="cellIs" dxfId="1494" priority="983" stopIfTrue="1" operator="equal">
      <formula>"Towel"</formula>
    </cfRule>
  </conditionalFormatting>
  <conditionalFormatting sqref="B151:C151">
    <cfRule type="cellIs" dxfId="1493" priority="961" stopIfTrue="1" operator="equal">
      <formula>"Towel"</formula>
    </cfRule>
    <cfRule type="cellIs" dxfId="1492" priority="962" stopIfTrue="1" operator="equal">
      <formula>"Napkin Hs"</formula>
    </cfRule>
  </conditionalFormatting>
  <conditionalFormatting sqref="C151">
    <cfRule type="cellIs" dxfId="1491" priority="960" stopIfTrue="1" operator="equal">
      <formula>"Napkin Hs"</formula>
    </cfRule>
  </conditionalFormatting>
  <conditionalFormatting sqref="C151">
    <cfRule type="cellIs" dxfId="1490" priority="957" stopIfTrue="1" operator="equal">
      <formula>"Towel"</formula>
    </cfRule>
    <cfRule type="cellIs" dxfId="1489" priority="958" stopIfTrue="1" operator="equal">
      <formula>"Napkin Hs"</formula>
    </cfRule>
  </conditionalFormatting>
  <conditionalFormatting sqref="C151">
    <cfRule type="cellIs" dxfId="1488" priority="959" stopIfTrue="1" operator="equal">
      <formula>"Towel"</formula>
    </cfRule>
  </conditionalFormatting>
  <conditionalFormatting sqref="B158:C159">
    <cfRule type="cellIs" dxfId="1487" priority="949" stopIfTrue="1" operator="equal">
      <formula>"Towel"</formula>
    </cfRule>
    <cfRule type="cellIs" dxfId="1486" priority="950" stopIfTrue="1" operator="equal">
      <formula>"Napkin Hs"</formula>
    </cfRule>
  </conditionalFormatting>
  <conditionalFormatting sqref="C158:C159">
    <cfRule type="cellIs" dxfId="1485" priority="948" stopIfTrue="1" operator="equal">
      <formula>"Napkin Hs"</formula>
    </cfRule>
  </conditionalFormatting>
  <conditionalFormatting sqref="C158:C159">
    <cfRule type="cellIs" dxfId="1484" priority="945" stopIfTrue="1" operator="equal">
      <formula>"Towel"</formula>
    </cfRule>
    <cfRule type="cellIs" dxfId="1483" priority="946" stopIfTrue="1" operator="equal">
      <formula>"Napkin Hs"</formula>
    </cfRule>
  </conditionalFormatting>
  <conditionalFormatting sqref="C158:C159">
    <cfRule type="cellIs" dxfId="1482" priority="947" stopIfTrue="1" operator="equal">
      <formula>"Towel"</formula>
    </cfRule>
  </conditionalFormatting>
  <conditionalFormatting sqref="B156:C156">
    <cfRule type="cellIs" dxfId="1481" priority="943" stopIfTrue="1" operator="equal">
      <formula>"Towel"</formula>
    </cfRule>
    <cfRule type="cellIs" dxfId="1480" priority="944" stopIfTrue="1" operator="equal">
      <formula>"Napkin Hs"</formula>
    </cfRule>
  </conditionalFormatting>
  <conditionalFormatting sqref="C156">
    <cfRule type="cellIs" dxfId="1479" priority="942" stopIfTrue="1" operator="equal">
      <formula>"Napkin Hs"</formula>
    </cfRule>
  </conditionalFormatting>
  <conditionalFormatting sqref="C156">
    <cfRule type="cellIs" dxfId="1478" priority="939" stopIfTrue="1" operator="equal">
      <formula>"Towel"</formula>
    </cfRule>
    <cfRule type="cellIs" dxfId="1477" priority="940" stopIfTrue="1" operator="equal">
      <formula>"Napkin Hs"</formula>
    </cfRule>
  </conditionalFormatting>
  <conditionalFormatting sqref="C156">
    <cfRule type="cellIs" dxfId="1476" priority="941" stopIfTrue="1" operator="equal">
      <formula>"Towel"</formula>
    </cfRule>
  </conditionalFormatting>
  <conditionalFormatting sqref="B15:C15">
    <cfRule type="cellIs" dxfId="1475" priority="911" stopIfTrue="1" operator="equal">
      <formula>"Towel"</formula>
    </cfRule>
    <cfRule type="cellIs" dxfId="1474" priority="912" stopIfTrue="1" operator="equal">
      <formula>"Napkin Hs"</formula>
    </cfRule>
  </conditionalFormatting>
  <conditionalFormatting sqref="C15">
    <cfRule type="cellIs" dxfId="1473" priority="907" stopIfTrue="1" operator="equal">
      <formula>"Towel"</formula>
    </cfRule>
    <cfRule type="cellIs" dxfId="1472" priority="908" stopIfTrue="1" operator="equal">
      <formula>"Napkin Hs"</formula>
    </cfRule>
  </conditionalFormatting>
  <conditionalFormatting sqref="C15">
    <cfRule type="cellIs" dxfId="1471" priority="910" stopIfTrue="1" operator="equal">
      <formula>"Napkin Hs"</formula>
    </cfRule>
  </conditionalFormatting>
  <conditionalFormatting sqref="C15">
    <cfRule type="cellIs" dxfId="1470" priority="909" stopIfTrue="1" operator="equal">
      <formula>"Towel"</formula>
    </cfRule>
  </conditionalFormatting>
  <conditionalFormatting sqref="B20:C21">
    <cfRule type="cellIs" dxfId="1469" priority="905" stopIfTrue="1" operator="equal">
      <formula>"Towel"</formula>
    </cfRule>
    <cfRule type="cellIs" dxfId="1468" priority="906" stopIfTrue="1" operator="equal">
      <formula>"Napkin Hs"</formula>
    </cfRule>
  </conditionalFormatting>
  <conditionalFormatting sqref="C20:C21">
    <cfRule type="cellIs" dxfId="1467" priority="904" stopIfTrue="1" operator="equal">
      <formula>"Napkin Hs"</formula>
    </cfRule>
  </conditionalFormatting>
  <conditionalFormatting sqref="C20:C21">
    <cfRule type="cellIs" dxfId="1466" priority="899" stopIfTrue="1" operator="equal">
      <formula>"Towel"</formula>
    </cfRule>
    <cfRule type="cellIs" dxfId="1465" priority="900" stopIfTrue="1" operator="equal">
      <formula>"Napkin Hs"</formula>
    </cfRule>
  </conditionalFormatting>
  <conditionalFormatting sqref="C20:C21">
    <cfRule type="cellIs" dxfId="1464" priority="903" stopIfTrue="1" operator="equal">
      <formula>"Towel"</formula>
    </cfRule>
  </conditionalFormatting>
  <conditionalFormatting sqref="B20:C20">
    <cfRule type="cellIs" dxfId="1463" priority="895" stopIfTrue="1" operator="equal">
      <formula>"Towel"</formula>
    </cfRule>
    <cfRule type="cellIs" dxfId="1462" priority="896" stopIfTrue="1" operator="equal">
      <formula>"Napkin Hs"</formula>
    </cfRule>
  </conditionalFormatting>
  <conditionalFormatting sqref="C20">
    <cfRule type="cellIs" dxfId="1461" priority="894" stopIfTrue="1" operator="equal">
      <formula>"Napkin Hs"</formula>
    </cfRule>
  </conditionalFormatting>
  <conditionalFormatting sqref="C20">
    <cfRule type="cellIs" dxfId="1460" priority="889" stopIfTrue="1" operator="equal">
      <formula>"Towel"</formula>
    </cfRule>
    <cfRule type="cellIs" dxfId="1459" priority="890" stopIfTrue="1" operator="equal">
      <formula>"Napkin Hs"</formula>
    </cfRule>
  </conditionalFormatting>
  <conditionalFormatting sqref="C20">
    <cfRule type="cellIs" dxfId="1458" priority="893" stopIfTrue="1" operator="equal">
      <formula>"Towel"</formula>
    </cfRule>
  </conditionalFormatting>
  <conditionalFormatting sqref="B21:C21">
    <cfRule type="cellIs" dxfId="1457" priority="885" stopIfTrue="1" operator="equal">
      <formula>"Towel"</formula>
    </cfRule>
    <cfRule type="cellIs" dxfId="1456" priority="886" stopIfTrue="1" operator="equal">
      <formula>"Napkin Hs"</formula>
    </cfRule>
  </conditionalFormatting>
  <conditionalFormatting sqref="C21">
    <cfRule type="cellIs" dxfId="1455" priority="881" stopIfTrue="1" operator="equal">
      <formula>"Towel"</formula>
    </cfRule>
    <cfRule type="cellIs" dxfId="1454" priority="882" stopIfTrue="1" operator="equal">
      <formula>"Napkin Hs"</formula>
    </cfRule>
  </conditionalFormatting>
  <conditionalFormatting sqref="C21">
    <cfRule type="cellIs" dxfId="1453" priority="884" stopIfTrue="1" operator="equal">
      <formula>"Napkin Hs"</formula>
    </cfRule>
  </conditionalFormatting>
  <conditionalFormatting sqref="C21">
    <cfRule type="cellIs" dxfId="1452" priority="883" stopIfTrue="1" operator="equal">
      <formula>"Towel"</formula>
    </cfRule>
  </conditionalFormatting>
  <conditionalFormatting sqref="B32:C32">
    <cfRule type="cellIs" dxfId="1451" priority="841" stopIfTrue="1" operator="equal">
      <formula>"Towel"</formula>
    </cfRule>
    <cfRule type="cellIs" dxfId="1450" priority="842" stopIfTrue="1" operator="equal">
      <formula>"Napkin Hs"</formula>
    </cfRule>
  </conditionalFormatting>
  <conditionalFormatting sqref="C32">
    <cfRule type="cellIs" dxfId="1449" priority="840" stopIfTrue="1" operator="equal">
      <formula>"Napkin Hs"</formula>
    </cfRule>
  </conditionalFormatting>
  <conditionalFormatting sqref="C32">
    <cfRule type="cellIs" dxfId="1448" priority="839" stopIfTrue="1" operator="equal">
      <formula>"Towel"</formula>
    </cfRule>
  </conditionalFormatting>
  <conditionalFormatting sqref="C32">
    <cfRule type="cellIs" dxfId="1447" priority="837" stopIfTrue="1" operator="equal">
      <formula>"Towel"</formula>
    </cfRule>
    <cfRule type="cellIs" dxfId="1446" priority="838" stopIfTrue="1" operator="equal">
      <formula>"Napkin Hs"</formula>
    </cfRule>
  </conditionalFormatting>
  <conditionalFormatting sqref="B11:C11 B13:C13">
    <cfRule type="cellIs" dxfId="1445" priority="735" stopIfTrue="1" operator="equal">
      <formula>"Towel"</formula>
    </cfRule>
    <cfRule type="cellIs" dxfId="1444" priority="736" stopIfTrue="1" operator="equal">
      <formula>"Napkin Hs"</formula>
    </cfRule>
  </conditionalFormatting>
  <conditionalFormatting sqref="B12:C12">
    <cfRule type="cellIs" dxfId="1443" priority="731" stopIfTrue="1" operator="equal">
      <formula>"Towel"</formula>
    </cfRule>
    <cfRule type="cellIs" dxfId="1442" priority="732" stopIfTrue="1" operator="equal">
      <formula>"Napkin Hs"</formula>
    </cfRule>
  </conditionalFormatting>
  <conditionalFormatting sqref="C11 C13">
    <cfRule type="cellIs" dxfId="1441" priority="734" stopIfTrue="1" operator="equal">
      <formula>"Napkin Hs"</formula>
    </cfRule>
  </conditionalFormatting>
  <conditionalFormatting sqref="C11:C13">
    <cfRule type="cellIs" dxfId="1440" priority="729" stopIfTrue="1" operator="equal">
      <formula>"Towel"</formula>
    </cfRule>
    <cfRule type="cellIs" dxfId="1439" priority="730" stopIfTrue="1" operator="equal">
      <formula>"Napkin Hs"</formula>
    </cfRule>
  </conditionalFormatting>
  <conditionalFormatting sqref="C12">
    <cfRule type="cellIs" dxfId="1438" priority="727" stopIfTrue="1" operator="equal">
      <formula>"Towel"</formula>
    </cfRule>
    <cfRule type="cellIs" dxfId="1437" priority="728" stopIfTrue="1" operator="equal">
      <formula>"Napkin Hs"</formula>
    </cfRule>
  </conditionalFormatting>
  <conditionalFormatting sqref="C11 C13">
    <cfRule type="cellIs" dxfId="1436" priority="733" stopIfTrue="1" operator="equal">
      <formula>"Towel"</formula>
    </cfRule>
  </conditionalFormatting>
  <conditionalFormatting sqref="B14:C14">
    <cfRule type="cellIs" dxfId="1435" priority="725" stopIfTrue="1" operator="equal">
      <formula>"Towel"</formula>
    </cfRule>
    <cfRule type="cellIs" dxfId="1434" priority="726" stopIfTrue="1" operator="equal">
      <formula>"Napkin Hs"</formula>
    </cfRule>
  </conditionalFormatting>
  <conditionalFormatting sqref="C14">
    <cfRule type="cellIs" dxfId="1433" priority="721" stopIfTrue="1" operator="equal">
      <formula>"Towel"</formula>
    </cfRule>
    <cfRule type="cellIs" dxfId="1432" priority="722" stopIfTrue="1" operator="equal">
      <formula>"Napkin Hs"</formula>
    </cfRule>
  </conditionalFormatting>
  <conditionalFormatting sqref="C14">
    <cfRule type="cellIs" dxfId="1431" priority="724" stopIfTrue="1" operator="equal">
      <formula>"Napkin Hs"</formula>
    </cfRule>
  </conditionalFormatting>
  <conditionalFormatting sqref="C14">
    <cfRule type="cellIs" dxfId="1430" priority="723" stopIfTrue="1" operator="equal">
      <formula>"Towel"</formula>
    </cfRule>
  </conditionalFormatting>
  <conditionalFormatting sqref="B16:C16 B18:C18">
    <cfRule type="cellIs" dxfId="1429" priority="719" stopIfTrue="1" operator="equal">
      <formula>"Towel"</formula>
    </cfRule>
    <cfRule type="cellIs" dxfId="1428" priority="720" stopIfTrue="1" operator="equal">
      <formula>"Napkin Hs"</formula>
    </cfRule>
  </conditionalFormatting>
  <conditionalFormatting sqref="B17:C17">
    <cfRule type="cellIs" dxfId="1427" priority="715" stopIfTrue="1" operator="equal">
      <formula>"Towel"</formula>
    </cfRule>
    <cfRule type="cellIs" dxfId="1426" priority="716" stopIfTrue="1" operator="equal">
      <formula>"Napkin Hs"</formula>
    </cfRule>
  </conditionalFormatting>
  <conditionalFormatting sqref="C16 C18">
    <cfRule type="cellIs" dxfId="1425" priority="718" stopIfTrue="1" operator="equal">
      <formula>"Napkin Hs"</formula>
    </cfRule>
  </conditionalFormatting>
  <conditionalFormatting sqref="C16:C18">
    <cfRule type="cellIs" dxfId="1424" priority="713" stopIfTrue="1" operator="equal">
      <formula>"Towel"</formula>
    </cfRule>
    <cfRule type="cellIs" dxfId="1423" priority="714" stopIfTrue="1" operator="equal">
      <formula>"Napkin Hs"</formula>
    </cfRule>
  </conditionalFormatting>
  <conditionalFormatting sqref="C17">
    <cfRule type="cellIs" dxfId="1422" priority="711" stopIfTrue="1" operator="equal">
      <formula>"Towel"</formula>
    </cfRule>
    <cfRule type="cellIs" dxfId="1421" priority="712" stopIfTrue="1" operator="equal">
      <formula>"Napkin Hs"</formula>
    </cfRule>
  </conditionalFormatting>
  <conditionalFormatting sqref="C16 C18">
    <cfRule type="cellIs" dxfId="1420" priority="717" stopIfTrue="1" operator="equal">
      <formula>"Towel"</formula>
    </cfRule>
  </conditionalFormatting>
  <conditionalFormatting sqref="B19:C19">
    <cfRule type="cellIs" dxfId="1419" priority="709" stopIfTrue="1" operator="equal">
      <formula>"Towel"</formula>
    </cfRule>
    <cfRule type="cellIs" dxfId="1418" priority="710" stopIfTrue="1" operator="equal">
      <formula>"Napkin Hs"</formula>
    </cfRule>
  </conditionalFormatting>
  <conditionalFormatting sqref="C19">
    <cfRule type="cellIs" dxfId="1417" priority="705" stopIfTrue="1" operator="equal">
      <formula>"Towel"</formula>
    </cfRule>
    <cfRule type="cellIs" dxfId="1416" priority="706" stopIfTrue="1" operator="equal">
      <formula>"Napkin Hs"</formula>
    </cfRule>
  </conditionalFormatting>
  <conditionalFormatting sqref="C19">
    <cfRule type="cellIs" dxfId="1415" priority="708" stopIfTrue="1" operator="equal">
      <formula>"Napkin Hs"</formula>
    </cfRule>
  </conditionalFormatting>
  <conditionalFormatting sqref="C19">
    <cfRule type="cellIs" dxfId="1414" priority="707" stopIfTrue="1" operator="equal">
      <formula>"Towel"</formula>
    </cfRule>
  </conditionalFormatting>
  <conditionalFormatting sqref="B23:C23 B25:C25">
    <cfRule type="cellIs" dxfId="1413" priority="703" stopIfTrue="1" operator="equal">
      <formula>"Towel"</formula>
    </cfRule>
    <cfRule type="cellIs" dxfId="1412" priority="704" stopIfTrue="1" operator="equal">
      <formula>"Napkin Hs"</formula>
    </cfRule>
  </conditionalFormatting>
  <conditionalFormatting sqref="B24:C24">
    <cfRule type="cellIs" dxfId="1411" priority="699" stopIfTrue="1" operator="equal">
      <formula>"Towel"</formula>
    </cfRule>
    <cfRule type="cellIs" dxfId="1410" priority="700" stopIfTrue="1" operator="equal">
      <formula>"Napkin Hs"</formula>
    </cfRule>
  </conditionalFormatting>
  <conditionalFormatting sqref="C23 C25">
    <cfRule type="cellIs" dxfId="1409" priority="702" stopIfTrue="1" operator="equal">
      <formula>"Napkin Hs"</formula>
    </cfRule>
  </conditionalFormatting>
  <conditionalFormatting sqref="C23:C25">
    <cfRule type="cellIs" dxfId="1408" priority="697" stopIfTrue="1" operator="equal">
      <formula>"Towel"</formula>
    </cfRule>
    <cfRule type="cellIs" dxfId="1407" priority="698" stopIfTrue="1" operator="equal">
      <formula>"Napkin Hs"</formula>
    </cfRule>
  </conditionalFormatting>
  <conditionalFormatting sqref="C24">
    <cfRule type="cellIs" dxfId="1406" priority="695" stopIfTrue="1" operator="equal">
      <formula>"Towel"</formula>
    </cfRule>
    <cfRule type="cellIs" dxfId="1405" priority="696" stopIfTrue="1" operator="equal">
      <formula>"Napkin Hs"</formula>
    </cfRule>
  </conditionalFormatting>
  <conditionalFormatting sqref="C23 C25">
    <cfRule type="cellIs" dxfId="1404" priority="701" stopIfTrue="1" operator="equal">
      <formula>"Towel"</formula>
    </cfRule>
  </conditionalFormatting>
  <conditionalFormatting sqref="B26:C26">
    <cfRule type="cellIs" dxfId="1403" priority="693" stopIfTrue="1" operator="equal">
      <formula>"Towel"</formula>
    </cfRule>
    <cfRule type="cellIs" dxfId="1402" priority="694" stopIfTrue="1" operator="equal">
      <formula>"Napkin Hs"</formula>
    </cfRule>
  </conditionalFormatting>
  <conditionalFormatting sqref="C26">
    <cfRule type="cellIs" dxfId="1401" priority="689" stopIfTrue="1" operator="equal">
      <formula>"Towel"</formula>
    </cfRule>
    <cfRule type="cellIs" dxfId="1400" priority="690" stopIfTrue="1" operator="equal">
      <formula>"Napkin Hs"</formula>
    </cfRule>
  </conditionalFormatting>
  <conditionalFormatting sqref="C26">
    <cfRule type="cellIs" dxfId="1399" priority="692" stopIfTrue="1" operator="equal">
      <formula>"Napkin Hs"</formula>
    </cfRule>
  </conditionalFormatting>
  <conditionalFormatting sqref="C26">
    <cfRule type="cellIs" dxfId="1398" priority="691" stopIfTrue="1" operator="equal">
      <formula>"Towel"</formula>
    </cfRule>
  </conditionalFormatting>
  <conditionalFormatting sqref="B28:C28 B30:C30">
    <cfRule type="cellIs" dxfId="1397" priority="687" stopIfTrue="1" operator="equal">
      <formula>"Towel"</formula>
    </cfRule>
    <cfRule type="cellIs" dxfId="1396" priority="688" stopIfTrue="1" operator="equal">
      <formula>"Napkin Hs"</formula>
    </cfRule>
  </conditionalFormatting>
  <conditionalFormatting sqref="B29:C29">
    <cfRule type="cellIs" dxfId="1395" priority="683" stopIfTrue="1" operator="equal">
      <formula>"Towel"</formula>
    </cfRule>
    <cfRule type="cellIs" dxfId="1394" priority="684" stopIfTrue="1" operator="equal">
      <formula>"Napkin Hs"</formula>
    </cfRule>
  </conditionalFormatting>
  <conditionalFormatting sqref="C28 C30">
    <cfRule type="cellIs" dxfId="1393" priority="686" stopIfTrue="1" operator="equal">
      <formula>"Napkin Hs"</formula>
    </cfRule>
  </conditionalFormatting>
  <conditionalFormatting sqref="C28:C30">
    <cfRule type="cellIs" dxfId="1392" priority="681" stopIfTrue="1" operator="equal">
      <formula>"Towel"</formula>
    </cfRule>
    <cfRule type="cellIs" dxfId="1391" priority="682" stopIfTrue="1" operator="equal">
      <formula>"Napkin Hs"</formula>
    </cfRule>
  </conditionalFormatting>
  <conditionalFormatting sqref="C29">
    <cfRule type="cellIs" dxfId="1390" priority="679" stopIfTrue="1" operator="equal">
      <formula>"Towel"</formula>
    </cfRule>
    <cfRule type="cellIs" dxfId="1389" priority="680" stopIfTrue="1" operator="equal">
      <formula>"Napkin Hs"</formula>
    </cfRule>
  </conditionalFormatting>
  <conditionalFormatting sqref="C28 C30">
    <cfRule type="cellIs" dxfId="1388" priority="685" stopIfTrue="1" operator="equal">
      <formula>"Towel"</formula>
    </cfRule>
  </conditionalFormatting>
  <conditionalFormatting sqref="B31:C31">
    <cfRule type="cellIs" dxfId="1387" priority="677" stopIfTrue="1" operator="equal">
      <formula>"Towel"</formula>
    </cfRule>
    <cfRule type="cellIs" dxfId="1386" priority="678" stopIfTrue="1" operator="equal">
      <formula>"Napkin Hs"</formula>
    </cfRule>
  </conditionalFormatting>
  <conditionalFormatting sqref="C31">
    <cfRule type="cellIs" dxfId="1385" priority="673" stopIfTrue="1" operator="equal">
      <formula>"Towel"</formula>
    </cfRule>
    <cfRule type="cellIs" dxfId="1384" priority="674" stopIfTrue="1" operator="equal">
      <formula>"Napkin Hs"</formula>
    </cfRule>
  </conditionalFormatting>
  <conditionalFormatting sqref="C31">
    <cfRule type="cellIs" dxfId="1383" priority="676" stopIfTrue="1" operator="equal">
      <formula>"Napkin Hs"</formula>
    </cfRule>
  </conditionalFormatting>
  <conditionalFormatting sqref="C31">
    <cfRule type="cellIs" dxfId="1382" priority="675" stopIfTrue="1" operator="equal">
      <formula>"Towel"</formula>
    </cfRule>
  </conditionalFormatting>
  <conditionalFormatting sqref="B37:C37">
    <cfRule type="cellIs" dxfId="1381" priority="671" stopIfTrue="1" operator="equal">
      <formula>"Towel"</formula>
    </cfRule>
    <cfRule type="cellIs" dxfId="1380" priority="672" stopIfTrue="1" operator="equal">
      <formula>"Napkin Hs"</formula>
    </cfRule>
  </conditionalFormatting>
  <conditionalFormatting sqref="C37">
    <cfRule type="cellIs" dxfId="1379" priority="670" stopIfTrue="1" operator="equal">
      <formula>"Napkin Hs"</formula>
    </cfRule>
  </conditionalFormatting>
  <conditionalFormatting sqref="C37">
    <cfRule type="cellIs" dxfId="1378" priority="669" stopIfTrue="1" operator="equal">
      <formula>"Towel"</formula>
    </cfRule>
  </conditionalFormatting>
  <conditionalFormatting sqref="C37">
    <cfRule type="cellIs" dxfId="1377" priority="667" stopIfTrue="1" operator="equal">
      <formula>"Towel"</formula>
    </cfRule>
    <cfRule type="cellIs" dxfId="1376" priority="668" stopIfTrue="1" operator="equal">
      <formula>"Napkin Hs"</formula>
    </cfRule>
  </conditionalFormatting>
  <conditionalFormatting sqref="B33:C35">
    <cfRule type="cellIs" dxfId="1375" priority="665" stopIfTrue="1" operator="equal">
      <formula>"Towel"</formula>
    </cfRule>
    <cfRule type="cellIs" dxfId="1374" priority="666" stopIfTrue="1" operator="equal">
      <formula>"Napkin Hs"</formula>
    </cfRule>
  </conditionalFormatting>
  <conditionalFormatting sqref="C33:C35">
    <cfRule type="cellIs" dxfId="1373" priority="664" stopIfTrue="1" operator="equal">
      <formula>"Napkin Hs"</formula>
    </cfRule>
  </conditionalFormatting>
  <conditionalFormatting sqref="C33:C35">
    <cfRule type="cellIs" dxfId="1372" priority="659" stopIfTrue="1" operator="equal">
      <formula>"Towel"</formula>
    </cfRule>
    <cfRule type="cellIs" dxfId="1371" priority="660" stopIfTrue="1" operator="equal">
      <formula>"Napkin Hs"</formula>
    </cfRule>
  </conditionalFormatting>
  <conditionalFormatting sqref="C33:C35">
    <cfRule type="cellIs" dxfId="1370" priority="663" stopIfTrue="1" operator="equal">
      <formula>"Towel"</formula>
    </cfRule>
  </conditionalFormatting>
  <conditionalFormatting sqref="B36:C36">
    <cfRule type="cellIs" dxfId="1369" priority="655" stopIfTrue="1" operator="equal">
      <formula>"Towel"</formula>
    </cfRule>
    <cfRule type="cellIs" dxfId="1368" priority="656" stopIfTrue="1" operator="equal">
      <formula>"Napkin Hs"</formula>
    </cfRule>
  </conditionalFormatting>
  <conditionalFormatting sqref="C36">
    <cfRule type="cellIs" dxfId="1367" priority="651" stopIfTrue="1" operator="equal">
      <formula>"Towel"</formula>
    </cfRule>
    <cfRule type="cellIs" dxfId="1366" priority="652" stopIfTrue="1" operator="equal">
      <formula>"Napkin Hs"</formula>
    </cfRule>
  </conditionalFormatting>
  <conditionalFormatting sqref="C36">
    <cfRule type="cellIs" dxfId="1365" priority="654" stopIfTrue="1" operator="equal">
      <formula>"Napkin Hs"</formula>
    </cfRule>
  </conditionalFormatting>
  <conditionalFormatting sqref="C36">
    <cfRule type="cellIs" dxfId="1364" priority="653" stopIfTrue="1" operator="equal">
      <formula>"Towel"</formula>
    </cfRule>
  </conditionalFormatting>
  <conditionalFormatting sqref="B40:C40">
    <cfRule type="cellIs" dxfId="1363" priority="649" stopIfTrue="1" operator="equal">
      <formula>"Towel"</formula>
    </cfRule>
    <cfRule type="cellIs" dxfId="1362" priority="650" stopIfTrue="1" operator="equal">
      <formula>"Napkin Hs"</formula>
    </cfRule>
  </conditionalFormatting>
  <conditionalFormatting sqref="C39">
    <cfRule type="cellIs" dxfId="1361" priority="645" stopIfTrue="1" operator="equal">
      <formula>"Towel"</formula>
    </cfRule>
    <cfRule type="cellIs" dxfId="1360" priority="646" stopIfTrue="1" operator="equal">
      <formula>"Napkin Hs"</formula>
    </cfRule>
  </conditionalFormatting>
  <conditionalFormatting sqref="C40">
    <cfRule type="cellIs" dxfId="1359" priority="648" stopIfTrue="1" operator="equal">
      <formula>"Napkin Hs"</formula>
    </cfRule>
  </conditionalFormatting>
  <conditionalFormatting sqref="C39:C40">
    <cfRule type="cellIs" dxfId="1358" priority="643" stopIfTrue="1" operator="equal">
      <formula>"Towel"</formula>
    </cfRule>
    <cfRule type="cellIs" dxfId="1357" priority="644" stopIfTrue="1" operator="equal">
      <formula>"Napkin Hs"</formula>
    </cfRule>
  </conditionalFormatting>
  <conditionalFormatting sqref="C39">
    <cfRule type="cellIs" dxfId="1356" priority="641" stopIfTrue="1" operator="equal">
      <formula>"Towel"</formula>
    </cfRule>
    <cfRule type="cellIs" dxfId="1355" priority="642" stopIfTrue="1" operator="equal">
      <formula>"Napkin Hs"</formula>
    </cfRule>
  </conditionalFormatting>
  <conditionalFormatting sqref="C40">
    <cfRule type="cellIs" dxfId="1354" priority="647" stopIfTrue="1" operator="equal">
      <formula>"Towel"</formula>
    </cfRule>
  </conditionalFormatting>
  <conditionalFormatting sqref="B41:C41">
    <cfRule type="cellIs" dxfId="1353" priority="639" stopIfTrue="1" operator="equal">
      <formula>"Towel"</formula>
    </cfRule>
    <cfRule type="cellIs" dxfId="1352" priority="640" stopIfTrue="1" operator="equal">
      <formula>"Napkin Hs"</formula>
    </cfRule>
  </conditionalFormatting>
  <conditionalFormatting sqref="C41">
    <cfRule type="cellIs" dxfId="1351" priority="635" stopIfTrue="1" operator="equal">
      <formula>"Towel"</formula>
    </cfRule>
    <cfRule type="cellIs" dxfId="1350" priority="636" stopIfTrue="1" operator="equal">
      <formula>"Napkin Hs"</formula>
    </cfRule>
  </conditionalFormatting>
  <conditionalFormatting sqref="C41">
    <cfRule type="cellIs" dxfId="1349" priority="638" stopIfTrue="1" operator="equal">
      <formula>"Napkin Hs"</formula>
    </cfRule>
  </conditionalFormatting>
  <conditionalFormatting sqref="C41">
    <cfRule type="cellIs" dxfId="1348" priority="637" stopIfTrue="1" operator="equal">
      <formula>"Towel"</formula>
    </cfRule>
  </conditionalFormatting>
  <conditionalFormatting sqref="B38:C38 B39">
    <cfRule type="cellIs" dxfId="1347" priority="633" stopIfTrue="1" operator="equal">
      <formula>"Towel"</formula>
    </cfRule>
    <cfRule type="cellIs" dxfId="1346" priority="634" stopIfTrue="1" operator="equal">
      <formula>"Napkin Hs"</formula>
    </cfRule>
  </conditionalFormatting>
  <conditionalFormatting sqref="C38">
    <cfRule type="cellIs" dxfId="1345" priority="632" stopIfTrue="1" operator="equal">
      <formula>"Napkin Hs"</formula>
    </cfRule>
  </conditionalFormatting>
  <conditionalFormatting sqref="C38">
    <cfRule type="cellIs" dxfId="1344" priority="629" stopIfTrue="1" operator="equal">
      <formula>"Towel"</formula>
    </cfRule>
    <cfRule type="cellIs" dxfId="1343" priority="630" stopIfTrue="1" operator="equal">
      <formula>"Napkin Hs"</formula>
    </cfRule>
  </conditionalFormatting>
  <conditionalFormatting sqref="C38">
    <cfRule type="cellIs" dxfId="1342" priority="631" stopIfTrue="1" operator="equal">
      <formula>"Towel"</formula>
    </cfRule>
  </conditionalFormatting>
  <conditionalFormatting sqref="B42:C42">
    <cfRule type="cellIs" dxfId="1341" priority="611" stopIfTrue="1" operator="equal">
      <formula>"Towel"</formula>
    </cfRule>
    <cfRule type="cellIs" dxfId="1340" priority="612" stopIfTrue="1" operator="equal">
      <formula>"Napkin Hs"</formula>
    </cfRule>
  </conditionalFormatting>
  <conditionalFormatting sqref="C42">
    <cfRule type="cellIs" dxfId="1339" priority="610" stopIfTrue="1" operator="equal">
      <formula>"Napkin Hs"</formula>
    </cfRule>
  </conditionalFormatting>
  <conditionalFormatting sqref="C42">
    <cfRule type="cellIs" dxfId="1338" priority="607" stopIfTrue="1" operator="equal">
      <formula>"Towel"</formula>
    </cfRule>
    <cfRule type="cellIs" dxfId="1337" priority="608" stopIfTrue="1" operator="equal">
      <formula>"Napkin Hs"</formula>
    </cfRule>
  </conditionalFormatting>
  <conditionalFormatting sqref="C42">
    <cfRule type="cellIs" dxfId="1336" priority="609" stopIfTrue="1" operator="equal">
      <formula>"Towel"</formula>
    </cfRule>
  </conditionalFormatting>
  <conditionalFormatting sqref="B46:C46">
    <cfRule type="cellIs" dxfId="1335" priority="595" stopIfTrue="1" operator="equal">
      <formula>"Towel"</formula>
    </cfRule>
    <cfRule type="cellIs" dxfId="1334" priority="596" stopIfTrue="1" operator="equal">
      <formula>"Napkin Hs"</formula>
    </cfRule>
  </conditionalFormatting>
  <conditionalFormatting sqref="C46">
    <cfRule type="cellIs" dxfId="1333" priority="591" stopIfTrue="1" operator="equal">
      <formula>"Towel"</formula>
    </cfRule>
    <cfRule type="cellIs" dxfId="1332" priority="592" stopIfTrue="1" operator="equal">
      <formula>"Napkin Hs"</formula>
    </cfRule>
  </conditionalFormatting>
  <conditionalFormatting sqref="C46">
    <cfRule type="cellIs" dxfId="1331" priority="594" stopIfTrue="1" operator="equal">
      <formula>"Napkin Hs"</formula>
    </cfRule>
  </conditionalFormatting>
  <conditionalFormatting sqref="C46">
    <cfRule type="cellIs" dxfId="1330" priority="593" stopIfTrue="1" operator="equal">
      <formula>"Towel"</formula>
    </cfRule>
  </conditionalFormatting>
  <conditionalFormatting sqref="B43:C45">
    <cfRule type="cellIs" dxfId="1329" priority="589" stopIfTrue="1" operator="equal">
      <formula>"Towel"</formula>
    </cfRule>
    <cfRule type="cellIs" dxfId="1328" priority="590" stopIfTrue="1" operator="equal">
      <formula>"Napkin Hs"</formula>
    </cfRule>
  </conditionalFormatting>
  <conditionalFormatting sqref="C43:C45">
    <cfRule type="cellIs" dxfId="1327" priority="588" stopIfTrue="1" operator="equal">
      <formula>"Napkin Hs"</formula>
    </cfRule>
  </conditionalFormatting>
  <conditionalFormatting sqref="C43:C45">
    <cfRule type="cellIs" dxfId="1326" priority="585" stopIfTrue="1" operator="equal">
      <formula>"Towel"</formula>
    </cfRule>
    <cfRule type="cellIs" dxfId="1325" priority="586" stopIfTrue="1" operator="equal">
      <formula>"Napkin Hs"</formula>
    </cfRule>
  </conditionalFormatting>
  <conditionalFormatting sqref="C43:C45">
    <cfRule type="cellIs" dxfId="1324" priority="587" stopIfTrue="1" operator="equal">
      <formula>"Towel"</formula>
    </cfRule>
  </conditionalFormatting>
  <conditionalFormatting sqref="B48:C52">
    <cfRule type="cellIs" dxfId="1323" priority="571" stopIfTrue="1" operator="equal">
      <formula>"Towel"</formula>
    </cfRule>
    <cfRule type="cellIs" dxfId="1322" priority="572" stopIfTrue="1" operator="equal">
      <formula>"Napkin Hs"</formula>
    </cfRule>
  </conditionalFormatting>
  <conditionalFormatting sqref="C48:C52">
    <cfRule type="cellIs" dxfId="1321" priority="570" stopIfTrue="1" operator="equal">
      <formula>"Napkin Hs"</formula>
    </cfRule>
  </conditionalFormatting>
  <conditionalFormatting sqref="C48:C52">
    <cfRule type="cellIs" dxfId="1320" priority="567" stopIfTrue="1" operator="equal">
      <formula>"Towel"</formula>
    </cfRule>
    <cfRule type="cellIs" dxfId="1319" priority="568" stopIfTrue="1" operator="equal">
      <formula>"Napkin Hs"</formula>
    </cfRule>
  </conditionalFormatting>
  <conditionalFormatting sqref="C48:C52">
    <cfRule type="cellIs" dxfId="1318" priority="569" stopIfTrue="1" operator="equal">
      <formula>"Towel"</formula>
    </cfRule>
  </conditionalFormatting>
  <conditionalFormatting sqref="B56:C56">
    <cfRule type="cellIs" dxfId="1317" priority="565" stopIfTrue="1" operator="equal">
      <formula>"Towel"</formula>
    </cfRule>
    <cfRule type="cellIs" dxfId="1316" priority="566" stopIfTrue="1" operator="equal">
      <formula>"Napkin Hs"</formula>
    </cfRule>
  </conditionalFormatting>
  <conditionalFormatting sqref="B55:C55">
    <cfRule type="cellIs" dxfId="1315" priority="561" stopIfTrue="1" operator="equal">
      <formula>"Towel"</formula>
    </cfRule>
    <cfRule type="cellIs" dxfId="1314" priority="562" stopIfTrue="1" operator="equal">
      <formula>"Napkin Hs"</formula>
    </cfRule>
  </conditionalFormatting>
  <conditionalFormatting sqref="C56">
    <cfRule type="cellIs" dxfId="1313" priority="564" stopIfTrue="1" operator="equal">
      <formula>"Napkin Hs"</formula>
    </cfRule>
  </conditionalFormatting>
  <conditionalFormatting sqref="C55:C56">
    <cfRule type="cellIs" dxfId="1312" priority="559" stopIfTrue="1" operator="equal">
      <formula>"Towel"</formula>
    </cfRule>
    <cfRule type="cellIs" dxfId="1311" priority="560" stopIfTrue="1" operator="equal">
      <formula>"Napkin Hs"</formula>
    </cfRule>
  </conditionalFormatting>
  <conditionalFormatting sqref="C55">
    <cfRule type="cellIs" dxfId="1310" priority="557" stopIfTrue="1" operator="equal">
      <formula>"Towel"</formula>
    </cfRule>
    <cfRule type="cellIs" dxfId="1309" priority="558" stopIfTrue="1" operator="equal">
      <formula>"Napkin Hs"</formula>
    </cfRule>
  </conditionalFormatting>
  <conditionalFormatting sqref="C56">
    <cfRule type="cellIs" dxfId="1308" priority="563" stopIfTrue="1" operator="equal">
      <formula>"Towel"</formula>
    </cfRule>
  </conditionalFormatting>
  <conditionalFormatting sqref="B57:C57">
    <cfRule type="cellIs" dxfId="1307" priority="555" stopIfTrue="1" operator="equal">
      <formula>"Towel"</formula>
    </cfRule>
    <cfRule type="cellIs" dxfId="1306" priority="556" stopIfTrue="1" operator="equal">
      <formula>"Napkin Hs"</formula>
    </cfRule>
  </conditionalFormatting>
  <conditionalFormatting sqref="C57">
    <cfRule type="cellIs" dxfId="1305" priority="551" stopIfTrue="1" operator="equal">
      <formula>"Towel"</formula>
    </cfRule>
    <cfRule type="cellIs" dxfId="1304" priority="552" stopIfTrue="1" operator="equal">
      <formula>"Napkin Hs"</formula>
    </cfRule>
  </conditionalFormatting>
  <conditionalFormatting sqref="C57">
    <cfRule type="cellIs" dxfId="1303" priority="554" stopIfTrue="1" operator="equal">
      <formula>"Napkin Hs"</formula>
    </cfRule>
  </conditionalFormatting>
  <conditionalFormatting sqref="C57">
    <cfRule type="cellIs" dxfId="1302" priority="553" stopIfTrue="1" operator="equal">
      <formula>"Towel"</formula>
    </cfRule>
  </conditionalFormatting>
  <conditionalFormatting sqref="B54:C54">
    <cfRule type="cellIs" dxfId="1301" priority="549" stopIfTrue="1" operator="equal">
      <formula>"Towel"</formula>
    </cfRule>
    <cfRule type="cellIs" dxfId="1300" priority="550" stopIfTrue="1" operator="equal">
      <formula>"Napkin Hs"</formula>
    </cfRule>
  </conditionalFormatting>
  <conditionalFormatting sqref="C54">
    <cfRule type="cellIs" dxfId="1299" priority="548" stopIfTrue="1" operator="equal">
      <formula>"Napkin Hs"</formula>
    </cfRule>
  </conditionalFormatting>
  <conditionalFormatting sqref="C54">
    <cfRule type="cellIs" dxfId="1298" priority="545" stopIfTrue="1" operator="equal">
      <formula>"Towel"</formula>
    </cfRule>
    <cfRule type="cellIs" dxfId="1297" priority="546" stopIfTrue="1" operator="equal">
      <formula>"Napkin Hs"</formula>
    </cfRule>
  </conditionalFormatting>
  <conditionalFormatting sqref="C54">
    <cfRule type="cellIs" dxfId="1296" priority="547" stopIfTrue="1" operator="equal">
      <formula>"Towel"</formula>
    </cfRule>
  </conditionalFormatting>
  <conditionalFormatting sqref="B61:C61">
    <cfRule type="cellIs" dxfId="1295" priority="543" stopIfTrue="1" operator="equal">
      <formula>"Towel"</formula>
    </cfRule>
    <cfRule type="cellIs" dxfId="1294" priority="544" stopIfTrue="1" operator="equal">
      <formula>"Napkin Hs"</formula>
    </cfRule>
  </conditionalFormatting>
  <conditionalFormatting sqref="C61">
    <cfRule type="cellIs" dxfId="1293" priority="542" stopIfTrue="1" operator="equal">
      <formula>"Napkin Hs"</formula>
    </cfRule>
  </conditionalFormatting>
  <conditionalFormatting sqref="C61">
    <cfRule type="cellIs" dxfId="1292" priority="537" stopIfTrue="1" operator="equal">
      <formula>"Towel"</formula>
    </cfRule>
    <cfRule type="cellIs" dxfId="1291" priority="538" stopIfTrue="1" operator="equal">
      <formula>"Napkin Hs"</formula>
    </cfRule>
  </conditionalFormatting>
  <conditionalFormatting sqref="C61">
    <cfRule type="cellIs" dxfId="1290" priority="541" stopIfTrue="1" operator="equal">
      <formula>"Towel"</formula>
    </cfRule>
  </conditionalFormatting>
  <conditionalFormatting sqref="B62:C62">
    <cfRule type="cellIs" dxfId="1289" priority="533" stopIfTrue="1" operator="equal">
      <formula>"Towel"</formula>
    </cfRule>
    <cfRule type="cellIs" dxfId="1288" priority="534" stopIfTrue="1" operator="equal">
      <formula>"Napkin Hs"</formula>
    </cfRule>
  </conditionalFormatting>
  <conditionalFormatting sqref="C62">
    <cfRule type="cellIs" dxfId="1287" priority="529" stopIfTrue="1" operator="equal">
      <formula>"Towel"</formula>
    </cfRule>
    <cfRule type="cellIs" dxfId="1286" priority="530" stopIfTrue="1" operator="equal">
      <formula>"Napkin Hs"</formula>
    </cfRule>
  </conditionalFormatting>
  <conditionalFormatting sqref="C62">
    <cfRule type="cellIs" dxfId="1285" priority="532" stopIfTrue="1" operator="equal">
      <formula>"Napkin Hs"</formula>
    </cfRule>
  </conditionalFormatting>
  <conditionalFormatting sqref="C62">
    <cfRule type="cellIs" dxfId="1284" priority="531" stopIfTrue="1" operator="equal">
      <formula>"Towel"</formula>
    </cfRule>
  </conditionalFormatting>
  <conditionalFormatting sqref="B59:C60">
    <cfRule type="cellIs" dxfId="1283" priority="527" stopIfTrue="1" operator="equal">
      <formula>"Towel"</formula>
    </cfRule>
    <cfRule type="cellIs" dxfId="1282" priority="528" stopIfTrue="1" operator="equal">
      <formula>"Napkin Hs"</formula>
    </cfRule>
  </conditionalFormatting>
  <conditionalFormatting sqref="C59:C60">
    <cfRule type="cellIs" dxfId="1281" priority="526" stopIfTrue="1" operator="equal">
      <formula>"Napkin Hs"</formula>
    </cfRule>
  </conditionalFormatting>
  <conditionalFormatting sqref="C59:C60">
    <cfRule type="cellIs" dxfId="1280" priority="523" stopIfTrue="1" operator="equal">
      <formula>"Towel"</formula>
    </cfRule>
    <cfRule type="cellIs" dxfId="1279" priority="524" stopIfTrue="1" operator="equal">
      <formula>"Napkin Hs"</formula>
    </cfRule>
  </conditionalFormatting>
  <conditionalFormatting sqref="C59:C60">
    <cfRule type="cellIs" dxfId="1278" priority="525" stopIfTrue="1" operator="equal">
      <formula>"Towel"</formula>
    </cfRule>
  </conditionalFormatting>
  <conditionalFormatting sqref="B66:C66">
    <cfRule type="cellIs" dxfId="1277" priority="521" stopIfTrue="1" operator="equal">
      <formula>"Towel"</formula>
    </cfRule>
    <cfRule type="cellIs" dxfId="1276" priority="522" stopIfTrue="1" operator="equal">
      <formula>"Napkin Hs"</formula>
    </cfRule>
  </conditionalFormatting>
  <conditionalFormatting sqref="C66">
    <cfRule type="cellIs" dxfId="1275" priority="520" stopIfTrue="1" operator="equal">
      <formula>"Napkin Hs"</formula>
    </cfRule>
  </conditionalFormatting>
  <conditionalFormatting sqref="C66">
    <cfRule type="cellIs" dxfId="1274" priority="517" stopIfTrue="1" operator="equal">
      <formula>"Towel"</formula>
    </cfRule>
    <cfRule type="cellIs" dxfId="1273" priority="518" stopIfTrue="1" operator="equal">
      <formula>"Napkin Hs"</formula>
    </cfRule>
  </conditionalFormatting>
  <conditionalFormatting sqref="C66">
    <cfRule type="cellIs" dxfId="1272" priority="519" stopIfTrue="1" operator="equal">
      <formula>"Towel"</formula>
    </cfRule>
  </conditionalFormatting>
  <conditionalFormatting sqref="B67:C67">
    <cfRule type="cellIs" dxfId="1271" priority="515" stopIfTrue="1" operator="equal">
      <formula>"Towel"</formula>
    </cfRule>
    <cfRule type="cellIs" dxfId="1270" priority="516" stopIfTrue="1" operator="equal">
      <formula>"Napkin Hs"</formula>
    </cfRule>
  </conditionalFormatting>
  <conditionalFormatting sqref="C67">
    <cfRule type="cellIs" dxfId="1269" priority="511" stopIfTrue="1" operator="equal">
      <formula>"Towel"</formula>
    </cfRule>
    <cfRule type="cellIs" dxfId="1268" priority="512" stopIfTrue="1" operator="equal">
      <formula>"Napkin Hs"</formula>
    </cfRule>
  </conditionalFormatting>
  <conditionalFormatting sqref="C67">
    <cfRule type="cellIs" dxfId="1267" priority="514" stopIfTrue="1" operator="equal">
      <formula>"Napkin Hs"</formula>
    </cfRule>
  </conditionalFormatting>
  <conditionalFormatting sqref="C67">
    <cfRule type="cellIs" dxfId="1266" priority="513" stopIfTrue="1" operator="equal">
      <formula>"Towel"</formula>
    </cfRule>
  </conditionalFormatting>
  <conditionalFormatting sqref="B64:C65">
    <cfRule type="cellIs" dxfId="1265" priority="509" stopIfTrue="1" operator="equal">
      <formula>"Towel"</formula>
    </cfRule>
    <cfRule type="cellIs" dxfId="1264" priority="510" stopIfTrue="1" operator="equal">
      <formula>"Napkin Hs"</formula>
    </cfRule>
  </conditionalFormatting>
  <conditionalFormatting sqref="C64:C65">
    <cfRule type="cellIs" dxfId="1263" priority="508" stopIfTrue="1" operator="equal">
      <formula>"Napkin Hs"</formula>
    </cfRule>
  </conditionalFormatting>
  <conditionalFormatting sqref="C64:C65">
    <cfRule type="cellIs" dxfId="1262" priority="505" stopIfTrue="1" operator="equal">
      <formula>"Towel"</formula>
    </cfRule>
    <cfRule type="cellIs" dxfId="1261" priority="506" stopIfTrue="1" operator="equal">
      <formula>"Napkin Hs"</formula>
    </cfRule>
  </conditionalFormatting>
  <conditionalFormatting sqref="C64:C65">
    <cfRule type="cellIs" dxfId="1260" priority="507" stopIfTrue="1" operator="equal">
      <formula>"Towel"</formula>
    </cfRule>
  </conditionalFormatting>
  <conditionalFormatting sqref="B67:C67">
    <cfRule type="cellIs" dxfId="1259" priority="503" stopIfTrue="1" operator="equal">
      <formula>"Towel"</formula>
    </cfRule>
    <cfRule type="cellIs" dxfId="1258" priority="504" stopIfTrue="1" operator="equal">
      <formula>"Napkin Hs"</formula>
    </cfRule>
  </conditionalFormatting>
  <conditionalFormatting sqref="C67">
    <cfRule type="cellIs" dxfId="1257" priority="502" stopIfTrue="1" operator="equal">
      <formula>"Napkin Hs"</formula>
    </cfRule>
  </conditionalFormatting>
  <conditionalFormatting sqref="C67">
    <cfRule type="cellIs" dxfId="1256" priority="499" stopIfTrue="1" operator="equal">
      <formula>"Towel"</formula>
    </cfRule>
    <cfRule type="cellIs" dxfId="1255" priority="500" stopIfTrue="1" operator="equal">
      <formula>"Napkin Hs"</formula>
    </cfRule>
  </conditionalFormatting>
  <conditionalFormatting sqref="C67">
    <cfRule type="cellIs" dxfId="1254" priority="501" stopIfTrue="1" operator="equal">
      <formula>"Towel"</formula>
    </cfRule>
  </conditionalFormatting>
  <conditionalFormatting sqref="B66:C66">
    <cfRule type="cellIs" dxfId="1253" priority="497" stopIfTrue="1" operator="equal">
      <formula>"Towel"</formula>
    </cfRule>
    <cfRule type="cellIs" dxfId="1252" priority="498" stopIfTrue="1" operator="equal">
      <formula>"Napkin Hs"</formula>
    </cfRule>
  </conditionalFormatting>
  <conditionalFormatting sqref="C66">
    <cfRule type="cellIs" dxfId="1251" priority="496" stopIfTrue="1" operator="equal">
      <formula>"Napkin Hs"</formula>
    </cfRule>
  </conditionalFormatting>
  <conditionalFormatting sqref="C66">
    <cfRule type="cellIs" dxfId="1250" priority="493" stopIfTrue="1" operator="equal">
      <formula>"Towel"</formula>
    </cfRule>
    <cfRule type="cellIs" dxfId="1249" priority="494" stopIfTrue="1" operator="equal">
      <formula>"Napkin Hs"</formula>
    </cfRule>
  </conditionalFormatting>
  <conditionalFormatting sqref="C66">
    <cfRule type="cellIs" dxfId="1248" priority="495" stopIfTrue="1" operator="equal">
      <formula>"Towel"</formula>
    </cfRule>
  </conditionalFormatting>
  <conditionalFormatting sqref="B71:C71">
    <cfRule type="cellIs" dxfId="1247" priority="491" stopIfTrue="1" operator="equal">
      <formula>"Towel"</formula>
    </cfRule>
    <cfRule type="cellIs" dxfId="1246" priority="492" stopIfTrue="1" operator="equal">
      <formula>"Napkin Hs"</formula>
    </cfRule>
  </conditionalFormatting>
  <conditionalFormatting sqref="C71">
    <cfRule type="cellIs" dxfId="1245" priority="490" stopIfTrue="1" operator="equal">
      <formula>"Napkin Hs"</formula>
    </cfRule>
  </conditionalFormatting>
  <conditionalFormatting sqref="C71">
    <cfRule type="cellIs" dxfId="1244" priority="487" stopIfTrue="1" operator="equal">
      <formula>"Towel"</formula>
    </cfRule>
    <cfRule type="cellIs" dxfId="1243" priority="488" stopIfTrue="1" operator="equal">
      <formula>"Napkin Hs"</formula>
    </cfRule>
  </conditionalFormatting>
  <conditionalFormatting sqref="C71">
    <cfRule type="cellIs" dxfId="1242" priority="489" stopIfTrue="1" operator="equal">
      <formula>"Towel"</formula>
    </cfRule>
  </conditionalFormatting>
  <conditionalFormatting sqref="B72:C72">
    <cfRule type="cellIs" dxfId="1241" priority="485" stopIfTrue="1" operator="equal">
      <formula>"Towel"</formula>
    </cfRule>
    <cfRule type="cellIs" dxfId="1240" priority="486" stopIfTrue="1" operator="equal">
      <formula>"Napkin Hs"</formula>
    </cfRule>
  </conditionalFormatting>
  <conditionalFormatting sqref="C72">
    <cfRule type="cellIs" dxfId="1239" priority="481" stopIfTrue="1" operator="equal">
      <formula>"Towel"</formula>
    </cfRule>
    <cfRule type="cellIs" dxfId="1238" priority="482" stopIfTrue="1" operator="equal">
      <formula>"Napkin Hs"</formula>
    </cfRule>
  </conditionalFormatting>
  <conditionalFormatting sqref="C72">
    <cfRule type="cellIs" dxfId="1237" priority="484" stopIfTrue="1" operator="equal">
      <formula>"Napkin Hs"</formula>
    </cfRule>
  </conditionalFormatting>
  <conditionalFormatting sqref="C72">
    <cfRule type="cellIs" dxfId="1236" priority="483" stopIfTrue="1" operator="equal">
      <formula>"Towel"</formula>
    </cfRule>
  </conditionalFormatting>
  <conditionalFormatting sqref="B69:C70">
    <cfRule type="cellIs" dxfId="1235" priority="479" stopIfTrue="1" operator="equal">
      <formula>"Towel"</formula>
    </cfRule>
    <cfRule type="cellIs" dxfId="1234" priority="480" stopIfTrue="1" operator="equal">
      <formula>"Napkin Hs"</formula>
    </cfRule>
  </conditionalFormatting>
  <conditionalFormatting sqref="C69:C70">
    <cfRule type="cellIs" dxfId="1233" priority="478" stopIfTrue="1" operator="equal">
      <formula>"Napkin Hs"</formula>
    </cfRule>
  </conditionalFormatting>
  <conditionalFormatting sqref="C69:C70">
    <cfRule type="cellIs" dxfId="1232" priority="475" stopIfTrue="1" operator="equal">
      <formula>"Towel"</formula>
    </cfRule>
    <cfRule type="cellIs" dxfId="1231" priority="476" stopIfTrue="1" operator="equal">
      <formula>"Napkin Hs"</formula>
    </cfRule>
  </conditionalFormatting>
  <conditionalFormatting sqref="C69:C70">
    <cfRule type="cellIs" dxfId="1230" priority="477" stopIfTrue="1" operator="equal">
      <formula>"Towel"</formula>
    </cfRule>
  </conditionalFormatting>
  <conditionalFormatting sqref="B76:C76">
    <cfRule type="cellIs" dxfId="1229" priority="473" stopIfTrue="1" operator="equal">
      <formula>"Towel"</formula>
    </cfRule>
    <cfRule type="cellIs" dxfId="1228" priority="474" stopIfTrue="1" operator="equal">
      <formula>"Napkin Hs"</formula>
    </cfRule>
  </conditionalFormatting>
  <conditionalFormatting sqref="C76">
    <cfRule type="cellIs" dxfId="1227" priority="472" stopIfTrue="1" operator="equal">
      <formula>"Napkin Hs"</formula>
    </cfRule>
  </conditionalFormatting>
  <conditionalFormatting sqref="C76">
    <cfRule type="cellIs" dxfId="1226" priority="469" stopIfTrue="1" operator="equal">
      <formula>"Towel"</formula>
    </cfRule>
    <cfRule type="cellIs" dxfId="1225" priority="470" stopIfTrue="1" operator="equal">
      <formula>"Napkin Hs"</formula>
    </cfRule>
  </conditionalFormatting>
  <conditionalFormatting sqref="C76">
    <cfRule type="cellIs" dxfId="1224" priority="471" stopIfTrue="1" operator="equal">
      <formula>"Towel"</formula>
    </cfRule>
  </conditionalFormatting>
  <conditionalFormatting sqref="B77:C77">
    <cfRule type="cellIs" dxfId="1223" priority="467" stopIfTrue="1" operator="equal">
      <formula>"Towel"</formula>
    </cfRule>
    <cfRule type="cellIs" dxfId="1222" priority="468" stopIfTrue="1" operator="equal">
      <formula>"Napkin Hs"</formula>
    </cfRule>
  </conditionalFormatting>
  <conditionalFormatting sqref="C77">
    <cfRule type="cellIs" dxfId="1221" priority="463" stopIfTrue="1" operator="equal">
      <formula>"Towel"</formula>
    </cfRule>
    <cfRule type="cellIs" dxfId="1220" priority="464" stopIfTrue="1" operator="equal">
      <formula>"Napkin Hs"</formula>
    </cfRule>
  </conditionalFormatting>
  <conditionalFormatting sqref="C77">
    <cfRule type="cellIs" dxfId="1219" priority="466" stopIfTrue="1" operator="equal">
      <formula>"Napkin Hs"</formula>
    </cfRule>
  </conditionalFormatting>
  <conditionalFormatting sqref="C77">
    <cfRule type="cellIs" dxfId="1218" priority="465" stopIfTrue="1" operator="equal">
      <formula>"Towel"</formula>
    </cfRule>
  </conditionalFormatting>
  <conditionalFormatting sqref="B75:C75">
    <cfRule type="cellIs" dxfId="1217" priority="461" stopIfTrue="1" operator="equal">
      <formula>"Towel"</formula>
    </cfRule>
    <cfRule type="cellIs" dxfId="1216" priority="462" stopIfTrue="1" operator="equal">
      <formula>"Napkin Hs"</formula>
    </cfRule>
  </conditionalFormatting>
  <conditionalFormatting sqref="C75">
    <cfRule type="cellIs" dxfId="1215" priority="460" stopIfTrue="1" operator="equal">
      <formula>"Napkin Hs"</formula>
    </cfRule>
  </conditionalFormatting>
  <conditionalFormatting sqref="C75">
    <cfRule type="cellIs" dxfId="1214" priority="457" stopIfTrue="1" operator="equal">
      <formula>"Towel"</formula>
    </cfRule>
    <cfRule type="cellIs" dxfId="1213" priority="458" stopIfTrue="1" operator="equal">
      <formula>"Napkin Hs"</formula>
    </cfRule>
  </conditionalFormatting>
  <conditionalFormatting sqref="C75">
    <cfRule type="cellIs" dxfId="1212" priority="459" stopIfTrue="1" operator="equal">
      <formula>"Towel"</formula>
    </cfRule>
  </conditionalFormatting>
  <conditionalFormatting sqref="B74:C74">
    <cfRule type="cellIs" dxfId="1211" priority="455" stopIfTrue="1" operator="equal">
      <formula>"Towel"</formula>
    </cfRule>
    <cfRule type="cellIs" dxfId="1210" priority="456" stopIfTrue="1" operator="equal">
      <formula>"Napkin Hs"</formula>
    </cfRule>
  </conditionalFormatting>
  <conditionalFormatting sqref="C74">
    <cfRule type="cellIs" dxfId="1209" priority="454" stopIfTrue="1" operator="equal">
      <formula>"Napkin Hs"</formula>
    </cfRule>
  </conditionalFormatting>
  <conditionalFormatting sqref="C74">
    <cfRule type="cellIs" dxfId="1208" priority="451" stopIfTrue="1" operator="equal">
      <formula>"Towel"</formula>
    </cfRule>
    <cfRule type="cellIs" dxfId="1207" priority="452" stopIfTrue="1" operator="equal">
      <formula>"Napkin Hs"</formula>
    </cfRule>
  </conditionalFormatting>
  <conditionalFormatting sqref="C74">
    <cfRule type="cellIs" dxfId="1206" priority="453" stopIfTrue="1" operator="equal">
      <formula>"Towel"</formula>
    </cfRule>
  </conditionalFormatting>
  <conditionalFormatting sqref="B81:C81">
    <cfRule type="cellIs" dxfId="1205" priority="449" stopIfTrue="1" operator="equal">
      <formula>"Towel"</formula>
    </cfRule>
    <cfRule type="cellIs" dxfId="1204" priority="450" stopIfTrue="1" operator="equal">
      <formula>"Napkin Hs"</formula>
    </cfRule>
  </conditionalFormatting>
  <conditionalFormatting sqref="C81">
    <cfRule type="cellIs" dxfId="1203" priority="448" stopIfTrue="1" operator="equal">
      <formula>"Napkin Hs"</formula>
    </cfRule>
  </conditionalFormatting>
  <conditionalFormatting sqref="C81">
    <cfRule type="cellIs" dxfId="1202" priority="445" stopIfTrue="1" operator="equal">
      <formula>"Towel"</formula>
    </cfRule>
    <cfRule type="cellIs" dxfId="1201" priority="446" stopIfTrue="1" operator="equal">
      <formula>"Napkin Hs"</formula>
    </cfRule>
  </conditionalFormatting>
  <conditionalFormatting sqref="C81">
    <cfRule type="cellIs" dxfId="1200" priority="447" stopIfTrue="1" operator="equal">
      <formula>"Towel"</formula>
    </cfRule>
  </conditionalFormatting>
  <conditionalFormatting sqref="B82:C82">
    <cfRule type="cellIs" dxfId="1199" priority="443" stopIfTrue="1" operator="equal">
      <formula>"Towel"</formula>
    </cfRule>
    <cfRule type="cellIs" dxfId="1198" priority="444" stopIfTrue="1" operator="equal">
      <formula>"Napkin Hs"</formula>
    </cfRule>
  </conditionalFormatting>
  <conditionalFormatting sqref="C82">
    <cfRule type="cellIs" dxfId="1197" priority="439" stopIfTrue="1" operator="equal">
      <formula>"Towel"</formula>
    </cfRule>
    <cfRule type="cellIs" dxfId="1196" priority="440" stopIfTrue="1" operator="equal">
      <formula>"Napkin Hs"</formula>
    </cfRule>
  </conditionalFormatting>
  <conditionalFormatting sqref="C82">
    <cfRule type="cellIs" dxfId="1195" priority="442" stopIfTrue="1" operator="equal">
      <formula>"Napkin Hs"</formula>
    </cfRule>
  </conditionalFormatting>
  <conditionalFormatting sqref="C82">
    <cfRule type="cellIs" dxfId="1194" priority="441" stopIfTrue="1" operator="equal">
      <formula>"Towel"</formula>
    </cfRule>
  </conditionalFormatting>
  <conditionalFormatting sqref="B80:C80">
    <cfRule type="cellIs" dxfId="1193" priority="437" stopIfTrue="1" operator="equal">
      <formula>"Towel"</formula>
    </cfRule>
    <cfRule type="cellIs" dxfId="1192" priority="438" stopIfTrue="1" operator="equal">
      <formula>"Napkin Hs"</formula>
    </cfRule>
  </conditionalFormatting>
  <conditionalFormatting sqref="C80">
    <cfRule type="cellIs" dxfId="1191" priority="436" stopIfTrue="1" operator="equal">
      <formula>"Napkin Hs"</formula>
    </cfRule>
  </conditionalFormatting>
  <conditionalFormatting sqref="C80">
    <cfRule type="cellIs" dxfId="1190" priority="433" stopIfTrue="1" operator="equal">
      <formula>"Towel"</formula>
    </cfRule>
    <cfRule type="cellIs" dxfId="1189" priority="434" stopIfTrue="1" operator="equal">
      <formula>"Napkin Hs"</formula>
    </cfRule>
  </conditionalFormatting>
  <conditionalFormatting sqref="C80">
    <cfRule type="cellIs" dxfId="1188" priority="435" stopIfTrue="1" operator="equal">
      <formula>"Towel"</formula>
    </cfRule>
  </conditionalFormatting>
  <conditionalFormatting sqref="B79:C79">
    <cfRule type="cellIs" dxfId="1187" priority="431" stopIfTrue="1" operator="equal">
      <formula>"Towel"</formula>
    </cfRule>
    <cfRule type="cellIs" dxfId="1186" priority="432" stopIfTrue="1" operator="equal">
      <formula>"Napkin Hs"</formula>
    </cfRule>
  </conditionalFormatting>
  <conditionalFormatting sqref="C79">
    <cfRule type="cellIs" dxfId="1185" priority="430" stopIfTrue="1" operator="equal">
      <formula>"Napkin Hs"</formula>
    </cfRule>
  </conditionalFormatting>
  <conditionalFormatting sqref="C79">
    <cfRule type="cellIs" dxfId="1184" priority="427" stopIfTrue="1" operator="equal">
      <formula>"Towel"</formula>
    </cfRule>
    <cfRule type="cellIs" dxfId="1183" priority="428" stopIfTrue="1" operator="equal">
      <formula>"Napkin Hs"</formula>
    </cfRule>
  </conditionalFormatting>
  <conditionalFormatting sqref="C79">
    <cfRule type="cellIs" dxfId="1182" priority="429" stopIfTrue="1" operator="equal">
      <formula>"Towel"</formula>
    </cfRule>
  </conditionalFormatting>
  <conditionalFormatting sqref="B86:C86">
    <cfRule type="cellIs" dxfId="1181" priority="425" stopIfTrue="1" operator="equal">
      <formula>"Towel"</formula>
    </cfRule>
    <cfRule type="cellIs" dxfId="1180" priority="426" stopIfTrue="1" operator="equal">
      <formula>"Napkin Hs"</formula>
    </cfRule>
  </conditionalFormatting>
  <conditionalFormatting sqref="C86">
    <cfRule type="cellIs" dxfId="1179" priority="424" stopIfTrue="1" operator="equal">
      <formula>"Napkin Hs"</formula>
    </cfRule>
  </conditionalFormatting>
  <conditionalFormatting sqref="C86">
    <cfRule type="cellIs" dxfId="1178" priority="421" stopIfTrue="1" operator="equal">
      <formula>"Towel"</formula>
    </cfRule>
    <cfRule type="cellIs" dxfId="1177" priority="422" stopIfTrue="1" operator="equal">
      <formula>"Napkin Hs"</formula>
    </cfRule>
  </conditionalFormatting>
  <conditionalFormatting sqref="C86">
    <cfRule type="cellIs" dxfId="1176" priority="423" stopIfTrue="1" operator="equal">
      <formula>"Towel"</formula>
    </cfRule>
  </conditionalFormatting>
  <conditionalFormatting sqref="B87:C87">
    <cfRule type="cellIs" dxfId="1175" priority="419" stopIfTrue="1" operator="equal">
      <formula>"Towel"</formula>
    </cfRule>
    <cfRule type="cellIs" dxfId="1174" priority="420" stopIfTrue="1" operator="equal">
      <formula>"Napkin Hs"</formula>
    </cfRule>
  </conditionalFormatting>
  <conditionalFormatting sqref="C87">
    <cfRule type="cellIs" dxfId="1173" priority="415" stopIfTrue="1" operator="equal">
      <formula>"Towel"</formula>
    </cfRule>
    <cfRule type="cellIs" dxfId="1172" priority="416" stopIfTrue="1" operator="equal">
      <formula>"Napkin Hs"</formula>
    </cfRule>
  </conditionalFormatting>
  <conditionalFormatting sqref="C87">
    <cfRule type="cellIs" dxfId="1171" priority="418" stopIfTrue="1" operator="equal">
      <formula>"Napkin Hs"</formula>
    </cfRule>
  </conditionalFormatting>
  <conditionalFormatting sqref="C87">
    <cfRule type="cellIs" dxfId="1170" priority="417" stopIfTrue="1" operator="equal">
      <formula>"Towel"</formula>
    </cfRule>
  </conditionalFormatting>
  <conditionalFormatting sqref="B85:C85">
    <cfRule type="cellIs" dxfId="1169" priority="413" stopIfTrue="1" operator="equal">
      <formula>"Towel"</formula>
    </cfRule>
    <cfRule type="cellIs" dxfId="1168" priority="414" stopIfTrue="1" operator="equal">
      <formula>"Napkin Hs"</formula>
    </cfRule>
  </conditionalFormatting>
  <conditionalFormatting sqref="C85">
    <cfRule type="cellIs" dxfId="1167" priority="412" stopIfTrue="1" operator="equal">
      <formula>"Napkin Hs"</formula>
    </cfRule>
  </conditionalFormatting>
  <conditionalFormatting sqref="C85">
    <cfRule type="cellIs" dxfId="1166" priority="409" stopIfTrue="1" operator="equal">
      <formula>"Towel"</formula>
    </cfRule>
    <cfRule type="cellIs" dxfId="1165" priority="410" stopIfTrue="1" operator="equal">
      <formula>"Napkin Hs"</formula>
    </cfRule>
  </conditionalFormatting>
  <conditionalFormatting sqref="C85">
    <cfRule type="cellIs" dxfId="1164" priority="411" stopIfTrue="1" operator="equal">
      <formula>"Towel"</formula>
    </cfRule>
  </conditionalFormatting>
  <conditionalFormatting sqref="B84:C84">
    <cfRule type="cellIs" dxfId="1163" priority="407" stopIfTrue="1" operator="equal">
      <formula>"Towel"</formula>
    </cfRule>
    <cfRule type="cellIs" dxfId="1162" priority="408" stopIfTrue="1" operator="equal">
      <formula>"Napkin Hs"</formula>
    </cfRule>
  </conditionalFormatting>
  <conditionalFormatting sqref="C84">
    <cfRule type="cellIs" dxfId="1161" priority="406" stopIfTrue="1" operator="equal">
      <formula>"Napkin Hs"</formula>
    </cfRule>
  </conditionalFormatting>
  <conditionalFormatting sqref="C84">
    <cfRule type="cellIs" dxfId="1160" priority="403" stopIfTrue="1" operator="equal">
      <formula>"Towel"</formula>
    </cfRule>
    <cfRule type="cellIs" dxfId="1159" priority="404" stopIfTrue="1" operator="equal">
      <formula>"Napkin Hs"</formula>
    </cfRule>
  </conditionalFormatting>
  <conditionalFormatting sqref="C84">
    <cfRule type="cellIs" dxfId="1158" priority="405" stopIfTrue="1" operator="equal">
      <formula>"Towel"</formula>
    </cfRule>
  </conditionalFormatting>
  <conditionalFormatting sqref="B91:C91">
    <cfRule type="cellIs" dxfId="1157" priority="401" stopIfTrue="1" operator="equal">
      <formula>"Towel"</formula>
    </cfRule>
    <cfRule type="cellIs" dxfId="1156" priority="402" stopIfTrue="1" operator="equal">
      <formula>"Napkin Hs"</formula>
    </cfRule>
  </conditionalFormatting>
  <conditionalFormatting sqref="C91">
    <cfRule type="cellIs" dxfId="1155" priority="400" stopIfTrue="1" operator="equal">
      <formula>"Napkin Hs"</formula>
    </cfRule>
  </conditionalFormatting>
  <conditionalFormatting sqref="C91">
    <cfRule type="cellIs" dxfId="1154" priority="397" stopIfTrue="1" operator="equal">
      <formula>"Towel"</formula>
    </cfRule>
    <cfRule type="cellIs" dxfId="1153" priority="398" stopIfTrue="1" operator="equal">
      <formula>"Napkin Hs"</formula>
    </cfRule>
  </conditionalFormatting>
  <conditionalFormatting sqref="C91">
    <cfRule type="cellIs" dxfId="1152" priority="399" stopIfTrue="1" operator="equal">
      <formula>"Towel"</formula>
    </cfRule>
  </conditionalFormatting>
  <conditionalFormatting sqref="B92:C92">
    <cfRule type="cellIs" dxfId="1151" priority="395" stopIfTrue="1" operator="equal">
      <formula>"Towel"</formula>
    </cfRule>
    <cfRule type="cellIs" dxfId="1150" priority="396" stopIfTrue="1" operator="equal">
      <formula>"Napkin Hs"</formula>
    </cfRule>
  </conditionalFormatting>
  <conditionalFormatting sqref="C92">
    <cfRule type="cellIs" dxfId="1149" priority="391" stopIfTrue="1" operator="equal">
      <formula>"Towel"</formula>
    </cfRule>
    <cfRule type="cellIs" dxfId="1148" priority="392" stopIfTrue="1" operator="equal">
      <formula>"Napkin Hs"</formula>
    </cfRule>
  </conditionalFormatting>
  <conditionalFormatting sqref="C92">
    <cfRule type="cellIs" dxfId="1147" priority="394" stopIfTrue="1" operator="equal">
      <formula>"Napkin Hs"</formula>
    </cfRule>
  </conditionalFormatting>
  <conditionalFormatting sqref="C92">
    <cfRule type="cellIs" dxfId="1146" priority="393" stopIfTrue="1" operator="equal">
      <formula>"Towel"</formula>
    </cfRule>
  </conditionalFormatting>
  <conditionalFormatting sqref="B89:C90">
    <cfRule type="cellIs" dxfId="1145" priority="383" stopIfTrue="1" operator="equal">
      <formula>"Towel"</formula>
    </cfRule>
    <cfRule type="cellIs" dxfId="1144" priority="384" stopIfTrue="1" operator="equal">
      <formula>"Napkin Hs"</formula>
    </cfRule>
  </conditionalFormatting>
  <conditionalFormatting sqref="C89:C90">
    <cfRule type="cellIs" dxfId="1143" priority="382" stopIfTrue="1" operator="equal">
      <formula>"Napkin Hs"</formula>
    </cfRule>
  </conditionalFormatting>
  <conditionalFormatting sqref="C89:C90">
    <cfRule type="cellIs" dxfId="1142" priority="379" stopIfTrue="1" operator="equal">
      <formula>"Towel"</formula>
    </cfRule>
    <cfRule type="cellIs" dxfId="1141" priority="380" stopIfTrue="1" operator="equal">
      <formula>"Napkin Hs"</formula>
    </cfRule>
  </conditionalFormatting>
  <conditionalFormatting sqref="C89:C90">
    <cfRule type="cellIs" dxfId="1140" priority="381" stopIfTrue="1" operator="equal">
      <formula>"Towel"</formula>
    </cfRule>
  </conditionalFormatting>
  <conditionalFormatting sqref="B98:C98">
    <cfRule type="cellIs" dxfId="1139" priority="377" stopIfTrue="1" operator="equal">
      <formula>"Towel"</formula>
    </cfRule>
    <cfRule type="cellIs" dxfId="1138" priority="378" stopIfTrue="1" operator="equal">
      <formula>"Napkin Hs"</formula>
    </cfRule>
  </conditionalFormatting>
  <conditionalFormatting sqref="C98">
    <cfRule type="cellIs" dxfId="1137" priority="375" stopIfTrue="1" operator="equal">
      <formula>"Towel"</formula>
    </cfRule>
    <cfRule type="cellIs" dxfId="1136" priority="376" stopIfTrue="1" operator="equal">
      <formula>"Napkin Hs"</formula>
    </cfRule>
  </conditionalFormatting>
  <conditionalFormatting sqref="C98">
    <cfRule type="cellIs" dxfId="1135" priority="373" stopIfTrue="1" operator="equal">
      <formula>"Towel"</formula>
    </cfRule>
    <cfRule type="cellIs" dxfId="1134" priority="374" stopIfTrue="1" operator="equal">
      <formula>"Napkin Hs"</formula>
    </cfRule>
  </conditionalFormatting>
  <conditionalFormatting sqref="B96:C96">
    <cfRule type="cellIs" dxfId="1133" priority="371" stopIfTrue="1" operator="equal">
      <formula>"Towel"</formula>
    </cfRule>
    <cfRule type="cellIs" dxfId="1132" priority="372" stopIfTrue="1" operator="equal">
      <formula>"Napkin Hs"</formula>
    </cfRule>
  </conditionalFormatting>
  <conditionalFormatting sqref="C96">
    <cfRule type="cellIs" dxfId="1131" priority="370" stopIfTrue="1" operator="equal">
      <formula>"Napkin Hs"</formula>
    </cfRule>
  </conditionalFormatting>
  <conditionalFormatting sqref="C96">
    <cfRule type="cellIs" dxfId="1130" priority="367" stopIfTrue="1" operator="equal">
      <formula>"Towel"</formula>
    </cfRule>
    <cfRule type="cellIs" dxfId="1129" priority="368" stopIfTrue="1" operator="equal">
      <formula>"Napkin Hs"</formula>
    </cfRule>
  </conditionalFormatting>
  <conditionalFormatting sqref="C96">
    <cfRule type="cellIs" dxfId="1128" priority="369" stopIfTrue="1" operator="equal">
      <formula>"Towel"</formula>
    </cfRule>
  </conditionalFormatting>
  <conditionalFormatting sqref="B97:C97">
    <cfRule type="cellIs" dxfId="1127" priority="365" stopIfTrue="1" operator="equal">
      <formula>"Towel"</formula>
    </cfRule>
    <cfRule type="cellIs" dxfId="1126" priority="366" stopIfTrue="1" operator="equal">
      <formula>"Napkin Hs"</formula>
    </cfRule>
  </conditionalFormatting>
  <conditionalFormatting sqref="C97">
    <cfRule type="cellIs" dxfId="1125" priority="361" stopIfTrue="1" operator="equal">
      <formula>"Towel"</formula>
    </cfRule>
    <cfRule type="cellIs" dxfId="1124" priority="362" stopIfTrue="1" operator="equal">
      <formula>"Napkin Hs"</formula>
    </cfRule>
  </conditionalFormatting>
  <conditionalFormatting sqref="C97">
    <cfRule type="cellIs" dxfId="1123" priority="364" stopIfTrue="1" operator="equal">
      <formula>"Napkin Hs"</formula>
    </cfRule>
  </conditionalFormatting>
  <conditionalFormatting sqref="C97">
    <cfRule type="cellIs" dxfId="1122" priority="363" stopIfTrue="1" operator="equal">
      <formula>"Towel"</formula>
    </cfRule>
  </conditionalFormatting>
  <conditionalFormatting sqref="B95:C95">
    <cfRule type="cellIs" dxfId="1121" priority="359" stopIfTrue="1" operator="equal">
      <formula>"Towel"</formula>
    </cfRule>
    <cfRule type="cellIs" dxfId="1120" priority="360" stopIfTrue="1" operator="equal">
      <formula>"Napkin Hs"</formula>
    </cfRule>
  </conditionalFormatting>
  <conditionalFormatting sqref="C95">
    <cfRule type="cellIs" dxfId="1119" priority="358" stopIfTrue="1" operator="equal">
      <formula>"Napkin Hs"</formula>
    </cfRule>
  </conditionalFormatting>
  <conditionalFormatting sqref="C95">
    <cfRule type="cellIs" dxfId="1118" priority="355" stopIfTrue="1" operator="equal">
      <formula>"Towel"</formula>
    </cfRule>
    <cfRule type="cellIs" dxfId="1117" priority="356" stopIfTrue="1" operator="equal">
      <formula>"Napkin Hs"</formula>
    </cfRule>
  </conditionalFormatting>
  <conditionalFormatting sqref="C95">
    <cfRule type="cellIs" dxfId="1116" priority="357" stopIfTrue="1" operator="equal">
      <formula>"Towel"</formula>
    </cfRule>
  </conditionalFormatting>
  <conditionalFormatting sqref="B94:C94">
    <cfRule type="cellIs" dxfId="1115" priority="353" stopIfTrue="1" operator="equal">
      <formula>"Towel"</formula>
    </cfRule>
    <cfRule type="cellIs" dxfId="1114" priority="354" stopIfTrue="1" operator="equal">
      <formula>"Napkin Hs"</formula>
    </cfRule>
  </conditionalFormatting>
  <conditionalFormatting sqref="C94">
    <cfRule type="cellIs" dxfId="1113" priority="352" stopIfTrue="1" operator="equal">
      <formula>"Napkin Hs"</formula>
    </cfRule>
  </conditionalFormatting>
  <conditionalFormatting sqref="C94">
    <cfRule type="cellIs" dxfId="1112" priority="349" stopIfTrue="1" operator="equal">
      <formula>"Towel"</formula>
    </cfRule>
    <cfRule type="cellIs" dxfId="1111" priority="350" stopIfTrue="1" operator="equal">
      <formula>"Napkin Hs"</formula>
    </cfRule>
  </conditionalFormatting>
  <conditionalFormatting sqref="C94">
    <cfRule type="cellIs" dxfId="1110" priority="351" stopIfTrue="1" operator="equal">
      <formula>"Towel"</formula>
    </cfRule>
  </conditionalFormatting>
  <conditionalFormatting sqref="B101:C101">
    <cfRule type="cellIs" dxfId="1109" priority="347" stopIfTrue="1" operator="equal">
      <formula>"Towel"</formula>
    </cfRule>
    <cfRule type="cellIs" dxfId="1108" priority="348" stopIfTrue="1" operator="equal">
      <formula>"Napkin Hs"</formula>
    </cfRule>
  </conditionalFormatting>
  <conditionalFormatting sqref="C101">
    <cfRule type="cellIs" dxfId="1107" priority="346" stopIfTrue="1" operator="equal">
      <formula>"Napkin Hs"</formula>
    </cfRule>
  </conditionalFormatting>
  <conditionalFormatting sqref="C101">
    <cfRule type="cellIs" dxfId="1106" priority="343" stopIfTrue="1" operator="equal">
      <formula>"Towel"</formula>
    </cfRule>
    <cfRule type="cellIs" dxfId="1105" priority="344" stopIfTrue="1" operator="equal">
      <formula>"Napkin Hs"</formula>
    </cfRule>
  </conditionalFormatting>
  <conditionalFormatting sqref="C101">
    <cfRule type="cellIs" dxfId="1104" priority="345" stopIfTrue="1" operator="equal">
      <formula>"Towel"</formula>
    </cfRule>
  </conditionalFormatting>
  <conditionalFormatting sqref="B102:C102">
    <cfRule type="cellIs" dxfId="1103" priority="341" stopIfTrue="1" operator="equal">
      <formula>"Towel"</formula>
    </cfRule>
    <cfRule type="cellIs" dxfId="1102" priority="342" stopIfTrue="1" operator="equal">
      <formula>"Napkin Hs"</formula>
    </cfRule>
  </conditionalFormatting>
  <conditionalFormatting sqref="C102">
    <cfRule type="cellIs" dxfId="1101" priority="337" stopIfTrue="1" operator="equal">
      <formula>"Towel"</formula>
    </cfRule>
    <cfRule type="cellIs" dxfId="1100" priority="338" stopIfTrue="1" operator="equal">
      <formula>"Napkin Hs"</formula>
    </cfRule>
  </conditionalFormatting>
  <conditionalFormatting sqref="C102">
    <cfRule type="cellIs" dxfId="1099" priority="340" stopIfTrue="1" operator="equal">
      <formula>"Napkin Hs"</formula>
    </cfRule>
  </conditionalFormatting>
  <conditionalFormatting sqref="C102">
    <cfRule type="cellIs" dxfId="1098" priority="339" stopIfTrue="1" operator="equal">
      <formula>"Towel"</formula>
    </cfRule>
  </conditionalFormatting>
  <conditionalFormatting sqref="B100:C100">
    <cfRule type="cellIs" dxfId="1097" priority="335" stopIfTrue="1" operator="equal">
      <formula>"Towel"</formula>
    </cfRule>
    <cfRule type="cellIs" dxfId="1096" priority="336" stopIfTrue="1" operator="equal">
      <formula>"Napkin Hs"</formula>
    </cfRule>
  </conditionalFormatting>
  <conditionalFormatting sqref="C100">
    <cfRule type="cellIs" dxfId="1095" priority="334" stopIfTrue="1" operator="equal">
      <formula>"Napkin Hs"</formula>
    </cfRule>
  </conditionalFormatting>
  <conditionalFormatting sqref="C100">
    <cfRule type="cellIs" dxfId="1094" priority="331" stopIfTrue="1" operator="equal">
      <formula>"Towel"</formula>
    </cfRule>
    <cfRule type="cellIs" dxfId="1093" priority="332" stopIfTrue="1" operator="equal">
      <formula>"Napkin Hs"</formula>
    </cfRule>
  </conditionalFormatting>
  <conditionalFormatting sqref="C100">
    <cfRule type="cellIs" dxfId="1092" priority="333" stopIfTrue="1" operator="equal">
      <formula>"Towel"</formula>
    </cfRule>
  </conditionalFormatting>
  <conditionalFormatting sqref="B99:C99">
    <cfRule type="cellIs" dxfId="1091" priority="323" stopIfTrue="1" operator="equal">
      <formula>"Towel"</formula>
    </cfRule>
    <cfRule type="cellIs" dxfId="1090" priority="324" stopIfTrue="1" operator="equal">
      <formula>"Napkin Hs"</formula>
    </cfRule>
  </conditionalFormatting>
  <conditionalFormatting sqref="C99">
    <cfRule type="cellIs" dxfId="1089" priority="322" stopIfTrue="1" operator="equal">
      <formula>"Napkin Hs"</formula>
    </cfRule>
  </conditionalFormatting>
  <conditionalFormatting sqref="C99">
    <cfRule type="cellIs" dxfId="1088" priority="319" stopIfTrue="1" operator="equal">
      <formula>"Towel"</formula>
    </cfRule>
    <cfRule type="cellIs" dxfId="1087" priority="320" stopIfTrue="1" operator="equal">
      <formula>"Napkin Hs"</formula>
    </cfRule>
  </conditionalFormatting>
  <conditionalFormatting sqref="C99">
    <cfRule type="cellIs" dxfId="1086" priority="321" stopIfTrue="1" operator="equal">
      <formula>"Towel"</formula>
    </cfRule>
  </conditionalFormatting>
  <conditionalFormatting sqref="B107:C107">
    <cfRule type="cellIs" dxfId="1085" priority="317" stopIfTrue="1" operator="equal">
      <formula>"Towel"</formula>
    </cfRule>
    <cfRule type="cellIs" dxfId="1084" priority="318" stopIfTrue="1" operator="equal">
      <formula>"Napkin Hs"</formula>
    </cfRule>
  </conditionalFormatting>
  <conditionalFormatting sqref="C107">
    <cfRule type="cellIs" dxfId="1083" priority="316" stopIfTrue="1" operator="equal">
      <formula>"Napkin Hs"</formula>
    </cfRule>
  </conditionalFormatting>
  <conditionalFormatting sqref="C107">
    <cfRule type="cellIs" dxfId="1082" priority="313" stopIfTrue="1" operator="equal">
      <formula>"Towel"</formula>
    </cfRule>
    <cfRule type="cellIs" dxfId="1081" priority="314" stopIfTrue="1" operator="equal">
      <formula>"Napkin Hs"</formula>
    </cfRule>
  </conditionalFormatting>
  <conditionalFormatting sqref="C107">
    <cfRule type="cellIs" dxfId="1080" priority="315" stopIfTrue="1" operator="equal">
      <formula>"Towel"</formula>
    </cfRule>
  </conditionalFormatting>
  <conditionalFormatting sqref="B108:C108">
    <cfRule type="cellIs" dxfId="1079" priority="311" stopIfTrue="1" operator="equal">
      <formula>"Towel"</formula>
    </cfRule>
    <cfRule type="cellIs" dxfId="1078" priority="312" stopIfTrue="1" operator="equal">
      <formula>"Napkin Hs"</formula>
    </cfRule>
  </conditionalFormatting>
  <conditionalFormatting sqref="C108">
    <cfRule type="cellIs" dxfId="1077" priority="307" stopIfTrue="1" operator="equal">
      <formula>"Towel"</formula>
    </cfRule>
    <cfRule type="cellIs" dxfId="1076" priority="308" stopIfTrue="1" operator="equal">
      <formula>"Napkin Hs"</formula>
    </cfRule>
  </conditionalFormatting>
  <conditionalFormatting sqref="C108">
    <cfRule type="cellIs" dxfId="1075" priority="310" stopIfTrue="1" operator="equal">
      <formula>"Napkin Hs"</formula>
    </cfRule>
  </conditionalFormatting>
  <conditionalFormatting sqref="C108">
    <cfRule type="cellIs" dxfId="1074" priority="309" stopIfTrue="1" operator="equal">
      <formula>"Towel"</formula>
    </cfRule>
  </conditionalFormatting>
  <conditionalFormatting sqref="B105:C106">
    <cfRule type="cellIs" dxfId="1073" priority="299" stopIfTrue="1" operator="equal">
      <formula>"Towel"</formula>
    </cfRule>
    <cfRule type="cellIs" dxfId="1072" priority="300" stopIfTrue="1" operator="equal">
      <formula>"Napkin Hs"</formula>
    </cfRule>
  </conditionalFormatting>
  <conditionalFormatting sqref="C105:C106">
    <cfRule type="cellIs" dxfId="1071" priority="298" stopIfTrue="1" operator="equal">
      <formula>"Napkin Hs"</formula>
    </cfRule>
  </conditionalFormatting>
  <conditionalFormatting sqref="C105:C106">
    <cfRule type="cellIs" dxfId="1070" priority="295" stopIfTrue="1" operator="equal">
      <formula>"Towel"</formula>
    </cfRule>
    <cfRule type="cellIs" dxfId="1069" priority="296" stopIfTrue="1" operator="equal">
      <formula>"Napkin Hs"</formula>
    </cfRule>
  </conditionalFormatting>
  <conditionalFormatting sqref="C105:C106">
    <cfRule type="cellIs" dxfId="1068" priority="297" stopIfTrue="1" operator="equal">
      <formula>"Towel"</formula>
    </cfRule>
  </conditionalFormatting>
  <conditionalFormatting sqref="B111:C111">
    <cfRule type="cellIs" dxfId="1067" priority="293" stopIfTrue="1" operator="equal">
      <formula>"Towel"</formula>
    </cfRule>
    <cfRule type="cellIs" dxfId="1066" priority="294" stopIfTrue="1" operator="equal">
      <formula>"Napkin Hs"</formula>
    </cfRule>
  </conditionalFormatting>
  <conditionalFormatting sqref="C111">
    <cfRule type="cellIs" dxfId="1065" priority="292" stopIfTrue="1" operator="equal">
      <formula>"Napkin Hs"</formula>
    </cfRule>
  </conditionalFormatting>
  <conditionalFormatting sqref="C111">
    <cfRule type="cellIs" dxfId="1064" priority="289" stopIfTrue="1" operator="equal">
      <formula>"Towel"</formula>
    </cfRule>
    <cfRule type="cellIs" dxfId="1063" priority="290" stopIfTrue="1" operator="equal">
      <formula>"Napkin Hs"</formula>
    </cfRule>
  </conditionalFormatting>
  <conditionalFormatting sqref="C111">
    <cfRule type="cellIs" dxfId="1062" priority="291" stopIfTrue="1" operator="equal">
      <formula>"Towel"</formula>
    </cfRule>
  </conditionalFormatting>
  <conditionalFormatting sqref="B112:C112">
    <cfRule type="cellIs" dxfId="1061" priority="287" stopIfTrue="1" operator="equal">
      <formula>"Towel"</formula>
    </cfRule>
    <cfRule type="cellIs" dxfId="1060" priority="288" stopIfTrue="1" operator="equal">
      <formula>"Napkin Hs"</formula>
    </cfRule>
  </conditionalFormatting>
  <conditionalFormatting sqref="C112">
    <cfRule type="cellIs" dxfId="1059" priority="283" stopIfTrue="1" operator="equal">
      <formula>"Towel"</formula>
    </cfRule>
    <cfRule type="cellIs" dxfId="1058" priority="284" stopIfTrue="1" operator="equal">
      <formula>"Napkin Hs"</formula>
    </cfRule>
  </conditionalFormatting>
  <conditionalFormatting sqref="C112">
    <cfRule type="cellIs" dxfId="1057" priority="286" stopIfTrue="1" operator="equal">
      <formula>"Napkin Hs"</formula>
    </cfRule>
  </conditionalFormatting>
  <conditionalFormatting sqref="C112">
    <cfRule type="cellIs" dxfId="1056" priority="285" stopIfTrue="1" operator="equal">
      <formula>"Towel"</formula>
    </cfRule>
  </conditionalFormatting>
  <conditionalFormatting sqref="B109:C110">
    <cfRule type="cellIs" dxfId="1055" priority="281" stopIfTrue="1" operator="equal">
      <formula>"Towel"</formula>
    </cfRule>
    <cfRule type="cellIs" dxfId="1054" priority="282" stopIfTrue="1" operator="equal">
      <formula>"Napkin Hs"</formula>
    </cfRule>
  </conditionalFormatting>
  <conditionalFormatting sqref="C109:C110">
    <cfRule type="cellIs" dxfId="1053" priority="280" stopIfTrue="1" operator="equal">
      <formula>"Napkin Hs"</formula>
    </cfRule>
  </conditionalFormatting>
  <conditionalFormatting sqref="C109:C110">
    <cfRule type="cellIs" dxfId="1052" priority="277" stopIfTrue="1" operator="equal">
      <formula>"Towel"</formula>
    </cfRule>
    <cfRule type="cellIs" dxfId="1051" priority="278" stopIfTrue="1" operator="equal">
      <formula>"Napkin Hs"</formula>
    </cfRule>
  </conditionalFormatting>
  <conditionalFormatting sqref="C109:C110">
    <cfRule type="cellIs" dxfId="1050" priority="279" stopIfTrue="1" operator="equal">
      <formula>"Towel"</formula>
    </cfRule>
  </conditionalFormatting>
  <conditionalFormatting sqref="B115:C115">
    <cfRule type="cellIs" dxfId="1049" priority="275" stopIfTrue="1" operator="equal">
      <formula>"Towel"</formula>
    </cfRule>
    <cfRule type="cellIs" dxfId="1048" priority="276" stopIfTrue="1" operator="equal">
      <formula>"Napkin Hs"</formula>
    </cfRule>
  </conditionalFormatting>
  <conditionalFormatting sqref="C115">
    <cfRule type="cellIs" dxfId="1047" priority="274" stopIfTrue="1" operator="equal">
      <formula>"Napkin Hs"</formula>
    </cfRule>
  </conditionalFormatting>
  <conditionalFormatting sqref="C115">
    <cfRule type="cellIs" dxfId="1046" priority="271" stopIfTrue="1" operator="equal">
      <formula>"Towel"</formula>
    </cfRule>
    <cfRule type="cellIs" dxfId="1045" priority="272" stopIfTrue="1" operator="equal">
      <formula>"Napkin Hs"</formula>
    </cfRule>
  </conditionalFormatting>
  <conditionalFormatting sqref="C115">
    <cfRule type="cellIs" dxfId="1044" priority="273" stopIfTrue="1" operator="equal">
      <formula>"Towel"</formula>
    </cfRule>
  </conditionalFormatting>
  <conditionalFormatting sqref="B116:C116">
    <cfRule type="cellIs" dxfId="1043" priority="269" stopIfTrue="1" operator="equal">
      <formula>"Towel"</formula>
    </cfRule>
    <cfRule type="cellIs" dxfId="1042" priority="270" stopIfTrue="1" operator="equal">
      <formula>"Napkin Hs"</formula>
    </cfRule>
  </conditionalFormatting>
  <conditionalFormatting sqref="C116">
    <cfRule type="cellIs" dxfId="1041" priority="265" stopIfTrue="1" operator="equal">
      <formula>"Towel"</formula>
    </cfRule>
    <cfRule type="cellIs" dxfId="1040" priority="266" stopIfTrue="1" operator="equal">
      <formula>"Napkin Hs"</formula>
    </cfRule>
  </conditionalFormatting>
  <conditionalFormatting sqref="C116">
    <cfRule type="cellIs" dxfId="1039" priority="268" stopIfTrue="1" operator="equal">
      <formula>"Napkin Hs"</formula>
    </cfRule>
  </conditionalFormatting>
  <conditionalFormatting sqref="C116">
    <cfRule type="cellIs" dxfId="1038" priority="267" stopIfTrue="1" operator="equal">
      <formula>"Towel"</formula>
    </cfRule>
  </conditionalFormatting>
  <conditionalFormatting sqref="B114:C114">
    <cfRule type="cellIs" dxfId="1037" priority="263" stopIfTrue="1" operator="equal">
      <formula>"Towel"</formula>
    </cfRule>
    <cfRule type="cellIs" dxfId="1036" priority="264" stopIfTrue="1" operator="equal">
      <formula>"Napkin Hs"</formula>
    </cfRule>
  </conditionalFormatting>
  <conditionalFormatting sqref="C114">
    <cfRule type="cellIs" dxfId="1035" priority="262" stopIfTrue="1" operator="equal">
      <formula>"Napkin Hs"</formula>
    </cfRule>
  </conditionalFormatting>
  <conditionalFormatting sqref="C114">
    <cfRule type="cellIs" dxfId="1034" priority="259" stopIfTrue="1" operator="equal">
      <formula>"Towel"</formula>
    </cfRule>
    <cfRule type="cellIs" dxfId="1033" priority="260" stopIfTrue="1" operator="equal">
      <formula>"Napkin Hs"</formula>
    </cfRule>
  </conditionalFormatting>
  <conditionalFormatting sqref="C114">
    <cfRule type="cellIs" dxfId="1032" priority="261" stopIfTrue="1" operator="equal">
      <formula>"Towel"</formula>
    </cfRule>
  </conditionalFormatting>
  <conditionalFormatting sqref="B113:C113">
    <cfRule type="cellIs" dxfId="1031" priority="257" stopIfTrue="1" operator="equal">
      <formula>"Towel"</formula>
    </cfRule>
    <cfRule type="cellIs" dxfId="1030" priority="258" stopIfTrue="1" operator="equal">
      <formula>"Napkin Hs"</formula>
    </cfRule>
  </conditionalFormatting>
  <conditionalFormatting sqref="C113">
    <cfRule type="cellIs" dxfId="1029" priority="256" stopIfTrue="1" operator="equal">
      <formula>"Napkin Hs"</formula>
    </cfRule>
  </conditionalFormatting>
  <conditionalFormatting sqref="C113">
    <cfRule type="cellIs" dxfId="1028" priority="253" stopIfTrue="1" operator="equal">
      <formula>"Towel"</formula>
    </cfRule>
    <cfRule type="cellIs" dxfId="1027" priority="254" stopIfTrue="1" operator="equal">
      <formula>"Napkin Hs"</formula>
    </cfRule>
  </conditionalFormatting>
  <conditionalFormatting sqref="C113">
    <cfRule type="cellIs" dxfId="1026" priority="255" stopIfTrue="1" operator="equal">
      <formula>"Towel"</formula>
    </cfRule>
  </conditionalFormatting>
  <conditionalFormatting sqref="B119:C119">
    <cfRule type="cellIs" dxfId="1025" priority="251" stopIfTrue="1" operator="equal">
      <formula>"Towel"</formula>
    </cfRule>
    <cfRule type="cellIs" dxfId="1024" priority="252" stopIfTrue="1" operator="equal">
      <formula>"Napkin Hs"</formula>
    </cfRule>
  </conditionalFormatting>
  <conditionalFormatting sqref="C119">
    <cfRule type="cellIs" dxfId="1023" priority="250" stopIfTrue="1" operator="equal">
      <formula>"Napkin Hs"</formula>
    </cfRule>
  </conditionalFormatting>
  <conditionalFormatting sqref="C119">
    <cfRule type="cellIs" dxfId="1022" priority="247" stopIfTrue="1" operator="equal">
      <formula>"Towel"</formula>
    </cfRule>
    <cfRule type="cellIs" dxfId="1021" priority="248" stopIfTrue="1" operator="equal">
      <formula>"Napkin Hs"</formula>
    </cfRule>
  </conditionalFormatting>
  <conditionalFormatting sqref="C119">
    <cfRule type="cellIs" dxfId="1020" priority="249" stopIfTrue="1" operator="equal">
      <formula>"Towel"</formula>
    </cfRule>
  </conditionalFormatting>
  <conditionalFormatting sqref="B120:C120">
    <cfRule type="cellIs" dxfId="1019" priority="245" stopIfTrue="1" operator="equal">
      <formula>"Towel"</formula>
    </cfRule>
    <cfRule type="cellIs" dxfId="1018" priority="246" stopIfTrue="1" operator="equal">
      <formula>"Napkin Hs"</formula>
    </cfRule>
  </conditionalFormatting>
  <conditionalFormatting sqref="C120">
    <cfRule type="cellIs" dxfId="1017" priority="241" stopIfTrue="1" operator="equal">
      <formula>"Towel"</formula>
    </cfRule>
    <cfRule type="cellIs" dxfId="1016" priority="242" stopIfTrue="1" operator="equal">
      <formula>"Napkin Hs"</formula>
    </cfRule>
  </conditionalFormatting>
  <conditionalFormatting sqref="C120">
    <cfRule type="cellIs" dxfId="1015" priority="244" stopIfTrue="1" operator="equal">
      <formula>"Napkin Hs"</formula>
    </cfRule>
  </conditionalFormatting>
  <conditionalFormatting sqref="C120">
    <cfRule type="cellIs" dxfId="1014" priority="243" stopIfTrue="1" operator="equal">
      <formula>"Towel"</formula>
    </cfRule>
  </conditionalFormatting>
  <conditionalFormatting sqref="B118:C118">
    <cfRule type="cellIs" dxfId="1013" priority="239" stopIfTrue="1" operator="equal">
      <formula>"Towel"</formula>
    </cfRule>
    <cfRule type="cellIs" dxfId="1012" priority="240" stopIfTrue="1" operator="equal">
      <formula>"Napkin Hs"</formula>
    </cfRule>
  </conditionalFormatting>
  <conditionalFormatting sqref="C118">
    <cfRule type="cellIs" dxfId="1011" priority="238" stopIfTrue="1" operator="equal">
      <formula>"Napkin Hs"</formula>
    </cfRule>
  </conditionalFormatting>
  <conditionalFormatting sqref="C118">
    <cfRule type="cellIs" dxfId="1010" priority="235" stopIfTrue="1" operator="equal">
      <formula>"Towel"</formula>
    </cfRule>
    <cfRule type="cellIs" dxfId="1009" priority="236" stopIfTrue="1" operator="equal">
      <formula>"Napkin Hs"</formula>
    </cfRule>
  </conditionalFormatting>
  <conditionalFormatting sqref="C118">
    <cfRule type="cellIs" dxfId="1008" priority="237" stopIfTrue="1" operator="equal">
      <formula>"Towel"</formula>
    </cfRule>
  </conditionalFormatting>
  <conditionalFormatting sqref="B117:C117">
    <cfRule type="cellIs" dxfId="1007" priority="227" stopIfTrue="1" operator="equal">
      <formula>"Towel"</formula>
    </cfRule>
    <cfRule type="cellIs" dxfId="1006" priority="228" stopIfTrue="1" operator="equal">
      <formula>"Napkin Hs"</formula>
    </cfRule>
  </conditionalFormatting>
  <conditionalFormatting sqref="C117">
    <cfRule type="cellIs" dxfId="1005" priority="226" stopIfTrue="1" operator="equal">
      <formula>"Napkin Hs"</formula>
    </cfRule>
  </conditionalFormatting>
  <conditionalFormatting sqref="C117">
    <cfRule type="cellIs" dxfId="1004" priority="223" stopIfTrue="1" operator="equal">
      <formula>"Towel"</formula>
    </cfRule>
    <cfRule type="cellIs" dxfId="1003" priority="224" stopIfTrue="1" operator="equal">
      <formula>"Napkin Hs"</formula>
    </cfRule>
  </conditionalFormatting>
  <conditionalFormatting sqref="C117">
    <cfRule type="cellIs" dxfId="1002" priority="225" stopIfTrue="1" operator="equal">
      <formula>"Towel"</formula>
    </cfRule>
  </conditionalFormatting>
  <conditionalFormatting sqref="B124:C124">
    <cfRule type="cellIs" dxfId="1001" priority="221" stopIfTrue="1" operator="equal">
      <formula>"Towel"</formula>
    </cfRule>
    <cfRule type="cellIs" dxfId="1000" priority="222" stopIfTrue="1" operator="equal">
      <formula>"Napkin Hs"</formula>
    </cfRule>
  </conditionalFormatting>
  <conditionalFormatting sqref="C124">
    <cfRule type="cellIs" dxfId="999" priority="220" stopIfTrue="1" operator="equal">
      <formula>"Napkin Hs"</formula>
    </cfRule>
  </conditionalFormatting>
  <conditionalFormatting sqref="C124">
    <cfRule type="cellIs" dxfId="998" priority="217" stopIfTrue="1" operator="equal">
      <formula>"Towel"</formula>
    </cfRule>
    <cfRule type="cellIs" dxfId="997" priority="218" stopIfTrue="1" operator="equal">
      <formula>"Napkin Hs"</formula>
    </cfRule>
  </conditionalFormatting>
  <conditionalFormatting sqref="C124">
    <cfRule type="cellIs" dxfId="996" priority="219" stopIfTrue="1" operator="equal">
      <formula>"Towel"</formula>
    </cfRule>
  </conditionalFormatting>
  <conditionalFormatting sqref="B125:C125">
    <cfRule type="cellIs" dxfId="995" priority="215" stopIfTrue="1" operator="equal">
      <formula>"Towel"</formula>
    </cfRule>
    <cfRule type="cellIs" dxfId="994" priority="216" stopIfTrue="1" operator="equal">
      <formula>"Napkin Hs"</formula>
    </cfRule>
  </conditionalFormatting>
  <conditionalFormatting sqref="C125">
    <cfRule type="cellIs" dxfId="993" priority="211" stopIfTrue="1" operator="equal">
      <formula>"Towel"</formula>
    </cfRule>
    <cfRule type="cellIs" dxfId="992" priority="212" stopIfTrue="1" operator="equal">
      <formula>"Napkin Hs"</formula>
    </cfRule>
  </conditionalFormatting>
  <conditionalFormatting sqref="C125">
    <cfRule type="cellIs" dxfId="991" priority="214" stopIfTrue="1" operator="equal">
      <formula>"Napkin Hs"</formula>
    </cfRule>
  </conditionalFormatting>
  <conditionalFormatting sqref="C125">
    <cfRule type="cellIs" dxfId="990" priority="213" stopIfTrue="1" operator="equal">
      <formula>"Towel"</formula>
    </cfRule>
  </conditionalFormatting>
  <conditionalFormatting sqref="B123:C123">
    <cfRule type="cellIs" dxfId="989" priority="209" stopIfTrue="1" operator="equal">
      <formula>"Towel"</formula>
    </cfRule>
    <cfRule type="cellIs" dxfId="988" priority="210" stopIfTrue="1" operator="equal">
      <formula>"Napkin Hs"</formula>
    </cfRule>
  </conditionalFormatting>
  <conditionalFormatting sqref="C123">
    <cfRule type="cellIs" dxfId="987" priority="208" stopIfTrue="1" operator="equal">
      <formula>"Napkin Hs"</formula>
    </cfRule>
  </conditionalFormatting>
  <conditionalFormatting sqref="C123">
    <cfRule type="cellIs" dxfId="986" priority="205" stopIfTrue="1" operator="equal">
      <formula>"Towel"</formula>
    </cfRule>
    <cfRule type="cellIs" dxfId="985" priority="206" stopIfTrue="1" operator="equal">
      <formula>"Napkin Hs"</formula>
    </cfRule>
  </conditionalFormatting>
  <conditionalFormatting sqref="C123">
    <cfRule type="cellIs" dxfId="984" priority="207" stopIfTrue="1" operator="equal">
      <formula>"Towel"</formula>
    </cfRule>
  </conditionalFormatting>
  <conditionalFormatting sqref="B122:C122">
    <cfRule type="cellIs" dxfId="983" priority="203" stopIfTrue="1" operator="equal">
      <formula>"Towel"</formula>
    </cfRule>
    <cfRule type="cellIs" dxfId="982" priority="204" stopIfTrue="1" operator="equal">
      <formula>"Napkin Hs"</formula>
    </cfRule>
  </conditionalFormatting>
  <conditionalFormatting sqref="C122">
    <cfRule type="cellIs" dxfId="981" priority="202" stopIfTrue="1" operator="equal">
      <formula>"Napkin Hs"</formula>
    </cfRule>
  </conditionalFormatting>
  <conditionalFormatting sqref="C122">
    <cfRule type="cellIs" dxfId="980" priority="199" stopIfTrue="1" operator="equal">
      <formula>"Towel"</formula>
    </cfRule>
    <cfRule type="cellIs" dxfId="979" priority="200" stopIfTrue="1" operator="equal">
      <formula>"Napkin Hs"</formula>
    </cfRule>
  </conditionalFormatting>
  <conditionalFormatting sqref="C122">
    <cfRule type="cellIs" dxfId="978" priority="201" stopIfTrue="1" operator="equal">
      <formula>"Towel"</formula>
    </cfRule>
  </conditionalFormatting>
  <conditionalFormatting sqref="B129:C129">
    <cfRule type="cellIs" dxfId="977" priority="197" stopIfTrue="1" operator="equal">
      <formula>"Towel"</formula>
    </cfRule>
    <cfRule type="cellIs" dxfId="976" priority="198" stopIfTrue="1" operator="equal">
      <formula>"Napkin Hs"</formula>
    </cfRule>
  </conditionalFormatting>
  <conditionalFormatting sqref="C129">
    <cfRule type="cellIs" dxfId="975" priority="196" stopIfTrue="1" operator="equal">
      <formula>"Napkin Hs"</formula>
    </cfRule>
  </conditionalFormatting>
  <conditionalFormatting sqref="C129">
    <cfRule type="cellIs" dxfId="974" priority="193" stopIfTrue="1" operator="equal">
      <formula>"Towel"</formula>
    </cfRule>
    <cfRule type="cellIs" dxfId="973" priority="194" stopIfTrue="1" operator="equal">
      <formula>"Napkin Hs"</formula>
    </cfRule>
  </conditionalFormatting>
  <conditionalFormatting sqref="C129">
    <cfRule type="cellIs" dxfId="972" priority="195" stopIfTrue="1" operator="equal">
      <formula>"Towel"</formula>
    </cfRule>
  </conditionalFormatting>
  <conditionalFormatting sqref="B130:C130">
    <cfRule type="cellIs" dxfId="971" priority="191" stopIfTrue="1" operator="equal">
      <formula>"Towel"</formula>
    </cfRule>
    <cfRule type="cellIs" dxfId="970" priority="192" stopIfTrue="1" operator="equal">
      <formula>"Napkin Hs"</formula>
    </cfRule>
  </conditionalFormatting>
  <conditionalFormatting sqref="C130">
    <cfRule type="cellIs" dxfId="969" priority="187" stopIfTrue="1" operator="equal">
      <formula>"Towel"</formula>
    </cfRule>
    <cfRule type="cellIs" dxfId="968" priority="188" stopIfTrue="1" operator="equal">
      <formula>"Napkin Hs"</formula>
    </cfRule>
  </conditionalFormatting>
  <conditionalFormatting sqref="C130">
    <cfRule type="cellIs" dxfId="967" priority="190" stopIfTrue="1" operator="equal">
      <formula>"Napkin Hs"</formula>
    </cfRule>
  </conditionalFormatting>
  <conditionalFormatting sqref="C130">
    <cfRule type="cellIs" dxfId="966" priority="189" stopIfTrue="1" operator="equal">
      <formula>"Towel"</formula>
    </cfRule>
  </conditionalFormatting>
  <conditionalFormatting sqref="B128:C128">
    <cfRule type="cellIs" dxfId="965" priority="185" stopIfTrue="1" operator="equal">
      <formula>"Towel"</formula>
    </cfRule>
    <cfRule type="cellIs" dxfId="964" priority="186" stopIfTrue="1" operator="equal">
      <formula>"Napkin Hs"</formula>
    </cfRule>
  </conditionalFormatting>
  <conditionalFormatting sqref="C128">
    <cfRule type="cellIs" dxfId="963" priority="184" stopIfTrue="1" operator="equal">
      <formula>"Napkin Hs"</formula>
    </cfRule>
  </conditionalFormatting>
  <conditionalFormatting sqref="C128">
    <cfRule type="cellIs" dxfId="962" priority="181" stopIfTrue="1" operator="equal">
      <formula>"Towel"</formula>
    </cfRule>
    <cfRule type="cellIs" dxfId="961" priority="182" stopIfTrue="1" operator="equal">
      <formula>"Napkin Hs"</formula>
    </cfRule>
  </conditionalFormatting>
  <conditionalFormatting sqref="C128">
    <cfRule type="cellIs" dxfId="960" priority="183" stopIfTrue="1" operator="equal">
      <formula>"Towel"</formula>
    </cfRule>
  </conditionalFormatting>
  <conditionalFormatting sqref="B127:C127">
    <cfRule type="cellIs" dxfId="959" priority="179" stopIfTrue="1" operator="equal">
      <formula>"Towel"</formula>
    </cfRule>
    <cfRule type="cellIs" dxfId="958" priority="180" stopIfTrue="1" operator="equal">
      <formula>"Napkin Hs"</formula>
    </cfRule>
  </conditionalFormatting>
  <conditionalFormatting sqref="C127">
    <cfRule type="cellIs" dxfId="957" priority="178" stopIfTrue="1" operator="equal">
      <formula>"Napkin Hs"</formula>
    </cfRule>
  </conditionalFormatting>
  <conditionalFormatting sqref="C127">
    <cfRule type="cellIs" dxfId="956" priority="175" stopIfTrue="1" operator="equal">
      <formula>"Towel"</formula>
    </cfRule>
    <cfRule type="cellIs" dxfId="955" priority="176" stopIfTrue="1" operator="equal">
      <formula>"Napkin Hs"</formula>
    </cfRule>
  </conditionalFormatting>
  <conditionalFormatting sqref="C127">
    <cfRule type="cellIs" dxfId="954" priority="177" stopIfTrue="1" operator="equal">
      <formula>"Towel"</formula>
    </cfRule>
  </conditionalFormatting>
  <conditionalFormatting sqref="B134:C134">
    <cfRule type="cellIs" dxfId="953" priority="173" stopIfTrue="1" operator="equal">
      <formula>"Towel"</formula>
    </cfRule>
    <cfRule type="cellIs" dxfId="952" priority="174" stopIfTrue="1" operator="equal">
      <formula>"Napkin Hs"</formula>
    </cfRule>
  </conditionalFormatting>
  <conditionalFormatting sqref="C134">
    <cfRule type="cellIs" dxfId="951" priority="172" stopIfTrue="1" operator="equal">
      <formula>"Napkin Hs"</formula>
    </cfRule>
  </conditionalFormatting>
  <conditionalFormatting sqref="C134">
    <cfRule type="cellIs" dxfId="950" priority="169" stopIfTrue="1" operator="equal">
      <formula>"Towel"</formula>
    </cfRule>
    <cfRule type="cellIs" dxfId="949" priority="170" stopIfTrue="1" operator="equal">
      <formula>"Napkin Hs"</formula>
    </cfRule>
  </conditionalFormatting>
  <conditionalFormatting sqref="C134">
    <cfRule type="cellIs" dxfId="948" priority="171" stopIfTrue="1" operator="equal">
      <formula>"Towel"</formula>
    </cfRule>
  </conditionalFormatting>
  <conditionalFormatting sqref="B135:C135">
    <cfRule type="cellIs" dxfId="947" priority="167" stopIfTrue="1" operator="equal">
      <formula>"Towel"</formula>
    </cfRule>
    <cfRule type="cellIs" dxfId="946" priority="168" stopIfTrue="1" operator="equal">
      <formula>"Napkin Hs"</formula>
    </cfRule>
  </conditionalFormatting>
  <conditionalFormatting sqref="C135">
    <cfRule type="cellIs" dxfId="945" priority="163" stopIfTrue="1" operator="equal">
      <formula>"Towel"</formula>
    </cfRule>
    <cfRule type="cellIs" dxfId="944" priority="164" stopIfTrue="1" operator="equal">
      <formula>"Napkin Hs"</formula>
    </cfRule>
  </conditionalFormatting>
  <conditionalFormatting sqref="C135">
    <cfRule type="cellIs" dxfId="943" priority="166" stopIfTrue="1" operator="equal">
      <formula>"Napkin Hs"</formula>
    </cfRule>
  </conditionalFormatting>
  <conditionalFormatting sqref="C135">
    <cfRule type="cellIs" dxfId="942" priority="165" stopIfTrue="1" operator="equal">
      <formula>"Towel"</formula>
    </cfRule>
  </conditionalFormatting>
  <conditionalFormatting sqref="B132:C133">
    <cfRule type="cellIs" dxfId="941" priority="155" stopIfTrue="1" operator="equal">
      <formula>"Towel"</formula>
    </cfRule>
    <cfRule type="cellIs" dxfId="940" priority="156" stopIfTrue="1" operator="equal">
      <formula>"Napkin Hs"</formula>
    </cfRule>
  </conditionalFormatting>
  <conditionalFormatting sqref="C132:C133">
    <cfRule type="cellIs" dxfId="939" priority="154" stopIfTrue="1" operator="equal">
      <formula>"Napkin Hs"</formula>
    </cfRule>
  </conditionalFormatting>
  <conditionalFormatting sqref="C132:C133">
    <cfRule type="cellIs" dxfId="938" priority="151" stopIfTrue="1" operator="equal">
      <formula>"Towel"</formula>
    </cfRule>
    <cfRule type="cellIs" dxfId="937" priority="152" stopIfTrue="1" operator="equal">
      <formula>"Napkin Hs"</formula>
    </cfRule>
  </conditionalFormatting>
  <conditionalFormatting sqref="C132:C133">
    <cfRule type="cellIs" dxfId="936" priority="153" stopIfTrue="1" operator="equal">
      <formula>"Towel"</formula>
    </cfRule>
  </conditionalFormatting>
  <conditionalFormatting sqref="B139:C139">
    <cfRule type="cellIs" dxfId="935" priority="149" stopIfTrue="1" operator="equal">
      <formula>"Towel"</formula>
    </cfRule>
    <cfRule type="cellIs" dxfId="934" priority="150" stopIfTrue="1" operator="equal">
      <formula>"Napkin Hs"</formula>
    </cfRule>
  </conditionalFormatting>
  <conditionalFormatting sqref="C139">
    <cfRule type="cellIs" dxfId="933" priority="148" stopIfTrue="1" operator="equal">
      <formula>"Napkin Hs"</formula>
    </cfRule>
  </conditionalFormatting>
  <conditionalFormatting sqref="C139">
    <cfRule type="cellIs" dxfId="932" priority="145" stopIfTrue="1" operator="equal">
      <formula>"Towel"</formula>
    </cfRule>
    <cfRule type="cellIs" dxfId="931" priority="146" stopIfTrue="1" operator="equal">
      <formula>"Napkin Hs"</formula>
    </cfRule>
  </conditionalFormatting>
  <conditionalFormatting sqref="C139">
    <cfRule type="cellIs" dxfId="930" priority="147" stopIfTrue="1" operator="equal">
      <formula>"Towel"</formula>
    </cfRule>
  </conditionalFormatting>
  <conditionalFormatting sqref="B140:C140">
    <cfRule type="cellIs" dxfId="929" priority="143" stopIfTrue="1" operator="equal">
      <formula>"Towel"</formula>
    </cfRule>
    <cfRule type="cellIs" dxfId="928" priority="144" stopIfTrue="1" operator="equal">
      <formula>"Napkin Hs"</formula>
    </cfRule>
  </conditionalFormatting>
  <conditionalFormatting sqref="C140">
    <cfRule type="cellIs" dxfId="927" priority="139" stopIfTrue="1" operator="equal">
      <formula>"Towel"</formula>
    </cfRule>
    <cfRule type="cellIs" dxfId="926" priority="140" stopIfTrue="1" operator="equal">
      <formula>"Napkin Hs"</formula>
    </cfRule>
  </conditionalFormatting>
  <conditionalFormatting sqref="C140">
    <cfRule type="cellIs" dxfId="925" priority="142" stopIfTrue="1" operator="equal">
      <formula>"Napkin Hs"</formula>
    </cfRule>
  </conditionalFormatting>
  <conditionalFormatting sqref="C140">
    <cfRule type="cellIs" dxfId="924" priority="141" stopIfTrue="1" operator="equal">
      <formula>"Towel"</formula>
    </cfRule>
  </conditionalFormatting>
  <conditionalFormatting sqref="B138:C138">
    <cfRule type="cellIs" dxfId="923" priority="137" stopIfTrue="1" operator="equal">
      <formula>"Towel"</formula>
    </cfRule>
    <cfRule type="cellIs" dxfId="922" priority="138" stopIfTrue="1" operator="equal">
      <formula>"Napkin Hs"</formula>
    </cfRule>
  </conditionalFormatting>
  <conditionalFormatting sqref="C138">
    <cfRule type="cellIs" dxfId="921" priority="136" stopIfTrue="1" operator="equal">
      <formula>"Napkin Hs"</formula>
    </cfRule>
  </conditionalFormatting>
  <conditionalFormatting sqref="C138">
    <cfRule type="cellIs" dxfId="920" priority="133" stopIfTrue="1" operator="equal">
      <formula>"Towel"</formula>
    </cfRule>
    <cfRule type="cellIs" dxfId="919" priority="134" stopIfTrue="1" operator="equal">
      <formula>"Napkin Hs"</formula>
    </cfRule>
  </conditionalFormatting>
  <conditionalFormatting sqref="C138">
    <cfRule type="cellIs" dxfId="918" priority="135" stopIfTrue="1" operator="equal">
      <formula>"Towel"</formula>
    </cfRule>
  </conditionalFormatting>
  <conditionalFormatting sqref="B137:C137">
    <cfRule type="cellIs" dxfId="917" priority="125" stopIfTrue="1" operator="equal">
      <formula>"Towel"</formula>
    </cfRule>
    <cfRule type="cellIs" dxfId="916" priority="126" stopIfTrue="1" operator="equal">
      <formula>"Napkin Hs"</formula>
    </cfRule>
  </conditionalFormatting>
  <conditionalFormatting sqref="C137">
    <cfRule type="cellIs" dxfId="915" priority="124" stopIfTrue="1" operator="equal">
      <formula>"Napkin Hs"</formula>
    </cfRule>
  </conditionalFormatting>
  <conditionalFormatting sqref="C137">
    <cfRule type="cellIs" dxfId="914" priority="121" stopIfTrue="1" operator="equal">
      <formula>"Towel"</formula>
    </cfRule>
    <cfRule type="cellIs" dxfId="913" priority="122" stopIfTrue="1" operator="equal">
      <formula>"Napkin Hs"</formula>
    </cfRule>
  </conditionalFormatting>
  <conditionalFormatting sqref="C137">
    <cfRule type="cellIs" dxfId="912" priority="123" stopIfTrue="1" operator="equal">
      <formula>"Towel"</formula>
    </cfRule>
  </conditionalFormatting>
  <conditionalFormatting sqref="B144:C144">
    <cfRule type="cellIs" dxfId="911" priority="119" stopIfTrue="1" operator="equal">
      <formula>"Towel"</formula>
    </cfRule>
    <cfRule type="cellIs" dxfId="910" priority="120" stopIfTrue="1" operator="equal">
      <formula>"Napkin Hs"</formula>
    </cfRule>
  </conditionalFormatting>
  <conditionalFormatting sqref="C144">
    <cfRule type="cellIs" dxfId="909" priority="118" stopIfTrue="1" operator="equal">
      <formula>"Napkin Hs"</formula>
    </cfRule>
  </conditionalFormatting>
  <conditionalFormatting sqref="C144">
    <cfRule type="cellIs" dxfId="908" priority="115" stopIfTrue="1" operator="equal">
      <formula>"Towel"</formula>
    </cfRule>
    <cfRule type="cellIs" dxfId="907" priority="116" stopIfTrue="1" operator="equal">
      <formula>"Napkin Hs"</formula>
    </cfRule>
  </conditionalFormatting>
  <conditionalFormatting sqref="C144">
    <cfRule type="cellIs" dxfId="906" priority="117" stopIfTrue="1" operator="equal">
      <formula>"Towel"</formula>
    </cfRule>
  </conditionalFormatting>
  <conditionalFormatting sqref="B145:C145">
    <cfRule type="cellIs" dxfId="905" priority="113" stopIfTrue="1" operator="equal">
      <formula>"Towel"</formula>
    </cfRule>
    <cfRule type="cellIs" dxfId="904" priority="114" stopIfTrue="1" operator="equal">
      <formula>"Napkin Hs"</formula>
    </cfRule>
  </conditionalFormatting>
  <conditionalFormatting sqref="C145">
    <cfRule type="cellIs" dxfId="903" priority="109" stopIfTrue="1" operator="equal">
      <formula>"Towel"</formula>
    </cfRule>
    <cfRule type="cellIs" dxfId="902" priority="110" stopIfTrue="1" operator="equal">
      <formula>"Napkin Hs"</formula>
    </cfRule>
  </conditionalFormatting>
  <conditionalFormatting sqref="C145">
    <cfRule type="cellIs" dxfId="901" priority="112" stopIfTrue="1" operator="equal">
      <formula>"Napkin Hs"</formula>
    </cfRule>
  </conditionalFormatting>
  <conditionalFormatting sqref="C145">
    <cfRule type="cellIs" dxfId="900" priority="111" stopIfTrue="1" operator="equal">
      <formula>"Towel"</formula>
    </cfRule>
  </conditionalFormatting>
  <conditionalFormatting sqref="B143:C143">
    <cfRule type="cellIs" dxfId="899" priority="107" stopIfTrue="1" operator="equal">
      <formula>"Towel"</formula>
    </cfRule>
    <cfRule type="cellIs" dxfId="898" priority="108" stopIfTrue="1" operator="equal">
      <formula>"Napkin Hs"</formula>
    </cfRule>
  </conditionalFormatting>
  <conditionalFormatting sqref="C143">
    <cfRule type="cellIs" dxfId="897" priority="106" stopIfTrue="1" operator="equal">
      <formula>"Napkin Hs"</formula>
    </cfRule>
  </conditionalFormatting>
  <conditionalFormatting sqref="C143">
    <cfRule type="cellIs" dxfId="896" priority="103" stopIfTrue="1" operator="equal">
      <formula>"Towel"</formula>
    </cfRule>
    <cfRule type="cellIs" dxfId="895" priority="104" stopIfTrue="1" operator="equal">
      <formula>"Napkin Hs"</formula>
    </cfRule>
  </conditionalFormatting>
  <conditionalFormatting sqref="C143">
    <cfRule type="cellIs" dxfId="894" priority="105" stopIfTrue="1" operator="equal">
      <formula>"Towel"</formula>
    </cfRule>
  </conditionalFormatting>
  <conditionalFormatting sqref="B142:C142">
    <cfRule type="cellIs" dxfId="893" priority="101" stopIfTrue="1" operator="equal">
      <formula>"Towel"</formula>
    </cfRule>
    <cfRule type="cellIs" dxfId="892" priority="102" stopIfTrue="1" operator="equal">
      <formula>"Napkin Hs"</formula>
    </cfRule>
  </conditionalFormatting>
  <conditionalFormatting sqref="C142">
    <cfRule type="cellIs" dxfId="891" priority="100" stopIfTrue="1" operator="equal">
      <formula>"Napkin Hs"</formula>
    </cfRule>
  </conditionalFormatting>
  <conditionalFormatting sqref="C142">
    <cfRule type="cellIs" dxfId="890" priority="97" stopIfTrue="1" operator="equal">
      <formula>"Towel"</formula>
    </cfRule>
    <cfRule type="cellIs" dxfId="889" priority="98" stopIfTrue="1" operator="equal">
      <formula>"Napkin Hs"</formula>
    </cfRule>
  </conditionalFormatting>
  <conditionalFormatting sqref="C142">
    <cfRule type="cellIs" dxfId="888" priority="99" stopIfTrue="1" operator="equal">
      <formula>"Towel"</formula>
    </cfRule>
  </conditionalFormatting>
  <conditionalFormatting sqref="B149:C149">
    <cfRule type="cellIs" dxfId="887" priority="95" stopIfTrue="1" operator="equal">
      <formula>"Towel"</formula>
    </cfRule>
    <cfRule type="cellIs" dxfId="886" priority="96" stopIfTrue="1" operator="equal">
      <formula>"Napkin Hs"</formula>
    </cfRule>
  </conditionalFormatting>
  <conditionalFormatting sqref="C149">
    <cfRule type="cellIs" dxfId="885" priority="94" stopIfTrue="1" operator="equal">
      <formula>"Napkin Hs"</formula>
    </cfRule>
  </conditionalFormatting>
  <conditionalFormatting sqref="C149">
    <cfRule type="cellIs" dxfId="884" priority="91" stopIfTrue="1" operator="equal">
      <formula>"Towel"</formula>
    </cfRule>
    <cfRule type="cellIs" dxfId="883" priority="92" stopIfTrue="1" operator="equal">
      <formula>"Napkin Hs"</formula>
    </cfRule>
  </conditionalFormatting>
  <conditionalFormatting sqref="C149">
    <cfRule type="cellIs" dxfId="882" priority="93" stopIfTrue="1" operator="equal">
      <formula>"Towel"</formula>
    </cfRule>
  </conditionalFormatting>
  <conditionalFormatting sqref="B150:C150">
    <cfRule type="cellIs" dxfId="881" priority="89" stopIfTrue="1" operator="equal">
      <formula>"Towel"</formula>
    </cfRule>
    <cfRule type="cellIs" dxfId="880" priority="90" stopIfTrue="1" operator="equal">
      <formula>"Napkin Hs"</formula>
    </cfRule>
  </conditionalFormatting>
  <conditionalFormatting sqref="C150">
    <cfRule type="cellIs" dxfId="879" priority="85" stopIfTrue="1" operator="equal">
      <formula>"Towel"</formula>
    </cfRule>
    <cfRule type="cellIs" dxfId="878" priority="86" stopIfTrue="1" operator="equal">
      <formula>"Napkin Hs"</formula>
    </cfRule>
  </conditionalFormatting>
  <conditionalFormatting sqref="C150">
    <cfRule type="cellIs" dxfId="877" priority="88" stopIfTrue="1" operator="equal">
      <formula>"Napkin Hs"</formula>
    </cfRule>
  </conditionalFormatting>
  <conditionalFormatting sqref="C150">
    <cfRule type="cellIs" dxfId="876" priority="87" stopIfTrue="1" operator="equal">
      <formula>"Towel"</formula>
    </cfRule>
  </conditionalFormatting>
  <conditionalFormatting sqref="B147:C148">
    <cfRule type="cellIs" dxfId="875" priority="77" stopIfTrue="1" operator="equal">
      <formula>"Towel"</formula>
    </cfRule>
    <cfRule type="cellIs" dxfId="874" priority="78" stopIfTrue="1" operator="equal">
      <formula>"Napkin Hs"</formula>
    </cfRule>
  </conditionalFormatting>
  <conditionalFormatting sqref="C147:C148">
    <cfRule type="cellIs" dxfId="873" priority="76" stopIfTrue="1" operator="equal">
      <formula>"Napkin Hs"</formula>
    </cfRule>
  </conditionalFormatting>
  <conditionalFormatting sqref="C147:C148">
    <cfRule type="cellIs" dxfId="872" priority="73" stopIfTrue="1" operator="equal">
      <formula>"Towel"</formula>
    </cfRule>
    <cfRule type="cellIs" dxfId="871" priority="74" stopIfTrue="1" operator="equal">
      <formula>"Napkin Hs"</formula>
    </cfRule>
  </conditionalFormatting>
  <conditionalFormatting sqref="C147:C148">
    <cfRule type="cellIs" dxfId="870" priority="75" stopIfTrue="1" operator="equal">
      <formula>"Towel"</formula>
    </cfRule>
  </conditionalFormatting>
  <conditionalFormatting sqref="B154:C154">
    <cfRule type="cellIs" dxfId="869" priority="71" stopIfTrue="1" operator="equal">
      <formula>"Towel"</formula>
    </cfRule>
    <cfRule type="cellIs" dxfId="868" priority="72" stopIfTrue="1" operator="equal">
      <formula>"Napkin Hs"</formula>
    </cfRule>
  </conditionalFormatting>
  <conditionalFormatting sqref="C154">
    <cfRule type="cellIs" dxfId="867" priority="70" stopIfTrue="1" operator="equal">
      <formula>"Napkin Hs"</formula>
    </cfRule>
  </conditionalFormatting>
  <conditionalFormatting sqref="C154">
    <cfRule type="cellIs" dxfId="866" priority="67" stopIfTrue="1" operator="equal">
      <formula>"Towel"</formula>
    </cfRule>
    <cfRule type="cellIs" dxfId="865" priority="68" stopIfTrue="1" operator="equal">
      <formula>"Napkin Hs"</formula>
    </cfRule>
  </conditionalFormatting>
  <conditionalFormatting sqref="C154">
    <cfRule type="cellIs" dxfId="864" priority="69" stopIfTrue="1" operator="equal">
      <formula>"Towel"</formula>
    </cfRule>
  </conditionalFormatting>
  <conditionalFormatting sqref="B155:C155">
    <cfRule type="cellIs" dxfId="863" priority="65" stopIfTrue="1" operator="equal">
      <formula>"Towel"</formula>
    </cfRule>
    <cfRule type="cellIs" dxfId="862" priority="66" stopIfTrue="1" operator="equal">
      <formula>"Napkin Hs"</formula>
    </cfRule>
  </conditionalFormatting>
  <conditionalFormatting sqref="C155">
    <cfRule type="cellIs" dxfId="861" priority="61" stopIfTrue="1" operator="equal">
      <formula>"Towel"</formula>
    </cfRule>
    <cfRule type="cellIs" dxfId="860" priority="62" stopIfTrue="1" operator="equal">
      <formula>"Napkin Hs"</formula>
    </cfRule>
  </conditionalFormatting>
  <conditionalFormatting sqref="C155">
    <cfRule type="cellIs" dxfId="859" priority="64" stopIfTrue="1" operator="equal">
      <formula>"Napkin Hs"</formula>
    </cfRule>
  </conditionalFormatting>
  <conditionalFormatting sqref="C155">
    <cfRule type="cellIs" dxfId="858" priority="63" stopIfTrue="1" operator="equal">
      <formula>"Towel"</formula>
    </cfRule>
  </conditionalFormatting>
  <conditionalFormatting sqref="B152:C152">
    <cfRule type="cellIs" dxfId="857" priority="53" stopIfTrue="1" operator="equal">
      <formula>"Towel"</formula>
    </cfRule>
    <cfRule type="cellIs" dxfId="856" priority="54" stopIfTrue="1" operator="equal">
      <formula>"Napkin Hs"</formula>
    </cfRule>
  </conditionalFormatting>
  <conditionalFormatting sqref="C152">
    <cfRule type="cellIs" dxfId="855" priority="52" stopIfTrue="1" operator="equal">
      <formula>"Napkin Hs"</formula>
    </cfRule>
  </conditionalFormatting>
  <conditionalFormatting sqref="C152">
    <cfRule type="cellIs" dxfId="854" priority="49" stopIfTrue="1" operator="equal">
      <formula>"Towel"</formula>
    </cfRule>
    <cfRule type="cellIs" dxfId="853" priority="50" stopIfTrue="1" operator="equal">
      <formula>"Napkin Hs"</formula>
    </cfRule>
  </conditionalFormatting>
  <conditionalFormatting sqref="C152">
    <cfRule type="cellIs" dxfId="852" priority="51" stopIfTrue="1" operator="equal">
      <formula>"Towel"</formula>
    </cfRule>
  </conditionalFormatting>
  <conditionalFormatting sqref="B153:C153">
    <cfRule type="cellIs" dxfId="851" priority="47" stopIfTrue="1" operator="equal">
      <formula>"Towel"</formula>
    </cfRule>
    <cfRule type="cellIs" dxfId="850" priority="48" stopIfTrue="1" operator="equal">
      <formula>"Napkin Hs"</formula>
    </cfRule>
  </conditionalFormatting>
  <conditionalFormatting sqref="C153">
    <cfRule type="cellIs" dxfId="849" priority="46" stopIfTrue="1" operator="equal">
      <formula>"Napkin Hs"</formula>
    </cfRule>
  </conditionalFormatting>
  <conditionalFormatting sqref="C153">
    <cfRule type="cellIs" dxfId="848" priority="43" stopIfTrue="1" operator="equal">
      <formula>"Towel"</formula>
    </cfRule>
    <cfRule type="cellIs" dxfId="847" priority="44" stopIfTrue="1" operator="equal">
      <formula>"Napkin Hs"</formula>
    </cfRule>
  </conditionalFormatting>
  <conditionalFormatting sqref="C153">
    <cfRule type="cellIs" dxfId="846" priority="45" stopIfTrue="1" operator="equal">
      <formula>"Towel"</formula>
    </cfRule>
  </conditionalFormatting>
  <conditionalFormatting sqref="B161:C161">
    <cfRule type="cellIs" dxfId="845" priority="35" stopIfTrue="1" operator="equal">
      <formula>"Towel"</formula>
    </cfRule>
    <cfRule type="cellIs" dxfId="844" priority="36" stopIfTrue="1" operator="equal">
      <formula>"Napkin Hs"</formula>
    </cfRule>
  </conditionalFormatting>
  <conditionalFormatting sqref="C161">
    <cfRule type="cellIs" dxfId="843" priority="34" stopIfTrue="1" operator="equal">
      <formula>"Napkin Hs"</formula>
    </cfRule>
  </conditionalFormatting>
  <conditionalFormatting sqref="C161">
    <cfRule type="cellIs" dxfId="842" priority="31" stopIfTrue="1" operator="equal">
      <formula>"Towel"</formula>
    </cfRule>
    <cfRule type="cellIs" dxfId="841" priority="32" stopIfTrue="1" operator="equal">
      <formula>"Napkin Hs"</formula>
    </cfRule>
  </conditionalFormatting>
  <conditionalFormatting sqref="C161">
    <cfRule type="cellIs" dxfId="840" priority="33" stopIfTrue="1" operator="equal">
      <formula>"Towel"</formula>
    </cfRule>
  </conditionalFormatting>
  <conditionalFormatting sqref="B160:C160">
    <cfRule type="cellIs" dxfId="839" priority="23" stopIfTrue="1" operator="equal">
      <formula>"Towel"</formula>
    </cfRule>
    <cfRule type="cellIs" dxfId="838" priority="24" stopIfTrue="1" operator="equal">
      <formula>"Napkin Hs"</formula>
    </cfRule>
  </conditionalFormatting>
  <conditionalFormatting sqref="C160">
    <cfRule type="cellIs" dxfId="837" priority="19" stopIfTrue="1" operator="equal">
      <formula>"Towel"</formula>
    </cfRule>
    <cfRule type="cellIs" dxfId="836" priority="20" stopIfTrue="1" operator="equal">
      <formula>"Napkin Hs"</formula>
    </cfRule>
  </conditionalFormatting>
  <conditionalFormatting sqref="C160">
    <cfRule type="cellIs" dxfId="835" priority="22" stopIfTrue="1" operator="equal">
      <formula>"Napkin Hs"</formula>
    </cfRule>
  </conditionalFormatting>
  <conditionalFormatting sqref="C160">
    <cfRule type="cellIs" dxfId="834" priority="21" stopIfTrue="1" operator="equal">
      <formula>"Towel"</formula>
    </cfRule>
  </conditionalFormatting>
  <conditionalFormatting sqref="B158:C159">
    <cfRule type="cellIs" dxfId="833" priority="11" stopIfTrue="1" operator="equal">
      <formula>"Towel"</formula>
    </cfRule>
    <cfRule type="cellIs" dxfId="832" priority="12" stopIfTrue="1" operator="equal">
      <formula>"Napkin Hs"</formula>
    </cfRule>
  </conditionalFormatting>
  <conditionalFormatting sqref="C158:C159">
    <cfRule type="cellIs" dxfId="831" priority="10" stopIfTrue="1" operator="equal">
      <formula>"Napkin Hs"</formula>
    </cfRule>
  </conditionalFormatting>
  <conditionalFormatting sqref="C158:C159">
    <cfRule type="cellIs" dxfId="830" priority="7" stopIfTrue="1" operator="equal">
      <formula>"Towel"</formula>
    </cfRule>
    <cfRule type="cellIs" dxfId="829" priority="8" stopIfTrue="1" operator="equal">
      <formula>"Napkin Hs"</formula>
    </cfRule>
  </conditionalFormatting>
  <conditionalFormatting sqref="C158:C159">
    <cfRule type="cellIs" dxfId="828" priority="9" stopIfTrue="1" operator="equal">
      <formula>"Towel"</formula>
    </cfRule>
  </conditionalFormatting>
  <conditionalFormatting sqref="B157:C157">
    <cfRule type="cellIs" dxfId="827" priority="5" stopIfTrue="1" operator="equal">
      <formula>"Towel"</formula>
    </cfRule>
    <cfRule type="cellIs" dxfId="826" priority="6" stopIfTrue="1" operator="equal">
      <formula>"Napkin Hs"</formula>
    </cfRule>
  </conditionalFormatting>
  <conditionalFormatting sqref="C157">
    <cfRule type="cellIs" dxfId="825" priority="4" stopIfTrue="1" operator="equal">
      <formula>"Napkin Hs"</formula>
    </cfRule>
  </conditionalFormatting>
  <conditionalFormatting sqref="C157">
    <cfRule type="cellIs" dxfId="824" priority="1" stopIfTrue="1" operator="equal">
      <formula>"Towel"</formula>
    </cfRule>
    <cfRule type="cellIs" dxfId="823" priority="2" stopIfTrue="1" operator="equal">
      <formula>"Napkin Hs"</formula>
    </cfRule>
  </conditionalFormatting>
  <conditionalFormatting sqref="C157">
    <cfRule type="cellIs" dxfId="822" priority="3" stopIfTrue="1" operator="equal">
      <formula>"Towel"</formula>
    </cfRule>
  </conditionalFormatting>
  <pageMargins left="0" right="0.74803149606299213" top="4.7244094488188981" bottom="0" header="0.51181102362204722" footer="0.51181102362204722"/>
  <pageSetup scale="7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14"/>
  <sheetViews>
    <sheetView zoomScale="90" zoomScaleNormal="90" workbookViewId="0">
      <pane xSplit="6" ySplit="6" topLeftCell="X151" activePane="bottomRight" state="frozen"/>
      <selection pane="topRight" activeCell="F1" sqref="F1"/>
      <selection pane="bottomLeft" activeCell="A7" sqref="A7"/>
      <selection pane="bottomRight" activeCell="AC173" sqref="AC173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8" customWidth="1"/>
    <col min="7" max="9" width="10.28515625" style="30" customWidth="1"/>
    <col min="10" max="11" width="10.28515625" style="87" customWidth="1"/>
    <col min="12" max="13" width="12.7109375" style="59" customWidth="1"/>
    <col min="14" max="15" width="10.28515625" style="30" customWidth="1"/>
    <col min="16" max="16" width="16.85546875" style="30" bestFit="1" customWidth="1"/>
    <col min="17" max="17" width="12.7109375" style="336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1.42578125" style="30" customWidth="1"/>
    <col min="32" max="38" width="10.28515625" style="30" customWidth="1"/>
    <col min="39" max="39" width="11.7109375" style="30" customWidth="1"/>
    <col min="40" max="41" width="10.28515625" style="30" customWidth="1"/>
    <col min="42" max="43" width="12.42578125" style="30" customWidth="1"/>
    <col min="44" max="44" width="29.7109375" style="30" bestFit="1" customWidth="1"/>
    <col min="45" max="16384" width="10.28515625" style="30"/>
  </cols>
  <sheetData>
    <row r="1" spans="1:58" s="23" customFormat="1" ht="15.75">
      <c r="A1" s="22" t="s">
        <v>394</v>
      </c>
      <c r="G1" s="24"/>
      <c r="H1" s="24"/>
      <c r="I1" s="24"/>
      <c r="J1" s="84"/>
      <c r="K1" s="84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4"/>
      <c r="G2" s="24"/>
      <c r="H2" s="24"/>
      <c r="I2" s="24"/>
      <c r="J2" s="84"/>
      <c r="K2" s="84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48" t="s">
        <v>7</v>
      </c>
      <c r="B3" s="648" t="s">
        <v>8</v>
      </c>
      <c r="C3" s="648" t="s">
        <v>183</v>
      </c>
      <c r="D3" s="648" t="s">
        <v>90</v>
      </c>
      <c r="E3" s="648" t="s">
        <v>91</v>
      </c>
      <c r="F3" s="648" t="s">
        <v>92</v>
      </c>
      <c r="G3" s="677" t="s">
        <v>93</v>
      </c>
      <c r="H3" s="678"/>
      <c r="I3" s="678"/>
      <c r="J3" s="678"/>
      <c r="K3" s="679"/>
      <c r="L3" s="683" t="s">
        <v>94</v>
      </c>
      <c r="M3" s="684"/>
      <c r="N3" s="685"/>
      <c r="O3" s="673" t="s">
        <v>95</v>
      </c>
      <c r="P3" s="658" t="s">
        <v>107</v>
      </c>
      <c r="Q3" s="673" t="s">
        <v>96</v>
      </c>
      <c r="R3" s="665" t="s">
        <v>97</v>
      </c>
      <c r="S3" s="665" t="s">
        <v>98</v>
      </c>
      <c r="T3" s="648" t="s">
        <v>155</v>
      </c>
      <c r="U3" s="648" t="s">
        <v>154</v>
      </c>
      <c r="V3" s="648" t="s">
        <v>156</v>
      </c>
      <c r="W3" s="665" t="s">
        <v>143</v>
      </c>
      <c r="X3" s="701" t="s">
        <v>100</v>
      </c>
      <c r="Y3" s="701" t="s">
        <v>296</v>
      </c>
      <c r="Z3" s="665" t="s">
        <v>101</v>
      </c>
      <c r="AA3" s="648" t="s">
        <v>157</v>
      </c>
      <c r="AB3" s="648" t="s">
        <v>168</v>
      </c>
      <c r="AC3" s="648" t="s">
        <v>166</v>
      </c>
      <c r="AD3" s="648" t="s">
        <v>125</v>
      </c>
      <c r="AE3" s="648" t="s">
        <v>126</v>
      </c>
      <c r="AF3" s="676" t="s">
        <v>127</v>
      </c>
      <c r="AG3" s="676"/>
      <c r="AH3" s="676"/>
      <c r="AI3" s="676"/>
      <c r="AJ3" s="676"/>
      <c r="AK3" s="676"/>
      <c r="AL3" s="676"/>
      <c r="AM3" s="670" t="s">
        <v>128</v>
      </c>
      <c r="AN3" s="654" t="s">
        <v>102</v>
      </c>
      <c r="AO3" s="654"/>
      <c r="AP3" s="654"/>
      <c r="AQ3" s="654"/>
      <c r="AR3" s="654"/>
      <c r="AS3" s="655" t="s">
        <v>103</v>
      </c>
      <c r="AT3" s="666" t="s">
        <v>292</v>
      </c>
      <c r="AU3" s="667"/>
      <c r="AV3" s="650" t="s">
        <v>129</v>
      </c>
      <c r="AW3" s="651"/>
      <c r="AX3" s="652" t="s">
        <v>129</v>
      </c>
      <c r="AY3" s="653"/>
      <c r="AZ3" s="659" t="s">
        <v>308</v>
      </c>
      <c r="BA3" s="664" t="s">
        <v>104</v>
      </c>
      <c r="BB3" s="696" t="s">
        <v>105</v>
      </c>
      <c r="BC3" s="696" t="s">
        <v>106</v>
      </c>
      <c r="BD3" s="690" t="s">
        <v>395</v>
      </c>
      <c r="BE3" s="693" t="s">
        <v>396</v>
      </c>
      <c r="BF3" s="696" t="s">
        <v>397</v>
      </c>
    </row>
    <row r="4" spans="1:58" ht="12" customHeight="1">
      <c r="A4" s="649"/>
      <c r="B4" s="649"/>
      <c r="C4" s="649"/>
      <c r="D4" s="649"/>
      <c r="E4" s="649"/>
      <c r="F4" s="649"/>
      <c r="G4" s="680"/>
      <c r="H4" s="681"/>
      <c r="I4" s="681"/>
      <c r="J4" s="681"/>
      <c r="K4" s="682"/>
      <c r="L4" s="686"/>
      <c r="M4" s="687"/>
      <c r="N4" s="688"/>
      <c r="O4" s="674"/>
      <c r="P4" s="646"/>
      <c r="Q4" s="674"/>
      <c r="R4" s="689"/>
      <c r="S4" s="689"/>
      <c r="T4" s="649"/>
      <c r="U4" s="649"/>
      <c r="V4" s="649"/>
      <c r="W4" s="689"/>
      <c r="X4" s="702"/>
      <c r="Y4" s="702"/>
      <c r="Z4" s="689"/>
      <c r="AA4" s="649"/>
      <c r="AB4" s="649"/>
      <c r="AC4" s="649"/>
      <c r="AD4" s="649"/>
      <c r="AE4" s="649"/>
      <c r="AF4" s="698" t="s">
        <v>130</v>
      </c>
      <c r="AG4" s="699"/>
      <c r="AH4" s="700"/>
      <c r="AI4" s="646" t="s">
        <v>222</v>
      </c>
      <c r="AJ4" s="646" t="s">
        <v>14</v>
      </c>
      <c r="AK4" s="646" t="s">
        <v>131</v>
      </c>
      <c r="AL4" s="646" t="s">
        <v>17</v>
      </c>
      <c r="AM4" s="671"/>
      <c r="AN4" s="657" t="s">
        <v>108</v>
      </c>
      <c r="AO4" s="657" t="s">
        <v>14</v>
      </c>
      <c r="AP4" s="657" t="s">
        <v>109</v>
      </c>
      <c r="AQ4" s="657" t="s">
        <v>17</v>
      </c>
      <c r="AR4" s="664" t="s">
        <v>110</v>
      </c>
      <c r="AS4" s="655"/>
      <c r="AT4" s="668"/>
      <c r="AU4" s="669"/>
      <c r="AV4" s="510" t="s">
        <v>6</v>
      </c>
      <c r="AW4" s="510" t="s">
        <v>132</v>
      </c>
      <c r="AX4" s="511" t="s">
        <v>6</v>
      </c>
      <c r="AY4" s="512" t="s">
        <v>132</v>
      </c>
      <c r="AZ4" s="660"/>
      <c r="BA4" s="664"/>
      <c r="BB4" s="696"/>
      <c r="BC4" s="696"/>
      <c r="BD4" s="691"/>
      <c r="BE4" s="694"/>
      <c r="BF4" s="696"/>
    </row>
    <row r="5" spans="1:58" s="33" customFormat="1" ht="48">
      <c r="A5" s="649"/>
      <c r="B5" s="649"/>
      <c r="C5" s="675"/>
      <c r="D5" s="649"/>
      <c r="E5" s="649"/>
      <c r="F5" s="649"/>
      <c r="G5" s="528" t="s">
        <v>111</v>
      </c>
      <c r="H5" s="527" t="s">
        <v>112</v>
      </c>
      <c r="I5" s="31" t="s">
        <v>113</v>
      </c>
      <c r="J5" s="85" t="s">
        <v>114</v>
      </c>
      <c r="K5" s="85" t="s">
        <v>99</v>
      </c>
      <c r="L5" s="32" t="s">
        <v>115</v>
      </c>
      <c r="M5" s="32" t="s">
        <v>116</v>
      </c>
      <c r="N5" s="527" t="s">
        <v>117</v>
      </c>
      <c r="O5" s="674"/>
      <c r="P5" s="647"/>
      <c r="Q5" s="674"/>
      <c r="R5" s="689"/>
      <c r="S5" s="689"/>
      <c r="T5" s="649"/>
      <c r="U5" s="649"/>
      <c r="V5" s="649"/>
      <c r="W5" s="689"/>
      <c r="X5" s="702"/>
      <c r="Y5" s="703"/>
      <c r="Z5" s="689"/>
      <c r="AA5" s="649"/>
      <c r="AB5" s="675"/>
      <c r="AC5" s="649"/>
      <c r="AD5" s="675"/>
      <c r="AE5" s="649"/>
      <c r="AF5" s="440" t="s">
        <v>297</v>
      </c>
      <c r="AG5" s="526" t="s">
        <v>298</v>
      </c>
      <c r="AH5" s="526" t="s">
        <v>299</v>
      </c>
      <c r="AI5" s="647"/>
      <c r="AJ5" s="647"/>
      <c r="AK5" s="647"/>
      <c r="AL5" s="647"/>
      <c r="AM5" s="672"/>
      <c r="AN5" s="658"/>
      <c r="AO5" s="658"/>
      <c r="AP5" s="658"/>
      <c r="AQ5" s="658"/>
      <c r="AR5" s="665"/>
      <c r="AS5" s="656"/>
      <c r="AT5" s="529" t="s">
        <v>293</v>
      </c>
      <c r="AU5" s="529" t="s">
        <v>294</v>
      </c>
      <c r="AV5" s="513" t="s">
        <v>295</v>
      </c>
      <c r="AW5" s="513" t="s">
        <v>295</v>
      </c>
      <c r="AX5" s="511" t="s">
        <v>16</v>
      </c>
      <c r="AY5" s="511" t="s">
        <v>16</v>
      </c>
      <c r="AZ5" s="661"/>
      <c r="BA5" s="665"/>
      <c r="BB5" s="648"/>
      <c r="BC5" s="648"/>
      <c r="BD5" s="692"/>
      <c r="BE5" s="695"/>
      <c r="BF5" s="697"/>
    </row>
    <row r="6" spans="1:58" ht="12.75" customHeight="1">
      <c r="A6" s="41">
        <f>+Report1!A9</f>
        <v>45870</v>
      </c>
      <c r="B6" s="42" t="s">
        <v>409</v>
      </c>
      <c r="C6" s="411">
        <f>(M6*E6*O6*Q6)/100000000</f>
        <v>47.692925279999997</v>
      </c>
      <c r="D6" s="42" t="s">
        <v>304</v>
      </c>
      <c r="E6" s="43">
        <v>13</v>
      </c>
      <c r="F6" s="43">
        <v>1</v>
      </c>
      <c r="G6" s="496">
        <v>1230</v>
      </c>
      <c r="H6" s="45">
        <v>0.23</v>
      </c>
      <c r="I6" s="46">
        <v>0.88</v>
      </c>
      <c r="J6" s="86">
        <f>E6*G6*(1-H6)*1440/1000000*2.74</f>
        <v>48.579410880000005</v>
      </c>
      <c r="K6" s="86">
        <f>(IF(G6&lt;L6,L6,G6)*(1-IF(H6&lt;N6,H6,N6))*E6*O6*Q6)/100000000</f>
        <v>47.692925279999997</v>
      </c>
      <c r="L6" s="36">
        <v>1230</v>
      </c>
      <c r="M6" s="36">
        <v>947.09999999999991</v>
      </c>
      <c r="N6" s="47">
        <f>1-(M6/L6)</f>
        <v>0.23000000000000009</v>
      </c>
      <c r="O6" s="48">
        <f>+'Trim Rwd'!H4</f>
        <v>269</v>
      </c>
      <c r="P6" s="49">
        <f>O6*(Q6-R6-S6)</f>
        <v>370682</v>
      </c>
      <c r="Q6" s="48">
        <v>1440</v>
      </c>
      <c r="R6" s="497">
        <v>0</v>
      </c>
      <c r="S6" s="497">
        <v>62</v>
      </c>
      <c r="T6" s="38">
        <f>E6*M6*O6*Q6/100000000</f>
        <v>47.692925279999997</v>
      </c>
      <c r="U6" s="38">
        <f>E6*M6*O6*(Q6-R6-S6)/100000000</f>
        <v>45.639479885999997</v>
      </c>
      <c r="V6" s="38">
        <f>E6*G6*(1-N6)*O6/100*(R6+S6)/1000000</f>
        <v>2.0534453939999997</v>
      </c>
      <c r="W6" s="38">
        <f>+'1'!K7/1000</f>
        <v>44.627000000000002</v>
      </c>
      <c r="X6" s="498">
        <f>SUM(W6:W10)/SUM(K6:K10)</f>
        <v>0.93571530238499145</v>
      </c>
      <c r="Y6" s="216">
        <v>0</v>
      </c>
      <c r="Z6" s="38">
        <f>+'1'!D7/1000</f>
        <v>0.29899999999999999</v>
      </c>
      <c r="AA6" s="50">
        <f>SUM(U6:U10)-SUM(W6:W10)-SUM(Z6:Z10)-SUM(Y6:Y10)</f>
        <v>0.71347988599999423</v>
      </c>
      <c r="AB6" s="50">
        <f>(SUM(K6:K10)-SUM(W6:W10)-SUM(Y6:Y10)-SUM(Z6:Z10)-SUM(AC6:AC10)-SUM(V6:V10))-AA6</f>
        <v>8.8817841970012523E-16</v>
      </c>
      <c r="AC6" s="38">
        <f>K6-T6</f>
        <v>0</v>
      </c>
      <c r="AD6" s="38">
        <f>+AM6+BA6</f>
        <v>9</v>
      </c>
      <c r="AE6" s="235" t="s">
        <v>407</v>
      </c>
      <c r="AF6" s="38">
        <v>9</v>
      </c>
      <c r="AG6" s="38"/>
      <c r="AH6" s="38"/>
      <c r="AI6" s="499"/>
      <c r="AJ6" s="38"/>
      <c r="AK6" s="38"/>
      <c r="AL6" s="38"/>
      <c r="AM6" s="38">
        <f t="shared" ref="AM6:AM9" si="0">SUM(AF6:AL6)+AT6+AV6+AX6</f>
        <v>9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3</v>
      </c>
      <c r="BC6" s="52"/>
      <c r="BD6" s="52"/>
      <c r="BE6" s="34"/>
      <c r="BF6" s="52"/>
    </row>
    <row r="7" spans="1:58" ht="12.95" customHeight="1">
      <c r="A7" s="41"/>
      <c r="B7" s="42"/>
      <c r="C7" s="411"/>
      <c r="D7" s="42"/>
      <c r="E7" s="43"/>
      <c r="F7" s="43"/>
      <c r="G7" s="496"/>
      <c r="H7" s="45"/>
      <c r="I7" s="46"/>
      <c r="J7" s="86"/>
      <c r="K7" s="86"/>
      <c r="L7" s="36"/>
      <c r="M7" s="36"/>
      <c r="N7" s="47"/>
      <c r="O7" s="48"/>
      <c r="P7" s="49"/>
      <c r="Q7" s="48"/>
      <c r="R7" s="497"/>
      <c r="S7" s="497"/>
      <c r="T7" s="38"/>
      <c r="U7" s="38"/>
      <c r="V7" s="38"/>
      <c r="W7" s="38"/>
      <c r="X7" s="39"/>
      <c r="Y7" s="216"/>
      <c r="Z7" s="38"/>
      <c r="AA7" s="38"/>
      <c r="AB7" s="38"/>
      <c r="AC7" s="38"/>
      <c r="AD7" s="38">
        <f>+AM7+BA7</f>
        <v>14</v>
      </c>
      <c r="AE7" s="235" t="s">
        <v>410</v>
      </c>
      <c r="AF7" s="38"/>
      <c r="AG7" s="38">
        <v>14</v>
      </c>
      <c r="AH7" s="38"/>
      <c r="AI7" s="499"/>
      <c r="AJ7" s="38"/>
      <c r="AK7" s="38"/>
      <c r="AL7" s="38"/>
      <c r="AM7" s="38">
        <f t="shared" si="0"/>
        <v>14</v>
      </c>
      <c r="AN7" s="87"/>
      <c r="AO7" s="38"/>
      <c r="AP7" s="38"/>
      <c r="AQ7" s="38"/>
      <c r="AR7" s="38">
        <f t="shared" ref="AR7:AR9" si="1"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9</v>
      </c>
      <c r="BD7" s="52"/>
      <c r="BE7" s="51"/>
      <c r="BF7" s="52"/>
    </row>
    <row r="8" spans="1:58" ht="12.95" customHeight="1">
      <c r="A8" s="41"/>
      <c r="B8" s="42"/>
      <c r="C8" s="411"/>
      <c r="D8" s="42"/>
      <c r="E8" s="43"/>
      <c r="F8" s="43"/>
      <c r="G8" s="44"/>
      <c r="H8" s="45"/>
      <c r="I8" s="46"/>
      <c r="J8" s="86"/>
      <c r="K8" s="86"/>
      <c r="L8" s="36"/>
      <c r="M8" s="36"/>
      <c r="N8" s="47"/>
      <c r="O8" s="48"/>
      <c r="P8" s="49"/>
      <c r="Q8" s="48"/>
      <c r="R8" s="497"/>
      <c r="S8" s="497"/>
      <c r="T8" s="38"/>
      <c r="U8" s="38"/>
      <c r="V8" s="38"/>
      <c r="W8" s="38"/>
      <c r="X8" s="39"/>
      <c r="Y8" s="216"/>
      <c r="Z8" s="38"/>
      <c r="AA8" s="38"/>
      <c r="AB8" s="38"/>
      <c r="AC8" s="38"/>
      <c r="AD8" s="38">
        <f>+AM8+BA8</f>
        <v>39</v>
      </c>
      <c r="AE8" s="235" t="s">
        <v>411</v>
      </c>
      <c r="AF8" s="34"/>
      <c r="AG8" s="34"/>
      <c r="AH8" s="34">
        <v>39</v>
      </c>
      <c r="AJ8" s="38"/>
      <c r="AK8" s="38"/>
      <c r="AL8" s="38"/>
      <c r="AM8" s="38">
        <f t="shared" si="0"/>
        <v>39</v>
      </c>
      <c r="AN8" s="38"/>
      <c r="AO8" s="38"/>
      <c r="AP8" s="38"/>
      <c r="AQ8" s="38"/>
      <c r="AR8" s="38">
        <f t="shared" si="1"/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500"/>
      <c r="BD8" s="500"/>
      <c r="BE8" s="34"/>
      <c r="BF8" s="500"/>
    </row>
    <row r="9" spans="1:58" ht="12.95" customHeight="1">
      <c r="A9" s="41"/>
      <c r="B9" s="42"/>
      <c r="C9" s="411"/>
      <c r="D9" s="42"/>
      <c r="E9" s="43"/>
      <c r="F9" s="43"/>
      <c r="G9" s="44"/>
      <c r="H9" s="45"/>
      <c r="I9" s="46"/>
      <c r="J9" s="86"/>
      <c r="K9" s="86"/>
      <c r="L9" s="36"/>
      <c r="M9" s="36"/>
      <c r="N9" s="47"/>
      <c r="O9" s="48"/>
      <c r="P9" s="49"/>
      <c r="Q9" s="35"/>
      <c r="R9" s="497"/>
      <c r="S9" s="497"/>
      <c r="T9" s="38"/>
      <c r="U9" s="38"/>
      <c r="V9" s="38"/>
      <c r="W9" s="38"/>
      <c r="X9" s="39"/>
      <c r="Y9" s="216"/>
      <c r="Z9" s="38"/>
      <c r="AA9" s="38"/>
      <c r="AB9" s="38"/>
      <c r="AC9" s="38"/>
      <c r="AD9" s="38">
        <f>+AM9+BA9</f>
        <v>0</v>
      </c>
      <c r="AE9" s="238" t="s">
        <v>380</v>
      </c>
      <c r="AF9" s="38"/>
      <c r="AG9" s="38"/>
      <c r="AH9" s="38"/>
      <c r="AI9" s="499">
        <v>0</v>
      </c>
      <c r="AJ9" s="38"/>
      <c r="AK9" s="38"/>
      <c r="AL9" s="38"/>
      <c r="AM9" s="38">
        <f t="shared" si="0"/>
        <v>0</v>
      </c>
      <c r="AN9" s="38"/>
      <c r="AO9" s="38"/>
      <c r="AP9" s="38"/>
      <c r="AQ9" s="38"/>
      <c r="AR9" s="38">
        <f t="shared" si="1"/>
        <v>0</v>
      </c>
      <c r="AS9" s="38"/>
      <c r="AT9" s="38"/>
      <c r="AU9" s="38"/>
      <c r="AV9" s="38"/>
      <c r="AW9" s="38"/>
      <c r="AX9" s="38"/>
      <c r="AY9" s="38"/>
      <c r="AZ9" s="38"/>
      <c r="BA9" s="38">
        <f>+AR9+AS9+AU9+AW9+AY9+AZ9</f>
        <v>0</v>
      </c>
      <c r="BB9" s="51"/>
      <c r="BC9" s="52"/>
      <c r="BD9" s="52"/>
      <c r="BE9" s="51"/>
      <c r="BF9" s="52"/>
    </row>
    <row r="10" spans="1:58" ht="12.95" customHeight="1">
      <c r="A10" s="41"/>
      <c r="B10" s="42"/>
      <c r="C10" s="411"/>
      <c r="D10" s="42"/>
      <c r="E10" s="43"/>
      <c r="F10" s="43"/>
      <c r="G10" s="44"/>
      <c r="H10" s="45"/>
      <c r="I10" s="46"/>
      <c r="J10" s="86"/>
      <c r="K10" s="86"/>
      <c r="L10" s="36"/>
      <c r="M10" s="36"/>
      <c r="N10" s="47"/>
      <c r="O10" s="48"/>
      <c r="P10" s="49"/>
      <c r="Q10" s="35"/>
      <c r="R10" s="497"/>
      <c r="S10" s="497"/>
      <c r="T10" s="38"/>
      <c r="U10" s="38"/>
      <c r="V10" s="38"/>
      <c r="W10" s="38"/>
      <c r="X10" s="39"/>
      <c r="Y10" s="216"/>
      <c r="Z10" s="38"/>
      <c r="AA10" s="38"/>
      <c r="AB10" s="38"/>
      <c r="AC10" s="38"/>
      <c r="AD10" s="38"/>
      <c r="AE10" s="238"/>
      <c r="AF10" s="38"/>
      <c r="AG10" s="38"/>
      <c r="AH10" s="38"/>
      <c r="AI10" s="499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51"/>
      <c r="BC10" s="52"/>
      <c r="BD10" s="52"/>
      <c r="BE10" s="34"/>
      <c r="BF10" s="52"/>
    </row>
    <row r="11" spans="1:58" ht="12.75" customHeight="1">
      <c r="A11" s="41">
        <v>45871</v>
      </c>
      <c r="B11" s="42" t="s">
        <v>409</v>
      </c>
      <c r="C11" s="411">
        <f>(M11*E11*O11*Q11)/100000000</f>
        <v>47.69292527999999</v>
      </c>
      <c r="D11" s="42" t="s">
        <v>304</v>
      </c>
      <c r="E11" s="43">
        <v>13</v>
      </c>
      <c r="F11" s="43">
        <v>1</v>
      </c>
      <c r="G11" s="496">
        <v>1230</v>
      </c>
      <c r="H11" s="45">
        <v>0.23</v>
      </c>
      <c r="I11" s="46">
        <v>0.88</v>
      </c>
      <c r="J11" s="86">
        <f>E11*G11*(1-H11)*1440/1000000*2.74</f>
        <v>48.579410880000005</v>
      </c>
      <c r="K11" s="86">
        <f>(IF(G11&lt;L11,L11,G11)*(1-IF(H11&lt;N11,H11,N11))*E11*O11*Q11)/100000000</f>
        <v>47.69292527999999</v>
      </c>
      <c r="L11" s="36">
        <v>1230</v>
      </c>
      <c r="M11" s="36">
        <v>947.0999999999998</v>
      </c>
      <c r="N11" s="47">
        <f>1-(M11/L11)</f>
        <v>0.2300000000000002</v>
      </c>
      <c r="O11" s="48">
        <f>+'Trim Rwd'!H6</f>
        <v>269</v>
      </c>
      <c r="P11" s="49">
        <f>O11*(Q11-R11-S11)</f>
        <v>365840</v>
      </c>
      <c r="Q11" s="48">
        <v>1440</v>
      </c>
      <c r="R11" s="497">
        <v>0</v>
      </c>
      <c r="S11" s="497">
        <v>80</v>
      </c>
      <c r="T11" s="38">
        <f>E11*M11*O11*Q11/100000000</f>
        <v>47.69292527999999</v>
      </c>
      <c r="U11" s="38">
        <f>E11*M11*O11*(Q11-R11-S11)/100000000</f>
        <v>45.04331831999999</v>
      </c>
      <c r="V11" s="38">
        <f>E11*G11*(1-N11)*O11/100*(R11+S11)/1000000</f>
        <v>2.6496069599999994</v>
      </c>
      <c r="W11" s="38">
        <f>+'2'!K7/1000</f>
        <v>45.750999999999998</v>
      </c>
      <c r="X11" s="498">
        <f>SUM(W11:W15)/SUM(K11:K15)</f>
        <v>0.95928273913585382</v>
      </c>
      <c r="Y11" s="216">
        <v>0</v>
      </c>
      <c r="Z11" s="38">
        <f>+'2'!D7/1000</f>
        <v>0.253</v>
      </c>
      <c r="AA11" s="50">
        <f>SUM(U11:U15)-SUM(W11:W15)-SUM(Z11:Z15)-SUM(Y11:Y15)</f>
        <v>-0.96068168000000742</v>
      </c>
      <c r="AB11" s="50">
        <f>(SUM(K11:K15)-SUM(W11:W15)-SUM(Y11:Y15)-SUM(Z11:Z15)-SUM(AC11:AC15)-SUM(V11:V15))-AA11</f>
        <v>0</v>
      </c>
      <c r="AC11" s="38">
        <f>K11-T11</f>
        <v>0</v>
      </c>
      <c r="AD11" s="38">
        <f>+AM11+BA11</f>
        <v>18</v>
      </c>
      <c r="AE11" s="235" t="s">
        <v>436</v>
      </c>
      <c r="AF11" s="38">
        <v>18</v>
      </c>
      <c r="AG11" s="38"/>
      <c r="AH11" s="38"/>
      <c r="AI11" s="499"/>
      <c r="AJ11" s="38"/>
      <c r="AK11" s="38"/>
      <c r="AL11" s="38"/>
      <c r="AM11" s="38">
        <f t="shared" ref="AM11:AM14" si="2">SUM(AF11:AL11)+AT11+AV11+AX11</f>
        <v>18</v>
      </c>
      <c r="AN11" s="38"/>
      <c r="AO11" s="38"/>
      <c r="AP11" s="38"/>
      <c r="AQ11" s="38"/>
      <c r="AR11" s="38">
        <f>SUM(AN11:AQ11)</f>
        <v>0</v>
      </c>
      <c r="AS11" s="38"/>
      <c r="AT11" s="38"/>
      <c r="AU11" s="38"/>
      <c r="AV11" s="38"/>
      <c r="AW11" s="38"/>
      <c r="AX11" s="38"/>
      <c r="AY11" s="38"/>
      <c r="AZ11" s="38"/>
      <c r="BA11" s="38">
        <f>+AR11+AS11+AU11+AW11+AY11+AZ11</f>
        <v>0</v>
      </c>
      <c r="BB11" s="34">
        <v>6</v>
      </c>
      <c r="BC11" s="52"/>
      <c r="BD11" s="52"/>
      <c r="BE11" s="34"/>
      <c r="BF11" s="52"/>
    </row>
    <row r="12" spans="1:58" ht="12.95" customHeight="1">
      <c r="A12" s="41"/>
      <c r="B12" s="42"/>
      <c r="C12" s="411"/>
      <c r="D12" s="42"/>
      <c r="E12" s="43"/>
      <c r="F12" s="43"/>
      <c r="G12" s="496"/>
      <c r="H12" s="45"/>
      <c r="I12" s="46"/>
      <c r="J12" s="86"/>
      <c r="K12" s="86"/>
      <c r="L12" s="36"/>
      <c r="M12" s="36"/>
      <c r="N12" s="47"/>
      <c r="O12" s="48"/>
      <c r="P12" s="49"/>
      <c r="Q12" s="48"/>
      <c r="R12" s="497"/>
      <c r="S12" s="497"/>
      <c r="T12" s="38"/>
      <c r="U12" s="38"/>
      <c r="V12" s="38"/>
      <c r="W12" s="38"/>
      <c r="X12" s="39"/>
      <c r="Y12" s="216"/>
      <c r="Z12" s="38"/>
      <c r="AA12" s="38"/>
      <c r="AB12" s="38"/>
      <c r="AC12" s="38"/>
      <c r="AD12" s="38">
        <f>+AM12+BA12</f>
        <v>12</v>
      </c>
      <c r="AE12" s="235" t="s">
        <v>437</v>
      </c>
      <c r="AF12" s="38"/>
      <c r="AG12" s="38">
        <v>12</v>
      </c>
      <c r="AH12" s="38"/>
      <c r="AI12" s="499"/>
      <c r="AJ12" s="38"/>
      <c r="AK12" s="38"/>
      <c r="AL12" s="38"/>
      <c r="AM12" s="38">
        <f t="shared" si="2"/>
        <v>12</v>
      </c>
      <c r="AN12" s="87"/>
      <c r="AO12" s="38"/>
      <c r="AP12" s="38"/>
      <c r="AQ12" s="38"/>
      <c r="AR12" s="38">
        <f t="shared" ref="AR12:AR14" si="3"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51"/>
      <c r="BC12" s="52">
        <v>7</v>
      </c>
      <c r="BD12" s="52"/>
      <c r="BE12" s="51"/>
      <c r="BF12" s="52"/>
    </row>
    <row r="13" spans="1:58" ht="12.95" customHeight="1">
      <c r="A13" s="41"/>
      <c r="B13" s="42"/>
      <c r="C13" s="411"/>
      <c r="D13" s="42"/>
      <c r="E13" s="43"/>
      <c r="F13" s="43"/>
      <c r="G13" s="44"/>
      <c r="H13" s="45"/>
      <c r="I13" s="46"/>
      <c r="J13" s="86"/>
      <c r="K13" s="86"/>
      <c r="L13" s="36"/>
      <c r="M13" s="36"/>
      <c r="N13" s="47"/>
      <c r="O13" s="48"/>
      <c r="P13" s="49"/>
      <c r="Q13" s="48"/>
      <c r="R13" s="497"/>
      <c r="S13" s="497"/>
      <c r="T13" s="38"/>
      <c r="U13" s="38"/>
      <c r="V13" s="38"/>
      <c r="W13" s="38"/>
      <c r="X13" s="39"/>
      <c r="Y13" s="216"/>
      <c r="Z13" s="38"/>
      <c r="AA13" s="38"/>
      <c r="AB13" s="38"/>
      <c r="AC13" s="38"/>
      <c r="AD13" s="38">
        <f>+AM13+BA13</f>
        <v>50</v>
      </c>
      <c r="AE13" s="235" t="s">
        <v>438</v>
      </c>
      <c r="AF13" s="34"/>
      <c r="AG13" s="34"/>
      <c r="AH13" s="34">
        <v>50</v>
      </c>
      <c r="AJ13" s="38"/>
      <c r="AK13" s="38"/>
      <c r="AL13" s="38"/>
      <c r="AM13" s="38">
        <f t="shared" si="2"/>
        <v>50</v>
      </c>
      <c r="AN13" s="38"/>
      <c r="AO13" s="38"/>
      <c r="AP13" s="38"/>
      <c r="AQ13" s="38"/>
      <c r="AR13" s="38">
        <f t="shared" si="3"/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>+AR13+AS13+AU13+AW13+AY13+AZ13</f>
        <v>0</v>
      </c>
      <c r="BB13" s="34"/>
      <c r="BC13" s="500"/>
      <c r="BD13" s="500"/>
      <c r="BE13" s="34"/>
      <c r="BF13" s="500"/>
    </row>
    <row r="14" spans="1:58" ht="12.95" customHeight="1">
      <c r="A14" s="41"/>
      <c r="B14" s="42"/>
      <c r="C14" s="411"/>
      <c r="D14" s="42"/>
      <c r="E14" s="43"/>
      <c r="F14" s="43"/>
      <c r="G14" s="44"/>
      <c r="H14" s="45"/>
      <c r="I14" s="46"/>
      <c r="J14" s="86"/>
      <c r="K14" s="86"/>
      <c r="L14" s="36"/>
      <c r="M14" s="36"/>
      <c r="N14" s="47"/>
      <c r="O14" s="48"/>
      <c r="P14" s="49"/>
      <c r="Q14" s="35"/>
      <c r="R14" s="497"/>
      <c r="S14" s="497"/>
      <c r="T14" s="38"/>
      <c r="U14" s="38"/>
      <c r="V14" s="38"/>
      <c r="W14" s="38"/>
      <c r="X14" s="39"/>
      <c r="Y14" s="216"/>
      <c r="Z14" s="38"/>
      <c r="AA14" s="38"/>
      <c r="AB14" s="38"/>
      <c r="AC14" s="38"/>
      <c r="AD14" s="38">
        <f>+AM14+BA14</f>
        <v>0</v>
      </c>
      <c r="AE14" s="238" t="s">
        <v>380</v>
      </c>
      <c r="AF14" s="38"/>
      <c r="AG14" s="38"/>
      <c r="AH14" s="38"/>
      <c r="AI14" s="499">
        <v>0</v>
      </c>
      <c r="AJ14" s="38"/>
      <c r="AK14" s="38"/>
      <c r="AL14" s="38"/>
      <c r="AM14" s="38">
        <f t="shared" si="2"/>
        <v>0</v>
      </c>
      <c r="AN14" s="38"/>
      <c r="AO14" s="38"/>
      <c r="AP14" s="38"/>
      <c r="AQ14" s="38"/>
      <c r="AR14" s="38">
        <f t="shared" si="3"/>
        <v>0</v>
      </c>
      <c r="AS14" s="38"/>
      <c r="AT14" s="38"/>
      <c r="AU14" s="38"/>
      <c r="AV14" s="38"/>
      <c r="AW14" s="38"/>
      <c r="AX14" s="38"/>
      <c r="AY14" s="38"/>
      <c r="AZ14" s="38"/>
      <c r="BA14" s="38">
        <f>+AR14+AS14+AU14+AW14+AY14+AZ14</f>
        <v>0</v>
      </c>
      <c r="BB14" s="51"/>
      <c r="BC14" s="52"/>
      <c r="BD14" s="52"/>
      <c r="BE14" s="51"/>
      <c r="BF14" s="52"/>
    </row>
    <row r="15" spans="1:58" ht="12.95" customHeight="1">
      <c r="A15" s="41"/>
      <c r="B15" s="42"/>
      <c r="C15" s="411"/>
      <c r="D15" s="42"/>
      <c r="E15" s="43"/>
      <c r="F15" s="43"/>
      <c r="G15" s="44"/>
      <c r="H15" s="45"/>
      <c r="I15" s="46"/>
      <c r="J15" s="86"/>
      <c r="K15" s="86"/>
      <c r="L15" s="36"/>
      <c r="M15" s="36"/>
      <c r="N15" s="47"/>
      <c r="O15" s="48"/>
      <c r="P15" s="49"/>
      <c r="Q15" s="35"/>
      <c r="R15" s="497"/>
      <c r="S15" s="497"/>
      <c r="T15" s="38"/>
      <c r="U15" s="38"/>
      <c r="V15" s="38"/>
      <c r="W15" s="38"/>
      <c r="X15" s="39"/>
      <c r="Y15" s="216"/>
      <c r="Z15" s="38"/>
      <c r="AA15" s="38"/>
      <c r="AB15" s="38"/>
      <c r="AC15" s="38"/>
      <c r="AD15" s="38"/>
      <c r="AE15" s="238"/>
      <c r="AF15" s="38"/>
      <c r="AG15" s="38"/>
      <c r="AH15" s="38"/>
      <c r="AI15" s="499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51"/>
      <c r="BC15" s="52"/>
      <c r="BD15" s="52"/>
      <c r="BE15" s="51"/>
      <c r="BF15" s="52"/>
    </row>
    <row r="16" spans="1:58" ht="12.75" customHeight="1">
      <c r="A16" s="41">
        <v>45872</v>
      </c>
      <c r="B16" s="42" t="s">
        <v>409</v>
      </c>
      <c r="C16" s="411">
        <f>(M16*E16*O16*Q16)/100000000</f>
        <v>47.69292527999999</v>
      </c>
      <c r="D16" s="42" t="s">
        <v>304</v>
      </c>
      <c r="E16" s="43">
        <v>13</v>
      </c>
      <c r="F16" s="43">
        <v>1</v>
      </c>
      <c r="G16" s="496">
        <v>1230</v>
      </c>
      <c r="H16" s="45">
        <v>0.23</v>
      </c>
      <c r="I16" s="46">
        <v>0.88</v>
      </c>
      <c r="J16" s="86">
        <f>E16*G16*(1-H16)*1440/1000000*2.74</f>
        <v>48.579410880000005</v>
      </c>
      <c r="K16" s="86">
        <f>(IF(G16&lt;L16,L16,G16)*(1-IF(H16&lt;N16,H16,N16))*E16*O16*Q16)/100000000</f>
        <v>47.69292527999999</v>
      </c>
      <c r="L16" s="36">
        <v>1230</v>
      </c>
      <c r="M16" s="36">
        <v>947.0999999999998</v>
      </c>
      <c r="N16" s="47">
        <f>1-(M16/L16)</f>
        <v>0.2300000000000002</v>
      </c>
      <c r="O16" s="48">
        <f>+'Trim Rwd'!H8</f>
        <v>269</v>
      </c>
      <c r="P16" s="49">
        <f>O16*(Q16-R16-S16)</f>
        <v>260123</v>
      </c>
      <c r="Q16" s="48">
        <v>1440</v>
      </c>
      <c r="R16" s="497">
        <f>473-54</f>
        <v>419</v>
      </c>
      <c r="S16" s="497">
        <v>54</v>
      </c>
      <c r="T16" s="38">
        <f>E16*M16*O16*Q16/100000000</f>
        <v>47.69292527999999</v>
      </c>
      <c r="U16" s="38">
        <f>E16*M16*O16*(Q16-R16-S16)/100000000</f>
        <v>32.027124128999994</v>
      </c>
      <c r="V16" s="38">
        <f>E16*G16*(1-N16)*O16/100*(R16+S16)/1000000</f>
        <v>15.665801150999997</v>
      </c>
      <c r="W16" s="38">
        <f>+'3'!K7/1000</f>
        <v>29.978999999999999</v>
      </c>
      <c r="X16" s="498">
        <f>SUM(W16:W20)/SUM(K16:K20)</f>
        <v>0.62858379568870104</v>
      </c>
      <c r="Y16" s="216">
        <v>0</v>
      </c>
      <c r="Z16" s="38">
        <f>+'1'!D17/1000</f>
        <v>0</v>
      </c>
      <c r="AA16" s="50">
        <f>SUM(U16:U20)-SUM(W16:W20)-SUM(Z16:Z20)-SUM(Y16:Y20)</f>
        <v>2.0481241289999943</v>
      </c>
      <c r="AB16" s="50">
        <f>(SUM(K16:K20)-SUM(W16:W20)-SUM(Y16:Y20)-SUM(Z16:Z20)-SUM(AC16:AC20)-SUM(V16:V20))-AA16</f>
        <v>0</v>
      </c>
      <c r="AC16" s="38">
        <f>K16-T16</f>
        <v>0</v>
      </c>
      <c r="AD16" s="38">
        <f t="shared" ref="AD16:AD21" si="4">+AM16+BA16</f>
        <v>25</v>
      </c>
      <c r="AE16" s="235" t="s">
        <v>433</v>
      </c>
      <c r="AF16" s="38">
        <v>25</v>
      </c>
      <c r="AG16" s="38"/>
      <c r="AH16" s="38"/>
      <c r="AI16" s="499"/>
      <c r="AJ16" s="38"/>
      <c r="AK16" s="38"/>
      <c r="AL16" s="38"/>
      <c r="AM16" s="38">
        <f t="shared" ref="AM16:AM19" si="5">SUM(AF16:AL16)+AT16+AV16+AX16</f>
        <v>25</v>
      </c>
      <c r="AN16" s="38"/>
      <c r="AO16" s="38"/>
      <c r="AP16" s="38"/>
      <c r="AQ16" s="38"/>
      <c r="AR16" s="38">
        <f>SUM(AN16:AQ16)</f>
        <v>0</v>
      </c>
      <c r="AS16" s="38"/>
      <c r="AT16" s="38"/>
      <c r="AU16" s="38"/>
      <c r="AV16" s="38"/>
      <c r="AW16" s="38"/>
      <c r="AX16" s="38"/>
      <c r="AY16" s="38"/>
      <c r="AZ16" s="38"/>
      <c r="BA16" s="38">
        <f t="shared" ref="BA16:BA21" si="6">+AR16+AS16+AU16+AW16+AY16+AZ16</f>
        <v>0</v>
      </c>
      <c r="BB16" s="34">
        <v>5</v>
      </c>
      <c r="BC16" s="52"/>
      <c r="BD16" s="52"/>
      <c r="BE16" s="34"/>
      <c r="BF16" s="52"/>
    </row>
    <row r="17" spans="1:58" ht="12.95" customHeight="1">
      <c r="A17" s="41"/>
      <c r="B17" s="42"/>
      <c r="C17" s="411"/>
      <c r="D17" s="42"/>
      <c r="E17" s="43"/>
      <c r="F17" s="43"/>
      <c r="G17" s="496"/>
      <c r="H17" s="45"/>
      <c r="I17" s="46"/>
      <c r="J17" s="86"/>
      <c r="K17" s="86"/>
      <c r="L17" s="36"/>
      <c r="M17" s="36"/>
      <c r="N17" s="47"/>
      <c r="O17" s="48"/>
      <c r="P17" s="49"/>
      <c r="Q17" s="48"/>
      <c r="R17" s="497"/>
      <c r="S17" s="497"/>
      <c r="T17" s="38"/>
      <c r="U17" s="38"/>
      <c r="V17" s="38"/>
      <c r="W17" s="38"/>
      <c r="X17" s="39"/>
      <c r="Y17" s="216"/>
      <c r="Z17" s="38"/>
      <c r="AA17" s="38"/>
      <c r="AB17" s="38"/>
      <c r="AC17" s="38"/>
      <c r="AD17" s="38">
        <f t="shared" si="4"/>
        <v>0</v>
      </c>
      <c r="AE17" s="235" t="s">
        <v>286</v>
      </c>
      <c r="AF17" s="38"/>
      <c r="AG17" s="38">
        <v>0</v>
      </c>
      <c r="AH17" s="38"/>
      <c r="AI17" s="499"/>
      <c r="AJ17" s="38"/>
      <c r="AK17" s="38"/>
      <c r="AL17" s="38"/>
      <c r="AM17" s="38">
        <f t="shared" si="5"/>
        <v>0</v>
      </c>
      <c r="AN17" s="87"/>
      <c r="AO17" s="38"/>
      <c r="AP17" s="38"/>
      <c r="AQ17" s="38"/>
      <c r="AR17" s="38">
        <f t="shared" ref="AR17:AR21" si="7"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 t="shared" si="6"/>
        <v>0</v>
      </c>
      <c r="BB17" s="51"/>
      <c r="BC17" s="52">
        <v>0</v>
      </c>
      <c r="BD17" s="52"/>
      <c r="BE17" s="51"/>
      <c r="BF17" s="52"/>
    </row>
    <row r="18" spans="1:58" ht="12.95" customHeight="1">
      <c r="A18" s="41"/>
      <c r="B18" s="42"/>
      <c r="C18" s="411"/>
      <c r="D18" s="42"/>
      <c r="E18" s="43"/>
      <c r="F18" s="43"/>
      <c r="G18" s="44"/>
      <c r="H18" s="45"/>
      <c r="I18" s="46"/>
      <c r="J18" s="86"/>
      <c r="K18" s="86"/>
      <c r="L18" s="36"/>
      <c r="M18" s="36"/>
      <c r="N18" s="47"/>
      <c r="O18" s="48"/>
      <c r="P18" s="49"/>
      <c r="Q18" s="48"/>
      <c r="R18" s="497"/>
      <c r="S18" s="497"/>
      <c r="T18" s="38"/>
      <c r="U18" s="38"/>
      <c r="V18" s="38"/>
      <c r="W18" s="38"/>
      <c r="X18" s="39"/>
      <c r="Y18" s="216"/>
      <c r="Z18" s="38"/>
      <c r="AA18" s="38"/>
      <c r="AB18" s="38"/>
      <c r="AC18" s="38"/>
      <c r="AD18" s="38">
        <f t="shared" si="4"/>
        <v>29</v>
      </c>
      <c r="AE18" s="235" t="s">
        <v>441</v>
      </c>
      <c r="AF18" s="34"/>
      <c r="AG18" s="34"/>
      <c r="AH18" s="34">
        <v>29</v>
      </c>
      <c r="AJ18" s="38"/>
      <c r="AK18" s="38"/>
      <c r="AL18" s="38"/>
      <c r="AM18" s="38">
        <f t="shared" si="5"/>
        <v>29</v>
      </c>
      <c r="AN18" s="38"/>
      <c r="AO18" s="38"/>
      <c r="AP18" s="38"/>
      <c r="AQ18" s="38"/>
      <c r="AR18" s="38">
        <f t="shared" si="7"/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 t="shared" si="6"/>
        <v>0</v>
      </c>
      <c r="BB18" s="34"/>
      <c r="BC18" s="500"/>
      <c r="BD18" s="500"/>
      <c r="BE18" s="34"/>
      <c r="BF18" s="500"/>
    </row>
    <row r="19" spans="1:58" ht="12.95" customHeight="1">
      <c r="A19" s="41"/>
      <c r="B19" s="42"/>
      <c r="C19" s="411"/>
      <c r="D19" s="42"/>
      <c r="E19" s="43"/>
      <c r="F19" s="43"/>
      <c r="G19" s="44"/>
      <c r="H19" s="45"/>
      <c r="I19" s="46"/>
      <c r="J19" s="86"/>
      <c r="K19" s="86"/>
      <c r="L19" s="36"/>
      <c r="M19" s="36"/>
      <c r="N19" s="47"/>
      <c r="O19" s="48"/>
      <c r="P19" s="49"/>
      <c r="Q19" s="35"/>
      <c r="R19" s="497"/>
      <c r="S19" s="497"/>
      <c r="T19" s="38"/>
      <c r="U19" s="38"/>
      <c r="V19" s="38"/>
      <c r="W19" s="38"/>
      <c r="X19" s="39"/>
      <c r="Y19" s="216"/>
      <c r="Z19" s="38"/>
      <c r="AA19" s="38"/>
      <c r="AB19" s="38"/>
      <c r="AC19" s="38"/>
      <c r="AD19" s="38">
        <f t="shared" si="4"/>
        <v>60</v>
      </c>
      <c r="AE19" s="238" t="s">
        <v>439</v>
      </c>
      <c r="AF19" s="38"/>
      <c r="AG19" s="38"/>
      <c r="AH19" s="38"/>
      <c r="AI19" s="499">
        <v>0</v>
      </c>
      <c r="AJ19" s="38"/>
      <c r="AK19" s="38"/>
      <c r="AL19" s="38"/>
      <c r="AM19" s="38">
        <f t="shared" si="5"/>
        <v>0</v>
      </c>
      <c r="AN19" s="38">
        <v>60</v>
      </c>
      <c r="AO19" s="38"/>
      <c r="AP19" s="38"/>
      <c r="AQ19" s="38"/>
      <c r="AR19" s="38">
        <f t="shared" si="7"/>
        <v>60</v>
      </c>
      <c r="AS19" s="38"/>
      <c r="AT19" s="38"/>
      <c r="AU19" s="38"/>
      <c r="AV19" s="38"/>
      <c r="AW19" s="38"/>
      <c r="AX19" s="38"/>
      <c r="AY19" s="38"/>
      <c r="AZ19" s="38"/>
      <c r="BA19" s="38">
        <f t="shared" si="6"/>
        <v>60</v>
      </c>
      <c r="BB19" s="51"/>
      <c r="BC19" s="52"/>
      <c r="BD19" s="52"/>
      <c r="BE19" s="51"/>
      <c r="BF19" s="52"/>
    </row>
    <row r="20" spans="1:58" ht="12.95" customHeight="1">
      <c r="A20" s="41"/>
      <c r="B20" s="42"/>
      <c r="C20" s="411"/>
      <c r="D20" s="42"/>
      <c r="E20" s="43"/>
      <c r="F20" s="43"/>
      <c r="G20" s="496"/>
      <c r="H20" s="45"/>
      <c r="I20" s="46"/>
      <c r="J20" s="86"/>
      <c r="K20" s="86"/>
      <c r="L20" s="36"/>
      <c r="M20" s="36"/>
      <c r="N20" s="47"/>
      <c r="O20" s="48"/>
      <c r="P20" s="49"/>
      <c r="Q20" s="48"/>
      <c r="R20" s="497"/>
      <c r="S20" s="497"/>
      <c r="T20" s="38"/>
      <c r="U20" s="38"/>
      <c r="V20" s="38"/>
      <c r="W20" s="38"/>
      <c r="X20" s="39"/>
      <c r="Y20" s="216"/>
      <c r="Z20" s="38"/>
      <c r="AA20" s="38"/>
      <c r="AB20" s="38"/>
      <c r="AC20" s="38"/>
      <c r="AD20" s="38">
        <f t="shared" si="4"/>
        <v>60</v>
      </c>
      <c r="AE20" s="238" t="s">
        <v>440</v>
      </c>
      <c r="AF20" s="34"/>
      <c r="AG20" s="34"/>
      <c r="AH20" s="34"/>
      <c r="AJ20" s="38"/>
      <c r="AK20" s="38"/>
      <c r="AL20" s="38"/>
      <c r="AM20" s="38"/>
      <c r="AN20" s="38"/>
      <c r="AO20" s="38"/>
      <c r="AP20" s="38">
        <v>60</v>
      </c>
      <c r="AQ20" s="38"/>
      <c r="AR20" s="38">
        <f t="shared" si="7"/>
        <v>60</v>
      </c>
      <c r="AS20" s="38"/>
      <c r="AT20" s="38"/>
      <c r="AU20" s="38"/>
      <c r="AV20" s="38"/>
      <c r="AW20" s="38"/>
      <c r="AX20" s="38"/>
      <c r="AY20" s="38"/>
      <c r="AZ20" s="38"/>
      <c r="BA20" s="38">
        <f t="shared" si="6"/>
        <v>60</v>
      </c>
      <c r="BB20" s="34"/>
      <c r="BC20" s="500"/>
      <c r="BD20" s="500"/>
      <c r="BE20" s="34"/>
      <c r="BF20" s="500"/>
    </row>
    <row r="21" spans="1:58" ht="12.95" customHeight="1">
      <c r="A21" s="41"/>
      <c r="B21" s="42"/>
      <c r="C21" s="411"/>
      <c r="D21" s="42"/>
      <c r="E21" s="43"/>
      <c r="F21" s="43"/>
      <c r="G21" s="44"/>
      <c r="H21" s="45"/>
      <c r="I21" s="46"/>
      <c r="J21" s="86"/>
      <c r="K21" s="86"/>
      <c r="L21" s="36"/>
      <c r="M21" s="36"/>
      <c r="N21" s="47"/>
      <c r="O21" s="48"/>
      <c r="P21" s="49"/>
      <c r="Q21" s="35"/>
      <c r="R21" s="497"/>
      <c r="S21" s="497"/>
      <c r="T21" s="38"/>
      <c r="U21" s="38"/>
      <c r="V21" s="38"/>
      <c r="W21" s="38"/>
      <c r="X21" s="39"/>
      <c r="Y21" s="216"/>
      <c r="Z21" s="38"/>
      <c r="AA21" s="38"/>
      <c r="AB21" s="38"/>
      <c r="AC21" s="38"/>
      <c r="AD21" s="38">
        <f t="shared" si="4"/>
        <v>299</v>
      </c>
      <c r="AE21" s="238" t="s">
        <v>440</v>
      </c>
      <c r="AF21" s="38"/>
      <c r="AG21" s="38"/>
      <c r="AH21" s="38"/>
      <c r="AI21" s="499"/>
      <c r="AJ21" s="38"/>
      <c r="AK21" s="38"/>
      <c r="AL21" s="38"/>
      <c r="AM21" s="38"/>
      <c r="AN21" s="38"/>
      <c r="AO21" s="38">
        <v>299</v>
      </c>
      <c r="AP21" s="38"/>
      <c r="AQ21" s="38"/>
      <c r="AR21" s="38">
        <f t="shared" si="7"/>
        <v>299</v>
      </c>
      <c r="AS21" s="38"/>
      <c r="AT21" s="38"/>
      <c r="AU21" s="38"/>
      <c r="AV21" s="38"/>
      <c r="AW21" s="38"/>
      <c r="AX21" s="38"/>
      <c r="AY21" s="38"/>
      <c r="AZ21" s="38"/>
      <c r="BA21" s="38">
        <f t="shared" si="6"/>
        <v>299</v>
      </c>
      <c r="BB21" s="51"/>
      <c r="BC21" s="52"/>
      <c r="BD21" s="52"/>
      <c r="BE21" s="34"/>
      <c r="BF21" s="52"/>
    </row>
    <row r="22" spans="1:58" ht="12" customHeight="1">
      <c r="A22" s="41"/>
      <c r="B22" s="42"/>
      <c r="C22" s="411"/>
      <c r="D22" s="42"/>
      <c r="E22" s="43"/>
      <c r="F22" s="43"/>
      <c r="G22" s="496"/>
      <c r="H22" s="45"/>
      <c r="I22" s="46"/>
      <c r="J22" s="86"/>
      <c r="K22" s="86"/>
      <c r="L22" s="36"/>
      <c r="M22" s="36"/>
      <c r="N22" s="47"/>
      <c r="O22" s="48"/>
      <c r="P22" s="49"/>
      <c r="Q22" s="48"/>
      <c r="R22" s="497"/>
      <c r="S22" s="497"/>
      <c r="T22" s="38"/>
      <c r="U22" s="38"/>
      <c r="V22" s="38"/>
      <c r="W22" s="38"/>
      <c r="X22" s="39"/>
      <c r="Y22" s="216"/>
      <c r="Z22" s="38"/>
      <c r="AA22" s="38"/>
      <c r="AB22" s="38"/>
      <c r="AC22" s="38"/>
      <c r="AD22" s="38"/>
      <c r="AE22" s="238"/>
      <c r="AF22" s="38"/>
      <c r="AG22" s="38"/>
      <c r="AH22" s="38"/>
      <c r="AI22" s="499"/>
      <c r="AJ22" s="38"/>
      <c r="AK22" s="38"/>
      <c r="AL22" s="38"/>
      <c r="AM22" s="38"/>
      <c r="AN22" s="87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51"/>
      <c r="BC22" s="52"/>
      <c r="BD22" s="52"/>
      <c r="BE22" s="34"/>
      <c r="BF22" s="52"/>
    </row>
    <row r="23" spans="1:58" ht="12.75" customHeight="1">
      <c r="A23" s="41">
        <v>45873</v>
      </c>
      <c r="B23" s="42" t="s">
        <v>409</v>
      </c>
      <c r="C23" s="411">
        <f>(M23*E23*O23*Q23)/100000000</f>
        <v>47.472932506999996</v>
      </c>
      <c r="D23" s="42" t="s">
        <v>304</v>
      </c>
      <c r="E23" s="43">
        <v>13</v>
      </c>
      <c r="F23" s="43">
        <v>1</v>
      </c>
      <c r="G23" s="496">
        <v>1230</v>
      </c>
      <c r="H23" s="45">
        <v>0.23</v>
      </c>
      <c r="I23" s="46">
        <v>0.88</v>
      </c>
      <c r="J23" s="86">
        <f>E23*G23*(1-H23)*1440/1000000*2.74</f>
        <v>48.579410880000005</v>
      </c>
      <c r="K23" s="86">
        <f>(IF(G23&lt;L23,L23,G23)*(1-IF(H23&lt;N23,H23,N23))*E23*O23*Q23)/100000000</f>
        <v>47.692925279999997</v>
      </c>
      <c r="L23" s="36">
        <v>1224.3263888888889</v>
      </c>
      <c r="M23" s="36">
        <v>942.73131944444447</v>
      </c>
      <c r="N23" s="47">
        <f>1-(M23/L23)</f>
        <v>0.22999999999999998</v>
      </c>
      <c r="O23" s="48">
        <f>+'Trim Rwd'!H10</f>
        <v>269</v>
      </c>
      <c r="P23" s="49">
        <f>O23*(Q23-R23-S23)</f>
        <v>372296</v>
      </c>
      <c r="Q23" s="48">
        <v>1440</v>
      </c>
      <c r="R23" s="497">
        <v>0</v>
      </c>
      <c r="S23" s="497">
        <v>56</v>
      </c>
      <c r="T23" s="38">
        <f>E23*M23*O23*Q23/100000000</f>
        <v>47.472932506999996</v>
      </c>
      <c r="U23" s="38">
        <f>E23*M23*O23*(Q23-R23-S23)/100000000</f>
        <v>45.626762909505558</v>
      </c>
      <c r="V23" s="38">
        <f>E23*G23*(1-N23)*O23/100*(R23+S23)/1000000</f>
        <v>1.854724872</v>
      </c>
      <c r="W23" s="38">
        <f>+'4'!K7/1000</f>
        <v>44.225000000000001</v>
      </c>
      <c r="X23" s="498">
        <f>SUM(W23:W27)/SUM(K23:K27)</f>
        <v>0.92728637927658697</v>
      </c>
      <c r="Y23" s="216">
        <v>0</v>
      </c>
      <c r="Z23" s="38">
        <f>+'2'!D19/1000</f>
        <v>0</v>
      </c>
      <c r="AA23" s="50">
        <f>SUM(U23:U27)-SUM(W23:W27)-SUM(Z23:Z27)-SUM(Y23:Y27)</f>
        <v>1.4017629095055568</v>
      </c>
      <c r="AB23" s="50">
        <f>(SUM(K23:K27)-SUM(W23:W27)-SUM(Y23:Y27)-SUM(Z23:Z27)-SUM(AC23:AC27)-SUM(V23:V27))-AA23</f>
        <v>-8.5552745055623713E-3</v>
      </c>
      <c r="AC23" s="38">
        <f>K23-T23</f>
        <v>0.21999277300000131</v>
      </c>
      <c r="AD23" s="38">
        <f>+AM23+BA23</f>
        <v>0</v>
      </c>
      <c r="AE23" s="235" t="s">
        <v>436</v>
      </c>
      <c r="AF23" s="38">
        <v>0</v>
      </c>
      <c r="AG23" s="38"/>
      <c r="AH23" s="38"/>
      <c r="AI23" s="499"/>
      <c r="AJ23" s="38"/>
      <c r="AK23" s="38"/>
      <c r="AL23" s="38"/>
      <c r="AM23" s="38">
        <f t="shared" ref="AM23:AM26" si="8">SUM(AF23:AL23)+AT23+AV23+AX23</f>
        <v>0</v>
      </c>
      <c r="AN23" s="38"/>
      <c r="AO23" s="38"/>
      <c r="AP23" s="38"/>
      <c r="AQ23" s="38"/>
      <c r="AR23" s="38">
        <f>SUM(AN23:AQ23)</f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0</v>
      </c>
      <c r="BB23" s="34">
        <v>6</v>
      </c>
      <c r="BC23" s="52"/>
      <c r="BD23" s="52"/>
      <c r="BE23" s="34"/>
      <c r="BF23" s="52"/>
    </row>
    <row r="24" spans="1:58" ht="12.95" customHeight="1">
      <c r="A24" s="41"/>
      <c r="B24" s="42"/>
      <c r="C24" s="411"/>
      <c r="D24" s="42"/>
      <c r="E24" s="43"/>
      <c r="F24" s="43"/>
      <c r="G24" s="496"/>
      <c r="H24" s="45"/>
      <c r="I24" s="46"/>
      <c r="J24" s="86"/>
      <c r="K24" s="86"/>
      <c r="L24" s="36"/>
      <c r="M24" s="36"/>
      <c r="N24" s="47"/>
      <c r="O24" s="48"/>
      <c r="P24" s="49"/>
      <c r="Q24" s="48"/>
      <c r="R24" s="497"/>
      <c r="S24" s="497"/>
      <c r="T24" s="38"/>
      <c r="U24" s="38"/>
      <c r="V24" s="38"/>
      <c r="W24" s="38"/>
      <c r="X24" s="39"/>
      <c r="Y24" s="216"/>
      <c r="Z24" s="38"/>
      <c r="AA24" s="38"/>
      <c r="AB24" s="38"/>
      <c r="AC24" s="38"/>
      <c r="AD24" s="38">
        <f>+AM24+BA24</f>
        <v>0</v>
      </c>
      <c r="AE24" s="235" t="s">
        <v>437</v>
      </c>
      <c r="AF24" s="38"/>
      <c r="AG24" s="38">
        <v>0</v>
      </c>
      <c r="AH24" s="38"/>
      <c r="AI24" s="499"/>
      <c r="AJ24" s="38"/>
      <c r="AK24" s="38"/>
      <c r="AL24" s="38"/>
      <c r="AM24" s="38">
        <f t="shared" si="8"/>
        <v>0</v>
      </c>
      <c r="AN24" s="87"/>
      <c r="AO24" s="38"/>
      <c r="AP24" s="38"/>
      <c r="AQ24" s="38"/>
      <c r="AR24" s="38">
        <f t="shared" ref="AR24:AR26" si="9">SUM(AN24:AQ24)</f>
        <v>0</v>
      </c>
      <c r="AS24" s="38"/>
      <c r="AT24" s="38"/>
      <c r="AU24" s="38"/>
      <c r="AV24" s="38"/>
      <c r="AW24" s="38"/>
      <c r="AX24" s="38"/>
      <c r="AY24" s="38"/>
      <c r="AZ24" s="38"/>
      <c r="BA24" s="38">
        <f>+AR24+AS24+AU24+AW24+AY24+AZ24</f>
        <v>0</v>
      </c>
      <c r="BB24" s="51"/>
      <c r="BC24" s="52">
        <v>7</v>
      </c>
      <c r="BD24" s="52"/>
      <c r="BE24" s="51"/>
      <c r="BF24" s="52"/>
    </row>
    <row r="25" spans="1:58" ht="12.95" customHeight="1">
      <c r="A25" s="41"/>
      <c r="B25" s="42"/>
      <c r="C25" s="411"/>
      <c r="D25" s="42"/>
      <c r="E25" s="43"/>
      <c r="F25" s="43"/>
      <c r="G25" s="44"/>
      <c r="H25" s="45"/>
      <c r="I25" s="46"/>
      <c r="J25" s="86"/>
      <c r="K25" s="86"/>
      <c r="L25" s="36"/>
      <c r="M25" s="36"/>
      <c r="N25" s="47"/>
      <c r="O25" s="48"/>
      <c r="P25" s="49"/>
      <c r="Q25" s="48"/>
      <c r="R25" s="497"/>
      <c r="S25" s="497"/>
      <c r="T25" s="38"/>
      <c r="U25" s="38"/>
      <c r="V25" s="38"/>
      <c r="W25" s="38"/>
      <c r="X25" s="39"/>
      <c r="Y25" s="216"/>
      <c r="Z25" s="38"/>
      <c r="AA25" s="38"/>
      <c r="AB25" s="38"/>
      <c r="AC25" s="38"/>
      <c r="AD25" s="38">
        <f>+AM25+BA25</f>
        <v>56</v>
      </c>
      <c r="AE25" s="235" t="s">
        <v>452</v>
      </c>
      <c r="AF25" s="34"/>
      <c r="AG25" s="34"/>
      <c r="AH25" s="34">
        <v>56</v>
      </c>
      <c r="AJ25" s="38"/>
      <c r="AK25" s="38"/>
      <c r="AL25" s="38"/>
      <c r="AM25" s="38">
        <f t="shared" si="8"/>
        <v>56</v>
      </c>
      <c r="AN25" s="38"/>
      <c r="AO25" s="38"/>
      <c r="AP25" s="38"/>
      <c r="AQ25" s="38"/>
      <c r="AR25" s="38">
        <f t="shared" si="9"/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/>
      <c r="BC25" s="500"/>
      <c r="BD25" s="500"/>
      <c r="BE25" s="34"/>
      <c r="BF25" s="500"/>
    </row>
    <row r="26" spans="1:58" ht="12.95" customHeight="1">
      <c r="A26" s="41"/>
      <c r="B26" s="42"/>
      <c r="C26" s="411"/>
      <c r="D26" s="42"/>
      <c r="E26" s="43"/>
      <c r="F26" s="43"/>
      <c r="G26" s="44"/>
      <c r="H26" s="45"/>
      <c r="I26" s="46"/>
      <c r="J26" s="86"/>
      <c r="K26" s="86"/>
      <c r="L26" s="36"/>
      <c r="M26" s="36"/>
      <c r="N26" s="47"/>
      <c r="O26" s="48"/>
      <c r="P26" s="49"/>
      <c r="Q26" s="35"/>
      <c r="R26" s="497"/>
      <c r="S26" s="497"/>
      <c r="T26" s="38"/>
      <c r="U26" s="38"/>
      <c r="V26" s="38"/>
      <c r="W26" s="38"/>
      <c r="X26" s="39"/>
      <c r="Y26" s="216"/>
      <c r="Z26" s="38"/>
      <c r="AA26" s="38"/>
      <c r="AB26" s="38"/>
      <c r="AC26" s="38"/>
      <c r="AD26" s="38">
        <f>+AM26+BA26</f>
        <v>0</v>
      </c>
      <c r="AE26" s="238" t="s">
        <v>380</v>
      </c>
      <c r="AF26" s="38"/>
      <c r="AG26" s="38"/>
      <c r="AH26" s="38"/>
      <c r="AI26" s="499">
        <v>0</v>
      </c>
      <c r="AJ26" s="38"/>
      <c r="AK26" s="38"/>
      <c r="AL26" s="38"/>
      <c r="AM26" s="38">
        <f t="shared" si="8"/>
        <v>0</v>
      </c>
      <c r="AN26" s="38"/>
      <c r="AO26" s="38"/>
      <c r="AP26" s="38"/>
      <c r="AQ26" s="38"/>
      <c r="AR26" s="38">
        <f t="shared" si="9"/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+AR26+AS26+AU26+AW26+AY26+AZ26</f>
        <v>0</v>
      </c>
      <c r="BB26" s="51"/>
      <c r="BC26" s="52"/>
      <c r="BD26" s="52"/>
      <c r="BE26" s="51"/>
      <c r="BF26" s="52"/>
    </row>
    <row r="27" spans="1:58" ht="12.95" customHeight="1">
      <c r="A27" s="41"/>
      <c r="B27" s="42"/>
      <c r="C27" s="411"/>
      <c r="D27" s="42"/>
      <c r="E27" s="43"/>
      <c r="F27" s="43"/>
      <c r="G27" s="44"/>
      <c r="H27" s="45"/>
      <c r="I27" s="46"/>
      <c r="J27" s="86"/>
      <c r="K27" s="86"/>
      <c r="L27" s="36"/>
      <c r="M27" s="36"/>
      <c r="N27" s="47"/>
      <c r="O27" s="48"/>
      <c r="P27" s="49"/>
      <c r="Q27" s="48"/>
      <c r="R27" s="497"/>
      <c r="S27" s="497"/>
      <c r="T27" s="38"/>
      <c r="U27" s="38"/>
      <c r="V27" s="38"/>
      <c r="W27" s="38"/>
      <c r="X27" s="39"/>
      <c r="Y27" s="216"/>
      <c r="Z27" s="38"/>
      <c r="AA27" s="38"/>
      <c r="AB27" s="38"/>
      <c r="AC27" s="38"/>
      <c r="AD27" s="38"/>
      <c r="AE27" s="235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51"/>
      <c r="BC27" s="52"/>
      <c r="BD27" s="52"/>
      <c r="BE27" s="51"/>
      <c r="BF27" s="52"/>
    </row>
    <row r="28" spans="1:58" ht="12.75" customHeight="1">
      <c r="A28" s="41">
        <v>45874</v>
      </c>
      <c r="B28" s="42" t="s">
        <v>409</v>
      </c>
      <c r="C28" s="411">
        <f>(M28*E28*O28*Q28)/100000000</f>
        <v>47.69292527999999</v>
      </c>
      <c r="D28" s="42" t="s">
        <v>304</v>
      </c>
      <c r="E28" s="43">
        <v>13</v>
      </c>
      <c r="F28" s="43">
        <v>1</v>
      </c>
      <c r="G28" s="496">
        <v>1230</v>
      </c>
      <c r="H28" s="45">
        <v>0.23</v>
      </c>
      <c r="I28" s="46">
        <v>0.88</v>
      </c>
      <c r="J28" s="86">
        <f>E28*G28*(1-H28)*1440/1000000*2.74</f>
        <v>48.579410880000005</v>
      </c>
      <c r="K28" s="86">
        <f>(IF(G28&lt;L28,L28,G28)*(1-IF(H28&lt;N28,H28,N28))*E28*O28*Q28)/100000000</f>
        <v>47.69292527999999</v>
      </c>
      <c r="L28" s="36">
        <v>1230</v>
      </c>
      <c r="M28" s="36">
        <v>947.0999999999998</v>
      </c>
      <c r="N28" s="47">
        <f>1-(M28/L28)</f>
        <v>0.2300000000000002</v>
      </c>
      <c r="O28" s="48">
        <f>+'Trim Rwd'!H12</f>
        <v>269</v>
      </c>
      <c r="P28" s="49">
        <f>O28*(Q28-R28-S28)</f>
        <v>372834</v>
      </c>
      <c r="Q28" s="48">
        <v>1440</v>
      </c>
      <c r="R28" s="497">
        <v>0</v>
      </c>
      <c r="S28" s="497">
        <v>54</v>
      </c>
      <c r="T28" s="38">
        <f>E28*M28*O28*Q28/100000000</f>
        <v>47.69292527999999</v>
      </c>
      <c r="U28" s="38">
        <f>E28*M28*O28*(Q28-R28-S28)/100000000</f>
        <v>45.904440581999985</v>
      </c>
      <c r="V28" s="38">
        <f>E28*G28*(1-N28)*O28/100*(R28+S28)/1000000</f>
        <v>1.7884846979999995</v>
      </c>
      <c r="W28" s="38">
        <f>+'5'!K7/1000</f>
        <v>42.78</v>
      </c>
      <c r="X28" s="498">
        <f>SUM(W28:W32)/SUM(K28:K32)</f>
        <v>0.89698838452125262</v>
      </c>
      <c r="Y28" s="216">
        <v>0</v>
      </c>
      <c r="Z28" s="38">
        <f>+'5'!D34/1000</f>
        <v>1.26</v>
      </c>
      <c r="AA28" s="50">
        <f>SUM(U28:U32)-SUM(W28:W32)-SUM(Z28:Z32)-SUM(Y28:Y32)</f>
        <v>1.8644405819999841</v>
      </c>
      <c r="AB28" s="50">
        <f>(SUM(K28:K32)-SUM(W28:W32)-SUM(Y28:Y32)-SUM(Z28:Z32)-SUM(AC28:AC32)-SUM(V28:V32))-AA28</f>
        <v>5.5511151231257827E-15</v>
      </c>
      <c r="AC28" s="38">
        <f>K28-T28</f>
        <v>0</v>
      </c>
      <c r="AD28" s="38">
        <f>+AM28+BA28</f>
        <v>0</v>
      </c>
      <c r="AE28" s="235" t="s">
        <v>387</v>
      </c>
      <c r="AF28" s="38">
        <v>0</v>
      </c>
      <c r="AG28" s="38"/>
      <c r="AH28" s="38"/>
      <c r="AI28" s="499"/>
      <c r="AJ28" s="38"/>
      <c r="AK28" s="38"/>
      <c r="AL28" s="38"/>
      <c r="AM28" s="38">
        <f t="shared" ref="AM28:AM31" si="10">SUM(AF28:AL28)+AT28+AV28+AX28</f>
        <v>0</v>
      </c>
      <c r="AN28" s="38"/>
      <c r="AO28" s="38"/>
      <c r="AP28" s="38"/>
      <c r="AQ28" s="38"/>
      <c r="AR28" s="38">
        <f>SUM(AN28:AQ28)</f>
        <v>0</v>
      </c>
      <c r="AS28" s="38"/>
      <c r="AT28" s="38"/>
      <c r="AU28" s="38"/>
      <c r="AV28" s="38"/>
      <c r="AW28" s="38"/>
      <c r="AX28" s="38"/>
      <c r="AY28" s="38"/>
      <c r="AZ28" s="38"/>
      <c r="BA28" s="38">
        <f>+AR28+AS28+AU28+AW28+AY28+AZ28</f>
        <v>0</v>
      </c>
      <c r="BB28" s="34">
        <v>0</v>
      </c>
      <c r="BC28" s="52"/>
      <c r="BD28" s="52"/>
      <c r="BE28" s="34"/>
      <c r="BF28" s="52"/>
    </row>
    <row r="29" spans="1:58" ht="12.95" customHeight="1">
      <c r="A29" s="41"/>
      <c r="B29" s="42"/>
      <c r="C29" s="411"/>
      <c r="D29" s="42"/>
      <c r="E29" s="43"/>
      <c r="F29" s="43"/>
      <c r="G29" s="496"/>
      <c r="H29" s="45"/>
      <c r="I29" s="46"/>
      <c r="J29" s="86"/>
      <c r="K29" s="86"/>
      <c r="L29" s="36"/>
      <c r="M29" s="36"/>
      <c r="N29" s="47"/>
      <c r="O29" s="48"/>
      <c r="P29" s="49"/>
      <c r="Q29" s="48"/>
      <c r="R29" s="497"/>
      <c r="S29" s="497"/>
      <c r="T29" s="38"/>
      <c r="U29" s="38"/>
      <c r="V29" s="38"/>
      <c r="W29" s="38"/>
      <c r="X29" s="39"/>
      <c r="Y29" s="216"/>
      <c r="Z29" s="38"/>
      <c r="AA29" s="38"/>
      <c r="AB29" s="38"/>
      <c r="AC29" s="38"/>
      <c r="AD29" s="38">
        <f>+AM29+BA29</f>
        <v>6</v>
      </c>
      <c r="AE29" s="235" t="s">
        <v>388</v>
      </c>
      <c r="AF29" s="38"/>
      <c r="AG29" s="38">
        <v>6</v>
      </c>
      <c r="AH29" s="38"/>
      <c r="AI29" s="499"/>
      <c r="AJ29" s="38"/>
      <c r="AK29" s="38"/>
      <c r="AL29" s="38"/>
      <c r="AM29" s="38">
        <f t="shared" si="10"/>
        <v>6</v>
      </c>
      <c r="AN29" s="87"/>
      <c r="AO29" s="38"/>
      <c r="AP29" s="38"/>
      <c r="AQ29" s="38"/>
      <c r="AR29" s="38">
        <f t="shared" ref="AR29:AR31" si="11"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51"/>
      <c r="BC29" s="52">
        <v>3</v>
      </c>
      <c r="BD29" s="52"/>
      <c r="BE29" s="51"/>
      <c r="BF29" s="52"/>
    </row>
    <row r="30" spans="1:58" ht="12.95" customHeight="1">
      <c r="A30" s="41"/>
      <c r="B30" s="42"/>
      <c r="C30" s="411"/>
      <c r="D30" s="42"/>
      <c r="E30" s="43"/>
      <c r="F30" s="43"/>
      <c r="G30" s="44"/>
      <c r="H30" s="45"/>
      <c r="I30" s="46"/>
      <c r="J30" s="86"/>
      <c r="K30" s="86"/>
      <c r="L30" s="36"/>
      <c r="M30" s="36"/>
      <c r="N30" s="47"/>
      <c r="O30" s="48"/>
      <c r="P30" s="49"/>
      <c r="Q30" s="48"/>
      <c r="R30" s="497"/>
      <c r="S30" s="497"/>
      <c r="T30" s="38"/>
      <c r="U30" s="38"/>
      <c r="V30" s="38"/>
      <c r="W30" s="38"/>
      <c r="X30" s="39"/>
      <c r="Y30" s="216"/>
      <c r="Z30" s="38"/>
      <c r="AA30" s="38"/>
      <c r="AB30" s="38"/>
      <c r="AC30" s="38"/>
      <c r="AD30" s="38">
        <f>+AM30+BA30</f>
        <v>48</v>
      </c>
      <c r="AE30" s="235" t="s">
        <v>457</v>
      </c>
      <c r="AF30" s="34"/>
      <c r="AG30" s="34"/>
      <c r="AH30" s="34">
        <v>48</v>
      </c>
      <c r="AJ30" s="38"/>
      <c r="AK30" s="38"/>
      <c r="AL30" s="38"/>
      <c r="AM30" s="38">
        <f t="shared" si="10"/>
        <v>48</v>
      </c>
      <c r="AN30" s="38"/>
      <c r="AO30" s="38"/>
      <c r="AP30" s="38"/>
      <c r="AQ30" s="38"/>
      <c r="AR30" s="38">
        <f t="shared" si="11"/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34"/>
      <c r="BC30" s="500"/>
      <c r="BD30" s="500"/>
      <c r="BE30" s="34"/>
      <c r="BF30" s="500"/>
    </row>
    <row r="31" spans="1:58" ht="12.95" customHeight="1">
      <c r="A31" s="41"/>
      <c r="B31" s="42"/>
      <c r="C31" s="411"/>
      <c r="D31" s="42"/>
      <c r="E31" s="43"/>
      <c r="F31" s="43"/>
      <c r="G31" s="44"/>
      <c r="H31" s="45"/>
      <c r="I31" s="46"/>
      <c r="J31" s="86"/>
      <c r="K31" s="86"/>
      <c r="L31" s="36"/>
      <c r="M31" s="36"/>
      <c r="N31" s="47"/>
      <c r="O31" s="48"/>
      <c r="P31" s="49"/>
      <c r="Q31" s="35"/>
      <c r="R31" s="497"/>
      <c r="S31" s="497"/>
      <c r="T31" s="38"/>
      <c r="U31" s="38"/>
      <c r="V31" s="38"/>
      <c r="W31" s="38"/>
      <c r="X31" s="39"/>
      <c r="Y31" s="216"/>
      <c r="Z31" s="38"/>
      <c r="AA31" s="38"/>
      <c r="AB31" s="38"/>
      <c r="AC31" s="38"/>
      <c r="AD31" s="38">
        <f>+AM31+BA31</f>
        <v>0</v>
      </c>
      <c r="AE31" s="238" t="s">
        <v>380</v>
      </c>
      <c r="AF31" s="38"/>
      <c r="AG31" s="38"/>
      <c r="AH31" s="38"/>
      <c r="AI31" s="499">
        <v>0</v>
      </c>
      <c r="AJ31" s="38"/>
      <c r="AK31" s="38"/>
      <c r="AL31" s="38"/>
      <c r="AM31" s="38">
        <f t="shared" si="10"/>
        <v>0</v>
      </c>
      <c r="AN31" s="38"/>
      <c r="AO31" s="38"/>
      <c r="AP31" s="38"/>
      <c r="AQ31" s="38"/>
      <c r="AR31" s="38">
        <f t="shared" si="11"/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51"/>
      <c r="BC31" s="52"/>
      <c r="BD31" s="52"/>
      <c r="BE31" s="51"/>
      <c r="BF31" s="52"/>
    </row>
    <row r="32" spans="1:58" ht="12.95" customHeight="1">
      <c r="A32" s="41"/>
      <c r="B32" s="42"/>
      <c r="C32" s="411"/>
      <c r="D32" s="42"/>
      <c r="E32" s="43"/>
      <c r="F32" s="43"/>
      <c r="G32" s="44"/>
      <c r="H32" s="45"/>
      <c r="I32" s="46"/>
      <c r="J32" s="86"/>
      <c r="K32" s="86"/>
      <c r="L32" s="36"/>
      <c r="M32" s="36"/>
      <c r="N32" s="47"/>
      <c r="O32" s="48"/>
      <c r="P32" s="49"/>
      <c r="Q32" s="48"/>
      <c r="R32" s="497"/>
      <c r="S32" s="497"/>
      <c r="T32" s="38"/>
      <c r="U32" s="38"/>
      <c r="V32" s="38"/>
      <c r="W32" s="38"/>
      <c r="X32" s="39"/>
      <c r="Y32" s="216"/>
      <c r="Z32" s="38"/>
      <c r="AA32" s="38"/>
      <c r="AB32" s="38"/>
      <c r="AC32" s="38"/>
      <c r="AD32" s="38"/>
      <c r="AE32" s="235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51"/>
      <c r="BC32" s="52"/>
      <c r="BD32" s="52"/>
      <c r="BE32" s="52"/>
      <c r="BF32" s="52"/>
    </row>
    <row r="33" spans="1:58" ht="12.75" customHeight="1">
      <c r="A33" s="41">
        <v>45875</v>
      </c>
      <c r="B33" s="42" t="s">
        <v>409</v>
      </c>
      <c r="C33" s="411">
        <f>(M33*E33*O33*Q33)/100000000</f>
        <v>44.877717885000003</v>
      </c>
      <c r="D33" s="42" t="s">
        <v>304</v>
      </c>
      <c r="E33" s="43">
        <v>13</v>
      </c>
      <c r="F33" s="43">
        <v>1</v>
      </c>
      <c r="G33" s="496">
        <v>1230</v>
      </c>
      <c r="H33" s="45">
        <v>0.23</v>
      </c>
      <c r="I33" s="46">
        <v>0.88</v>
      </c>
      <c r="J33" s="86">
        <f>E33*G33*(1-H33)*1440/1000000*2.74</f>
        <v>48.579410880000005</v>
      </c>
      <c r="K33" s="86">
        <f>(IF(G33&lt;L33,L33,G33)*(1-IF(H33&lt;N33,H33,N33))*E33*O33*Q33)/100000000</f>
        <v>44.877717885000003</v>
      </c>
      <c r="L33" s="36">
        <v>1230</v>
      </c>
      <c r="M33" s="36">
        <v>947.09999999999991</v>
      </c>
      <c r="N33" s="47">
        <f>1-(M33/L33)</f>
        <v>0.23000000000000009</v>
      </c>
      <c r="O33" s="48">
        <f>+'Trim Rwd'!H14</f>
        <v>269</v>
      </c>
      <c r="P33" s="49">
        <f>O33*(Q33-R33-S33)</f>
        <v>356425</v>
      </c>
      <c r="Q33" s="48">
        <v>1355</v>
      </c>
      <c r="R33" s="497">
        <v>0</v>
      </c>
      <c r="S33" s="497">
        <v>30</v>
      </c>
      <c r="T33" s="38">
        <f>E33*M33*O33*Q33/100000000</f>
        <v>44.877717885000003</v>
      </c>
      <c r="U33" s="38">
        <f>E33*M33*O33*(Q33-R33-S33)/100000000</f>
        <v>43.884115274999999</v>
      </c>
      <c r="V33" s="38">
        <f>E33*G33*(1-N33)*O33/100*(R33+S33)/1000000</f>
        <v>0.99360260999999994</v>
      </c>
      <c r="W33" s="38">
        <f>+'6'!K7/1000</f>
        <v>42.75</v>
      </c>
      <c r="X33" s="498">
        <f>SUM(W33:W37)/SUM(K33:K37)</f>
        <v>0.89021991201295658</v>
      </c>
      <c r="Y33" s="216">
        <v>0</v>
      </c>
      <c r="Z33" s="38">
        <f>+'6'!D25/1000</f>
        <v>0.3</v>
      </c>
      <c r="AA33" s="50">
        <f>SUM(U33:U37)-SUM(W33:W37)-SUM(Z33:Z37)-SUM(Y33:Y37)</f>
        <v>3.2754352109999987</v>
      </c>
      <c r="AB33" s="50">
        <f>(SUM(K33:K37)-SUM(W33:W37)-SUM(Y33:Y37)-SUM(Z33:Z37)-SUM(AC33:AC37)-SUM(V33:V37))-AA33</f>
        <v>2.3823872000001245E-2</v>
      </c>
      <c r="AC33" s="38">
        <f>K33-T33</f>
        <v>0</v>
      </c>
      <c r="AD33" s="38">
        <f>+AM33+BA33</f>
        <v>12</v>
      </c>
      <c r="AE33" s="235" t="s">
        <v>436</v>
      </c>
      <c r="AF33" s="38">
        <v>12</v>
      </c>
      <c r="AG33" s="38"/>
      <c r="AH33" s="38"/>
      <c r="AI33" s="499"/>
      <c r="AJ33" s="38"/>
      <c r="AK33" s="38"/>
      <c r="AL33" s="38"/>
      <c r="AM33" s="38">
        <f t="shared" ref="AM33:AM36" si="12">SUM(AF33:AL33)+AT33+AV33+AX33</f>
        <v>12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6</v>
      </c>
      <c r="BC33" s="52"/>
      <c r="BD33" s="52"/>
      <c r="BE33" s="34"/>
      <c r="BF33" s="52"/>
    </row>
    <row r="34" spans="1:58" ht="12.95" customHeight="1">
      <c r="A34" s="41"/>
      <c r="B34" s="42" t="s">
        <v>409</v>
      </c>
      <c r="C34" s="411">
        <f>(M34*E34*O34*Q34)/100000000</f>
        <v>3.1441241600000001</v>
      </c>
      <c r="D34" s="42" t="s">
        <v>304</v>
      </c>
      <c r="E34" s="43">
        <v>15.5</v>
      </c>
      <c r="F34" s="43">
        <v>1</v>
      </c>
      <c r="G34" s="496">
        <v>1140</v>
      </c>
      <c r="H34" s="45">
        <v>0.21</v>
      </c>
      <c r="I34" s="46">
        <v>0.88</v>
      </c>
      <c r="J34" s="86">
        <f>E34*G34*(1-H34)*1440/1000000*2.74</f>
        <v>55.077814080000003</v>
      </c>
      <c r="K34" s="86">
        <f>(IF(G34&lt;L34,L34,G34)*(1-IF(H34&lt;N34,H34,N34))*E34*O34*Q34)/100000000</f>
        <v>3.1441241600000001</v>
      </c>
      <c r="L34" s="36">
        <v>1180</v>
      </c>
      <c r="M34" s="36">
        <v>932.2</v>
      </c>
      <c r="N34" s="47">
        <f>1-(M34/L34)</f>
        <v>0.20999999999999996</v>
      </c>
      <c r="O34" s="48">
        <f>+'Trim Rwd'!H15</f>
        <v>256</v>
      </c>
      <c r="P34" s="49">
        <f>O34*(Q34-R34-S34)</f>
        <v>16896</v>
      </c>
      <c r="Q34" s="48">
        <v>85</v>
      </c>
      <c r="R34" s="497">
        <v>0</v>
      </c>
      <c r="S34" s="497">
        <v>19</v>
      </c>
      <c r="T34" s="38">
        <f>E34*M34*O34*Q34/100000000</f>
        <v>3.1441241600000001</v>
      </c>
      <c r="U34" s="38">
        <f>E34*M34*O34*(Q34-R34-S34)/100000000</f>
        <v>2.4413199359999997</v>
      </c>
      <c r="V34" s="38">
        <f>E34*G34*(1-N34)*O34/100*(R34+S34)/1000000</f>
        <v>0.67898035200000006</v>
      </c>
      <c r="W34" s="38">
        <f>+'5'!K13/1000</f>
        <v>0</v>
      </c>
      <c r="X34" s="39"/>
      <c r="Y34" s="216"/>
      <c r="Z34" s="38"/>
      <c r="AA34" s="38"/>
      <c r="AB34" s="38"/>
      <c r="AC34" s="38"/>
      <c r="AD34" s="38">
        <f>+AM34+BA34</f>
        <v>0</v>
      </c>
      <c r="AE34" s="235" t="s">
        <v>388</v>
      </c>
      <c r="AF34" s="38"/>
      <c r="AG34" s="38">
        <v>0</v>
      </c>
      <c r="AH34" s="38"/>
      <c r="AI34" s="499"/>
      <c r="AJ34" s="38"/>
      <c r="AK34" s="38"/>
      <c r="AL34" s="38"/>
      <c r="AM34" s="38">
        <f t="shared" si="12"/>
        <v>0</v>
      </c>
      <c r="AN34" s="87"/>
      <c r="AO34" s="38"/>
      <c r="AP34" s="38"/>
      <c r="AQ34" s="38"/>
      <c r="AR34" s="38">
        <f t="shared" ref="AR34:AR36" si="13"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3</v>
      </c>
      <c r="BD34" s="52"/>
      <c r="BE34" s="51"/>
      <c r="BF34" s="52"/>
    </row>
    <row r="35" spans="1:58" ht="12.95" customHeight="1">
      <c r="A35" s="41"/>
      <c r="B35" s="42"/>
      <c r="C35" s="411"/>
      <c r="D35" s="42"/>
      <c r="E35" s="43"/>
      <c r="F35" s="43"/>
      <c r="G35" s="44"/>
      <c r="H35" s="45"/>
      <c r="I35" s="46"/>
      <c r="J35" s="86"/>
      <c r="K35" s="86"/>
      <c r="L35" s="36"/>
      <c r="M35" s="36"/>
      <c r="N35" s="47"/>
      <c r="O35" s="48"/>
      <c r="P35" s="49"/>
      <c r="Q35" s="48"/>
      <c r="R35" s="497"/>
      <c r="S35" s="497"/>
      <c r="T35" s="38"/>
      <c r="U35" s="38"/>
      <c r="V35" s="38"/>
      <c r="W35" s="38"/>
      <c r="X35" s="39"/>
      <c r="Y35" s="216"/>
      <c r="Z35" s="38"/>
      <c r="AA35" s="38"/>
      <c r="AB35" s="38"/>
      <c r="AC35" s="38"/>
      <c r="AD35" s="38">
        <f>+AM35+BA35</f>
        <v>37</v>
      </c>
      <c r="AE35" s="235" t="s">
        <v>438</v>
      </c>
      <c r="AF35" s="34"/>
      <c r="AG35" s="34"/>
      <c r="AH35" s="34">
        <v>37</v>
      </c>
      <c r="AJ35" s="38"/>
      <c r="AK35" s="38"/>
      <c r="AL35" s="38"/>
      <c r="AM35" s="38">
        <f t="shared" si="12"/>
        <v>37</v>
      </c>
      <c r="AN35" s="38"/>
      <c r="AO35" s="38"/>
      <c r="AP35" s="38"/>
      <c r="AQ35" s="38"/>
      <c r="AR35" s="38">
        <f t="shared" si="13"/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500"/>
      <c r="BD35" s="500"/>
      <c r="BE35" s="34"/>
      <c r="BF35" s="500"/>
    </row>
    <row r="36" spans="1:58" ht="12.95" customHeight="1">
      <c r="A36" s="41"/>
      <c r="B36" s="42"/>
      <c r="C36" s="411"/>
      <c r="D36" s="42"/>
      <c r="E36" s="43"/>
      <c r="F36" s="43"/>
      <c r="G36" s="44"/>
      <c r="H36" s="45"/>
      <c r="I36" s="46"/>
      <c r="J36" s="86"/>
      <c r="K36" s="86"/>
      <c r="L36" s="36"/>
      <c r="M36" s="36"/>
      <c r="N36" s="47"/>
      <c r="O36" s="48"/>
      <c r="P36" s="49"/>
      <c r="Q36" s="35"/>
      <c r="R36" s="497"/>
      <c r="S36" s="497"/>
      <c r="T36" s="38"/>
      <c r="U36" s="38"/>
      <c r="V36" s="38"/>
      <c r="W36" s="38"/>
      <c r="X36" s="39"/>
      <c r="Y36" s="216"/>
      <c r="Z36" s="38"/>
      <c r="AA36" s="38"/>
      <c r="AB36" s="38"/>
      <c r="AC36" s="38"/>
      <c r="AD36" s="38">
        <f>+AM36+BA36</f>
        <v>0</v>
      </c>
      <c r="AE36" s="238" t="s">
        <v>380</v>
      </c>
      <c r="AF36" s="38"/>
      <c r="AG36" s="38"/>
      <c r="AH36" s="38"/>
      <c r="AI36" s="499">
        <v>0</v>
      </c>
      <c r="AJ36" s="38"/>
      <c r="AK36" s="38"/>
      <c r="AL36" s="38"/>
      <c r="AM36" s="38">
        <f t="shared" si="12"/>
        <v>0</v>
      </c>
      <c r="AN36" s="38"/>
      <c r="AO36" s="38"/>
      <c r="AP36" s="38"/>
      <c r="AQ36" s="38"/>
      <c r="AR36" s="38">
        <f t="shared" si="13"/>
        <v>0</v>
      </c>
      <c r="AS36" s="38"/>
      <c r="AT36" s="38"/>
      <c r="AU36" s="38"/>
      <c r="AV36" s="38"/>
      <c r="AW36" s="38"/>
      <c r="AX36" s="38"/>
      <c r="AY36" s="38"/>
      <c r="AZ36" s="38"/>
      <c r="BA36" s="38">
        <f>+AR36+AS36+AU36+AW36+AY36+AZ36</f>
        <v>0</v>
      </c>
      <c r="BB36" s="51"/>
      <c r="BC36" s="52"/>
      <c r="BD36" s="52"/>
      <c r="BE36" s="51"/>
      <c r="BF36" s="52"/>
    </row>
    <row r="37" spans="1:58" ht="12.95" customHeight="1">
      <c r="A37" s="41"/>
      <c r="B37" s="42"/>
      <c r="C37" s="411"/>
      <c r="D37" s="42"/>
      <c r="E37" s="43"/>
      <c r="F37" s="43"/>
      <c r="G37" s="44"/>
      <c r="H37" s="45"/>
      <c r="I37" s="46"/>
      <c r="J37" s="86"/>
      <c r="K37" s="86"/>
      <c r="L37" s="36"/>
      <c r="M37" s="36"/>
      <c r="N37" s="47"/>
      <c r="O37" s="48"/>
      <c r="P37" s="49"/>
      <c r="Q37" s="48"/>
      <c r="R37" s="497"/>
      <c r="S37" s="497"/>
      <c r="T37" s="38"/>
      <c r="U37" s="38"/>
      <c r="V37" s="38"/>
      <c r="W37" s="38"/>
      <c r="X37" s="39"/>
      <c r="Y37" s="216"/>
      <c r="Z37" s="38"/>
      <c r="AA37" s="38"/>
      <c r="AB37" s="38"/>
      <c r="AC37" s="38"/>
      <c r="AD37" s="38"/>
      <c r="AE37" s="235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51"/>
      <c r="BC37" s="52"/>
      <c r="BD37" s="52"/>
      <c r="BE37" s="52"/>
      <c r="BF37" s="52"/>
    </row>
    <row r="38" spans="1:58" ht="12.75" customHeight="1">
      <c r="A38" s="41">
        <v>45876</v>
      </c>
      <c r="B38" s="42" t="s">
        <v>409</v>
      </c>
      <c r="C38" s="411">
        <f>(M38*E38*O38*Q38)/100000000</f>
        <v>53.114695680000011</v>
      </c>
      <c r="D38" s="42" t="s">
        <v>304</v>
      </c>
      <c r="E38" s="43">
        <v>15.5</v>
      </c>
      <c r="F38" s="43">
        <v>1</v>
      </c>
      <c r="G38" s="496">
        <v>1140</v>
      </c>
      <c r="H38" s="45">
        <v>0.21</v>
      </c>
      <c r="I38" s="46">
        <v>0.88</v>
      </c>
      <c r="J38" s="86">
        <f>E38*G38*(1-H38)*1440/1000000*2.74</f>
        <v>55.077814080000003</v>
      </c>
      <c r="K38" s="86">
        <f>(IF(G38&lt;L38,L38,G38)*(1-IF(H38&lt;N38,H38,N38))*E38*O38*Q38)/100000000</f>
        <v>53.114695680000011</v>
      </c>
      <c r="L38" s="36">
        <v>1176.6666666666667</v>
      </c>
      <c r="M38" s="36">
        <v>929.56666666666672</v>
      </c>
      <c r="N38" s="47">
        <f>1-(M38/L38)</f>
        <v>0.20999999999999996</v>
      </c>
      <c r="O38" s="48">
        <f>+'Trim Rwd'!H18</f>
        <v>256</v>
      </c>
      <c r="P38" s="49">
        <f>O38*(Q38-R38-S38)</f>
        <v>343808</v>
      </c>
      <c r="Q38" s="48">
        <v>1440</v>
      </c>
      <c r="R38" s="497">
        <v>0</v>
      </c>
      <c r="S38" s="497">
        <v>97</v>
      </c>
      <c r="T38" s="38">
        <f>E38*M38*O38*Q38/100000000</f>
        <v>53.114695680000011</v>
      </c>
      <c r="U38" s="38">
        <f>E38*M38*O38*(Q38-R38-S38)/100000000</f>
        <v>49.536830762666675</v>
      </c>
      <c r="V38" s="38">
        <f>E38*G38*(1-N38)*O38/100*(R38+S38)/1000000</f>
        <v>3.4663733760000008</v>
      </c>
      <c r="W38" s="38">
        <f>+'7'!K8/1000</f>
        <v>46.642000000000003</v>
      </c>
      <c r="X38" s="498">
        <f>SUM(W38:W42)/SUM(K38:K42)</f>
        <v>0.92251305166472508</v>
      </c>
      <c r="Y38" s="216">
        <v>0</v>
      </c>
      <c r="Z38" s="38">
        <f>+'5'!D44/1000</f>
        <v>0</v>
      </c>
      <c r="AA38" s="50">
        <f>SUM(U38:U42)-SUM(W38:W42)-SUM(Z38:Z42)-SUM(Y38:Y42)</f>
        <v>0.53783076266667251</v>
      </c>
      <c r="AB38" s="50">
        <f>(SUM(K38:K42)-SUM(W38:W42)-SUM(Y38:Y42)-SUM(Z38:Z42)-SUM(AC38:AC42)-SUM(V38:V42))-AA38</f>
        <v>0.1114915413333355</v>
      </c>
      <c r="AC38" s="38">
        <f>K38-T38</f>
        <v>0</v>
      </c>
      <c r="AD38" s="38">
        <f>+AM38+BA38</f>
        <v>34</v>
      </c>
      <c r="AE38" s="235" t="s">
        <v>474</v>
      </c>
      <c r="AF38" s="38">
        <v>34</v>
      </c>
      <c r="AG38" s="38"/>
      <c r="AH38" s="38"/>
      <c r="AI38" s="499"/>
      <c r="AJ38" s="38"/>
      <c r="AK38" s="38"/>
      <c r="AL38" s="38"/>
      <c r="AM38" s="38">
        <f t="shared" ref="AM38:AM41" si="14">SUM(AF38:AL38)+AT38+AV38+AX38</f>
        <v>34</v>
      </c>
      <c r="AN38" s="38"/>
      <c r="AO38" s="38"/>
      <c r="AP38" s="38"/>
      <c r="AQ38" s="38"/>
      <c r="AR38" s="38">
        <f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34">
        <v>13</v>
      </c>
      <c r="BC38" s="52"/>
      <c r="BD38" s="52"/>
      <c r="BE38" s="34"/>
      <c r="BF38" s="52"/>
    </row>
    <row r="39" spans="1:58" ht="12.95" customHeight="1">
      <c r="A39" s="41"/>
      <c r="B39" s="42" t="s">
        <v>409</v>
      </c>
      <c r="C39" s="411"/>
      <c r="D39" s="42"/>
      <c r="E39" s="43">
        <v>13</v>
      </c>
      <c r="F39" s="43"/>
      <c r="G39" s="496"/>
      <c r="H39" s="45"/>
      <c r="I39" s="46"/>
      <c r="J39" s="86"/>
      <c r="K39" s="86"/>
      <c r="L39" s="36"/>
      <c r="M39" s="36"/>
      <c r="N39" s="47"/>
      <c r="O39" s="48"/>
      <c r="P39" s="49"/>
      <c r="Q39" s="48"/>
      <c r="R39" s="497"/>
      <c r="S39" s="497"/>
      <c r="T39" s="38"/>
      <c r="U39" s="38"/>
      <c r="V39" s="38"/>
      <c r="W39" s="38">
        <f>+'7'!K7/1000</f>
        <v>2.3570000000000002</v>
      </c>
      <c r="X39" s="39"/>
      <c r="Y39" s="216"/>
      <c r="Z39" s="38"/>
      <c r="AA39" s="38"/>
      <c r="AB39" s="38"/>
      <c r="AC39" s="38"/>
      <c r="AD39" s="38">
        <f>+AM39+BA39</f>
        <v>0</v>
      </c>
      <c r="AE39" s="235" t="s">
        <v>286</v>
      </c>
      <c r="AF39" s="38"/>
      <c r="AG39" s="38">
        <v>0</v>
      </c>
      <c r="AH39" s="38"/>
      <c r="AI39" s="499"/>
      <c r="AJ39" s="38"/>
      <c r="AK39" s="38"/>
      <c r="AL39" s="38"/>
      <c r="AM39" s="38">
        <f t="shared" si="14"/>
        <v>0</v>
      </c>
      <c r="AN39" s="87"/>
      <c r="AO39" s="38"/>
      <c r="AP39" s="38"/>
      <c r="AQ39" s="38"/>
      <c r="AR39" s="38">
        <f t="shared" ref="AR39:AR41" si="15">SUM(AN39:AQ39)</f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51"/>
      <c r="BC39" s="52">
        <v>0</v>
      </c>
      <c r="BD39" s="52"/>
      <c r="BE39" s="51"/>
      <c r="BF39" s="52"/>
    </row>
    <row r="40" spans="1:58" ht="12.95" customHeight="1">
      <c r="A40" s="41"/>
      <c r="B40" s="42"/>
      <c r="C40" s="411"/>
      <c r="D40" s="42"/>
      <c r="E40" s="43"/>
      <c r="F40" s="43"/>
      <c r="G40" s="44"/>
      <c r="H40" s="45"/>
      <c r="I40" s="46"/>
      <c r="J40" s="86"/>
      <c r="K40" s="86"/>
      <c r="L40" s="36"/>
      <c r="M40" s="36"/>
      <c r="N40" s="47"/>
      <c r="O40" s="48"/>
      <c r="P40" s="49"/>
      <c r="Q40" s="48"/>
      <c r="R40" s="497"/>
      <c r="S40" s="497"/>
      <c r="T40" s="38"/>
      <c r="U40" s="38"/>
      <c r="V40" s="38"/>
      <c r="W40" s="38"/>
      <c r="X40" s="39"/>
      <c r="Y40" s="216"/>
      <c r="Z40" s="38"/>
      <c r="AA40" s="38"/>
      <c r="AB40" s="38"/>
      <c r="AC40" s="38"/>
      <c r="AD40" s="38">
        <f>+AM40+BA40</f>
        <v>63</v>
      </c>
      <c r="AE40" s="235" t="s">
        <v>438</v>
      </c>
      <c r="AF40" s="34"/>
      <c r="AG40" s="34"/>
      <c r="AH40" s="34">
        <v>63</v>
      </c>
      <c r="AJ40" s="38"/>
      <c r="AK40" s="38"/>
      <c r="AL40" s="38"/>
      <c r="AM40" s="38">
        <f t="shared" si="14"/>
        <v>63</v>
      </c>
      <c r="AN40" s="38"/>
      <c r="AO40" s="38"/>
      <c r="AP40" s="38"/>
      <c r="AQ40" s="38"/>
      <c r="AR40" s="38">
        <f t="shared" si="15"/>
        <v>0</v>
      </c>
      <c r="AS40" s="38"/>
      <c r="AT40" s="38"/>
      <c r="AU40" s="38"/>
      <c r="AV40" s="38"/>
      <c r="AW40" s="38"/>
      <c r="AX40" s="38"/>
      <c r="AY40" s="38"/>
      <c r="AZ40" s="38"/>
      <c r="BA40" s="38">
        <f>+AR40+AS40+AU40+AW40+AY40+AZ40</f>
        <v>0</v>
      </c>
      <c r="BB40" s="34"/>
      <c r="BC40" s="500"/>
      <c r="BD40" s="500"/>
      <c r="BE40" s="34"/>
      <c r="BF40" s="500"/>
    </row>
    <row r="41" spans="1:58" ht="12.95" customHeight="1">
      <c r="A41" s="41"/>
      <c r="B41" s="42"/>
      <c r="C41" s="411"/>
      <c r="D41" s="42"/>
      <c r="E41" s="43"/>
      <c r="F41" s="43"/>
      <c r="G41" s="44"/>
      <c r="H41" s="45"/>
      <c r="I41" s="46"/>
      <c r="J41" s="86"/>
      <c r="K41" s="86"/>
      <c r="L41" s="36"/>
      <c r="M41" s="36"/>
      <c r="N41" s="47"/>
      <c r="O41" s="48"/>
      <c r="P41" s="49"/>
      <c r="Q41" s="35"/>
      <c r="R41" s="497"/>
      <c r="S41" s="497"/>
      <c r="T41" s="38"/>
      <c r="U41" s="38"/>
      <c r="V41" s="38"/>
      <c r="W41" s="38"/>
      <c r="X41" s="39"/>
      <c r="Y41" s="216"/>
      <c r="Z41" s="38"/>
      <c r="AA41" s="38"/>
      <c r="AB41" s="38"/>
      <c r="AC41" s="38"/>
      <c r="AD41" s="38">
        <f>+AM41+BA41</f>
        <v>0</v>
      </c>
      <c r="AE41" s="238" t="s">
        <v>380</v>
      </c>
      <c r="AF41" s="38"/>
      <c r="AG41" s="38"/>
      <c r="AH41" s="38"/>
      <c r="AI41" s="499">
        <v>0</v>
      </c>
      <c r="AJ41" s="38"/>
      <c r="AK41" s="38"/>
      <c r="AL41" s="38"/>
      <c r="AM41" s="38">
        <f t="shared" si="14"/>
        <v>0</v>
      </c>
      <c r="AN41" s="38"/>
      <c r="AO41" s="38"/>
      <c r="AP41" s="38"/>
      <c r="AQ41" s="38"/>
      <c r="AR41" s="38">
        <f t="shared" si="15"/>
        <v>0</v>
      </c>
      <c r="AS41" s="38"/>
      <c r="AT41" s="38"/>
      <c r="AU41" s="38"/>
      <c r="AV41" s="38"/>
      <c r="AW41" s="38"/>
      <c r="AX41" s="38"/>
      <c r="AY41" s="38"/>
      <c r="AZ41" s="38"/>
      <c r="BA41" s="38">
        <f>+AR41+AS41+AU41+AW41+AY41+AZ41</f>
        <v>0</v>
      </c>
      <c r="BB41" s="51"/>
      <c r="BC41" s="52"/>
      <c r="BD41" s="52"/>
      <c r="BE41" s="51"/>
      <c r="BF41" s="52"/>
    </row>
    <row r="42" spans="1:58" ht="12.75" customHeight="1">
      <c r="A42" s="41"/>
      <c r="B42" s="42"/>
      <c r="C42" s="411"/>
      <c r="D42" s="42"/>
      <c r="E42" s="43"/>
      <c r="F42" s="43"/>
      <c r="G42" s="496"/>
      <c r="H42" s="45"/>
      <c r="I42" s="46"/>
      <c r="J42" s="86"/>
      <c r="K42" s="86"/>
      <c r="L42" s="36"/>
      <c r="M42" s="36"/>
      <c r="N42" s="47"/>
      <c r="O42" s="48"/>
      <c r="P42" s="49"/>
      <c r="Q42" s="48"/>
      <c r="R42" s="497"/>
      <c r="S42" s="497"/>
      <c r="T42" s="38"/>
      <c r="U42" s="38"/>
      <c r="V42" s="38"/>
      <c r="W42" s="38"/>
      <c r="X42" s="498"/>
      <c r="Y42" s="216"/>
      <c r="Z42" s="38"/>
      <c r="AA42" s="50"/>
      <c r="AB42" s="50"/>
      <c r="AC42" s="38"/>
      <c r="AD42" s="38"/>
      <c r="AE42" s="235"/>
      <c r="AF42" s="38"/>
      <c r="AG42" s="38"/>
      <c r="AH42" s="38"/>
      <c r="AI42" s="499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4"/>
      <c r="BC42" s="52"/>
      <c r="BD42" s="52"/>
      <c r="BE42" s="34"/>
      <c r="BF42" s="52"/>
    </row>
    <row r="43" spans="1:58" ht="12.75" customHeight="1">
      <c r="A43" s="41">
        <v>45877</v>
      </c>
      <c r="B43" s="42" t="s">
        <v>409</v>
      </c>
      <c r="C43" s="411">
        <f>(M43*E43*O43*Q43)/100000000</f>
        <v>31.153672704000002</v>
      </c>
      <c r="D43" s="42" t="s">
        <v>304</v>
      </c>
      <c r="E43" s="43">
        <v>15.5</v>
      </c>
      <c r="F43" s="43">
        <v>1</v>
      </c>
      <c r="G43" s="496">
        <v>1140</v>
      </c>
      <c r="H43" s="45">
        <v>0.21</v>
      </c>
      <c r="I43" s="46">
        <v>0.88</v>
      </c>
      <c r="J43" s="86">
        <f>E43*G43*(1-H43)*1440/1000000*2.74</f>
        <v>55.077814080000003</v>
      </c>
      <c r="K43" s="86">
        <f>(IF(G43&lt;L43,L43,G43)*(1-IF(H43&lt;N43,H43,N43))*E43*O43*Q43)/100000000</f>
        <v>31.962859008000002</v>
      </c>
      <c r="L43" s="36">
        <v>1160</v>
      </c>
      <c r="M43" s="36">
        <v>893.2</v>
      </c>
      <c r="N43" s="47">
        <f>1-(M43/L43)</f>
        <v>0.22999999999999998</v>
      </c>
      <c r="O43" s="48">
        <f>+'Trim Rwd'!H20</f>
        <v>256</v>
      </c>
      <c r="P43" s="49">
        <f>O43*(Q43-R43-S43)</f>
        <v>213504</v>
      </c>
      <c r="Q43" s="48">
        <v>879</v>
      </c>
      <c r="R43" s="497">
        <v>0</v>
      </c>
      <c r="S43" s="497">
        <v>45</v>
      </c>
      <c r="T43" s="38">
        <f>E43*M43*O43*Q43/100000000</f>
        <v>31.153672704000002</v>
      </c>
      <c r="U43" s="38">
        <f>E43*M43*O43*(Q43-R43-S43)/100000000</f>
        <v>29.558774784000001</v>
      </c>
      <c r="V43" s="38">
        <f>E43*G43*(1-N43)*O43/100*(R43+S43)/1000000</f>
        <v>1.5673996799999999</v>
      </c>
      <c r="W43" s="38">
        <f>+'8'!K8/1000</f>
        <v>33.052999999999997</v>
      </c>
      <c r="X43" s="498">
        <f>SUM(W43:W47)/SUM(K43:K47)</f>
        <v>0.82670870787697237</v>
      </c>
      <c r="Y43" s="216">
        <v>0</v>
      </c>
      <c r="Z43" s="38">
        <f>+'5'!D49/1000</f>
        <v>0</v>
      </c>
      <c r="AA43" s="50">
        <f>SUM(U43:U47)-SUM(W43:W47)-SUM(Z43:Z47)-SUM(Y43:Y47)</f>
        <v>3.6084672886989364</v>
      </c>
      <c r="AB43" s="50">
        <f>(SUM(K43:K47)-SUM(W43:W47)-SUM(Y43:Y47)-SUM(Z43:Z47)-SUM(AC43:AC47)-SUM(V43:V47))-AA43</f>
        <v>0.49351501280107213</v>
      </c>
      <c r="AC43" s="38">
        <f>K43-T43</f>
        <v>0.80918630400000069</v>
      </c>
      <c r="AD43" s="38">
        <f>+AM43+BA43</f>
        <v>34</v>
      </c>
      <c r="AE43" s="235" t="s">
        <v>474</v>
      </c>
      <c r="AF43" s="38">
        <v>34</v>
      </c>
      <c r="AG43" s="38"/>
      <c r="AH43" s="38"/>
      <c r="AI43" s="499"/>
      <c r="AJ43" s="38"/>
      <c r="AK43" s="38"/>
      <c r="AL43" s="38"/>
      <c r="AM43" s="38">
        <f t="shared" ref="AM43:AM46" si="16">SUM(AF43:AL43)+AT43+AV43+AX43</f>
        <v>34</v>
      </c>
      <c r="AN43" s="38"/>
      <c r="AO43" s="38"/>
      <c r="AP43" s="38"/>
      <c r="AQ43" s="38"/>
      <c r="AR43" s="38">
        <f>SUM(AN43:AQ43)</f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34">
        <v>13</v>
      </c>
      <c r="BC43" s="52"/>
      <c r="BD43" s="52"/>
      <c r="BE43" s="34"/>
      <c r="BF43" s="52"/>
    </row>
    <row r="44" spans="1:58" ht="12.95" customHeight="1">
      <c r="A44" s="41"/>
      <c r="B44" s="42" t="s">
        <v>409</v>
      </c>
      <c r="C44" s="411">
        <f t="shared" ref="C44:C45" si="17">(M44*E44*O44*Q44)/100000000</f>
        <v>13.97643192</v>
      </c>
      <c r="D44" s="42" t="s">
        <v>304</v>
      </c>
      <c r="E44" s="43">
        <v>19</v>
      </c>
      <c r="F44" s="43">
        <v>1</v>
      </c>
      <c r="G44" s="496">
        <v>930</v>
      </c>
      <c r="H44" s="45">
        <v>0.21</v>
      </c>
      <c r="I44" s="46">
        <v>0.88</v>
      </c>
      <c r="J44" s="86">
        <f t="shared" ref="J44:J45" si="18">E44*G44*(1-H44)*1440/1000000*2.74</f>
        <v>55.077814080000003</v>
      </c>
      <c r="K44" s="86">
        <f t="shared" ref="K44:K45" si="19">(IF(G44&lt;L44,L44,G44)*(1-IF(H44&lt;N44,H44,N44))*E44*O44*Q44)/100000000</f>
        <v>13.97643192</v>
      </c>
      <c r="L44" s="36">
        <v>951.09756097560978</v>
      </c>
      <c r="M44" s="36">
        <v>760.8780487804878</v>
      </c>
      <c r="N44" s="47">
        <f t="shared" ref="N44:N45" si="20">1-(M44/L44)</f>
        <v>0.20000000000000007</v>
      </c>
      <c r="O44" s="48">
        <f>+'Trim Rwd'!H21</f>
        <v>262</v>
      </c>
      <c r="P44" s="49">
        <f t="shared" ref="P44:P45" si="21">O44*(Q44-R44-S44)</f>
        <v>90128</v>
      </c>
      <c r="Q44" s="48">
        <v>369</v>
      </c>
      <c r="R44" s="497">
        <v>0</v>
      </c>
      <c r="S44" s="497">
        <v>25</v>
      </c>
      <c r="T44" s="38">
        <f t="shared" ref="T44:T45" si="22">E44*M44*O44*Q44/100000000</f>
        <v>13.97643192</v>
      </c>
      <c r="U44" s="38">
        <f t="shared" ref="U44:U45" si="23">E44*M44*O44*(Q44-R44-S44)/100000000</f>
        <v>13.029519188292682</v>
      </c>
      <c r="V44" s="38">
        <f t="shared" ref="V44:V45" si="24">E44*G44*(1-N44)*O44/100*(R44+S44)/1000000</f>
        <v>0.92590799999999973</v>
      </c>
      <c r="W44" s="38">
        <f>+'8'!K9/1000</f>
        <v>7.6289999999999996</v>
      </c>
      <c r="X44" s="39"/>
      <c r="Y44" s="216"/>
      <c r="Z44" s="38">
        <f>+'8'!D26/1000</f>
        <v>1.23</v>
      </c>
      <c r="AA44" s="38"/>
      <c r="AB44" s="38"/>
      <c r="AC44" s="38"/>
      <c r="AD44" s="38">
        <f>+AM44+BA44</f>
        <v>0</v>
      </c>
      <c r="AE44" s="235" t="s">
        <v>286</v>
      </c>
      <c r="AF44" s="38"/>
      <c r="AG44" s="38">
        <v>0</v>
      </c>
      <c r="AH44" s="38"/>
      <c r="AI44" s="499"/>
      <c r="AJ44" s="38"/>
      <c r="AK44" s="38"/>
      <c r="AL44" s="38"/>
      <c r="AM44" s="38">
        <f t="shared" si="16"/>
        <v>0</v>
      </c>
      <c r="AN44" s="87"/>
      <c r="AO44" s="38"/>
      <c r="AP44" s="38"/>
      <c r="AQ44" s="38"/>
      <c r="AR44" s="38">
        <f t="shared" ref="AR44:AR46" si="25">SUM(AN44:AQ44)</f>
        <v>0</v>
      </c>
      <c r="AS44" s="38"/>
      <c r="AT44" s="38"/>
      <c r="AU44" s="38"/>
      <c r="AV44" s="38"/>
      <c r="AW44" s="38"/>
      <c r="AX44" s="38"/>
      <c r="AY44" s="38"/>
      <c r="AZ44" s="38"/>
      <c r="BA44" s="38">
        <f>+AR44+AS44+AU44+AW44+AY44+AZ44</f>
        <v>0</v>
      </c>
      <c r="BB44" s="51"/>
      <c r="BC44" s="52">
        <v>0</v>
      </c>
      <c r="BD44" s="52"/>
      <c r="BE44" s="51"/>
      <c r="BF44" s="52"/>
    </row>
    <row r="45" spans="1:58" ht="12.95" customHeight="1">
      <c r="A45" s="41"/>
      <c r="B45" s="42" t="s">
        <v>490</v>
      </c>
      <c r="C45" s="411">
        <f t="shared" si="17"/>
        <v>6.5292727500000023</v>
      </c>
      <c r="D45" s="42" t="s">
        <v>304</v>
      </c>
      <c r="E45" s="43">
        <v>15</v>
      </c>
      <c r="F45" s="43">
        <v>1</v>
      </c>
      <c r="G45" s="496">
        <v>1230</v>
      </c>
      <c r="H45" s="45">
        <v>0.22</v>
      </c>
      <c r="I45" s="46">
        <v>0.88</v>
      </c>
      <c r="J45" s="86">
        <f t="shared" si="18"/>
        <v>56.781129600000007</v>
      </c>
      <c r="K45" s="86">
        <f t="shared" si="19"/>
        <v>7.0043875199999999</v>
      </c>
      <c r="L45" s="36">
        <v>1161.4583333333333</v>
      </c>
      <c r="M45" s="36">
        <v>894.32291666666686</v>
      </c>
      <c r="N45" s="47">
        <f t="shared" si="20"/>
        <v>0.22999999999999976</v>
      </c>
      <c r="O45" s="48">
        <f>+'Trim Rwd'!H22</f>
        <v>253.5</v>
      </c>
      <c r="P45" s="49">
        <f t="shared" si="21"/>
        <v>44869.5</v>
      </c>
      <c r="Q45" s="48">
        <v>192</v>
      </c>
      <c r="R45" s="497">
        <v>0</v>
      </c>
      <c r="S45" s="497">
        <v>15</v>
      </c>
      <c r="T45" s="38">
        <f t="shared" si="22"/>
        <v>6.5292727500000023</v>
      </c>
      <c r="U45" s="38">
        <f t="shared" si="23"/>
        <v>6.0191733164062509</v>
      </c>
      <c r="V45" s="38">
        <f t="shared" si="24"/>
        <v>0.54020216250000008</v>
      </c>
      <c r="W45" s="38">
        <f>+'8'!K10/1000</f>
        <v>3.0870000000000002</v>
      </c>
      <c r="X45" s="39"/>
      <c r="Y45" s="216"/>
      <c r="Z45" s="38"/>
      <c r="AA45" s="38"/>
      <c r="AB45" s="38"/>
      <c r="AC45" s="38"/>
      <c r="AD45" s="38">
        <f>+AM45+BA45</f>
        <v>51</v>
      </c>
      <c r="AE45" s="235" t="s">
        <v>491</v>
      </c>
      <c r="AF45" s="34"/>
      <c r="AG45" s="34"/>
      <c r="AH45" s="34">
        <v>51</v>
      </c>
      <c r="AJ45" s="38"/>
      <c r="AK45" s="38"/>
      <c r="AL45" s="38"/>
      <c r="AM45" s="38">
        <f t="shared" si="16"/>
        <v>51</v>
      </c>
      <c r="AN45" s="38"/>
      <c r="AO45" s="38"/>
      <c r="AP45" s="38"/>
      <c r="AQ45" s="38"/>
      <c r="AR45" s="38">
        <f t="shared" si="25"/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>+AR45+AS45+AU45+AW45+AY45+AZ45</f>
        <v>0</v>
      </c>
      <c r="BB45" s="34"/>
      <c r="BC45" s="500"/>
      <c r="BD45" s="500"/>
      <c r="BE45" s="34"/>
      <c r="BF45" s="500"/>
    </row>
    <row r="46" spans="1:58" ht="12.95" customHeight="1">
      <c r="A46" s="41"/>
      <c r="B46" s="42"/>
      <c r="C46" s="411"/>
      <c r="D46" s="42"/>
      <c r="E46" s="43"/>
      <c r="F46" s="43"/>
      <c r="G46" s="44"/>
      <c r="H46" s="45"/>
      <c r="I46" s="46"/>
      <c r="J46" s="86"/>
      <c r="K46" s="86"/>
      <c r="L46" s="36"/>
      <c r="M46" s="36"/>
      <c r="N46" s="47"/>
      <c r="O46" s="48"/>
      <c r="P46" s="49"/>
      <c r="Q46" s="35"/>
      <c r="R46" s="497"/>
      <c r="S46" s="497"/>
      <c r="T46" s="38"/>
      <c r="U46" s="38"/>
      <c r="V46" s="38"/>
      <c r="W46" s="38"/>
      <c r="X46" s="39"/>
      <c r="Y46" s="216"/>
      <c r="Z46" s="38"/>
      <c r="AA46" s="38"/>
      <c r="AB46" s="38"/>
      <c r="AC46" s="38"/>
      <c r="AD46" s="38">
        <f>+AM46+BA46</f>
        <v>0</v>
      </c>
      <c r="AE46" s="238" t="s">
        <v>380</v>
      </c>
      <c r="AF46" s="38"/>
      <c r="AG46" s="38"/>
      <c r="AH46" s="38"/>
      <c r="AI46" s="499">
        <v>0</v>
      </c>
      <c r="AJ46" s="38"/>
      <c r="AK46" s="38"/>
      <c r="AL46" s="38"/>
      <c r="AM46" s="38">
        <f t="shared" si="16"/>
        <v>0</v>
      </c>
      <c r="AN46" s="38"/>
      <c r="AO46" s="38"/>
      <c r="AP46" s="38"/>
      <c r="AQ46" s="38"/>
      <c r="AR46" s="38">
        <f t="shared" si="25"/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51"/>
      <c r="BC46" s="52"/>
      <c r="BD46" s="52"/>
      <c r="BE46" s="51"/>
      <c r="BF46" s="52"/>
    </row>
    <row r="47" spans="1:58" ht="12" customHeight="1">
      <c r="A47" s="41"/>
      <c r="B47" s="42"/>
      <c r="C47" s="411"/>
      <c r="D47" s="42"/>
      <c r="E47" s="43"/>
      <c r="F47" s="43"/>
      <c r="G47" s="44"/>
      <c r="H47" s="45"/>
      <c r="I47" s="46"/>
      <c r="J47" s="86"/>
      <c r="K47" s="86"/>
      <c r="L47" s="36"/>
      <c r="M47" s="36"/>
      <c r="N47" s="47"/>
      <c r="O47" s="48"/>
      <c r="P47" s="49"/>
      <c r="Q47" s="35"/>
      <c r="R47" s="497"/>
      <c r="S47" s="497"/>
      <c r="T47" s="38"/>
      <c r="U47" s="38"/>
      <c r="V47" s="38"/>
      <c r="W47" s="38"/>
      <c r="X47" s="39"/>
      <c r="Y47" s="216"/>
      <c r="Z47" s="38"/>
      <c r="AA47" s="38"/>
      <c r="AB47" s="38"/>
      <c r="AC47" s="38"/>
      <c r="AD47" s="38"/>
      <c r="AE47" s="238"/>
      <c r="AF47" s="38"/>
      <c r="AG47" s="38"/>
      <c r="AH47" s="38"/>
      <c r="AI47" s="499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51"/>
      <c r="BC47" s="52"/>
      <c r="BD47" s="52"/>
      <c r="BE47" s="52"/>
      <c r="BF47" s="52"/>
    </row>
    <row r="48" spans="1:58" ht="12.75" customHeight="1">
      <c r="A48" s="41">
        <v>45878</v>
      </c>
      <c r="B48" s="42" t="s">
        <v>490</v>
      </c>
      <c r="C48" s="411">
        <f t="shared" ref="C48:C51" si="26">(M48*E48*O48*Q48)/100000000</f>
        <v>5.7147620400000001</v>
      </c>
      <c r="D48" s="42" t="s">
        <v>304</v>
      </c>
      <c r="E48" s="43">
        <v>15</v>
      </c>
      <c r="F48" s="43">
        <v>1</v>
      </c>
      <c r="G48" s="496">
        <v>1195</v>
      </c>
      <c r="H48" s="45">
        <v>0.22</v>
      </c>
      <c r="I48" s="46">
        <v>0.88</v>
      </c>
      <c r="J48" s="86">
        <f t="shared" ref="J48:J51" si="27">E48*G48*(1-H48)*1440/1000000*2.74</f>
        <v>55.165406400000002</v>
      </c>
      <c r="K48" s="86">
        <f t="shared" ref="K48:K51" si="28">(IF(G48&lt;L48,L48,G48)*(1-IF(H48&lt;N48,H48,N48))*E48*O48*Q48)/100000000</f>
        <v>5.8871902050000013</v>
      </c>
      <c r="L48" s="36">
        <v>1160</v>
      </c>
      <c r="M48" s="36">
        <v>916.4</v>
      </c>
      <c r="N48" s="47">
        <f t="shared" ref="N48:N51" si="29">1-(M48/L48)</f>
        <v>0.20999999999999996</v>
      </c>
      <c r="O48" s="48">
        <f>+'Trim Rwd'!H25</f>
        <v>253.5</v>
      </c>
      <c r="P48" s="49">
        <f t="shared" ref="P48:P51" si="30">O48*(Q48-R48-S48)</f>
        <v>37771.5</v>
      </c>
      <c r="Q48" s="48">
        <v>164</v>
      </c>
      <c r="R48" s="497">
        <v>0</v>
      </c>
      <c r="S48" s="497">
        <v>15</v>
      </c>
      <c r="T48" s="38">
        <f t="shared" ref="T48:T51" si="31">E48*M48*O48*Q48/100000000</f>
        <v>5.7147620400000001</v>
      </c>
      <c r="U48" s="38">
        <f t="shared" ref="U48:U51" si="32">E48*M48*O48*(Q48-R48-S48)/100000000</f>
        <v>5.1920703899999996</v>
      </c>
      <c r="V48" s="38">
        <f t="shared" ref="V48:V51" si="33">E48*G48*(1-N48)*O48/100*(R48+S48)/1000000</f>
        <v>0.53846251875000006</v>
      </c>
      <c r="W48" s="38">
        <f>+'9'!K10/1000</f>
        <v>7.2930000000000001</v>
      </c>
      <c r="X48" s="498">
        <f>SUM(W48:W53)/SUM(K48:K53)</f>
        <v>0.95697160394552683</v>
      </c>
      <c r="Y48" s="216">
        <v>0</v>
      </c>
      <c r="Z48" s="38">
        <f>+'5'!D54/1000</f>
        <v>0</v>
      </c>
      <c r="AA48" s="50">
        <f>SUM(U48:U53)-SUM(W48:W53)-SUM(Z48:Z53)-SUM(Y48:Y53)</f>
        <v>-1.9939979985131282</v>
      </c>
      <c r="AB48" s="50">
        <f>(SUM(K48:K53)-SUM(W48:W53)-SUM(Y48:Y53)-SUM(Z48:Z53)-SUM(AC48:AC53)-SUM(V48:V53))-AA48</f>
        <v>0.59346192176312229</v>
      </c>
      <c r="AC48" s="38">
        <f>K48-T48</f>
        <v>0.17242816500000124</v>
      </c>
      <c r="AD48" s="38">
        <f>+AM48+BA48</f>
        <v>24</v>
      </c>
      <c r="AE48" s="235" t="s">
        <v>511</v>
      </c>
      <c r="AF48" s="38">
        <v>24</v>
      </c>
      <c r="AG48" s="38"/>
      <c r="AH48" s="38"/>
      <c r="AI48" s="499"/>
      <c r="AJ48" s="38"/>
      <c r="AK48" s="38"/>
      <c r="AL48" s="38"/>
      <c r="AM48" s="38">
        <f t="shared" ref="AM48:AM51" si="34">SUM(AF48:AL48)+AT48+AV48+AX48</f>
        <v>24</v>
      </c>
      <c r="AN48" s="38"/>
      <c r="AO48" s="38"/>
      <c r="AP48" s="38"/>
      <c r="AQ48" s="38"/>
      <c r="AR48" s="38">
        <f>SUM(AN48:AQ48)</f>
        <v>0</v>
      </c>
      <c r="AS48" s="38"/>
      <c r="AT48" s="38"/>
      <c r="AU48" s="38"/>
      <c r="AV48" s="38"/>
      <c r="AW48" s="38"/>
      <c r="AX48" s="38"/>
      <c r="AY48" s="38"/>
      <c r="AZ48" s="38"/>
      <c r="BA48" s="38">
        <f>+AR48+AS48+AU48+AW48+AY48+AZ48</f>
        <v>0</v>
      </c>
      <c r="BB48" s="34">
        <v>8</v>
      </c>
      <c r="BC48" s="52"/>
      <c r="BD48" s="52"/>
      <c r="BE48" s="34"/>
      <c r="BF48" s="52"/>
    </row>
    <row r="49" spans="1:58" ht="12.95" customHeight="1">
      <c r="A49" s="41"/>
      <c r="B49" s="42" t="s">
        <v>490</v>
      </c>
      <c r="C49" s="411">
        <f t="shared" si="26"/>
        <v>14.075588835</v>
      </c>
      <c r="D49" s="42" t="s">
        <v>304</v>
      </c>
      <c r="E49" s="43">
        <v>13.5</v>
      </c>
      <c r="F49" s="43">
        <v>1</v>
      </c>
      <c r="G49" s="496">
        <v>1230</v>
      </c>
      <c r="H49" s="45">
        <v>0.22</v>
      </c>
      <c r="I49" s="46">
        <v>0.88</v>
      </c>
      <c r="J49" s="86">
        <f t="shared" si="27"/>
        <v>51.10301664</v>
      </c>
      <c r="K49" s="86">
        <f t="shared" si="28"/>
        <v>14.435410625999999</v>
      </c>
      <c r="L49" s="36">
        <v>1214.9164677804297</v>
      </c>
      <c r="M49" s="36">
        <v>935.48568019093079</v>
      </c>
      <c r="N49" s="47">
        <f t="shared" si="29"/>
        <v>0.23000000000000009</v>
      </c>
      <c r="O49" s="48">
        <f>+'Trim Rwd'!H24</f>
        <v>266</v>
      </c>
      <c r="P49" s="49">
        <f t="shared" si="30"/>
        <v>106134</v>
      </c>
      <c r="Q49" s="48">
        <v>419</v>
      </c>
      <c r="R49" s="497">
        <v>0</v>
      </c>
      <c r="S49" s="497">
        <v>20</v>
      </c>
      <c r="T49" s="38">
        <f t="shared" si="31"/>
        <v>14.075588835</v>
      </c>
      <c r="U49" s="38">
        <f t="shared" si="32"/>
        <v>13.403723019486874</v>
      </c>
      <c r="V49" s="38">
        <f t="shared" si="33"/>
        <v>0.68020722</v>
      </c>
      <c r="W49" s="38">
        <f>+'9'!K11/1000</f>
        <v>10.451000000000001</v>
      </c>
      <c r="X49" s="39"/>
      <c r="Y49" s="216"/>
      <c r="Z49" s="38">
        <f>+'8'!D31/1000</f>
        <v>0</v>
      </c>
      <c r="AA49" s="38"/>
      <c r="AB49" s="38"/>
      <c r="AC49" s="38"/>
      <c r="AD49" s="38">
        <f>+AM49+BA49</f>
        <v>12</v>
      </c>
      <c r="AE49" s="235" t="s">
        <v>512</v>
      </c>
      <c r="AF49" s="38"/>
      <c r="AG49" s="38">
        <v>12</v>
      </c>
      <c r="AH49" s="38"/>
      <c r="AI49" s="499"/>
      <c r="AJ49" s="38"/>
      <c r="AK49" s="38"/>
      <c r="AL49" s="38"/>
      <c r="AM49" s="38">
        <f t="shared" si="34"/>
        <v>12</v>
      </c>
      <c r="AN49" s="87"/>
      <c r="AO49" s="38"/>
      <c r="AP49" s="38"/>
      <c r="AQ49" s="38"/>
      <c r="AR49" s="38">
        <f t="shared" ref="AR49:AR51" si="35">SUM(AN49:AQ49)</f>
        <v>0</v>
      </c>
      <c r="AS49" s="38"/>
      <c r="AT49" s="38"/>
      <c r="AU49" s="38"/>
      <c r="AV49" s="38"/>
      <c r="AW49" s="38"/>
      <c r="AX49" s="38"/>
      <c r="AY49" s="38"/>
      <c r="AZ49" s="38"/>
      <c r="BA49" s="38">
        <f>+AR49+AS49+AU49+AW49+AY49+AZ49</f>
        <v>0</v>
      </c>
      <c r="BB49" s="51"/>
      <c r="BC49" s="52">
        <v>8</v>
      </c>
      <c r="BD49" s="52"/>
      <c r="BE49" s="51"/>
      <c r="BF49" s="52"/>
    </row>
    <row r="50" spans="1:58" ht="12.95" customHeight="1">
      <c r="A50" s="41"/>
      <c r="B50" s="42" t="s">
        <v>490</v>
      </c>
      <c r="C50" s="411">
        <f t="shared" si="26"/>
        <v>9.7945913519999994</v>
      </c>
      <c r="D50" s="42" t="s">
        <v>304</v>
      </c>
      <c r="E50" s="43">
        <v>13</v>
      </c>
      <c r="F50" s="43">
        <v>1</v>
      </c>
      <c r="G50" s="496">
        <v>1230</v>
      </c>
      <c r="H50" s="45">
        <v>0.22</v>
      </c>
      <c r="I50" s="46">
        <v>0.88</v>
      </c>
      <c r="J50" s="86">
        <f t="shared" si="27"/>
        <v>49.210312320000007</v>
      </c>
      <c r="K50" s="86">
        <f t="shared" si="28"/>
        <v>10.052343755999999</v>
      </c>
      <c r="L50" s="36">
        <v>1230</v>
      </c>
      <c r="M50" s="36">
        <v>934.8</v>
      </c>
      <c r="N50" s="47">
        <f t="shared" si="29"/>
        <v>0.24</v>
      </c>
      <c r="O50" s="48">
        <f>+'Trim Rwd'!H27</f>
        <v>266</v>
      </c>
      <c r="P50" s="49">
        <f t="shared" si="30"/>
        <v>76608</v>
      </c>
      <c r="Q50" s="48">
        <v>303</v>
      </c>
      <c r="R50" s="497">
        <v>0</v>
      </c>
      <c r="S50" s="497">
        <v>15</v>
      </c>
      <c r="T50" s="38">
        <f t="shared" si="31"/>
        <v>9.7945913519999994</v>
      </c>
      <c r="U50" s="38">
        <f t="shared" si="32"/>
        <v>9.3097105920000001</v>
      </c>
      <c r="V50" s="38">
        <f t="shared" si="33"/>
        <v>0.48488075999999997</v>
      </c>
      <c r="W50" s="38">
        <f>+'9'!K12/1000</f>
        <v>10.606</v>
      </c>
      <c r="X50" s="39"/>
      <c r="Y50" s="216"/>
      <c r="Z50" s="38"/>
      <c r="AA50" s="38"/>
      <c r="AB50" s="38"/>
      <c r="AC50" s="38"/>
      <c r="AD50" s="38">
        <f>+AM50+BA50</f>
        <v>43</v>
      </c>
      <c r="AE50" s="235" t="s">
        <v>411</v>
      </c>
      <c r="AF50" s="34"/>
      <c r="AG50" s="34"/>
      <c r="AH50" s="34">
        <v>43</v>
      </c>
      <c r="AJ50" s="38"/>
      <c r="AK50" s="38"/>
      <c r="AL50" s="38"/>
      <c r="AM50" s="38">
        <f t="shared" si="34"/>
        <v>43</v>
      </c>
      <c r="AN50" s="38"/>
      <c r="AO50" s="38"/>
      <c r="AP50" s="38"/>
      <c r="AQ50" s="38"/>
      <c r="AR50" s="38">
        <f t="shared" si="35"/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34"/>
      <c r="BC50" s="500"/>
      <c r="BD50" s="500"/>
      <c r="BE50" s="34"/>
      <c r="BF50" s="500"/>
    </row>
    <row r="51" spans="1:58" ht="12.95" customHeight="1">
      <c r="A51" s="41"/>
      <c r="B51" s="42" t="s">
        <v>490</v>
      </c>
      <c r="C51" s="411">
        <f t="shared" si="26"/>
        <v>16.370434079999999</v>
      </c>
      <c r="D51" s="42" t="s">
        <v>304</v>
      </c>
      <c r="E51" s="43">
        <v>12</v>
      </c>
      <c r="F51" s="43">
        <v>1</v>
      </c>
      <c r="G51" s="496">
        <v>1230</v>
      </c>
      <c r="H51" s="45">
        <v>0.23</v>
      </c>
      <c r="I51" s="46">
        <v>0.88</v>
      </c>
      <c r="J51" s="86">
        <f t="shared" si="27"/>
        <v>44.842533120000006</v>
      </c>
      <c r="K51" s="86">
        <f t="shared" si="28"/>
        <v>16.370434079999999</v>
      </c>
      <c r="L51" s="36">
        <v>1230</v>
      </c>
      <c r="M51" s="36">
        <v>947.09999999999991</v>
      </c>
      <c r="N51" s="47">
        <f t="shared" si="29"/>
        <v>0.23000000000000009</v>
      </c>
      <c r="O51" s="48">
        <f>+'Trim Rwd'!H28</f>
        <v>260</v>
      </c>
      <c r="P51" s="49">
        <f t="shared" si="30"/>
        <v>136500</v>
      </c>
      <c r="Q51" s="48">
        <v>554</v>
      </c>
      <c r="R51" s="497">
        <v>0</v>
      </c>
      <c r="S51" s="497">
        <v>29</v>
      </c>
      <c r="T51" s="38">
        <f t="shared" si="31"/>
        <v>16.370434079999999</v>
      </c>
      <c r="U51" s="38">
        <f t="shared" si="32"/>
        <v>15.513497999999998</v>
      </c>
      <c r="V51" s="38">
        <f t="shared" si="33"/>
        <v>0.85693607999999999</v>
      </c>
      <c r="W51" s="38">
        <f>+'9'!K13/1000</f>
        <v>13.097</v>
      </c>
      <c r="X51" s="39"/>
      <c r="Y51" s="216"/>
      <c r="Z51" s="38"/>
      <c r="AA51" s="38"/>
      <c r="AB51" s="38"/>
      <c r="AC51" s="38"/>
      <c r="AD51" s="38">
        <f>+AM51+BA51</f>
        <v>0</v>
      </c>
      <c r="AE51" s="238" t="s">
        <v>380</v>
      </c>
      <c r="AF51" s="38"/>
      <c r="AG51" s="38"/>
      <c r="AH51" s="38"/>
      <c r="AI51" s="499">
        <v>0</v>
      </c>
      <c r="AJ51" s="38"/>
      <c r="AK51" s="38"/>
      <c r="AL51" s="38"/>
      <c r="AM51" s="38">
        <f t="shared" si="34"/>
        <v>0</v>
      </c>
      <c r="AN51" s="38"/>
      <c r="AO51" s="38"/>
      <c r="AP51" s="38"/>
      <c r="AQ51" s="38"/>
      <c r="AR51" s="38">
        <f t="shared" si="35"/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51"/>
      <c r="BC51" s="52"/>
      <c r="BD51" s="52"/>
      <c r="BE51" s="51"/>
      <c r="BF51" s="52"/>
    </row>
    <row r="52" spans="1:58" ht="12.95" customHeight="1">
      <c r="A52" s="41"/>
      <c r="B52" s="42" t="s">
        <v>409</v>
      </c>
      <c r="C52" s="411"/>
      <c r="D52" s="42"/>
      <c r="E52" s="43">
        <v>19</v>
      </c>
      <c r="F52" s="43"/>
      <c r="G52" s="496"/>
      <c r="H52" s="45"/>
      <c r="I52" s="46"/>
      <c r="J52" s="86"/>
      <c r="K52" s="86"/>
      <c r="L52" s="36"/>
      <c r="M52" s="36"/>
      <c r="N52" s="47"/>
      <c r="O52" s="48"/>
      <c r="P52" s="49"/>
      <c r="Q52" s="48"/>
      <c r="R52" s="497"/>
      <c r="S52" s="497"/>
      <c r="T52" s="38"/>
      <c r="U52" s="38"/>
      <c r="V52" s="38"/>
      <c r="W52" s="38">
        <f>+'9'!K9/1000</f>
        <v>3.2869999999999999</v>
      </c>
      <c r="X52" s="39"/>
      <c r="Y52" s="216"/>
      <c r="Z52" s="38">
        <f>+'9'!D9/1000</f>
        <v>0.67900000000000005</v>
      </c>
      <c r="AA52" s="38"/>
      <c r="AB52" s="38"/>
      <c r="AC52" s="38"/>
      <c r="AD52" s="38"/>
      <c r="AE52" s="238"/>
      <c r="AF52" s="38"/>
      <c r="AG52" s="38"/>
      <c r="AH52" s="38"/>
      <c r="AI52" s="57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51"/>
      <c r="BC52" s="52"/>
      <c r="BD52" s="52"/>
      <c r="BE52" s="51"/>
      <c r="BF52" s="52"/>
    </row>
    <row r="53" spans="1:58" ht="12.95" customHeight="1">
      <c r="A53" s="41"/>
      <c r="B53" s="42"/>
      <c r="C53" s="411"/>
      <c r="D53" s="42"/>
      <c r="E53" s="43"/>
      <c r="F53" s="43"/>
      <c r="G53" s="44"/>
      <c r="H53" s="45"/>
      <c r="I53" s="46"/>
      <c r="J53" s="86"/>
      <c r="K53" s="86"/>
      <c r="L53" s="36"/>
      <c r="M53" s="36"/>
      <c r="N53" s="47"/>
      <c r="O53" s="48"/>
      <c r="P53" s="49"/>
      <c r="Q53" s="48"/>
      <c r="R53" s="497"/>
      <c r="S53" s="497"/>
      <c r="T53" s="38"/>
      <c r="U53" s="38"/>
      <c r="V53" s="38"/>
      <c r="W53" s="38"/>
      <c r="X53" s="39"/>
      <c r="Y53" s="216"/>
      <c r="Z53" s="38"/>
      <c r="AA53" s="38"/>
      <c r="AB53" s="38"/>
      <c r="AC53" s="38"/>
      <c r="AD53" s="38"/>
      <c r="AE53" s="235"/>
      <c r="AF53" s="34"/>
      <c r="AG53" s="34"/>
      <c r="AH53" s="34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4"/>
      <c r="BC53" s="500"/>
      <c r="BD53" s="52"/>
      <c r="BE53" s="51"/>
      <c r="BF53" s="52"/>
    </row>
    <row r="54" spans="1:58" ht="12.75" customHeight="1">
      <c r="A54" s="41">
        <v>45879</v>
      </c>
      <c r="B54" s="42" t="s">
        <v>490</v>
      </c>
      <c r="C54" s="411">
        <f t="shared" ref="C54" si="36">(M54*E54*O54*Q54)/100000000</f>
        <v>42.753080021917803</v>
      </c>
      <c r="D54" s="42" t="s">
        <v>304</v>
      </c>
      <c r="E54" s="43">
        <v>12</v>
      </c>
      <c r="F54" s="43">
        <v>1</v>
      </c>
      <c r="G54" s="496">
        <v>1230</v>
      </c>
      <c r="H54" s="45">
        <v>0.23</v>
      </c>
      <c r="I54" s="46">
        <v>0.88</v>
      </c>
      <c r="J54" s="86">
        <f t="shared" ref="J54" si="37">E54*G54*(1-H54)*1440/1000000*2.74</f>
        <v>44.842533120000006</v>
      </c>
      <c r="K54" s="86">
        <f t="shared" ref="K54" si="38">(IF(G54&lt;L54,L54,G54)*(1-IF(H54&lt;N54,H54,N54))*E54*O54*Q54)/100000000</f>
        <v>42.753080021917803</v>
      </c>
      <c r="L54" s="36">
        <v>1230</v>
      </c>
      <c r="M54" s="36">
        <v>947.09999999999991</v>
      </c>
      <c r="N54" s="47">
        <f t="shared" ref="N54" si="39">1-(M54/L54)</f>
        <v>0.23000000000000009</v>
      </c>
      <c r="O54" s="48">
        <f>+'Trim Rwd'!H30</f>
        <v>261.23287671232879</v>
      </c>
      <c r="P54" s="49">
        <f t="shared" ref="P54" si="40">O54*(Q54-R54-S54)</f>
        <v>356844.10958904115</v>
      </c>
      <c r="Q54" s="48">
        <v>1440</v>
      </c>
      <c r="R54" s="497">
        <v>0</v>
      </c>
      <c r="S54" s="497">
        <v>74</v>
      </c>
      <c r="T54" s="38">
        <f t="shared" ref="T54" si="41">E54*M54*O54*Q54/100000000</f>
        <v>42.753080021917803</v>
      </c>
      <c r="U54" s="38">
        <f t="shared" ref="U54" si="42">E54*M54*O54*(Q54-R54-S54)/100000000</f>
        <v>40.556046743013695</v>
      </c>
      <c r="V54" s="38">
        <f t="shared" ref="V54" si="43">E54*G54*(1-N54)*O54/100*(R54+S54)/1000000</f>
        <v>2.1970332789041094</v>
      </c>
      <c r="W54" s="38">
        <f>+'10'!K13/1000</f>
        <v>38.950000000000003</v>
      </c>
      <c r="X54" s="498">
        <f>SUM(W54:W58)/SUM(K54:K58)</f>
        <v>0.91104547274797243</v>
      </c>
      <c r="Y54" s="216">
        <v>0</v>
      </c>
      <c r="Z54" s="38">
        <f>+'5'!D59/1000</f>
        <v>0</v>
      </c>
      <c r="AA54" s="50">
        <f>SUM(U54:U58)-SUM(W54:W58)-SUM(Z54:Z58)-SUM(Y54:Y58)</f>
        <v>1.6060467430136924</v>
      </c>
      <c r="AB54" s="50">
        <f>(SUM(K54:K58)-SUM(W54:W58)-SUM(Y54:Y58)-SUM(Z54:Z58)-SUM(AC54:AC58)-SUM(V54:V58))-AA54</f>
        <v>0</v>
      </c>
      <c r="AC54" s="38">
        <f>K54-T54</f>
        <v>0</v>
      </c>
      <c r="AD54" s="38">
        <f>+AM54+BA54</f>
        <v>15</v>
      </c>
      <c r="AE54" s="235" t="s">
        <v>433</v>
      </c>
      <c r="AF54" s="38">
        <v>15</v>
      </c>
      <c r="AG54" s="38"/>
      <c r="AH54" s="38"/>
      <c r="AI54" s="499"/>
      <c r="AJ54" s="38"/>
      <c r="AK54" s="38"/>
      <c r="AL54" s="38"/>
      <c r="AM54" s="38">
        <f t="shared" ref="AM54:AM57" si="44">SUM(AF54:AL54)+AT54+AV54+AX54</f>
        <v>15</v>
      </c>
      <c r="AN54" s="38"/>
      <c r="AO54" s="38"/>
      <c r="AP54" s="38"/>
      <c r="AQ54" s="38"/>
      <c r="AR54" s="38">
        <f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34">
        <v>5</v>
      </c>
      <c r="BC54" s="52"/>
      <c r="BD54" s="52"/>
      <c r="BE54" s="34"/>
      <c r="BF54" s="52"/>
    </row>
    <row r="55" spans="1:58" ht="12.95" customHeight="1">
      <c r="A55" s="41"/>
      <c r="B55" s="42"/>
      <c r="C55" s="411"/>
      <c r="D55" s="42"/>
      <c r="E55" s="43"/>
      <c r="F55" s="43"/>
      <c r="G55" s="496"/>
      <c r="H55" s="45"/>
      <c r="I55" s="46"/>
      <c r="J55" s="86"/>
      <c r="K55" s="86"/>
      <c r="L55" s="36"/>
      <c r="M55" s="36"/>
      <c r="N55" s="47"/>
      <c r="O55" s="48"/>
      <c r="P55" s="49"/>
      <c r="Q55" s="48"/>
      <c r="R55" s="497"/>
      <c r="S55" s="497"/>
      <c r="T55" s="38"/>
      <c r="U55" s="38"/>
      <c r="V55" s="38"/>
      <c r="W55" s="38"/>
      <c r="X55" s="39"/>
      <c r="Y55" s="216"/>
      <c r="Z55" s="38"/>
      <c r="AA55" s="38"/>
      <c r="AB55" s="38"/>
      <c r="AC55" s="38"/>
      <c r="AD55" s="38">
        <f>+AM55+BA55</f>
        <v>14</v>
      </c>
      <c r="AE55" s="235" t="s">
        <v>406</v>
      </c>
      <c r="AF55" s="38"/>
      <c r="AG55" s="38">
        <v>14</v>
      </c>
      <c r="AH55" s="38"/>
      <c r="AI55" s="499"/>
      <c r="AJ55" s="38"/>
      <c r="AK55" s="38"/>
      <c r="AL55" s="38"/>
      <c r="AM55" s="38">
        <f t="shared" si="44"/>
        <v>14</v>
      </c>
      <c r="AN55" s="87"/>
      <c r="AO55" s="38"/>
      <c r="AP55" s="38"/>
      <c r="AQ55" s="38"/>
      <c r="AR55" s="38">
        <f t="shared" ref="AR55:AR57" si="45">SUM(AN55:AQ55)</f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51"/>
      <c r="BC55" s="52">
        <v>6</v>
      </c>
      <c r="BD55" s="52"/>
      <c r="BE55" s="51"/>
      <c r="BF55" s="52"/>
    </row>
    <row r="56" spans="1:58" ht="12.95" customHeight="1">
      <c r="A56" s="41"/>
      <c r="B56" s="42"/>
      <c r="C56" s="411"/>
      <c r="D56" s="42"/>
      <c r="E56" s="43"/>
      <c r="F56" s="43"/>
      <c r="G56" s="44"/>
      <c r="H56" s="45"/>
      <c r="I56" s="46"/>
      <c r="J56" s="86"/>
      <c r="K56" s="86"/>
      <c r="L56" s="36"/>
      <c r="M56" s="36"/>
      <c r="N56" s="47"/>
      <c r="O56" s="48"/>
      <c r="P56" s="49"/>
      <c r="Q56" s="48"/>
      <c r="R56" s="497"/>
      <c r="S56" s="497"/>
      <c r="T56" s="38"/>
      <c r="U56" s="38"/>
      <c r="V56" s="38"/>
      <c r="W56" s="38"/>
      <c r="X56" s="39"/>
      <c r="Y56" s="216"/>
      <c r="Z56" s="38"/>
      <c r="AA56" s="38"/>
      <c r="AB56" s="38"/>
      <c r="AC56" s="38"/>
      <c r="AD56" s="38">
        <f>+AM56+BA56</f>
        <v>45</v>
      </c>
      <c r="AE56" s="235" t="s">
        <v>513</v>
      </c>
      <c r="AF56" s="34"/>
      <c r="AG56" s="34"/>
      <c r="AH56" s="34">
        <v>45</v>
      </c>
      <c r="AJ56" s="38"/>
      <c r="AK56" s="38"/>
      <c r="AL56" s="38"/>
      <c r="AM56" s="38">
        <f t="shared" si="44"/>
        <v>45</v>
      </c>
      <c r="AN56" s="38"/>
      <c r="AO56" s="38"/>
      <c r="AP56" s="38"/>
      <c r="AQ56" s="38"/>
      <c r="AR56" s="38">
        <f t="shared" si="45"/>
        <v>0</v>
      </c>
      <c r="AS56" s="38"/>
      <c r="AT56" s="38"/>
      <c r="AU56" s="38"/>
      <c r="AV56" s="38"/>
      <c r="AW56" s="38"/>
      <c r="AX56" s="38"/>
      <c r="AY56" s="38"/>
      <c r="AZ56" s="38"/>
      <c r="BA56" s="38">
        <f>+AR56+AS56+AU56+AW56+AY56+AZ56</f>
        <v>0</v>
      </c>
      <c r="BB56" s="34"/>
      <c r="BC56" s="500"/>
      <c r="BD56" s="500"/>
      <c r="BE56" s="34"/>
      <c r="BF56" s="500"/>
    </row>
    <row r="57" spans="1:58" ht="12.95" customHeight="1">
      <c r="A57" s="41"/>
      <c r="B57" s="42"/>
      <c r="C57" s="411"/>
      <c r="D57" s="42"/>
      <c r="E57" s="43"/>
      <c r="F57" s="43"/>
      <c r="G57" s="44"/>
      <c r="H57" s="45"/>
      <c r="I57" s="46"/>
      <c r="J57" s="86"/>
      <c r="K57" s="86"/>
      <c r="L57" s="36"/>
      <c r="M57" s="36"/>
      <c r="N57" s="47"/>
      <c r="O57" s="48"/>
      <c r="P57" s="49"/>
      <c r="Q57" s="35"/>
      <c r="R57" s="497"/>
      <c r="S57" s="497"/>
      <c r="T57" s="38"/>
      <c r="U57" s="38"/>
      <c r="V57" s="38"/>
      <c r="W57" s="38"/>
      <c r="X57" s="39"/>
      <c r="Y57" s="216"/>
      <c r="Z57" s="38"/>
      <c r="AA57" s="38"/>
      <c r="AB57" s="38"/>
      <c r="AC57" s="38"/>
      <c r="AD57" s="38">
        <f>+AM57+BA57</f>
        <v>0</v>
      </c>
      <c r="AE57" s="238" t="s">
        <v>380</v>
      </c>
      <c r="AF57" s="38"/>
      <c r="AG57" s="38"/>
      <c r="AH57" s="38"/>
      <c r="AI57" s="499">
        <v>0</v>
      </c>
      <c r="AJ57" s="38"/>
      <c r="AK57" s="38"/>
      <c r="AL57" s="38"/>
      <c r="AM57" s="38">
        <f t="shared" si="44"/>
        <v>0</v>
      </c>
      <c r="AN57" s="38"/>
      <c r="AO57" s="38"/>
      <c r="AP57" s="38"/>
      <c r="AQ57" s="38"/>
      <c r="AR57" s="38">
        <f t="shared" si="45"/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>+AR57+AS57+AU57+AW57+AY57+AZ57</f>
        <v>0</v>
      </c>
      <c r="BB57" s="51"/>
      <c r="BC57" s="52"/>
      <c r="BD57" s="52"/>
      <c r="BE57" s="51"/>
      <c r="BF57" s="52"/>
    </row>
    <row r="58" spans="1:58" ht="12.95" customHeight="1">
      <c r="A58" s="41"/>
      <c r="B58" s="42"/>
      <c r="C58" s="411"/>
      <c r="D58" s="42"/>
      <c r="E58" s="43"/>
      <c r="F58" s="43"/>
      <c r="G58" s="44"/>
      <c r="H58" s="45"/>
      <c r="I58" s="46"/>
      <c r="J58" s="86"/>
      <c r="K58" s="86"/>
      <c r="L58" s="36"/>
      <c r="M58" s="36"/>
      <c r="N58" s="47"/>
      <c r="O58" s="48"/>
      <c r="P58" s="49"/>
      <c r="Q58" s="48"/>
      <c r="R58" s="497"/>
      <c r="S58" s="497"/>
      <c r="T58" s="38"/>
      <c r="U58" s="38"/>
      <c r="V58" s="38"/>
      <c r="W58" s="38"/>
      <c r="X58" s="39"/>
      <c r="Y58" s="216"/>
      <c r="Z58" s="38"/>
      <c r="AA58" s="38"/>
      <c r="AB58" s="38"/>
      <c r="AC58" s="38"/>
      <c r="AD58" s="38"/>
      <c r="AE58" s="235"/>
      <c r="AF58" s="34"/>
      <c r="AG58" s="34"/>
      <c r="AH58" s="34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4"/>
      <c r="BC58" s="500"/>
      <c r="BD58" s="500"/>
      <c r="BE58" s="34"/>
      <c r="BF58" s="500"/>
    </row>
    <row r="59" spans="1:58" ht="12.75" customHeight="1">
      <c r="A59" s="41">
        <v>45880</v>
      </c>
      <c r="B59" s="42" t="s">
        <v>490</v>
      </c>
      <c r="C59" s="411">
        <f t="shared" ref="C59:C60" si="46">(M59*E59*O59*Q59)/100000000</f>
        <v>27.991919339999995</v>
      </c>
      <c r="D59" s="42" t="s">
        <v>304</v>
      </c>
      <c r="E59" s="43">
        <v>12</v>
      </c>
      <c r="F59" s="43">
        <v>1</v>
      </c>
      <c r="G59" s="496">
        <v>1230</v>
      </c>
      <c r="H59" s="45">
        <v>0.23</v>
      </c>
      <c r="I59" s="46">
        <v>0.88</v>
      </c>
      <c r="J59" s="86">
        <f t="shared" ref="J59:J60" si="47">E59*G59*(1-H59)*1440/1000000*2.74</f>
        <v>44.842533120000006</v>
      </c>
      <c r="K59" s="86">
        <f t="shared" ref="K59:K60" si="48">(IF(G59&lt;L59,L59,G59)*(1-IF(H59&lt;N59,H59,N59))*E59*O59*Q59)/100000000</f>
        <v>27.991919339999995</v>
      </c>
      <c r="L59" s="36">
        <v>1230</v>
      </c>
      <c r="M59" s="36">
        <v>947.09999999999991</v>
      </c>
      <c r="N59" s="47">
        <f t="shared" ref="N59:N60" si="49">1-(M59/L59)</f>
        <v>0.23000000000000009</v>
      </c>
      <c r="O59" s="48">
        <f>+'Trim Rwd'!H33</f>
        <v>264.83333333333331</v>
      </c>
      <c r="P59" s="49">
        <f t="shared" ref="P59:P60" si="50">O59*(Q59-R59-S59)</f>
        <v>235966.49999999997</v>
      </c>
      <c r="Q59" s="48">
        <v>930</v>
      </c>
      <c r="R59" s="497">
        <v>0</v>
      </c>
      <c r="S59" s="497">
        <v>39</v>
      </c>
      <c r="T59" s="38">
        <f t="shared" ref="T59:T60" si="51">E59*M59*O59*Q59/100000000</f>
        <v>27.991919339999995</v>
      </c>
      <c r="U59" s="38">
        <f t="shared" ref="U59:U60" si="52">E59*M59*O59*(Q59-R59-S59)/100000000</f>
        <v>26.818064657999994</v>
      </c>
      <c r="V59" s="38">
        <f t="shared" ref="V59:V60" si="53">E59*G59*(1-N59)*O59/100*(R59+S59)/1000000</f>
        <v>1.1738546819999998</v>
      </c>
      <c r="W59" s="38">
        <f>+'11'!K13/1000</f>
        <v>27.157</v>
      </c>
      <c r="X59" s="498">
        <f>SUM(W59:W63)/SUM(K59:K63)</f>
        <v>0.90631824825211993</v>
      </c>
      <c r="Y59" s="216">
        <v>0</v>
      </c>
      <c r="Z59" s="38">
        <f>+'5'!D64/1000</f>
        <v>0</v>
      </c>
      <c r="AA59" s="50">
        <f>SUM(U59:U63)-SUM(W59:W63)-SUM(Z59:Z63)-SUM(Y59:Y63)</f>
        <v>2.1562559379999939</v>
      </c>
      <c r="AB59" s="50">
        <f>(SUM(K59:K63)-SUM(W59:W63)-SUM(Y59:Y63)-SUM(Z59:Z63)-SUM(AC59:AC63)-SUM(V59:V63))-AA59</f>
        <v>0.21528936000000787</v>
      </c>
      <c r="AC59" s="38">
        <f>K59-T59</f>
        <v>0</v>
      </c>
      <c r="AD59" s="38">
        <f>+AM59+BA59</f>
        <v>17</v>
      </c>
      <c r="AE59" s="235" t="s">
        <v>474</v>
      </c>
      <c r="AF59" s="38">
        <v>17</v>
      </c>
      <c r="AG59" s="38"/>
      <c r="AH59" s="38"/>
      <c r="AI59" s="499"/>
      <c r="AJ59" s="38"/>
      <c r="AK59" s="38"/>
      <c r="AL59" s="38"/>
      <c r="AM59" s="38">
        <f t="shared" ref="AM59:AM62" si="54">SUM(AF59:AL59)+AT59+AV59+AX59</f>
        <v>17</v>
      </c>
      <c r="AN59" s="38"/>
      <c r="AO59" s="38"/>
      <c r="AP59" s="38"/>
      <c r="AQ59" s="38"/>
      <c r="AR59" s="38">
        <f>SUM(AN59:AQ59)</f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34">
        <v>13</v>
      </c>
      <c r="BC59" s="52"/>
      <c r="BD59" s="52"/>
      <c r="BE59" s="34"/>
      <c r="BF59" s="52"/>
    </row>
    <row r="60" spans="1:58" ht="12.95" customHeight="1">
      <c r="A60" s="41"/>
      <c r="B60" s="42" t="s">
        <v>490</v>
      </c>
      <c r="C60" s="411">
        <f t="shared" si="46"/>
        <v>16.577280719999997</v>
      </c>
      <c r="D60" s="42" t="s">
        <v>304</v>
      </c>
      <c r="E60" s="43">
        <v>13</v>
      </c>
      <c r="F60" s="43">
        <v>1</v>
      </c>
      <c r="G60" s="496">
        <v>1230</v>
      </c>
      <c r="H60" s="45">
        <v>0.22</v>
      </c>
      <c r="I60" s="46">
        <v>0.88</v>
      </c>
      <c r="J60" s="86">
        <f t="shared" si="47"/>
        <v>49.210312320000007</v>
      </c>
      <c r="K60" s="86">
        <f t="shared" si="48"/>
        <v>16.792570080000001</v>
      </c>
      <c r="L60" s="36">
        <v>1230</v>
      </c>
      <c r="M60" s="36">
        <v>947.09999999999991</v>
      </c>
      <c r="N60" s="47">
        <f t="shared" si="49"/>
        <v>0.23000000000000009</v>
      </c>
      <c r="O60" s="48">
        <f>+'Trim Rwd'!H35</f>
        <v>264</v>
      </c>
      <c r="P60" s="49">
        <f t="shared" si="50"/>
        <v>129360</v>
      </c>
      <c r="Q60" s="48">
        <v>510</v>
      </c>
      <c r="R60" s="497">
        <v>0</v>
      </c>
      <c r="S60" s="497">
        <v>20</v>
      </c>
      <c r="T60" s="38">
        <f t="shared" si="51"/>
        <v>16.577280719999997</v>
      </c>
      <c r="U60" s="38">
        <f t="shared" si="52"/>
        <v>15.927191279999997</v>
      </c>
      <c r="V60" s="38">
        <f t="shared" si="53"/>
        <v>0.65008943999999991</v>
      </c>
      <c r="W60" s="38">
        <f>+'11'!K12/1000</f>
        <v>13.432</v>
      </c>
      <c r="X60" s="39"/>
      <c r="Y60" s="216"/>
      <c r="Z60" s="38"/>
      <c r="AA60" s="38"/>
      <c r="AB60" s="38"/>
      <c r="AC60" s="38"/>
      <c r="AD60" s="38">
        <f>+AM60+BA60</f>
        <v>15</v>
      </c>
      <c r="AE60" s="235" t="s">
        <v>406</v>
      </c>
      <c r="AF60" s="38"/>
      <c r="AG60" s="38">
        <v>15</v>
      </c>
      <c r="AH60" s="38"/>
      <c r="AI60" s="499"/>
      <c r="AJ60" s="38"/>
      <c r="AK60" s="38"/>
      <c r="AL60" s="38"/>
      <c r="AM60" s="38">
        <f t="shared" si="54"/>
        <v>15</v>
      </c>
      <c r="AN60" s="87"/>
      <c r="AO60" s="38"/>
      <c r="AP60" s="38"/>
      <c r="AQ60" s="38"/>
      <c r="AR60" s="38">
        <f t="shared" ref="AR60:AR62" si="55">SUM(AN60:AQ60)</f>
        <v>0</v>
      </c>
      <c r="AS60" s="38"/>
      <c r="AT60" s="38"/>
      <c r="AU60" s="38"/>
      <c r="AV60" s="38"/>
      <c r="AW60" s="38"/>
      <c r="AX60" s="38"/>
      <c r="AY60" s="38"/>
      <c r="AZ60" s="38"/>
      <c r="BA60" s="38">
        <f>+AR60+AS60+AU60+AW60+AY60+AZ60</f>
        <v>0</v>
      </c>
      <c r="BB60" s="51"/>
      <c r="BC60" s="52">
        <v>6</v>
      </c>
      <c r="BD60" s="52"/>
      <c r="BE60" s="51"/>
      <c r="BF60" s="52"/>
    </row>
    <row r="61" spans="1:58" ht="12.95" customHeight="1">
      <c r="A61" s="41"/>
      <c r="B61" s="42"/>
      <c r="C61" s="411"/>
      <c r="D61" s="42"/>
      <c r="E61" s="43"/>
      <c r="F61" s="43"/>
      <c r="G61" s="44"/>
      <c r="H61" s="45"/>
      <c r="I61" s="46"/>
      <c r="J61" s="86"/>
      <c r="K61" s="86"/>
      <c r="L61" s="36"/>
      <c r="M61" s="36"/>
      <c r="N61" s="47"/>
      <c r="O61" s="48"/>
      <c r="P61" s="49"/>
      <c r="Q61" s="48"/>
      <c r="R61" s="497"/>
      <c r="S61" s="497"/>
      <c r="T61" s="38"/>
      <c r="U61" s="38"/>
      <c r="V61" s="38"/>
      <c r="W61" s="38"/>
      <c r="X61" s="39"/>
      <c r="Y61" s="216"/>
      <c r="Z61" s="38"/>
      <c r="AA61" s="38"/>
      <c r="AB61" s="38"/>
      <c r="AC61" s="38"/>
      <c r="AD61" s="38">
        <f>+AM61+BA61</f>
        <v>27</v>
      </c>
      <c r="AE61" s="235" t="s">
        <v>513</v>
      </c>
      <c r="AF61" s="34"/>
      <c r="AG61" s="34"/>
      <c r="AH61" s="34">
        <v>27</v>
      </c>
      <c r="AJ61" s="38"/>
      <c r="AK61" s="38"/>
      <c r="AL61" s="38"/>
      <c r="AM61" s="38">
        <f t="shared" si="54"/>
        <v>27</v>
      </c>
      <c r="AN61" s="38"/>
      <c r="AO61" s="38"/>
      <c r="AP61" s="38"/>
      <c r="AQ61" s="38"/>
      <c r="AR61" s="38">
        <f t="shared" si="55"/>
        <v>0</v>
      </c>
      <c r="AS61" s="38"/>
      <c r="AT61" s="38"/>
      <c r="AU61" s="38"/>
      <c r="AV61" s="38"/>
      <c r="AW61" s="38"/>
      <c r="AX61" s="38"/>
      <c r="AY61" s="38"/>
      <c r="AZ61" s="38"/>
      <c r="BA61" s="38">
        <f>+AR61+AS61+AU61+AW61+AY61+AZ61</f>
        <v>0</v>
      </c>
      <c r="BB61" s="34"/>
      <c r="BC61" s="500"/>
      <c r="BD61" s="500"/>
      <c r="BE61" s="34"/>
      <c r="BF61" s="500"/>
    </row>
    <row r="62" spans="1:58" ht="12.95" customHeight="1">
      <c r="A62" s="41"/>
      <c r="B62" s="42"/>
      <c r="C62" s="411"/>
      <c r="D62" s="42"/>
      <c r="E62" s="43"/>
      <c r="F62" s="43"/>
      <c r="G62" s="44"/>
      <c r="H62" s="45"/>
      <c r="I62" s="46"/>
      <c r="J62" s="86"/>
      <c r="K62" s="86"/>
      <c r="L62" s="36"/>
      <c r="M62" s="36"/>
      <c r="N62" s="47"/>
      <c r="O62" s="48"/>
      <c r="P62" s="49"/>
      <c r="Q62" s="35"/>
      <c r="R62" s="497"/>
      <c r="S62" s="497"/>
      <c r="T62" s="38"/>
      <c r="U62" s="38"/>
      <c r="V62" s="38"/>
      <c r="W62" s="38"/>
      <c r="X62" s="39"/>
      <c r="Y62" s="216"/>
      <c r="Z62" s="38"/>
      <c r="AA62" s="38"/>
      <c r="AB62" s="38"/>
      <c r="AC62" s="38"/>
      <c r="AD62" s="38">
        <f>+AM62+BA62</f>
        <v>0</v>
      </c>
      <c r="AE62" s="238" t="s">
        <v>380</v>
      </c>
      <c r="AF62" s="38"/>
      <c r="AG62" s="38"/>
      <c r="AH62" s="38"/>
      <c r="AI62" s="499">
        <v>0</v>
      </c>
      <c r="AJ62" s="38"/>
      <c r="AK62" s="38"/>
      <c r="AL62" s="38"/>
      <c r="AM62" s="38">
        <f t="shared" si="54"/>
        <v>0</v>
      </c>
      <c r="AN62" s="38"/>
      <c r="AO62" s="38"/>
      <c r="AP62" s="38"/>
      <c r="AQ62" s="38"/>
      <c r="AR62" s="38">
        <f t="shared" si="55"/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51"/>
      <c r="BC62" s="52"/>
      <c r="BD62" s="52"/>
      <c r="BE62" s="51"/>
      <c r="BF62" s="52"/>
    </row>
    <row r="63" spans="1:58" ht="12.95" customHeight="1">
      <c r="A63" s="41"/>
      <c r="B63" s="42"/>
      <c r="C63" s="411"/>
      <c r="D63" s="42"/>
      <c r="E63" s="43"/>
      <c r="F63" s="43"/>
      <c r="G63" s="44"/>
      <c r="H63" s="45"/>
      <c r="I63" s="46"/>
      <c r="J63" s="86"/>
      <c r="K63" s="86"/>
      <c r="L63" s="36"/>
      <c r="M63" s="36"/>
      <c r="N63" s="47"/>
      <c r="O63" s="48"/>
      <c r="P63" s="49"/>
      <c r="Q63" s="48"/>
      <c r="R63" s="497"/>
      <c r="S63" s="497"/>
      <c r="T63" s="38"/>
      <c r="U63" s="38"/>
      <c r="V63" s="38"/>
      <c r="W63" s="38"/>
      <c r="X63" s="39"/>
      <c r="Y63" s="216"/>
      <c r="Z63" s="38"/>
      <c r="AA63" s="38"/>
      <c r="AB63" s="38"/>
      <c r="AC63" s="38"/>
      <c r="AD63" s="38"/>
      <c r="AE63" s="235"/>
      <c r="AF63" s="34"/>
      <c r="AG63" s="34"/>
      <c r="AH63" s="34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4"/>
      <c r="BC63" s="500"/>
      <c r="BD63" s="52"/>
      <c r="BE63" s="34"/>
      <c r="BF63" s="52"/>
    </row>
    <row r="64" spans="1:58" ht="12.75" customHeight="1">
      <c r="A64" s="41">
        <v>45881</v>
      </c>
      <c r="B64" s="42" t="s">
        <v>490</v>
      </c>
      <c r="C64" s="411">
        <f t="shared" ref="C64:C66" si="56">(M64*E64*O64*Q64)/100000000</f>
        <v>16.902325439999998</v>
      </c>
      <c r="D64" s="42" t="s">
        <v>304</v>
      </c>
      <c r="E64" s="43">
        <v>13</v>
      </c>
      <c r="F64" s="43">
        <v>1</v>
      </c>
      <c r="G64" s="496">
        <v>1230</v>
      </c>
      <c r="H64" s="45">
        <v>0.22</v>
      </c>
      <c r="I64" s="46">
        <v>0.88</v>
      </c>
      <c r="J64" s="86">
        <f t="shared" ref="J64:J66" si="57">E64*G64*(1-H64)*1440/1000000*2.74</f>
        <v>49.210312320000007</v>
      </c>
      <c r="K64" s="86">
        <f t="shared" ref="K64:K66" si="58">(IF(G64&lt;L64,L64,G64)*(1-IF(H64&lt;N64,H64,N64))*E64*O64*Q64)/100000000</f>
        <v>17.121836160000001</v>
      </c>
      <c r="L64" s="36">
        <v>1230</v>
      </c>
      <c r="M64" s="36">
        <v>947.09999999999991</v>
      </c>
      <c r="N64" s="47">
        <f t="shared" ref="N64:N66" si="59">1-(M64/L64)</f>
        <v>0.23000000000000009</v>
      </c>
      <c r="O64" s="48">
        <f>+'Trim Rwd'!E37</f>
        <v>264</v>
      </c>
      <c r="P64" s="49">
        <f t="shared" ref="P64:P66" si="60">O64*(Q64-R64-S64)</f>
        <v>132000</v>
      </c>
      <c r="Q64" s="48">
        <v>520</v>
      </c>
      <c r="R64" s="497">
        <v>0</v>
      </c>
      <c r="S64" s="497">
        <v>20</v>
      </c>
      <c r="T64" s="38">
        <f t="shared" ref="T64:T66" si="61">E64*M64*O64*Q64/100000000</f>
        <v>16.902325439999998</v>
      </c>
      <c r="U64" s="38">
        <f t="shared" ref="U64:U66" si="62">E64*M64*O64*(Q64-R64-S64)/100000000</f>
        <v>16.252235999999996</v>
      </c>
      <c r="V64" s="38">
        <f t="shared" ref="V64:V66" si="63">E64*G64*(1-N64)*O64/100*(R64+S64)/1000000</f>
        <v>0.65008943999999991</v>
      </c>
      <c r="W64" s="38">
        <f>+'12'!K12/1000</f>
        <v>22.178000000000001</v>
      </c>
      <c r="X64" s="498">
        <f>SUM(W64:W68)/SUM(K64:K68)</f>
        <v>0.91632863744845972</v>
      </c>
      <c r="Y64" s="216">
        <v>0</v>
      </c>
      <c r="Z64" s="38">
        <f>+'5'!D69/1000</f>
        <v>0</v>
      </c>
      <c r="AA64" s="50">
        <f>SUM(U64:U68)-SUM(W64:W68)-SUM(Z64:Z68)-SUM(Y64:Y68)</f>
        <v>1.6556424233103328</v>
      </c>
      <c r="AB64" s="50">
        <f>(SUM(K64:K68)-SUM(W64:W68)-SUM(Y64:Y68)-SUM(Z64:Z68)-SUM(AC64:AC68)-SUM(V64:V68))-AA64</f>
        <v>7.1054273576010019E-15</v>
      </c>
      <c r="AC64" s="38">
        <f>K64-T64</f>
        <v>0.21951072000000238</v>
      </c>
      <c r="AD64" s="38">
        <f>+AM64+BA64</f>
        <v>10</v>
      </c>
      <c r="AE64" s="235" t="s">
        <v>433</v>
      </c>
      <c r="AF64" s="38">
        <v>10</v>
      </c>
      <c r="AG64" s="38"/>
      <c r="AH64" s="38"/>
      <c r="AI64" s="499"/>
      <c r="AJ64" s="38"/>
      <c r="AK64" s="38"/>
      <c r="AL64" s="38"/>
      <c r="AM64" s="38">
        <f t="shared" ref="AM64:AM67" si="64">SUM(AF64:AL64)+AT64+AV64+AX64</f>
        <v>10</v>
      </c>
      <c r="AN64" s="38"/>
      <c r="AO64" s="38"/>
      <c r="AP64" s="38"/>
      <c r="AQ64" s="38"/>
      <c r="AR64" s="38">
        <f>SUM(AN64:AQ64)</f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0</v>
      </c>
      <c r="BB64" s="34">
        <v>5</v>
      </c>
      <c r="BC64" s="52"/>
      <c r="BD64" s="52"/>
      <c r="BE64" s="34"/>
      <c r="BF64" s="52"/>
    </row>
    <row r="65" spans="1:58" ht="12.95" customHeight="1">
      <c r="A65" s="41"/>
      <c r="B65" s="42" t="s">
        <v>490</v>
      </c>
      <c r="C65" s="411">
        <f t="shared" si="56"/>
        <v>5.5992502799999997</v>
      </c>
      <c r="D65" s="42" t="s">
        <v>304</v>
      </c>
      <c r="E65" s="43">
        <v>13</v>
      </c>
      <c r="F65" s="43">
        <v>1</v>
      </c>
      <c r="G65" s="496">
        <v>1230</v>
      </c>
      <c r="H65" s="45">
        <f>+N65</f>
        <v>0.29000000000000004</v>
      </c>
      <c r="I65" s="46">
        <v>0.88</v>
      </c>
      <c r="J65" s="86">
        <f t="shared" si="57"/>
        <v>44.794002239999998</v>
      </c>
      <c r="K65" s="86">
        <f t="shared" si="58"/>
        <v>5.5992502799999997</v>
      </c>
      <c r="L65" s="36">
        <v>1230</v>
      </c>
      <c r="M65" s="36">
        <v>873.3</v>
      </c>
      <c r="N65" s="47">
        <f t="shared" si="59"/>
        <v>0.29000000000000004</v>
      </c>
      <c r="O65" s="48">
        <f>+'Trim Rwd'!E38</f>
        <v>274</v>
      </c>
      <c r="P65" s="49">
        <f t="shared" si="60"/>
        <v>47676</v>
      </c>
      <c r="Q65" s="48">
        <v>180</v>
      </c>
      <c r="R65" s="497">
        <v>0</v>
      </c>
      <c r="S65" s="497">
        <v>6</v>
      </c>
      <c r="T65" s="38">
        <f t="shared" si="61"/>
        <v>5.5992502799999997</v>
      </c>
      <c r="U65" s="38">
        <f t="shared" si="62"/>
        <v>5.4126086039999999</v>
      </c>
      <c r="V65" s="38">
        <f t="shared" si="63"/>
        <v>0.18664167600000001</v>
      </c>
      <c r="W65" s="38">
        <f>+'12'!K13/1000</f>
        <v>19.067</v>
      </c>
      <c r="X65" s="39"/>
      <c r="Y65" s="216"/>
      <c r="Z65" s="38"/>
      <c r="AA65" s="38"/>
      <c r="AB65" s="38"/>
      <c r="AC65" s="38"/>
      <c r="AD65" s="38">
        <f>+AM65+BA65</f>
        <v>12</v>
      </c>
      <c r="AE65" s="235" t="s">
        <v>536</v>
      </c>
      <c r="AF65" s="38"/>
      <c r="AG65" s="38">
        <v>12</v>
      </c>
      <c r="AH65" s="38"/>
      <c r="AI65" s="499"/>
      <c r="AJ65" s="38"/>
      <c r="AK65" s="38"/>
      <c r="AL65" s="38"/>
      <c r="AM65" s="38">
        <f t="shared" si="64"/>
        <v>12</v>
      </c>
      <c r="AN65" s="87"/>
      <c r="AO65" s="38"/>
      <c r="AP65" s="38"/>
      <c r="AQ65" s="38"/>
      <c r="AR65" s="38">
        <f t="shared" ref="AR65:AR67" si="65">SUM(AN65:AQ65)</f>
        <v>0</v>
      </c>
      <c r="AS65" s="38"/>
      <c r="AT65" s="38"/>
      <c r="AU65" s="38"/>
      <c r="AV65" s="38"/>
      <c r="AW65" s="38"/>
      <c r="AX65" s="38"/>
      <c r="AY65" s="38"/>
      <c r="AZ65" s="38"/>
      <c r="BA65" s="38">
        <f>+AR65+AS65+AU65+AW65+AY65+AZ65</f>
        <v>0</v>
      </c>
      <c r="BB65" s="51"/>
      <c r="BC65" s="52">
        <v>5</v>
      </c>
      <c r="BD65" s="52"/>
      <c r="BE65" s="51"/>
      <c r="BF65" s="52"/>
    </row>
    <row r="66" spans="1:58" ht="12.95" customHeight="1">
      <c r="A66" s="41"/>
      <c r="B66" s="42" t="s">
        <v>490</v>
      </c>
      <c r="C66" s="411">
        <f t="shared" si="56"/>
        <v>22.290057285517239</v>
      </c>
      <c r="D66" s="42" t="s">
        <v>304</v>
      </c>
      <c r="E66" s="43">
        <v>12</v>
      </c>
      <c r="F66" s="43">
        <v>1</v>
      </c>
      <c r="G66" s="496">
        <v>1230</v>
      </c>
      <c r="H66" s="45">
        <v>0.23</v>
      </c>
      <c r="I66" s="46">
        <v>0.88</v>
      </c>
      <c r="J66" s="86">
        <f t="shared" si="57"/>
        <v>44.842533120000006</v>
      </c>
      <c r="K66" s="86">
        <f t="shared" si="58"/>
        <v>22.290057285517239</v>
      </c>
      <c r="L66" s="36">
        <v>1230</v>
      </c>
      <c r="M66" s="36">
        <v>947.09999999999991</v>
      </c>
      <c r="N66" s="47">
        <f t="shared" si="59"/>
        <v>0.23000000000000009</v>
      </c>
      <c r="O66" s="48">
        <f>+'Trim Rwd'!H39</f>
        <v>265.0344827586207</v>
      </c>
      <c r="P66" s="49">
        <f t="shared" si="60"/>
        <v>186849.31034482759</v>
      </c>
      <c r="Q66" s="48">
        <v>740</v>
      </c>
      <c r="R66" s="497">
        <v>0</v>
      </c>
      <c r="S66" s="497">
        <v>35</v>
      </c>
      <c r="T66" s="38">
        <f t="shared" si="61"/>
        <v>22.290057285517239</v>
      </c>
      <c r="U66" s="38">
        <f t="shared" si="62"/>
        <v>21.235797819310342</v>
      </c>
      <c r="V66" s="38">
        <f t="shared" si="63"/>
        <v>1.0542594662068965</v>
      </c>
      <c r="W66" s="38">
        <f>+'12'!K14/1000</f>
        <v>0</v>
      </c>
      <c r="X66" s="39"/>
      <c r="Y66" s="216"/>
      <c r="Z66" s="38"/>
      <c r="AA66" s="38"/>
      <c r="AB66" s="38"/>
      <c r="AC66" s="38"/>
      <c r="AD66" s="38">
        <f>+AM66+BA66</f>
        <v>39</v>
      </c>
      <c r="AE66" s="235" t="s">
        <v>491</v>
      </c>
      <c r="AF66" s="34"/>
      <c r="AG66" s="34"/>
      <c r="AH66" s="34">
        <v>39</v>
      </c>
      <c r="AJ66" s="38"/>
      <c r="AK66" s="38"/>
      <c r="AL66" s="38"/>
      <c r="AM66" s="38">
        <f t="shared" si="64"/>
        <v>39</v>
      </c>
      <c r="AN66" s="38"/>
      <c r="AO66" s="38"/>
      <c r="AP66" s="38"/>
      <c r="AQ66" s="38"/>
      <c r="AR66" s="38">
        <f t="shared" si="65"/>
        <v>0</v>
      </c>
      <c r="AS66" s="38"/>
      <c r="AT66" s="38"/>
      <c r="AU66" s="38"/>
      <c r="AV66" s="38"/>
      <c r="AW66" s="38"/>
      <c r="AX66" s="38"/>
      <c r="AY66" s="38"/>
      <c r="AZ66" s="38"/>
      <c r="BA66" s="38">
        <f>+AR66+AS66+AU66+AW66+AY66+AZ66</f>
        <v>0</v>
      </c>
      <c r="BB66" s="34"/>
      <c r="BC66" s="500"/>
      <c r="BD66" s="500"/>
      <c r="BE66" s="34"/>
      <c r="BF66" s="500"/>
    </row>
    <row r="67" spans="1:58" ht="12.95" customHeight="1">
      <c r="A67" s="41"/>
      <c r="B67" s="42"/>
      <c r="C67" s="411"/>
      <c r="D67" s="42"/>
      <c r="E67" s="43"/>
      <c r="F67" s="43"/>
      <c r="G67" s="44"/>
      <c r="H67" s="45"/>
      <c r="I67" s="46"/>
      <c r="J67" s="86"/>
      <c r="K67" s="86"/>
      <c r="L67" s="36"/>
      <c r="M67" s="36"/>
      <c r="N67" s="47"/>
      <c r="O67" s="48"/>
      <c r="P67" s="49"/>
      <c r="Q67" s="48"/>
      <c r="R67" s="497"/>
      <c r="S67" s="497"/>
      <c r="T67" s="38"/>
      <c r="U67" s="38"/>
      <c r="V67" s="38"/>
      <c r="W67" s="38"/>
      <c r="X67" s="39"/>
      <c r="Y67" s="216"/>
      <c r="Z67" s="38"/>
      <c r="AA67" s="38"/>
      <c r="AB67" s="38"/>
      <c r="AC67" s="38"/>
      <c r="AD67" s="38">
        <f>+AM67+BA67</f>
        <v>0</v>
      </c>
      <c r="AE67" s="238" t="s">
        <v>380</v>
      </c>
      <c r="AF67" s="38"/>
      <c r="AG67" s="38"/>
      <c r="AH67" s="38"/>
      <c r="AI67" s="499">
        <v>0</v>
      </c>
      <c r="AJ67" s="38"/>
      <c r="AK67" s="38"/>
      <c r="AL67" s="38"/>
      <c r="AM67" s="38">
        <f t="shared" si="64"/>
        <v>0</v>
      </c>
      <c r="AN67" s="38"/>
      <c r="AO67" s="38"/>
      <c r="AP67" s="38"/>
      <c r="AQ67" s="38"/>
      <c r="AR67" s="38">
        <f t="shared" si="65"/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51"/>
      <c r="BC67" s="52"/>
      <c r="BD67" s="52"/>
      <c r="BE67" s="51"/>
      <c r="BF67" s="52"/>
    </row>
    <row r="68" spans="1:58" ht="12.95" customHeight="1">
      <c r="A68" s="41"/>
      <c r="B68" s="42"/>
      <c r="C68" s="411"/>
      <c r="D68" s="42"/>
      <c r="E68" s="43"/>
      <c r="F68" s="43"/>
      <c r="G68" s="496"/>
      <c r="H68" s="45"/>
      <c r="I68" s="46"/>
      <c r="J68" s="86"/>
      <c r="K68" s="86"/>
      <c r="L68" s="36"/>
      <c r="M68" s="36"/>
      <c r="N68" s="47"/>
      <c r="O68" s="48"/>
      <c r="P68" s="49"/>
      <c r="Q68" s="48"/>
      <c r="R68" s="497"/>
      <c r="S68" s="497"/>
      <c r="T68" s="38"/>
      <c r="U68" s="38"/>
      <c r="V68" s="38"/>
      <c r="W68" s="38"/>
      <c r="X68" s="39"/>
      <c r="Y68" s="216"/>
      <c r="Z68" s="38"/>
      <c r="AA68" s="38"/>
      <c r="AB68" s="38"/>
      <c r="AC68" s="38"/>
      <c r="AD68" s="38"/>
      <c r="AE68" s="235"/>
      <c r="AF68" s="38"/>
      <c r="AG68" s="38"/>
      <c r="AH68" s="38"/>
      <c r="AI68" s="499"/>
      <c r="AJ68" s="38"/>
      <c r="AK68" s="38"/>
      <c r="AL68" s="38"/>
      <c r="AM68" s="38"/>
      <c r="AN68" s="87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51"/>
      <c r="BC68" s="52"/>
      <c r="BD68" s="52"/>
      <c r="BE68" s="52"/>
      <c r="BF68" s="52"/>
    </row>
    <row r="69" spans="1:58" ht="12.75" customHeight="1">
      <c r="A69" s="41">
        <v>45882</v>
      </c>
      <c r="B69" s="42" t="s">
        <v>490</v>
      </c>
      <c r="C69" s="411">
        <f t="shared" ref="C69:C70" si="66">(M69*E69*O69*Q69)/100000000</f>
        <v>4.8370291199999995</v>
      </c>
      <c r="D69" s="42" t="s">
        <v>304</v>
      </c>
      <c r="E69" s="43">
        <v>12</v>
      </c>
      <c r="F69" s="43">
        <v>1</v>
      </c>
      <c r="G69" s="496">
        <v>1230</v>
      </c>
      <c r="H69" s="45">
        <v>0.23</v>
      </c>
      <c r="I69" s="46">
        <v>0.88</v>
      </c>
      <c r="J69" s="86">
        <f t="shared" ref="J69:J70" si="67">E69*G69*(1-H69)*1440/1000000*2.74</f>
        <v>44.842533120000006</v>
      </c>
      <c r="K69" s="86">
        <f t="shared" ref="K69:K70" si="68">(IF(G69&lt;L69,L69,G69)*(1-IF(H69&lt;N69,H69,N69))*E69*O69*Q69)/100000000</f>
        <v>4.8370291199999995</v>
      </c>
      <c r="L69" s="36">
        <v>1230</v>
      </c>
      <c r="M69" s="36">
        <v>947.09999999999991</v>
      </c>
      <c r="N69" s="47">
        <f t="shared" ref="N69:N70" si="69">1-(M69/L69)</f>
        <v>0.23000000000000009</v>
      </c>
      <c r="O69" s="48">
        <f>+'Trim Rwd'!H42</f>
        <v>266</v>
      </c>
      <c r="P69" s="49">
        <f t="shared" ref="P69:P70" si="70">O69*(Q69-R69-S69)</f>
        <v>39368</v>
      </c>
      <c r="Q69" s="48">
        <v>160</v>
      </c>
      <c r="R69" s="497">
        <v>0</v>
      </c>
      <c r="S69" s="497">
        <v>12</v>
      </c>
      <c r="T69" s="38">
        <f t="shared" ref="T69:T70" si="71">E69*M69*O69*Q69/100000000</f>
        <v>4.8370291199999995</v>
      </c>
      <c r="U69" s="38">
        <f t="shared" ref="U69:U70" si="72">E69*M69*O69*(Q69-R69-S69)/100000000</f>
        <v>4.4742519359999999</v>
      </c>
      <c r="V69" s="38">
        <f t="shared" ref="V69:V70" si="73">E69*G69*(1-N69)*O69/100*(R69+S69)/1000000</f>
        <v>0.36277718399999997</v>
      </c>
      <c r="W69" s="38">
        <f>+'13'!K13/1000</f>
        <v>7.984</v>
      </c>
      <c r="X69" s="498">
        <f>SUM(W69:W73)/SUM(K69:K73)</f>
        <v>0.95002271047008535</v>
      </c>
      <c r="Y69" s="216">
        <v>0</v>
      </c>
      <c r="Z69" s="38">
        <f>+'5'!D74/1000</f>
        <v>0</v>
      </c>
      <c r="AA69" s="50">
        <f>SUM(U69:U73)-SUM(W69:W73)-SUM(Z69:Z73)-SUM(Y69:Y73)</f>
        <v>-0.18024750400000755</v>
      </c>
      <c r="AB69" s="50">
        <f>(SUM(K69:K73)-SUM(W69:W73)-SUM(Y69:Y73)-SUM(Z69:Z73)-SUM(AC69:AC73)-SUM(V69:V73))-AA69</f>
        <v>0.5403340800000016</v>
      </c>
      <c r="AC69" s="38">
        <f>K69-T69</f>
        <v>0</v>
      </c>
      <c r="AD69" s="38">
        <f>+AM69+BA69</f>
        <v>18</v>
      </c>
      <c r="AE69" s="235" t="s">
        <v>544</v>
      </c>
      <c r="AF69" s="38">
        <v>18</v>
      </c>
      <c r="AG69" s="38"/>
      <c r="AH69" s="38"/>
      <c r="AI69" s="499"/>
      <c r="AJ69" s="38"/>
      <c r="AK69" s="38"/>
      <c r="AL69" s="38"/>
      <c r="AM69" s="38">
        <f t="shared" ref="AM69:AM72" si="74">SUM(AF69:AL69)+AT69+AV69+AX69</f>
        <v>18</v>
      </c>
      <c r="AN69" s="38"/>
      <c r="AO69" s="38"/>
      <c r="AP69" s="38"/>
      <c r="AQ69" s="38"/>
      <c r="AR69" s="38">
        <f>SUM(AN69:AQ69)</f>
        <v>0</v>
      </c>
      <c r="AS69" s="38"/>
      <c r="AT69" s="38"/>
      <c r="AU69" s="38"/>
      <c r="AV69" s="38"/>
      <c r="AW69" s="38"/>
      <c r="AX69" s="38"/>
      <c r="AY69" s="38"/>
      <c r="AZ69" s="38"/>
      <c r="BA69" s="38">
        <f>+AR69+AS69+AU69+AW69+AY69+AZ69</f>
        <v>0</v>
      </c>
      <c r="BB69" s="34">
        <v>9</v>
      </c>
      <c r="BC69" s="52"/>
      <c r="BD69" s="52"/>
      <c r="BE69" s="34"/>
      <c r="BF69" s="52"/>
    </row>
    <row r="70" spans="1:58" ht="12.95" customHeight="1">
      <c r="A70" s="41"/>
      <c r="B70" s="42" t="s">
        <v>490</v>
      </c>
      <c r="C70" s="411">
        <f t="shared" si="66"/>
        <v>41.605724159999994</v>
      </c>
      <c r="D70" s="42" t="s">
        <v>304</v>
      </c>
      <c r="E70" s="43">
        <v>13</v>
      </c>
      <c r="F70" s="43">
        <v>1</v>
      </c>
      <c r="G70" s="496">
        <v>1230</v>
      </c>
      <c r="H70" s="45">
        <v>0.22</v>
      </c>
      <c r="I70" s="46">
        <v>0.88</v>
      </c>
      <c r="J70" s="86">
        <f t="shared" si="67"/>
        <v>49.210312320000007</v>
      </c>
      <c r="K70" s="86">
        <f t="shared" si="68"/>
        <v>42.146058240000002</v>
      </c>
      <c r="L70" s="36">
        <v>1230</v>
      </c>
      <c r="M70" s="36">
        <v>947.09999999999991</v>
      </c>
      <c r="N70" s="47">
        <f t="shared" si="69"/>
        <v>0.23000000000000009</v>
      </c>
      <c r="O70" s="48">
        <f>+'Trim Rwd'!H44</f>
        <v>264</v>
      </c>
      <c r="P70" s="49">
        <f t="shared" si="70"/>
        <v>324720</v>
      </c>
      <c r="Q70" s="48">
        <v>1280</v>
      </c>
      <c r="R70" s="497">
        <v>0</v>
      </c>
      <c r="S70" s="497">
        <v>50</v>
      </c>
      <c r="T70" s="38">
        <f t="shared" si="71"/>
        <v>41.605724159999994</v>
      </c>
      <c r="U70" s="38">
        <f t="shared" si="72"/>
        <v>39.980500559999996</v>
      </c>
      <c r="V70" s="38">
        <f t="shared" si="73"/>
        <v>1.6252235999999998</v>
      </c>
      <c r="W70" s="38">
        <f>+'13'!K12/1000</f>
        <v>36.651000000000003</v>
      </c>
      <c r="X70" s="39"/>
      <c r="Y70" s="216"/>
      <c r="Z70" s="38"/>
      <c r="AA70" s="38"/>
      <c r="AB70" s="38"/>
      <c r="AC70" s="38"/>
      <c r="AD70" s="38">
        <f>+AM70+BA70</f>
        <v>0</v>
      </c>
      <c r="AE70" s="235" t="s">
        <v>286</v>
      </c>
      <c r="AF70" s="38"/>
      <c r="AG70" s="38">
        <v>0</v>
      </c>
      <c r="AH70" s="38"/>
      <c r="AI70" s="499"/>
      <c r="AJ70" s="38"/>
      <c r="AK70" s="38"/>
      <c r="AL70" s="38"/>
      <c r="AM70" s="38">
        <f t="shared" si="74"/>
        <v>0</v>
      </c>
      <c r="AN70" s="87"/>
      <c r="AO70" s="38"/>
      <c r="AP70" s="38"/>
      <c r="AQ70" s="38"/>
      <c r="AR70" s="38">
        <f t="shared" ref="AR70:AR72" si="75">SUM(AN70:AQ70)</f>
        <v>0</v>
      </c>
      <c r="AS70" s="38"/>
      <c r="AT70" s="38"/>
      <c r="AU70" s="38"/>
      <c r="AV70" s="38"/>
      <c r="AW70" s="38"/>
      <c r="AX70" s="38"/>
      <c r="AY70" s="38"/>
      <c r="AZ70" s="38"/>
      <c r="BA70" s="38">
        <f>+AR70+AS70+AU70+AW70+AY70+AZ70</f>
        <v>0</v>
      </c>
      <c r="BB70" s="51"/>
      <c r="BC70" s="52">
        <v>0</v>
      </c>
      <c r="BD70" s="52"/>
      <c r="BE70" s="51"/>
      <c r="BF70" s="52"/>
    </row>
    <row r="71" spans="1:58" ht="12.95" customHeight="1">
      <c r="A71" s="41"/>
      <c r="B71" s="42"/>
      <c r="C71" s="411"/>
      <c r="D71" s="42"/>
      <c r="E71" s="43"/>
      <c r="F71" s="43"/>
      <c r="G71" s="44"/>
      <c r="H71" s="45"/>
      <c r="I71" s="46"/>
      <c r="J71" s="86"/>
      <c r="K71" s="86"/>
      <c r="L71" s="36"/>
      <c r="M71" s="36"/>
      <c r="N71" s="47"/>
      <c r="O71" s="48"/>
      <c r="P71" s="49"/>
      <c r="Q71" s="48"/>
      <c r="R71" s="497"/>
      <c r="S71" s="497"/>
      <c r="T71" s="38"/>
      <c r="U71" s="38"/>
      <c r="V71" s="38"/>
      <c r="W71" s="38"/>
      <c r="X71" s="39"/>
      <c r="Y71" s="216"/>
      <c r="Z71" s="38"/>
      <c r="AA71" s="38"/>
      <c r="AB71" s="38"/>
      <c r="AC71" s="38"/>
      <c r="AD71" s="38">
        <f>+AM71+BA71</f>
        <v>44</v>
      </c>
      <c r="AE71" s="235" t="s">
        <v>452</v>
      </c>
      <c r="AF71" s="34"/>
      <c r="AG71" s="34"/>
      <c r="AH71" s="34">
        <v>44</v>
      </c>
      <c r="AJ71" s="38"/>
      <c r="AK71" s="38"/>
      <c r="AL71" s="38"/>
      <c r="AM71" s="38">
        <f t="shared" si="74"/>
        <v>44</v>
      </c>
      <c r="AN71" s="38"/>
      <c r="AO71" s="38"/>
      <c r="AP71" s="38"/>
      <c r="AQ71" s="38"/>
      <c r="AR71" s="38">
        <f t="shared" si="75"/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34"/>
      <c r="BC71" s="500"/>
      <c r="BD71" s="500"/>
      <c r="BE71" s="34"/>
      <c r="BF71" s="500"/>
    </row>
    <row r="72" spans="1:58" ht="12.95" customHeight="1">
      <c r="A72" s="41"/>
      <c r="B72" s="42"/>
      <c r="C72" s="411"/>
      <c r="D72" s="42"/>
      <c r="E72" s="43"/>
      <c r="F72" s="43"/>
      <c r="G72" s="44"/>
      <c r="H72" s="45"/>
      <c r="I72" s="46"/>
      <c r="J72" s="86"/>
      <c r="K72" s="86"/>
      <c r="L72" s="36"/>
      <c r="M72" s="36"/>
      <c r="N72" s="47"/>
      <c r="O72" s="48"/>
      <c r="P72" s="49"/>
      <c r="Q72" s="35"/>
      <c r="R72" s="497"/>
      <c r="S72" s="497"/>
      <c r="T72" s="38"/>
      <c r="U72" s="38"/>
      <c r="V72" s="38"/>
      <c r="W72" s="38"/>
      <c r="X72" s="39"/>
      <c r="Y72" s="216"/>
      <c r="Z72" s="38"/>
      <c r="AA72" s="38"/>
      <c r="AB72" s="38"/>
      <c r="AC72" s="38"/>
      <c r="AD72" s="38">
        <f>+AM72+BA72</f>
        <v>0</v>
      </c>
      <c r="AE72" s="238" t="s">
        <v>380</v>
      </c>
      <c r="AF72" s="38"/>
      <c r="AG72" s="38"/>
      <c r="AH72" s="38"/>
      <c r="AI72" s="499">
        <v>0</v>
      </c>
      <c r="AJ72" s="38"/>
      <c r="AK72" s="38"/>
      <c r="AL72" s="38"/>
      <c r="AM72" s="38">
        <f t="shared" si="74"/>
        <v>0</v>
      </c>
      <c r="AN72" s="38"/>
      <c r="AO72" s="38"/>
      <c r="AP72" s="38"/>
      <c r="AQ72" s="38"/>
      <c r="AR72" s="38">
        <f t="shared" si="75"/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51"/>
      <c r="BC72" s="52"/>
      <c r="BD72" s="52"/>
      <c r="BE72" s="51"/>
      <c r="BF72" s="52"/>
    </row>
    <row r="73" spans="1:58" ht="12.95" customHeight="1">
      <c r="A73" s="41"/>
      <c r="B73" s="42"/>
      <c r="C73" s="411"/>
      <c r="D73" s="42"/>
      <c r="E73" s="43"/>
      <c r="F73" s="43"/>
      <c r="G73" s="44"/>
      <c r="H73" s="45"/>
      <c r="I73" s="46"/>
      <c r="J73" s="86"/>
      <c r="K73" s="86"/>
      <c r="L73" s="36"/>
      <c r="M73" s="36"/>
      <c r="N73" s="47"/>
      <c r="O73" s="48"/>
      <c r="P73" s="49"/>
      <c r="Q73" s="48"/>
      <c r="R73" s="497"/>
      <c r="S73" s="497"/>
      <c r="T73" s="38"/>
      <c r="U73" s="38"/>
      <c r="V73" s="38"/>
      <c r="W73" s="38"/>
      <c r="X73" s="39"/>
      <c r="Y73" s="216"/>
      <c r="Z73" s="38"/>
      <c r="AA73" s="38"/>
      <c r="AB73" s="38"/>
      <c r="AC73" s="38"/>
      <c r="AD73" s="38"/>
      <c r="AE73" s="235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4"/>
      <c r="BC73" s="52"/>
      <c r="BD73" s="52"/>
      <c r="BE73" s="52"/>
      <c r="BF73" s="52"/>
    </row>
    <row r="74" spans="1:58" ht="12.75" customHeight="1">
      <c r="A74" s="41">
        <v>45883</v>
      </c>
      <c r="B74" s="42" t="s">
        <v>490</v>
      </c>
      <c r="C74" s="411">
        <f t="shared" ref="C74:C75" si="76">(M74*E74*O74*Q74)/100000000</f>
        <v>20.625760508294114</v>
      </c>
      <c r="D74" s="42" t="s">
        <v>304</v>
      </c>
      <c r="E74" s="43">
        <v>13</v>
      </c>
      <c r="F74" s="43">
        <v>1</v>
      </c>
      <c r="G74" s="496">
        <v>1230</v>
      </c>
      <c r="H74" s="45">
        <v>0.22</v>
      </c>
      <c r="I74" s="46">
        <v>0.88</v>
      </c>
      <c r="J74" s="86">
        <f t="shared" ref="J74:J75" si="77">E74*G74*(1-H74)*1440/1000000*2.74</f>
        <v>49.210312320000007</v>
      </c>
      <c r="K74" s="86">
        <f t="shared" ref="K74:K75" si="78">(IF(G74&lt;L74,L74,G74)*(1-IF(H74&lt;N74,H74,N74))*E74*O74*Q74)/100000000</f>
        <v>20.893627527882348</v>
      </c>
      <c r="L74" s="36">
        <v>1230</v>
      </c>
      <c r="M74" s="36">
        <v>947.09999999999991</v>
      </c>
      <c r="N74" s="47">
        <f t="shared" ref="N74:N75" si="79">1-(M74/L74)</f>
        <v>0.23000000000000009</v>
      </c>
      <c r="O74" s="48">
        <f>+'Trim Rwd'!H46</f>
        <v>264.64705882352939</v>
      </c>
      <c r="P74" s="49">
        <f t="shared" ref="P74:P75" si="80">O74*(Q74-R74-S74)</f>
        <v>159582.17647058822</v>
      </c>
      <c r="Q74" s="48">
        <v>633</v>
      </c>
      <c r="R74" s="497">
        <v>0</v>
      </c>
      <c r="S74" s="497">
        <v>30</v>
      </c>
      <c r="T74" s="38">
        <f t="shared" ref="T74:T75" si="81">E74*M74*O74*Q74/100000000</f>
        <v>20.625760508294114</v>
      </c>
      <c r="U74" s="38">
        <f t="shared" ref="U74:U75" si="82">E74*M74*O74*(Q74-R74-S74)/100000000</f>
        <v>19.648236313588232</v>
      </c>
      <c r="V74" s="38">
        <f t="shared" ref="V74:V75" si="83">E74*G74*(1-N74)*O74/100*(R74+S74)/1000000</f>
        <v>0.97752419470588225</v>
      </c>
      <c r="W74" s="38">
        <f>+'14'!K12/1000</f>
        <v>19.867999999999999</v>
      </c>
      <c r="X74" s="498">
        <f>SUM(W74:W78)/SUM(K74:K78)</f>
        <v>0.91292631390021106</v>
      </c>
      <c r="Y74" s="216">
        <v>0</v>
      </c>
      <c r="Z74" s="38">
        <f>+'5'!D79/1000</f>
        <v>0</v>
      </c>
      <c r="AA74" s="50">
        <f>SUM(U74:U78)-SUM(W74:W78)-SUM(Z74:Z78)-SUM(Y74:Y78)</f>
        <v>1.3341945635882269</v>
      </c>
      <c r="AB74" s="50">
        <f>(SUM(K74:K78)-SUM(W74:W78)-SUM(Y74:Y78)-SUM(Z74:Z78)-SUM(AC74:AC78)-SUM(V74:V78))-AA74</f>
        <v>0.32259825000001019</v>
      </c>
      <c r="AC74" s="38">
        <f>K74-T74</f>
        <v>0.267867019588234</v>
      </c>
      <c r="AD74" s="38">
        <f>+AM74+BA74</f>
        <v>21</v>
      </c>
      <c r="AE74" s="235" t="s">
        <v>544</v>
      </c>
      <c r="AF74" s="38">
        <v>21</v>
      </c>
      <c r="AG74" s="38"/>
      <c r="AH74" s="38"/>
      <c r="AI74" s="499"/>
      <c r="AJ74" s="38"/>
      <c r="AK74" s="38"/>
      <c r="AL74" s="38"/>
      <c r="AM74" s="38">
        <f t="shared" ref="AM74:AM77" si="84">SUM(AF74:AL74)+AT74+AV74+AX74</f>
        <v>21</v>
      </c>
      <c r="AN74" s="38"/>
      <c r="AO74" s="38"/>
      <c r="AP74" s="38"/>
      <c r="AQ74" s="38"/>
      <c r="AR74" s="38">
        <f>SUM(AN74:AQ74)</f>
        <v>0</v>
      </c>
      <c r="AS74" s="38"/>
      <c r="AT74" s="38"/>
      <c r="AU74" s="38"/>
      <c r="AV74" s="38"/>
      <c r="AW74" s="38"/>
      <c r="AX74" s="38"/>
      <c r="AY74" s="38"/>
      <c r="AZ74" s="38"/>
      <c r="BA74" s="38">
        <f>+AR74+AS74+AU74+AW74+AY74+AZ74</f>
        <v>0</v>
      </c>
      <c r="BB74" s="34">
        <v>9</v>
      </c>
      <c r="BC74" s="52"/>
      <c r="BD74" s="52"/>
      <c r="BE74" s="34"/>
      <c r="BF74" s="52"/>
    </row>
    <row r="75" spans="1:58" ht="12.95" customHeight="1">
      <c r="A75" s="41"/>
      <c r="B75" s="42" t="s">
        <v>490</v>
      </c>
      <c r="C75" s="411">
        <f t="shared" si="76"/>
        <v>24.840065249999995</v>
      </c>
      <c r="D75" s="42" t="s">
        <v>304</v>
      </c>
      <c r="E75" s="43">
        <v>12.5</v>
      </c>
      <c r="F75" s="43">
        <v>1</v>
      </c>
      <c r="G75" s="496">
        <v>1230</v>
      </c>
      <c r="H75" s="45">
        <v>0.22</v>
      </c>
      <c r="I75" s="46">
        <v>0.88</v>
      </c>
      <c r="J75" s="86">
        <f t="shared" si="77"/>
        <v>47.317608000000007</v>
      </c>
      <c r="K75" s="86">
        <f t="shared" si="78"/>
        <v>25.162663500000001</v>
      </c>
      <c r="L75" s="36">
        <v>1230</v>
      </c>
      <c r="M75" s="36">
        <v>947.09999999999991</v>
      </c>
      <c r="N75" s="47">
        <f t="shared" si="79"/>
        <v>0.23000000000000009</v>
      </c>
      <c r="O75" s="48">
        <f>+'Trim Rwd'!H48</f>
        <v>260</v>
      </c>
      <c r="P75" s="49">
        <f t="shared" si="80"/>
        <v>200460</v>
      </c>
      <c r="Q75" s="48">
        <v>807</v>
      </c>
      <c r="R75" s="497">
        <v>0</v>
      </c>
      <c r="S75" s="497">
        <v>36</v>
      </c>
      <c r="T75" s="38">
        <f t="shared" si="81"/>
        <v>24.840065249999995</v>
      </c>
      <c r="U75" s="38">
        <f t="shared" si="82"/>
        <v>23.731958249999995</v>
      </c>
      <c r="V75" s="38">
        <f t="shared" si="83"/>
        <v>1.1081069999999997</v>
      </c>
      <c r="W75" s="38">
        <f>+'14'!K14/1000</f>
        <v>22.178000000000001</v>
      </c>
      <c r="X75" s="39"/>
      <c r="Y75" s="216"/>
      <c r="Z75" s="38"/>
      <c r="AA75" s="38"/>
      <c r="AB75" s="38"/>
      <c r="AC75" s="38"/>
      <c r="AD75" s="38">
        <f>+AM75+BA75</f>
        <v>0</v>
      </c>
      <c r="AE75" s="235" t="s">
        <v>286</v>
      </c>
      <c r="AF75" s="38"/>
      <c r="AG75" s="38">
        <v>0</v>
      </c>
      <c r="AH75" s="38"/>
      <c r="AI75" s="499"/>
      <c r="AJ75" s="38"/>
      <c r="AK75" s="38"/>
      <c r="AL75" s="38"/>
      <c r="AM75" s="38">
        <f t="shared" si="84"/>
        <v>0</v>
      </c>
      <c r="AN75" s="87"/>
      <c r="AO75" s="38"/>
      <c r="AP75" s="38"/>
      <c r="AQ75" s="38"/>
      <c r="AR75" s="38">
        <f t="shared" ref="AR75:AR77" si="85"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51"/>
      <c r="BC75" s="52">
        <v>0</v>
      </c>
      <c r="BD75" s="52"/>
      <c r="BE75" s="51"/>
      <c r="BF75" s="52"/>
    </row>
    <row r="76" spans="1:58" ht="12.95" customHeight="1">
      <c r="A76" s="41"/>
      <c r="B76" s="42"/>
      <c r="C76" s="411"/>
      <c r="D76" s="42"/>
      <c r="E76" s="43"/>
      <c r="F76" s="43"/>
      <c r="G76" s="44"/>
      <c r="H76" s="45"/>
      <c r="I76" s="46"/>
      <c r="J76" s="86"/>
      <c r="K76" s="86"/>
      <c r="L76" s="36"/>
      <c r="M76" s="36"/>
      <c r="N76" s="47"/>
      <c r="O76" s="48"/>
      <c r="P76" s="49"/>
      <c r="Q76" s="48"/>
      <c r="R76" s="497"/>
      <c r="S76" s="497"/>
      <c r="T76" s="38"/>
      <c r="U76" s="38"/>
      <c r="V76" s="38"/>
      <c r="W76" s="38"/>
      <c r="X76" s="39"/>
      <c r="Y76" s="216"/>
      <c r="Z76" s="38"/>
      <c r="AA76" s="38"/>
      <c r="AB76" s="38"/>
      <c r="AC76" s="38"/>
      <c r="AD76" s="38">
        <f>+AM76+BA76</f>
        <v>45</v>
      </c>
      <c r="AE76" s="235" t="s">
        <v>452</v>
      </c>
      <c r="AF76" s="34"/>
      <c r="AG76" s="34"/>
      <c r="AH76" s="34">
        <v>45</v>
      </c>
      <c r="AJ76" s="38"/>
      <c r="AK76" s="38"/>
      <c r="AL76" s="38"/>
      <c r="AM76" s="38">
        <f t="shared" si="84"/>
        <v>45</v>
      </c>
      <c r="AN76" s="38"/>
      <c r="AO76" s="38"/>
      <c r="AP76" s="38"/>
      <c r="AQ76" s="38"/>
      <c r="AR76" s="38">
        <f t="shared" si="85"/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34"/>
      <c r="BC76" s="500"/>
      <c r="BD76" s="500"/>
      <c r="BE76" s="34"/>
      <c r="BF76" s="500"/>
    </row>
    <row r="77" spans="1:58" ht="12.95" customHeight="1">
      <c r="A77" s="41"/>
      <c r="B77" s="42"/>
      <c r="C77" s="411"/>
      <c r="D77" s="42"/>
      <c r="E77" s="43"/>
      <c r="F77" s="43"/>
      <c r="G77" s="44"/>
      <c r="H77" s="45"/>
      <c r="I77" s="46"/>
      <c r="J77" s="86"/>
      <c r="K77" s="86"/>
      <c r="L77" s="36"/>
      <c r="M77" s="36"/>
      <c r="N77" s="47"/>
      <c r="O77" s="48"/>
      <c r="P77" s="49"/>
      <c r="Q77" s="35"/>
      <c r="R77" s="497"/>
      <c r="S77" s="497"/>
      <c r="T77" s="38"/>
      <c r="U77" s="38"/>
      <c r="V77" s="38"/>
      <c r="W77" s="38"/>
      <c r="X77" s="39"/>
      <c r="Y77" s="216"/>
      <c r="Z77" s="38"/>
      <c r="AA77" s="38"/>
      <c r="AB77" s="38"/>
      <c r="AC77" s="38"/>
      <c r="AD77" s="38">
        <f>+AM77+BA77</f>
        <v>0</v>
      </c>
      <c r="AE77" s="238" t="s">
        <v>380</v>
      </c>
      <c r="AF77" s="38"/>
      <c r="AG77" s="38"/>
      <c r="AH77" s="38"/>
      <c r="AI77" s="499">
        <v>0</v>
      </c>
      <c r="AJ77" s="38"/>
      <c r="AK77" s="38"/>
      <c r="AL77" s="38"/>
      <c r="AM77" s="38">
        <f t="shared" si="84"/>
        <v>0</v>
      </c>
      <c r="AN77" s="38"/>
      <c r="AO77" s="38"/>
      <c r="AP77" s="38"/>
      <c r="AQ77" s="38"/>
      <c r="AR77" s="38">
        <f t="shared" si="85"/>
        <v>0</v>
      </c>
      <c r="AS77" s="38"/>
      <c r="AT77" s="38"/>
      <c r="AU77" s="38"/>
      <c r="AV77" s="38"/>
      <c r="AW77" s="38"/>
      <c r="AX77" s="38"/>
      <c r="AY77" s="38"/>
      <c r="AZ77" s="38"/>
      <c r="BA77" s="38">
        <f>+AR77+AS77+AU77+AW77+AY77+AZ77</f>
        <v>0</v>
      </c>
      <c r="BB77" s="51"/>
      <c r="BC77" s="52"/>
      <c r="BD77" s="52"/>
      <c r="BE77" s="51"/>
      <c r="BF77" s="52"/>
    </row>
    <row r="78" spans="1:58" ht="12.95" customHeight="1">
      <c r="A78" s="41"/>
      <c r="B78" s="42"/>
      <c r="C78" s="411"/>
      <c r="D78" s="42"/>
      <c r="E78" s="43"/>
      <c r="F78" s="43"/>
      <c r="G78" s="44"/>
      <c r="H78" s="45"/>
      <c r="I78" s="46"/>
      <c r="J78" s="86"/>
      <c r="K78" s="86"/>
      <c r="L78" s="36"/>
      <c r="M78" s="36"/>
      <c r="N78" s="47"/>
      <c r="O78" s="48"/>
      <c r="P78" s="49"/>
      <c r="Q78" s="48"/>
      <c r="R78" s="497"/>
      <c r="S78" s="497"/>
      <c r="T78" s="38"/>
      <c r="U78" s="38"/>
      <c r="V78" s="38"/>
      <c r="W78" s="38"/>
      <c r="X78" s="39"/>
      <c r="Y78" s="216"/>
      <c r="Z78" s="38"/>
      <c r="AA78" s="50"/>
      <c r="AB78" s="50"/>
      <c r="AC78" s="38"/>
      <c r="AD78" s="38"/>
      <c r="AE78" s="2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4"/>
      <c r="BC78" s="52"/>
      <c r="BD78" s="52"/>
      <c r="BE78" s="52"/>
      <c r="BF78" s="52"/>
    </row>
    <row r="79" spans="1:58" ht="12.75" customHeight="1">
      <c r="A79" s="41">
        <v>45884</v>
      </c>
      <c r="B79" s="42" t="s">
        <v>490</v>
      </c>
      <c r="C79" s="411">
        <f t="shared" ref="C79" si="86">(M79*E79*O79*Q79)/100000000</f>
        <v>48.974919839999991</v>
      </c>
      <c r="D79" s="42" t="s">
        <v>304</v>
      </c>
      <c r="E79" s="43">
        <v>13.5</v>
      </c>
      <c r="F79" s="43">
        <v>1</v>
      </c>
      <c r="G79" s="496">
        <v>1230</v>
      </c>
      <c r="H79" s="45">
        <v>0.22</v>
      </c>
      <c r="I79" s="46">
        <v>0.88</v>
      </c>
      <c r="J79" s="86">
        <f t="shared" ref="J79" si="87">E79*G79*(1-H79)*1440/1000000*2.74</f>
        <v>51.10301664</v>
      </c>
      <c r="K79" s="86">
        <f t="shared" ref="K79" si="88">(IF(G79&lt;L79,L79,G79)*(1-IF(H79&lt;N79,H79,N79))*E79*O79*Q79)/100000000</f>
        <v>49.610957759999998</v>
      </c>
      <c r="L79" s="36">
        <v>1230</v>
      </c>
      <c r="M79" s="36">
        <v>947.09999999999991</v>
      </c>
      <c r="N79" s="47">
        <f t="shared" ref="N79" si="89">1-(M79/L79)</f>
        <v>0.23000000000000009</v>
      </c>
      <c r="O79" s="48">
        <f>+'Trim Rwd'!H50</f>
        <v>266</v>
      </c>
      <c r="P79" s="49">
        <f t="shared" ref="P79" si="90">O79*(Q79-R79-S79)</f>
        <v>368942</v>
      </c>
      <c r="Q79" s="48">
        <v>1440</v>
      </c>
      <c r="R79" s="497">
        <v>0</v>
      </c>
      <c r="S79" s="497">
        <v>53</v>
      </c>
      <c r="T79" s="38">
        <f t="shared" ref="T79" si="91">E79*M79*O79*Q79/100000000</f>
        <v>48.974919839999991</v>
      </c>
      <c r="U79" s="38">
        <f t="shared" ref="U79" si="92">E79*M79*O79*(Q79-R79-S79)/100000000</f>
        <v>47.172370706999999</v>
      </c>
      <c r="V79" s="38">
        <f t="shared" ref="V79" si="93">E79*G79*(1-N79)*O79/100*(R79+S79)/1000000</f>
        <v>1.8025491329999999</v>
      </c>
      <c r="W79" s="38">
        <f>+'15'!K11/1000</f>
        <v>44.924999999999997</v>
      </c>
      <c r="X79" s="498">
        <f>SUM(W79:W83)/SUM(K79:K83)</f>
        <v>0.90554591220211911</v>
      </c>
      <c r="Y79" s="216">
        <v>0</v>
      </c>
      <c r="Z79" s="38">
        <f>+'15'!D25/1000</f>
        <v>0.309</v>
      </c>
      <c r="AA79" s="50">
        <f>SUM(U79:U83)-SUM(W79:W83)-SUM(Z79:Z83)-SUM(Y79:Y83)</f>
        <v>1.9383707070000018</v>
      </c>
      <c r="AB79" s="50">
        <f>(SUM(K79:K83)-SUM(W79:W83)-SUM(Y79:Y83)-SUM(Z79:Z83)-SUM(AC79:AC83)-SUM(V79:V83))-AA79</f>
        <v>-7.7715611723760958E-15</v>
      </c>
      <c r="AC79" s="38">
        <f>K79-T79</f>
        <v>0.63603792000000681</v>
      </c>
      <c r="AD79" s="38">
        <f>+AM79+BA79</f>
        <v>14</v>
      </c>
      <c r="AE79" s="235" t="s">
        <v>436</v>
      </c>
      <c r="AF79" s="38">
        <v>14</v>
      </c>
      <c r="AG79" s="38"/>
      <c r="AH79" s="38"/>
      <c r="AI79" s="499"/>
      <c r="AJ79" s="38"/>
      <c r="AK79" s="38"/>
      <c r="AL79" s="38"/>
      <c r="AM79" s="38">
        <f t="shared" ref="AM79:AM82" si="94">SUM(AF79:AL79)+AT79+AV79+AX79</f>
        <v>14</v>
      </c>
      <c r="AN79" s="38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34">
        <v>6</v>
      </c>
      <c r="BC79" s="52"/>
      <c r="BD79" s="52"/>
      <c r="BE79" s="34"/>
      <c r="BF79" s="52"/>
    </row>
    <row r="80" spans="1:58" ht="12.95" customHeight="1">
      <c r="A80" s="41"/>
      <c r="B80" s="42"/>
      <c r="C80" s="411"/>
      <c r="D80" s="42"/>
      <c r="E80" s="43"/>
      <c r="F80" s="43"/>
      <c r="G80" s="496"/>
      <c r="H80" s="45"/>
      <c r="I80" s="46"/>
      <c r="J80" s="86"/>
      <c r="K80" s="86"/>
      <c r="L80" s="36"/>
      <c r="M80" s="36"/>
      <c r="N80" s="47"/>
      <c r="O80" s="48"/>
      <c r="P80" s="49"/>
      <c r="Q80" s="48"/>
      <c r="R80" s="497"/>
      <c r="S80" s="497"/>
      <c r="T80" s="38"/>
      <c r="U80" s="38"/>
      <c r="V80" s="38"/>
      <c r="W80" s="38"/>
      <c r="X80" s="39"/>
      <c r="Y80" s="216"/>
      <c r="Z80" s="38"/>
      <c r="AA80" s="38"/>
      <c r="AB80" s="38"/>
      <c r="AC80" s="38"/>
      <c r="AD80" s="38">
        <f>+AM80+BA80</f>
        <v>7</v>
      </c>
      <c r="AE80" s="235" t="s">
        <v>429</v>
      </c>
      <c r="AF80" s="38"/>
      <c r="AG80" s="38">
        <v>7</v>
      </c>
      <c r="AH80" s="38"/>
      <c r="AI80" s="499"/>
      <c r="AJ80" s="38"/>
      <c r="AK80" s="38"/>
      <c r="AL80" s="38"/>
      <c r="AM80" s="38">
        <f t="shared" si="94"/>
        <v>7</v>
      </c>
      <c r="AN80" s="87"/>
      <c r="AO80" s="38"/>
      <c r="AP80" s="38"/>
      <c r="AQ80" s="38"/>
      <c r="AR80" s="38">
        <f t="shared" ref="AR80:AR82" si="95"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51"/>
      <c r="BC80" s="52">
        <v>4</v>
      </c>
      <c r="BD80" s="52"/>
      <c r="BE80" s="51"/>
      <c r="BF80" s="52"/>
    </row>
    <row r="81" spans="1:58" ht="12.95" customHeight="1">
      <c r="A81" s="41"/>
      <c r="B81" s="42"/>
      <c r="C81" s="411"/>
      <c r="D81" s="42"/>
      <c r="E81" s="43"/>
      <c r="F81" s="43"/>
      <c r="G81" s="44"/>
      <c r="H81" s="45"/>
      <c r="I81" s="46"/>
      <c r="J81" s="86"/>
      <c r="K81" s="86"/>
      <c r="L81" s="36"/>
      <c r="M81" s="36"/>
      <c r="N81" s="47"/>
      <c r="O81" s="48"/>
      <c r="P81" s="49"/>
      <c r="Q81" s="48"/>
      <c r="R81" s="497"/>
      <c r="S81" s="497"/>
      <c r="T81" s="38"/>
      <c r="U81" s="38"/>
      <c r="V81" s="38"/>
      <c r="W81" s="38"/>
      <c r="X81" s="39"/>
      <c r="Y81" s="216"/>
      <c r="Z81" s="38"/>
      <c r="AA81" s="38"/>
      <c r="AB81" s="38"/>
      <c r="AC81" s="38"/>
      <c r="AD81" s="38">
        <f>+AM81+BA81</f>
        <v>32</v>
      </c>
      <c r="AE81" s="235" t="s">
        <v>411</v>
      </c>
      <c r="AF81" s="34"/>
      <c r="AG81" s="34"/>
      <c r="AH81" s="34">
        <v>32</v>
      </c>
      <c r="AJ81" s="38"/>
      <c r="AK81" s="38"/>
      <c r="AL81" s="38"/>
      <c r="AM81" s="38">
        <f t="shared" si="94"/>
        <v>32</v>
      </c>
      <c r="AN81" s="38"/>
      <c r="AO81" s="38"/>
      <c r="AP81" s="38"/>
      <c r="AQ81" s="38"/>
      <c r="AR81" s="38">
        <f t="shared" si="95"/>
        <v>0</v>
      </c>
      <c r="AS81" s="38"/>
      <c r="AT81" s="38"/>
      <c r="AU81" s="38"/>
      <c r="AV81" s="38"/>
      <c r="AW81" s="38"/>
      <c r="AX81" s="38"/>
      <c r="AY81" s="38"/>
      <c r="AZ81" s="38"/>
      <c r="BA81" s="38">
        <f>+AR81+AS81+AU81+AW81+AY81+AZ81</f>
        <v>0</v>
      </c>
      <c r="BB81" s="34"/>
      <c r="BC81" s="500"/>
      <c r="BD81" s="500"/>
      <c r="BE81" s="34"/>
      <c r="BF81" s="500"/>
    </row>
    <row r="82" spans="1:58" ht="12.95" customHeight="1">
      <c r="A82" s="41"/>
      <c r="B82" s="42"/>
      <c r="C82" s="411"/>
      <c r="D82" s="42"/>
      <c r="E82" s="43"/>
      <c r="F82" s="43"/>
      <c r="G82" s="44"/>
      <c r="H82" s="45"/>
      <c r="I82" s="46"/>
      <c r="J82" s="86"/>
      <c r="K82" s="86"/>
      <c r="L82" s="36"/>
      <c r="M82" s="36"/>
      <c r="N82" s="47"/>
      <c r="O82" s="48"/>
      <c r="P82" s="49"/>
      <c r="Q82" s="35"/>
      <c r="R82" s="497"/>
      <c r="S82" s="497"/>
      <c r="T82" s="38"/>
      <c r="U82" s="38"/>
      <c r="V82" s="38"/>
      <c r="W82" s="38"/>
      <c r="X82" s="39"/>
      <c r="Y82" s="216"/>
      <c r="Z82" s="38"/>
      <c r="AA82" s="38"/>
      <c r="AB82" s="38"/>
      <c r="AC82" s="38"/>
      <c r="AD82" s="38">
        <f>+AM82+BA82</f>
        <v>0</v>
      </c>
      <c r="AE82" s="238" t="s">
        <v>380</v>
      </c>
      <c r="AF82" s="38"/>
      <c r="AG82" s="38"/>
      <c r="AH82" s="38"/>
      <c r="AI82" s="499">
        <v>0</v>
      </c>
      <c r="AJ82" s="38"/>
      <c r="AK82" s="38"/>
      <c r="AL82" s="38"/>
      <c r="AM82" s="38">
        <f t="shared" si="94"/>
        <v>0</v>
      </c>
      <c r="AN82" s="38"/>
      <c r="AO82" s="38"/>
      <c r="AP82" s="38"/>
      <c r="AQ82" s="38"/>
      <c r="AR82" s="38">
        <f t="shared" si="95"/>
        <v>0</v>
      </c>
      <c r="AS82" s="38"/>
      <c r="AT82" s="38"/>
      <c r="AU82" s="38"/>
      <c r="AV82" s="38"/>
      <c r="AW82" s="38"/>
      <c r="AX82" s="38"/>
      <c r="AY82" s="38"/>
      <c r="AZ82" s="38"/>
      <c r="BA82" s="38">
        <f>+AR82+AS82+AU82+AW82+AY82+AZ82</f>
        <v>0</v>
      </c>
      <c r="BB82" s="51"/>
      <c r="BC82" s="52"/>
      <c r="BD82" s="52"/>
      <c r="BE82" s="51"/>
      <c r="BF82" s="52"/>
    </row>
    <row r="83" spans="1:58" ht="12.75" customHeight="1">
      <c r="A83" s="41"/>
      <c r="B83" s="42"/>
      <c r="C83" s="411"/>
      <c r="D83" s="42"/>
      <c r="E83" s="43"/>
      <c r="F83" s="43"/>
      <c r="G83" s="44"/>
      <c r="H83" s="45"/>
      <c r="I83" s="46"/>
      <c r="J83" s="86"/>
      <c r="K83" s="86"/>
      <c r="L83" s="36"/>
      <c r="M83" s="36"/>
      <c r="N83" s="47"/>
      <c r="O83" s="48"/>
      <c r="P83" s="49"/>
      <c r="Q83" s="48"/>
      <c r="R83" s="497"/>
      <c r="S83" s="497"/>
      <c r="T83" s="38"/>
      <c r="U83" s="38"/>
      <c r="V83" s="38"/>
      <c r="W83" s="38"/>
      <c r="X83" s="39"/>
      <c r="Y83" s="216"/>
      <c r="Z83" s="38"/>
      <c r="AA83" s="50"/>
      <c r="AB83" s="50"/>
      <c r="AC83" s="38"/>
      <c r="AD83" s="38"/>
      <c r="AE83" s="169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4"/>
      <c r="BC83" s="52"/>
      <c r="BD83" s="52"/>
      <c r="BE83" s="52"/>
      <c r="BF83" s="52"/>
    </row>
    <row r="84" spans="1:58" ht="12.75" customHeight="1">
      <c r="A84" s="41">
        <v>45885</v>
      </c>
      <c r="B84" s="42" t="s">
        <v>490</v>
      </c>
      <c r="C84" s="411">
        <f t="shared" ref="C84" si="96">(M84*E84*O84*Q84)/100000000</f>
        <v>48.974919839999991</v>
      </c>
      <c r="D84" s="42" t="s">
        <v>304</v>
      </c>
      <c r="E84" s="43">
        <v>13.5</v>
      </c>
      <c r="F84" s="43">
        <v>1</v>
      </c>
      <c r="G84" s="496">
        <v>1230</v>
      </c>
      <c r="H84" s="45">
        <v>0.22</v>
      </c>
      <c r="I84" s="46">
        <v>0.88</v>
      </c>
      <c r="J84" s="86">
        <f t="shared" ref="J84" si="97">E84*G84*(1-H84)*1440/1000000*2.74</f>
        <v>51.10301664</v>
      </c>
      <c r="K84" s="86">
        <f t="shared" ref="K84" si="98">(IF(G84&lt;L84,L84,G84)*(1-IF(H84&lt;N84,H84,N84))*E84*O84*Q84)/100000000</f>
        <v>49.610957759999998</v>
      </c>
      <c r="L84" s="36">
        <v>1230</v>
      </c>
      <c r="M84" s="36">
        <v>947.09999999999991</v>
      </c>
      <c r="N84" s="47">
        <f t="shared" ref="N84" si="99">1-(M84/L84)</f>
        <v>0.23000000000000009</v>
      </c>
      <c r="O84" s="48">
        <f>+'Trim Rwd'!H52</f>
        <v>266</v>
      </c>
      <c r="P84" s="49">
        <f t="shared" ref="P84" si="100">O84*(Q84-R84-S84)</f>
        <v>366548</v>
      </c>
      <c r="Q84" s="48">
        <v>1440</v>
      </c>
      <c r="R84" s="497">
        <v>0</v>
      </c>
      <c r="S84" s="497">
        <v>62</v>
      </c>
      <c r="T84" s="38">
        <f t="shared" ref="T84" si="101">E84*M84*O84*Q84/100000000</f>
        <v>48.974919839999991</v>
      </c>
      <c r="U84" s="38">
        <f t="shared" ref="U84" si="102">E84*M84*O84*(Q84-R84-S84)/100000000</f>
        <v>46.866277457999992</v>
      </c>
      <c r="V84" s="38">
        <f t="shared" ref="V84" si="103">E84*G84*(1-N84)*O84/100*(R84+S84)/1000000</f>
        <v>2.1086423819999998</v>
      </c>
      <c r="W84" s="38">
        <f>+'16'!K11/1000</f>
        <v>45.956000000000003</v>
      </c>
      <c r="X84" s="498">
        <f>SUM(W84:W88)/SUM(K84:K88)</f>
        <v>0.92632761137808772</v>
      </c>
      <c r="Y84" s="216">
        <v>0</v>
      </c>
      <c r="Z84" s="38">
        <f>+'16'!D16/1000</f>
        <v>0.56000000000000005</v>
      </c>
      <c r="AA84" s="50">
        <f>SUM(U84:U88)-SUM(W84:W88)-SUM(Z84:Z88)-SUM(Y84:Y88)</f>
        <v>0.35027745799998877</v>
      </c>
      <c r="AB84" s="50">
        <f>(SUM(K84:K88)-SUM(W84:W88)-SUM(Y84:Y88)-SUM(Z84:Z88)-SUM(AC84:AC88)-SUM(V84:V88))-AA84</f>
        <v>-4.4408920985006262E-16</v>
      </c>
      <c r="AC84" s="38">
        <f>K84-T84</f>
        <v>0.63603792000000681</v>
      </c>
      <c r="AD84" s="38">
        <f>+AM84+BA84</f>
        <v>8</v>
      </c>
      <c r="AE84" s="235" t="s">
        <v>563</v>
      </c>
      <c r="AF84" s="38">
        <v>8</v>
      </c>
      <c r="AG84" s="38"/>
      <c r="AH84" s="38"/>
      <c r="AI84" s="499"/>
      <c r="AJ84" s="38"/>
      <c r="AK84" s="38"/>
      <c r="AL84" s="38"/>
      <c r="AM84" s="38">
        <f t="shared" ref="AM84:AM87" si="104">SUM(AF84:AL84)+AT84+AV84+AX84</f>
        <v>8</v>
      </c>
      <c r="AN84" s="38"/>
      <c r="AO84" s="38"/>
      <c r="AP84" s="38"/>
      <c r="AQ84" s="38"/>
      <c r="AR84" s="38">
        <f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34">
        <v>4</v>
      </c>
      <c r="BC84" s="52"/>
      <c r="BD84" s="52"/>
      <c r="BE84" s="34"/>
      <c r="BF84" s="52"/>
    </row>
    <row r="85" spans="1:58" ht="12.95" customHeight="1">
      <c r="A85" s="41"/>
      <c r="B85" s="42"/>
      <c r="C85" s="411"/>
      <c r="D85" s="42"/>
      <c r="E85" s="43"/>
      <c r="F85" s="43"/>
      <c r="G85" s="496"/>
      <c r="H85" s="45"/>
      <c r="I85" s="46"/>
      <c r="J85" s="86"/>
      <c r="K85" s="86"/>
      <c r="L85" s="36"/>
      <c r="M85" s="36"/>
      <c r="N85" s="47"/>
      <c r="O85" s="48"/>
      <c r="P85" s="49"/>
      <c r="Q85" s="48"/>
      <c r="R85" s="497"/>
      <c r="S85" s="497"/>
      <c r="T85" s="38"/>
      <c r="U85" s="38"/>
      <c r="V85" s="38"/>
      <c r="W85" s="38"/>
      <c r="X85" s="39"/>
      <c r="Y85" s="216"/>
      <c r="Z85" s="38"/>
      <c r="AA85" s="38"/>
      <c r="AB85" s="38"/>
      <c r="AC85" s="38"/>
      <c r="AD85" s="38">
        <f>+AM85+BA85</f>
        <v>16</v>
      </c>
      <c r="AE85" s="235" t="s">
        <v>512</v>
      </c>
      <c r="AF85" s="38"/>
      <c r="AG85" s="38">
        <v>16</v>
      </c>
      <c r="AH85" s="38"/>
      <c r="AI85" s="499"/>
      <c r="AJ85" s="38"/>
      <c r="AK85" s="38"/>
      <c r="AL85" s="38"/>
      <c r="AM85" s="38">
        <f t="shared" si="104"/>
        <v>16</v>
      </c>
      <c r="AN85" s="87"/>
      <c r="AO85" s="38"/>
      <c r="AP85" s="38"/>
      <c r="AQ85" s="38"/>
      <c r="AR85" s="38">
        <f t="shared" ref="AR85:AR87" si="105">SUM(AN85:AQ85)</f>
        <v>0</v>
      </c>
      <c r="AS85" s="38"/>
      <c r="AT85" s="38"/>
      <c r="AU85" s="38"/>
      <c r="AV85" s="38"/>
      <c r="AW85" s="38"/>
      <c r="AX85" s="38"/>
      <c r="AY85" s="38"/>
      <c r="AZ85" s="38"/>
      <c r="BA85" s="38">
        <f>+AR85+AS85+AU85+AW85+AY85+AZ85</f>
        <v>0</v>
      </c>
      <c r="BB85" s="51"/>
      <c r="BC85" s="52">
        <v>8</v>
      </c>
      <c r="BD85" s="52"/>
      <c r="BE85" s="51"/>
      <c r="BF85" s="52"/>
    </row>
    <row r="86" spans="1:58" ht="12.95" customHeight="1">
      <c r="A86" s="41"/>
      <c r="B86" s="42"/>
      <c r="C86" s="411"/>
      <c r="D86" s="42"/>
      <c r="E86" s="43"/>
      <c r="F86" s="43"/>
      <c r="G86" s="44"/>
      <c r="H86" s="45"/>
      <c r="I86" s="46"/>
      <c r="J86" s="86"/>
      <c r="K86" s="86"/>
      <c r="L86" s="36"/>
      <c r="M86" s="36"/>
      <c r="N86" s="47"/>
      <c r="O86" s="48"/>
      <c r="P86" s="49"/>
      <c r="Q86" s="48"/>
      <c r="R86" s="497"/>
      <c r="S86" s="497"/>
      <c r="T86" s="38"/>
      <c r="U86" s="38"/>
      <c r="V86" s="38"/>
      <c r="W86" s="38"/>
      <c r="X86" s="39"/>
      <c r="Y86" s="216"/>
      <c r="Z86" s="38"/>
      <c r="AA86" s="38"/>
      <c r="AB86" s="38"/>
      <c r="AC86" s="38"/>
      <c r="AD86" s="38">
        <f>+AM86+BA86</f>
        <v>38</v>
      </c>
      <c r="AE86" s="235" t="s">
        <v>566</v>
      </c>
      <c r="AF86" s="34"/>
      <c r="AG86" s="34"/>
      <c r="AH86" s="34">
        <v>38</v>
      </c>
      <c r="AJ86" s="38"/>
      <c r="AK86" s="38"/>
      <c r="AL86" s="38"/>
      <c r="AM86" s="38">
        <f t="shared" si="104"/>
        <v>38</v>
      </c>
      <c r="AN86" s="38"/>
      <c r="AO86" s="38"/>
      <c r="AP86" s="38"/>
      <c r="AQ86" s="38"/>
      <c r="AR86" s="38">
        <f t="shared" si="105"/>
        <v>0</v>
      </c>
      <c r="AS86" s="38"/>
      <c r="AT86" s="38"/>
      <c r="AU86" s="38"/>
      <c r="AV86" s="38"/>
      <c r="AW86" s="38"/>
      <c r="AX86" s="38"/>
      <c r="AY86" s="38"/>
      <c r="AZ86" s="38"/>
      <c r="BA86" s="38">
        <f>+AR86+AS86+AU86+AW86+AY86+AZ86</f>
        <v>0</v>
      </c>
      <c r="BB86" s="34"/>
      <c r="BC86" s="500"/>
      <c r="BD86" s="500"/>
      <c r="BE86" s="34"/>
      <c r="BF86" s="500"/>
    </row>
    <row r="87" spans="1:58" ht="12.95" customHeight="1">
      <c r="A87" s="41"/>
      <c r="B87" s="42"/>
      <c r="C87" s="411"/>
      <c r="D87" s="42"/>
      <c r="E87" s="43"/>
      <c r="F87" s="43"/>
      <c r="G87" s="44"/>
      <c r="H87" s="45"/>
      <c r="I87" s="46"/>
      <c r="J87" s="86"/>
      <c r="K87" s="86"/>
      <c r="L87" s="36"/>
      <c r="M87" s="36"/>
      <c r="N87" s="47"/>
      <c r="O87" s="48"/>
      <c r="P87" s="49"/>
      <c r="Q87" s="35"/>
      <c r="R87" s="497"/>
      <c r="S87" s="497"/>
      <c r="T87" s="38"/>
      <c r="U87" s="38"/>
      <c r="V87" s="38"/>
      <c r="W87" s="38"/>
      <c r="X87" s="39"/>
      <c r="Y87" s="216"/>
      <c r="Z87" s="38"/>
      <c r="AA87" s="38"/>
      <c r="AB87" s="38"/>
      <c r="AC87" s="38"/>
      <c r="AD87" s="38">
        <f>+AM87+BA87</f>
        <v>0</v>
      </c>
      <c r="AE87" s="238" t="s">
        <v>380</v>
      </c>
      <c r="AF87" s="38"/>
      <c r="AG87" s="38"/>
      <c r="AH87" s="38"/>
      <c r="AI87" s="499">
        <v>0</v>
      </c>
      <c r="AJ87" s="38"/>
      <c r="AK87" s="38"/>
      <c r="AL87" s="38"/>
      <c r="AM87" s="38">
        <f t="shared" si="104"/>
        <v>0</v>
      </c>
      <c r="AN87" s="38"/>
      <c r="AO87" s="38"/>
      <c r="AP87" s="38"/>
      <c r="AQ87" s="38"/>
      <c r="AR87" s="38">
        <f t="shared" si="105"/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51"/>
      <c r="BC87" s="52"/>
      <c r="BD87" s="52"/>
      <c r="BE87" s="51"/>
      <c r="BF87" s="52"/>
    </row>
    <row r="88" spans="1:58" ht="12.95" customHeight="1">
      <c r="A88" s="41"/>
      <c r="B88" s="545"/>
      <c r="C88" s="411"/>
      <c r="D88" s="42"/>
      <c r="E88" s="43"/>
      <c r="F88" s="43"/>
      <c r="G88" s="44"/>
      <c r="H88" s="45"/>
      <c r="I88" s="46"/>
      <c r="J88" s="86"/>
      <c r="K88" s="86"/>
      <c r="L88" s="36"/>
      <c r="M88" s="36"/>
      <c r="N88" s="47"/>
      <c r="O88" s="48"/>
      <c r="P88" s="49"/>
      <c r="Q88" s="35"/>
      <c r="R88" s="497"/>
      <c r="S88" s="497"/>
      <c r="T88" s="38"/>
      <c r="U88" s="38"/>
      <c r="V88" s="38"/>
      <c r="W88" s="38"/>
      <c r="X88" s="39"/>
      <c r="Y88" s="39"/>
      <c r="Z88" s="38"/>
      <c r="AA88" s="50"/>
      <c r="AB88" s="50"/>
      <c r="AC88" s="38"/>
      <c r="AD88" s="38"/>
      <c r="AE88" s="21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4"/>
      <c r="BC88" s="52"/>
      <c r="BD88" s="52"/>
      <c r="BE88" s="52"/>
      <c r="BF88" s="52"/>
    </row>
    <row r="89" spans="1:58" ht="12.75" customHeight="1">
      <c r="A89" s="41">
        <v>45886</v>
      </c>
      <c r="B89" s="42" t="s">
        <v>490</v>
      </c>
      <c r="C89" s="411">
        <f t="shared" ref="C89:C90" si="106">(M89*E89*O89*Q89)/100000000</f>
        <v>30.439273094999994</v>
      </c>
      <c r="D89" s="42" t="s">
        <v>304</v>
      </c>
      <c r="E89" s="43">
        <v>13.5</v>
      </c>
      <c r="F89" s="43">
        <v>1</v>
      </c>
      <c r="G89" s="496">
        <v>1230</v>
      </c>
      <c r="H89" s="45">
        <v>0.22</v>
      </c>
      <c r="I89" s="46">
        <v>0.88</v>
      </c>
      <c r="J89" s="86">
        <f t="shared" ref="J89:J90" si="107">E89*G89*(1-H89)*1440/1000000*2.74</f>
        <v>51.10301664</v>
      </c>
      <c r="K89" s="86">
        <f t="shared" ref="K89:K90" si="108">(IF(G89&lt;L89,L89,G89)*(1-IF(H89&lt;N89,H89,N89))*E89*O89*Q89)/100000000</f>
        <v>30.834588329999999</v>
      </c>
      <c r="L89" s="36">
        <v>1230</v>
      </c>
      <c r="M89" s="36">
        <v>947.09999999999991</v>
      </c>
      <c r="N89" s="47">
        <f t="shared" ref="N89:N90" si="109">1-(M89/L89)</f>
        <v>0.23000000000000009</v>
      </c>
      <c r="O89" s="48">
        <f>+'Trim Rwd'!H54</f>
        <v>266</v>
      </c>
      <c r="P89" s="49">
        <f t="shared" ref="P89:P90" si="110">O89*(Q89-R89-S89)</f>
        <v>227962</v>
      </c>
      <c r="Q89" s="48">
        <v>895</v>
      </c>
      <c r="R89" s="497">
        <v>0</v>
      </c>
      <c r="S89" s="497">
        <v>38</v>
      </c>
      <c r="T89" s="38">
        <f t="shared" ref="T89:T90" si="111">E89*M89*O89*Q89/100000000</f>
        <v>30.439273094999994</v>
      </c>
      <c r="U89" s="38">
        <f t="shared" ref="U89:U90" si="112">E89*M89*O89*(Q89-R89-S89)/100000000</f>
        <v>29.146879376999998</v>
      </c>
      <c r="V89" s="38">
        <f t="shared" ref="V89:V90" si="113">E89*G89*(1-N89)*O89/100*(R89+S89)/1000000</f>
        <v>1.2923937179999998</v>
      </c>
      <c r="W89" s="38">
        <f>+'17'!K11/1000</f>
        <v>30.588999999999999</v>
      </c>
      <c r="X89" s="498">
        <f>SUM(W89:W93)/SUM(K89:K93)</f>
        <v>0.92867599385729549</v>
      </c>
      <c r="Y89" s="216">
        <v>0</v>
      </c>
      <c r="Z89" s="38">
        <f>+'15'!D35/1000</f>
        <v>6.8311447141530706E-6</v>
      </c>
      <c r="AA89" s="50">
        <f>SUM(U89:U93)-SUM(W89:W93)-SUM(Z89:Z93)-SUM(Y89:Y93)</f>
        <v>0.89553689585528207</v>
      </c>
      <c r="AB89" s="50">
        <f>(SUM(K89:K93)-SUM(W89:W93)-SUM(Y89:Y93)-SUM(Z89:Z93)-SUM(AC89:AC93)-SUM(V89:V93))-AA89</f>
        <v>-1.9984014443252818E-15</v>
      </c>
      <c r="AC89" s="38">
        <f>K89-T89</f>
        <v>0.39531523500000532</v>
      </c>
      <c r="AD89" s="38">
        <f>+AM89+BA89</f>
        <v>9</v>
      </c>
      <c r="AE89" s="235" t="s">
        <v>407</v>
      </c>
      <c r="AF89" s="38">
        <v>9</v>
      </c>
      <c r="AG89" s="38"/>
      <c r="AH89" s="38"/>
      <c r="AI89" s="499"/>
      <c r="AJ89" s="38"/>
      <c r="AK89" s="38"/>
      <c r="AL89" s="38"/>
      <c r="AM89" s="38">
        <f t="shared" ref="AM89:AM92" si="114">SUM(AF89:AL89)+AT89+AV89+AX89</f>
        <v>9</v>
      </c>
      <c r="AN89" s="38"/>
      <c r="AO89" s="38"/>
      <c r="AP89" s="38"/>
      <c r="AQ89" s="38"/>
      <c r="AR89" s="38">
        <f>SUM(AN89:AQ89)</f>
        <v>0</v>
      </c>
      <c r="AS89" s="38"/>
      <c r="AT89" s="38"/>
      <c r="AU89" s="38"/>
      <c r="AV89" s="38"/>
      <c r="AW89" s="38"/>
      <c r="AX89" s="38"/>
      <c r="AY89" s="38"/>
      <c r="AZ89" s="38"/>
      <c r="BA89" s="38">
        <f>+AR89+AS89+AU89+AW89+AY89+AZ89</f>
        <v>0</v>
      </c>
      <c r="BB89" s="34">
        <v>3</v>
      </c>
      <c r="BC89" s="52"/>
      <c r="BD89" s="52"/>
      <c r="BE89" s="34"/>
      <c r="BF89" s="52"/>
    </row>
    <row r="90" spans="1:58" ht="12.95" customHeight="1">
      <c r="A90" s="41"/>
      <c r="B90" s="42" t="s">
        <v>490</v>
      </c>
      <c r="C90" s="411">
        <f t="shared" si="106"/>
        <v>16.259339249999996</v>
      </c>
      <c r="D90" s="42" t="s">
        <v>304</v>
      </c>
      <c r="E90" s="43">
        <v>12</v>
      </c>
      <c r="F90" s="43">
        <v>1</v>
      </c>
      <c r="G90" s="496">
        <v>1230</v>
      </c>
      <c r="H90" s="45">
        <v>0.23</v>
      </c>
      <c r="I90" s="46">
        <v>0.88</v>
      </c>
      <c r="J90" s="86">
        <f t="shared" si="107"/>
        <v>44.842533120000006</v>
      </c>
      <c r="K90" s="86">
        <f t="shared" si="108"/>
        <v>16.259339249999996</v>
      </c>
      <c r="L90" s="36">
        <v>1230</v>
      </c>
      <c r="M90" s="36">
        <v>947.09999999999991</v>
      </c>
      <c r="N90" s="47">
        <f t="shared" si="109"/>
        <v>0.23000000000000009</v>
      </c>
      <c r="O90" s="48">
        <f>+'Trim Rwd'!H55</f>
        <v>262.5</v>
      </c>
      <c r="P90" s="49">
        <f t="shared" si="110"/>
        <v>136237.5</v>
      </c>
      <c r="Q90" s="48">
        <v>545</v>
      </c>
      <c r="R90" s="497">
        <v>0</v>
      </c>
      <c r="S90" s="497">
        <v>26</v>
      </c>
      <c r="T90" s="38">
        <f t="shared" si="111"/>
        <v>16.259339249999996</v>
      </c>
      <c r="U90" s="38">
        <f t="shared" si="112"/>
        <v>15.483664349999998</v>
      </c>
      <c r="V90" s="38">
        <f t="shared" si="113"/>
        <v>0.77567489999999994</v>
      </c>
      <c r="W90" s="38">
        <f>+'17'!K13/1000</f>
        <v>13.146000000000001</v>
      </c>
      <c r="X90" s="39"/>
      <c r="Y90" s="216"/>
      <c r="Z90" s="38"/>
      <c r="AA90" s="38"/>
      <c r="AB90" s="38"/>
      <c r="AC90" s="38"/>
      <c r="AD90" s="38">
        <f>+AM90+BA90</f>
        <v>16</v>
      </c>
      <c r="AE90" s="235" t="s">
        <v>406</v>
      </c>
      <c r="AF90" s="38"/>
      <c r="AG90" s="38">
        <v>16</v>
      </c>
      <c r="AH90" s="38"/>
      <c r="AI90" s="499"/>
      <c r="AJ90" s="38"/>
      <c r="AK90" s="38"/>
      <c r="AL90" s="38"/>
      <c r="AM90" s="38">
        <f t="shared" si="114"/>
        <v>16</v>
      </c>
      <c r="AN90" s="87"/>
      <c r="AO90" s="38"/>
      <c r="AP90" s="38"/>
      <c r="AQ90" s="38"/>
      <c r="AR90" s="38">
        <f t="shared" ref="AR90:AR92" si="115">SUM(AN90:AQ90)</f>
        <v>0</v>
      </c>
      <c r="AS90" s="38"/>
      <c r="AT90" s="38"/>
      <c r="AU90" s="38"/>
      <c r="AV90" s="38"/>
      <c r="AW90" s="38"/>
      <c r="AX90" s="38"/>
      <c r="AY90" s="38"/>
      <c r="AZ90" s="38"/>
      <c r="BA90" s="38">
        <f>+AR90+AS90+AU90+AW90+AY90+AZ90</f>
        <v>0</v>
      </c>
      <c r="BB90" s="51"/>
      <c r="BC90" s="52">
        <v>6</v>
      </c>
      <c r="BD90" s="52"/>
      <c r="BE90" s="51"/>
      <c r="BF90" s="52"/>
    </row>
    <row r="91" spans="1:58" ht="12.95" customHeight="1">
      <c r="A91" s="41"/>
      <c r="B91" s="42"/>
      <c r="C91" s="411"/>
      <c r="D91" s="42"/>
      <c r="E91" s="43"/>
      <c r="F91" s="43"/>
      <c r="G91" s="44"/>
      <c r="H91" s="45"/>
      <c r="I91" s="46"/>
      <c r="J91" s="86"/>
      <c r="K91" s="86"/>
      <c r="L91" s="36"/>
      <c r="M91" s="36"/>
      <c r="N91" s="47"/>
      <c r="O91" s="48"/>
      <c r="P91" s="49"/>
      <c r="Q91" s="48"/>
      <c r="R91" s="497"/>
      <c r="S91" s="497"/>
      <c r="T91" s="38"/>
      <c r="U91" s="38"/>
      <c r="V91" s="38"/>
      <c r="W91" s="38"/>
      <c r="X91" s="39"/>
      <c r="Y91" s="216"/>
      <c r="Z91" s="38"/>
      <c r="AA91" s="38"/>
      <c r="AB91" s="38"/>
      <c r="AC91" s="38"/>
      <c r="AD91" s="38">
        <f>+AM91+BA91</f>
        <v>39</v>
      </c>
      <c r="AE91" s="235" t="s">
        <v>567</v>
      </c>
      <c r="AF91" s="34"/>
      <c r="AG91" s="34"/>
      <c r="AH91" s="34">
        <v>39</v>
      </c>
      <c r="AJ91" s="38"/>
      <c r="AK91" s="38"/>
      <c r="AL91" s="38"/>
      <c r="AM91" s="38">
        <f t="shared" si="114"/>
        <v>39</v>
      </c>
      <c r="AN91" s="38"/>
      <c r="AO91" s="38"/>
      <c r="AP91" s="38"/>
      <c r="AQ91" s="38"/>
      <c r="AR91" s="38">
        <f t="shared" si="115"/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34"/>
      <c r="BC91" s="500"/>
      <c r="BD91" s="500"/>
      <c r="BE91" s="34"/>
      <c r="BF91" s="500"/>
    </row>
    <row r="92" spans="1:58" ht="12.95" customHeight="1">
      <c r="A92" s="41"/>
      <c r="B92" s="42"/>
      <c r="C92" s="411"/>
      <c r="D92" s="42"/>
      <c r="E92" s="43"/>
      <c r="F92" s="43"/>
      <c r="G92" s="44"/>
      <c r="H92" s="45"/>
      <c r="I92" s="46"/>
      <c r="J92" s="86"/>
      <c r="K92" s="86"/>
      <c r="L92" s="36"/>
      <c r="M92" s="36"/>
      <c r="N92" s="47"/>
      <c r="O92" s="48"/>
      <c r="P92" s="49"/>
      <c r="Q92" s="35"/>
      <c r="R92" s="497"/>
      <c r="S92" s="497"/>
      <c r="T92" s="38"/>
      <c r="U92" s="38"/>
      <c r="V92" s="38"/>
      <c r="W92" s="38"/>
      <c r="X92" s="39"/>
      <c r="Y92" s="216"/>
      <c r="Z92" s="38"/>
      <c r="AA92" s="38"/>
      <c r="AB92" s="38"/>
      <c r="AC92" s="38"/>
      <c r="AD92" s="38">
        <f>+AM92+BA92</f>
        <v>0</v>
      </c>
      <c r="AE92" s="238" t="s">
        <v>380</v>
      </c>
      <c r="AF92" s="38"/>
      <c r="AG92" s="38"/>
      <c r="AH92" s="38"/>
      <c r="AI92" s="499">
        <v>0</v>
      </c>
      <c r="AJ92" s="38"/>
      <c r="AK92" s="38"/>
      <c r="AL92" s="38"/>
      <c r="AM92" s="38">
        <f t="shared" si="114"/>
        <v>0</v>
      </c>
      <c r="AN92" s="38"/>
      <c r="AO92" s="38"/>
      <c r="AP92" s="38"/>
      <c r="AQ92" s="38"/>
      <c r="AR92" s="38">
        <f t="shared" si="115"/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51"/>
      <c r="BC92" s="52"/>
      <c r="BD92" s="52"/>
      <c r="BE92" s="51"/>
      <c r="BF92" s="52"/>
    </row>
    <row r="93" spans="1:58" ht="12.95" customHeight="1">
      <c r="A93" s="41"/>
      <c r="B93" s="42"/>
      <c r="C93" s="411"/>
      <c r="D93" s="42"/>
      <c r="E93" s="43"/>
      <c r="F93" s="43"/>
      <c r="G93" s="496"/>
      <c r="H93" s="45"/>
      <c r="I93" s="46"/>
      <c r="J93" s="86"/>
      <c r="K93" s="86"/>
      <c r="L93" s="36"/>
      <c r="M93" s="36"/>
      <c r="N93" s="47"/>
      <c r="O93" s="48"/>
      <c r="P93" s="49"/>
      <c r="Q93" s="48"/>
      <c r="R93" s="497"/>
      <c r="S93" s="497"/>
      <c r="T93" s="38"/>
      <c r="U93" s="38"/>
      <c r="V93" s="38"/>
      <c r="W93" s="38"/>
      <c r="X93" s="498"/>
      <c r="Y93" s="216"/>
      <c r="Z93" s="38"/>
      <c r="AA93" s="50"/>
      <c r="AB93" s="50"/>
      <c r="AC93" s="38"/>
      <c r="AD93" s="38"/>
      <c r="AE93" s="235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4"/>
      <c r="BC93" s="52"/>
      <c r="BD93" s="52"/>
      <c r="BE93" s="52"/>
      <c r="BF93" s="52"/>
    </row>
    <row r="94" spans="1:58" ht="12.75" customHeight="1">
      <c r="A94" s="41">
        <v>45887</v>
      </c>
      <c r="B94" s="42" t="s">
        <v>490</v>
      </c>
      <c r="C94" s="411">
        <f t="shared" ref="C94:C95" si="116">(M94*E94*O94*Q94)/100000000</f>
        <v>38.067737399999999</v>
      </c>
      <c r="D94" s="42" t="s">
        <v>304</v>
      </c>
      <c r="E94" s="43">
        <v>12</v>
      </c>
      <c r="F94" s="43">
        <v>1</v>
      </c>
      <c r="G94" s="496">
        <v>1230</v>
      </c>
      <c r="H94" s="45">
        <v>0.23</v>
      </c>
      <c r="I94" s="46">
        <v>0.88</v>
      </c>
      <c r="J94" s="86">
        <f t="shared" ref="J94:J95" si="117">E94*G94*(1-H94)*1440/1000000*2.74</f>
        <v>44.842533120000006</v>
      </c>
      <c r="K94" s="86">
        <f t="shared" ref="K94:K95" si="118">(IF(G94&lt;L94,L94,G94)*(1-IF(H94&lt;N94,H94,N94))*E94*O94*Q94)/100000000</f>
        <v>38.067737399999999</v>
      </c>
      <c r="L94" s="36">
        <v>1230</v>
      </c>
      <c r="M94" s="36">
        <v>947.09999999999991</v>
      </c>
      <c r="N94" s="47">
        <f t="shared" ref="N94:N95" si="119">1-(M94/L94)</f>
        <v>0.23000000000000009</v>
      </c>
      <c r="O94" s="48">
        <f>+'Trim Rwd'!H58</f>
        <v>262.5</v>
      </c>
      <c r="P94" s="49">
        <f t="shared" ref="P94:P95" si="120">O94*(Q94-R94-S94)</f>
        <v>322875</v>
      </c>
      <c r="Q94" s="48">
        <v>1276</v>
      </c>
      <c r="R94" s="497">
        <v>0</v>
      </c>
      <c r="S94" s="497">
        <v>46</v>
      </c>
      <c r="T94" s="38">
        <f t="shared" ref="T94:T95" si="121">E94*M94*O94*Q94/100000000</f>
        <v>38.067737399999999</v>
      </c>
      <c r="U94" s="38">
        <f t="shared" ref="U94:U95" si="122">E94*M94*O94*(Q94-R94-S94)/100000000</f>
        <v>36.695389499999997</v>
      </c>
      <c r="V94" s="38">
        <f t="shared" ref="V94:V95" si="123">E94*G94*(1-N94)*O94/100*(R94+S94)/1000000</f>
        <v>1.3723478999999996</v>
      </c>
      <c r="W94" s="38">
        <f>+'18'!K13/1000</f>
        <v>41.093000000000004</v>
      </c>
      <c r="X94" s="498">
        <f>SUM(W94:W98)/SUM(K94:K98)</f>
        <v>0.99878774754597033</v>
      </c>
      <c r="Y94" s="216">
        <v>0</v>
      </c>
      <c r="Z94" s="38">
        <v>0</v>
      </c>
      <c r="AA94" s="50">
        <f>SUM(U94:U98)-SUM(W94:W98)-SUM(Z94:Z98)-SUM(Y94:Y98)</f>
        <v>-1.6403631840000088</v>
      </c>
      <c r="AB94" s="50">
        <f>(SUM(K94:K98)-SUM(W94:W98)-SUM(Y94:Y98)-SUM(Z94:Z98)-SUM(AC94:AC98)-SUM(V94:V98))-AA94</f>
        <v>6.7394652000003274E-2</v>
      </c>
      <c r="AC94" s="38">
        <f>K94-T94</f>
        <v>0</v>
      </c>
      <c r="AD94" s="38">
        <f>+AM94+BA94</f>
        <v>0</v>
      </c>
      <c r="AE94" s="235" t="s">
        <v>387</v>
      </c>
      <c r="AF94" s="38">
        <v>0</v>
      </c>
      <c r="AG94" s="38"/>
      <c r="AH94" s="38"/>
      <c r="AI94" s="499"/>
      <c r="AJ94" s="38"/>
      <c r="AK94" s="38"/>
      <c r="AL94" s="38"/>
      <c r="AM94" s="38">
        <f t="shared" ref="AM94:AM97" si="124">SUM(AF94:AL94)+AT94+AV94+AX94</f>
        <v>0</v>
      </c>
      <c r="AN94" s="38"/>
      <c r="AO94" s="38"/>
      <c r="AP94" s="38"/>
      <c r="AQ94" s="38"/>
      <c r="AR94" s="38">
        <f>SUM(AN94:AQ94)</f>
        <v>0</v>
      </c>
      <c r="AS94" s="38"/>
      <c r="AT94" s="38"/>
      <c r="AU94" s="38"/>
      <c r="AV94" s="38"/>
      <c r="AW94" s="38"/>
      <c r="AX94" s="38"/>
      <c r="AY94" s="38"/>
      <c r="AZ94" s="38"/>
      <c r="BA94" s="38">
        <f>+AR94+AS94+AU94+AW94+AY94+AZ94</f>
        <v>0</v>
      </c>
      <c r="BB94" s="34">
        <v>0</v>
      </c>
      <c r="BC94" s="52"/>
      <c r="BD94" s="52"/>
      <c r="BE94" s="34"/>
      <c r="BF94" s="52"/>
    </row>
    <row r="95" spans="1:58" ht="12.95" customHeight="1">
      <c r="A95" s="41"/>
      <c r="B95" s="42" t="s">
        <v>490</v>
      </c>
      <c r="C95" s="411">
        <f t="shared" si="116"/>
        <v>5.1893882039999992</v>
      </c>
      <c r="D95" s="42" t="s">
        <v>304</v>
      </c>
      <c r="E95" s="43">
        <v>13</v>
      </c>
      <c r="F95" s="43">
        <v>1</v>
      </c>
      <c r="G95" s="496">
        <v>1230</v>
      </c>
      <c r="H95" s="45">
        <v>0.22</v>
      </c>
      <c r="I95" s="46">
        <v>0.88</v>
      </c>
      <c r="J95" s="86">
        <f t="shared" si="117"/>
        <v>49.210312320000007</v>
      </c>
      <c r="K95" s="86">
        <f t="shared" si="118"/>
        <v>5.2567828560000001</v>
      </c>
      <c r="L95" s="36">
        <v>1230</v>
      </c>
      <c r="M95" s="36">
        <v>947.09999999999991</v>
      </c>
      <c r="N95" s="47">
        <f t="shared" si="119"/>
        <v>0.23000000000000009</v>
      </c>
      <c r="O95" s="48">
        <f>+'Trim Rwd'!H57</f>
        <v>257</v>
      </c>
      <c r="P95" s="49">
        <f t="shared" si="120"/>
        <v>40092</v>
      </c>
      <c r="Q95" s="48">
        <v>164</v>
      </c>
      <c r="R95" s="497">
        <v>0</v>
      </c>
      <c r="S95" s="497">
        <v>8</v>
      </c>
      <c r="T95" s="38">
        <f t="shared" si="121"/>
        <v>5.1893882039999992</v>
      </c>
      <c r="U95" s="38">
        <f t="shared" si="122"/>
        <v>4.9362473159999993</v>
      </c>
      <c r="V95" s="38">
        <f t="shared" si="123"/>
        <v>0.25314088799999995</v>
      </c>
      <c r="W95" s="38">
        <f>+'18'!K12/1000</f>
        <v>2.1789999999999998</v>
      </c>
      <c r="X95" s="39"/>
      <c r="Y95" s="216"/>
      <c r="Z95" s="38"/>
      <c r="AA95" s="38"/>
      <c r="AB95" s="38"/>
      <c r="AC95" s="38"/>
      <c r="AD95" s="38">
        <f>+AM95+BA95</f>
        <v>8</v>
      </c>
      <c r="AE95" s="235" t="s">
        <v>429</v>
      </c>
      <c r="AF95" s="38"/>
      <c r="AG95" s="38">
        <v>8</v>
      </c>
      <c r="AH95" s="38"/>
      <c r="AI95" s="499"/>
      <c r="AJ95" s="38"/>
      <c r="AK95" s="38"/>
      <c r="AL95" s="38"/>
      <c r="AM95" s="38">
        <f t="shared" si="124"/>
        <v>8</v>
      </c>
      <c r="AN95" s="87"/>
      <c r="AO95" s="38"/>
      <c r="AP95" s="38"/>
      <c r="AQ95" s="38"/>
      <c r="AR95" s="38">
        <f t="shared" ref="AR95:AR97" si="125"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51"/>
      <c r="BC95" s="52">
        <v>4</v>
      </c>
      <c r="BD95" s="52"/>
      <c r="BE95" s="51"/>
      <c r="BF95" s="52"/>
    </row>
    <row r="96" spans="1:58" ht="12.95" customHeight="1">
      <c r="A96" s="41"/>
      <c r="B96" s="42"/>
      <c r="C96" s="411"/>
      <c r="D96" s="42"/>
      <c r="E96" s="43"/>
      <c r="F96" s="43"/>
      <c r="G96" s="44"/>
      <c r="H96" s="45"/>
      <c r="I96" s="46"/>
      <c r="J96" s="86"/>
      <c r="K96" s="86"/>
      <c r="L96" s="36"/>
      <c r="M96" s="36"/>
      <c r="N96" s="47"/>
      <c r="O96" s="48"/>
      <c r="P96" s="49"/>
      <c r="Q96" s="48"/>
      <c r="R96" s="497"/>
      <c r="S96" s="497"/>
      <c r="T96" s="38"/>
      <c r="U96" s="38"/>
      <c r="V96" s="38"/>
      <c r="W96" s="38"/>
      <c r="X96" s="39"/>
      <c r="Y96" s="216"/>
      <c r="Z96" s="38"/>
      <c r="AA96" s="38"/>
      <c r="AB96" s="38"/>
      <c r="AC96" s="38"/>
      <c r="AD96" s="38">
        <f>+AM96+BA96</f>
        <v>46</v>
      </c>
      <c r="AE96" s="235" t="s">
        <v>567</v>
      </c>
      <c r="AF96" s="34"/>
      <c r="AG96" s="34"/>
      <c r="AH96" s="34">
        <v>46</v>
      </c>
      <c r="AJ96" s="38"/>
      <c r="AK96" s="38"/>
      <c r="AL96" s="38"/>
      <c r="AM96" s="38">
        <f t="shared" si="124"/>
        <v>46</v>
      </c>
      <c r="AN96" s="38"/>
      <c r="AO96" s="38"/>
      <c r="AP96" s="38"/>
      <c r="AQ96" s="38"/>
      <c r="AR96" s="38">
        <f t="shared" si="125"/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34"/>
      <c r="BC96" s="500"/>
      <c r="BD96" s="500"/>
      <c r="BE96" s="34"/>
      <c r="BF96" s="500"/>
    </row>
    <row r="97" spans="1:58" ht="12.95" customHeight="1">
      <c r="A97" s="41"/>
      <c r="B97" s="42"/>
      <c r="C97" s="411"/>
      <c r="D97" s="42"/>
      <c r="E97" s="43"/>
      <c r="F97" s="43"/>
      <c r="G97" s="44"/>
      <c r="H97" s="45"/>
      <c r="I97" s="46"/>
      <c r="J97" s="86"/>
      <c r="K97" s="86"/>
      <c r="L97" s="36"/>
      <c r="M97" s="36"/>
      <c r="N97" s="47"/>
      <c r="O97" s="48"/>
      <c r="P97" s="49"/>
      <c r="Q97" s="35"/>
      <c r="R97" s="497"/>
      <c r="S97" s="497"/>
      <c r="T97" s="38"/>
      <c r="U97" s="38"/>
      <c r="V97" s="38"/>
      <c r="W97" s="38"/>
      <c r="X97" s="39"/>
      <c r="Y97" s="216"/>
      <c r="Z97" s="38"/>
      <c r="AA97" s="38"/>
      <c r="AB97" s="38"/>
      <c r="AC97" s="38"/>
      <c r="AD97" s="38">
        <f>+AM97+BA97</f>
        <v>0</v>
      </c>
      <c r="AE97" s="238" t="s">
        <v>380</v>
      </c>
      <c r="AF97" s="38"/>
      <c r="AG97" s="38"/>
      <c r="AH97" s="38"/>
      <c r="AI97" s="499">
        <v>0</v>
      </c>
      <c r="AJ97" s="38"/>
      <c r="AK97" s="38"/>
      <c r="AL97" s="38"/>
      <c r="AM97" s="38">
        <f t="shared" si="124"/>
        <v>0</v>
      </c>
      <c r="AN97" s="38"/>
      <c r="AO97" s="38"/>
      <c r="AP97" s="38"/>
      <c r="AQ97" s="38"/>
      <c r="AR97" s="38">
        <f t="shared" si="125"/>
        <v>0</v>
      </c>
      <c r="AS97" s="38"/>
      <c r="AT97" s="38"/>
      <c r="AU97" s="38"/>
      <c r="AV97" s="38"/>
      <c r="AW97" s="38"/>
      <c r="AX97" s="38"/>
      <c r="AY97" s="38"/>
      <c r="AZ97" s="38"/>
      <c r="BA97" s="38">
        <f>+AR97+AS97+AU97+AW97+AY97+AZ97</f>
        <v>0</v>
      </c>
      <c r="BB97" s="51"/>
      <c r="BC97" s="52"/>
      <c r="BD97" s="52"/>
      <c r="BE97" s="51"/>
      <c r="BF97" s="52"/>
    </row>
    <row r="98" spans="1:58" ht="12.95" customHeight="1">
      <c r="A98" s="41"/>
      <c r="B98" s="42"/>
      <c r="C98" s="411"/>
      <c r="D98" s="42"/>
      <c r="E98" s="43"/>
      <c r="F98" s="43"/>
      <c r="G98" s="496"/>
      <c r="H98" s="45"/>
      <c r="I98" s="46"/>
      <c r="J98" s="86"/>
      <c r="K98" s="86"/>
      <c r="L98" s="36"/>
      <c r="M98" s="36"/>
      <c r="N98" s="47"/>
      <c r="O98" s="48"/>
      <c r="P98" s="49"/>
      <c r="Q98" s="48"/>
      <c r="R98" s="497"/>
      <c r="S98" s="497"/>
      <c r="T98" s="38"/>
      <c r="U98" s="38"/>
      <c r="V98" s="38"/>
      <c r="W98" s="38"/>
      <c r="X98" s="498"/>
      <c r="Y98" s="216"/>
      <c r="Z98" s="38"/>
      <c r="AA98" s="50"/>
      <c r="AB98" s="50"/>
      <c r="AC98" s="38"/>
      <c r="AD98" s="38"/>
      <c r="AE98" s="235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4"/>
      <c r="BC98" s="52"/>
      <c r="BD98" s="52"/>
      <c r="BE98" s="52"/>
      <c r="BF98" s="52"/>
    </row>
    <row r="99" spans="1:58" ht="12.75" customHeight="1">
      <c r="A99" s="41">
        <v>45888</v>
      </c>
      <c r="B99" s="42" t="s">
        <v>490</v>
      </c>
      <c r="C99" s="411">
        <f t="shared" ref="C99" si="126">(M99*E99*O99*Q99)/100000000</f>
        <v>45.016273753043478</v>
      </c>
      <c r="D99" s="42" t="s">
        <v>304</v>
      </c>
      <c r="E99" s="43">
        <v>13</v>
      </c>
      <c r="F99" s="43">
        <v>1</v>
      </c>
      <c r="G99" s="496">
        <v>1230</v>
      </c>
      <c r="H99" s="45">
        <v>0.22</v>
      </c>
      <c r="I99" s="46">
        <v>0.88</v>
      </c>
      <c r="J99" s="86">
        <f t="shared" ref="J99" si="127">E99*G99*(1-H99)*1440/1000000*2.74</f>
        <v>49.210312320000007</v>
      </c>
      <c r="K99" s="86">
        <f t="shared" ref="K99" si="128">(IF(G99&lt;L99,L99,G99)*(1-IF(H99&lt;N99,H99,N99))*E99*O99*Q99)/100000000</f>
        <v>46.157117759999998</v>
      </c>
      <c r="L99" s="36">
        <v>1215.1778656126482</v>
      </c>
      <c r="M99" s="36">
        <v>935.68695652173915</v>
      </c>
      <c r="N99" s="47">
        <f t="shared" ref="N99" si="129">1-(M99/L99)</f>
        <v>0.22999999999999998</v>
      </c>
      <c r="O99" s="48">
        <f>+'Trim Rwd'!H60</f>
        <v>257</v>
      </c>
      <c r="P99" s="49">
        <f t="shared" ref="P99" si="130">O99*(Q99-R99-S99)</f>
        <v>303774</v>
      </c>
      <c r="Q99" s="48">
        <v>1440</v>
      </c>
      <c r="R99" s="497">
        <f>60+30+115</f>
        <v>205</v>
      </c>
      <c r="S99" s="497">
        <v>53</v>
      </c>
      <c r="T99" s="38">
        <f t="shared" ref="T99" si="131">E99*M99*O99*Q99/100000000</f>
        <v>45.016273753043478</v>
      </c>
      <c r="U99" s="38">
        <f t="shared" ref="U99" si="132">E99*M99*O99*(Q99-R99-S99)/100000000</f>
        <v>36.950858038956525</v>
      </c>
      <c r="V99" s="38">
        <f t="shared" ref="V99" si="133">E99*G99*(1-N99)*O99/100*(R99+S99)/1000000</f>
        <v>8.1637936379999996</v>
      </c>
      <c r="W99" s="38">
        <f>+'19'!K12/1000</f>
        <v>34.768000000000001</v>
      </c>
      <c r="X99" s="498">
        <f>SUM(W99:W103)/SUM(K99:K103)</f>
        <v>0.75325327245909912</v>
      </c>
      <c r="Y99" s="216">
        <v>0</v>
      </c>
      <c r="Z99" s="38">
        <f>+'15'!D45/1000</f>
        <v>0</v>
      </c>
      <c r="AA99" s="50">
        <f>SUM(U99:U103)-SUM(W99:W103)-SUM(Z99:Z103)-SUM(Y99:Y103)</f>
        <v>2.1828580389565246</v>
      </c>
      <c r="AB99" s="50">
        <f>(SUM(K99:K103)-SUM(W99:W103)-SUM(Y99:Y103)-SUM(Z99:Z103)-SUM(AC99:AC103)-SUM(V99:V103))-AA99</f>
        <v>-9.8377923913046672E-2</v>
      </c>
      <c r="AC99" s="38">
        <f>K99-T99</f>
        <v>1.1408440069565202</v>
      </c>
      <c r="AD99" s="38">
        <f>+AM99+BA99</f>
        <v>24</v>
      </c>
      <c r="AE99" s="235" t="s">
        <v>544</v>
      </c>
      <c r="AF99" s="38">
        <v>24</v>
      </c>
      <c r="AG99" s="38"/>
      <c r="AH99" s="38"/>
      <c r="AI99" s="499"/>
      <c r="AJ99" s="38"/>
      <c r="AK99" s="38"/>
      <c r="AL99" s="38"/>
      <c r="AM99" s="38">
        <f t="shared" ref="AM99:AM103" si="134">SUM(AF99:AL99)+AT99+AV99+AX99</f>
        <v>24</v>
      </c>
      <c r="AN99" s="38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34">
        <v>9</v>
      </c>
      <c r="BC99" s="52"/>
      <c r="BD99" s="52"/>
      <c r="BE99" s="34"/>
      <c r="BF99" s="52"/>
    </row>
    <row r="100" spans="1:58" ht="12.95" customHeight="1">
      <c r="A100" s="41"/>
      <c r="B100" s="42"/>
      <c r="C100" s="411"/>
      <c r="D100" s="42"/>
      <c r="E100" s="43"/>
      <c r="F100" s="43"/>
      <c r="G100" s="496"/>
      <c r="H100" s="45"/>
      <c r="I100" s="46"/>
      <c r="J100" s="86"/>
      <c r="K100" s="86"/>
      <c r="L100" s="36"/>
      <c r="M100" s="36"/>
      <c r="N100" s="47"/>
      <c r="O100" s="48"/>
      <c r="P100" s="49"/>
      <c r="Q100" s="48"/>
      <c r="R100" s="497"/>
      <c r="S100" s="497"/>
      <c r="T100" s="38"/>
      <c r="U100" s="38"/>
      <c r="V100" s="38"/>
      <c r="W100" s="38"/>
      <c r="X100" s="39"/>
      <c r="Y100" s="216"/>
      <c r="Z100" s="38"/>
      <c r="AA100" s="38"/>
      <c r="AB100" s="38"/>
      <c r="AC100" s="38"/>
      <c r="AD100" s="38">
        <f>+AM100+BA100</f>
        <v>0</v>
      </c>
      <c r="AE100" s="235" t="s">
        <v>286</v>
      </c>
      <c r="AF100" s="38"/>
      <c r="AG100" s="38">
        <v>0</v>
      </c>
      <c r="AH100" s="38"/>
      <c r="AI100" s="499"/>
      <c r="AJ100" s="38"/>
      <c r="AK100" s="38"/>
      <c r="AL100" s="38"/>
      <c r="AM100" s="38">
        <f t="shared" si="134"/>
        <v>0</v>
      </c>
      <c r="AN100" s="87"/>
      <c r="AO100" s="38"/>
      <c r="AP100" s="38"/>
      <c r="AQ100" s="38"/>
      <c r="AR100" s="38">
        <f t="shared" ref="AR100:AR103" si="135"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51"/>
      <c r="BC100" s="52">
        <v>0</v>
      </c>
      <c r="BD100" s="52"/>
      <c r="BE100" s="51"/>
      <c r="BF100" s="52"/>
    </row>
    <row r="101" spans="1:58" ht="12.95" customHeight="1">
      <c r="A101" s="41"/>
      <c r="B101" s="42"/>
      <c r="C101" s="411"/>
      <c r="D101" s="42"/>
      <c r="E101" s="43"/>
      <c r="F101" s="43"/>
      <c r="G101" s="44"/>
      <c r="H101" s="45"/>
      <c r="I101" s="46"/>
      <c r="J101" s="86"/>
      <c r="K101" s="86"/>
      <c r="L101" s="36"/>
      <c r="M101" s="36"/>
      <c r="N101" s="47"/>
      <c r="O101" s="48"/>
      <c r="P101" s="49"/>
      <c r="Q101" s="48"/>
      <c r="R101" s="497"/>
      <c r="S101" s="497"/>
      <c r="T101" s="38"/>
      <c r="U101" s="38"/>
      <c r="V101" s="38"/>
      <c r="W101" s="38"/>
      <c r="X101" s="39"/>
      <c r="Y101" s="216"/>
      <c r="Z101" s="38"/>
      <c r="AA101" s="38"/>
      <c r="AB101" s="38"/>
      <c r="AC101" s="38"/>
      <c r="AD101" s="38">
        <f>+AM101+BA101</f>
        <v>29</v>
      </c>
      <c r="AE101" s="235" t="s">
        <v>513</v>
      </c>
      <c r="AF101" s="34"/>
      <c r="AG101" s="34"/>
      <c r="AH101" s="34">
        <v>29</v>
      </c>
      <c r="AJ101" s="38"/>
      <c r="AK101" s="38"/>
      <c r="AL101" s="38"/>
      <c r="AM101" s="38">
        <f t="shared" si="134"/>
        <v>29</v>
      </c>
      <c r="AN101" s="38"/>
      <c r="AO101" s="38"/>
      <c r="AP101" s="38"/>
      <c r="AQ101" s="38"/>
      <c r="AR101" s="38">
        <f t="shared" si="135"/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+AR101+AS101+AU101+AW101+AY101+AZ101</f>
        <v>0</v>
      </c>
      <c r="BB101" s="34"/>
      <c r="BC101" s="500"/>
      <c r="BD101" s="500"/>
      <c r="BE101" s="34"/>
      <c r="BF101" s="500"/>
    </row>
    <row r="102" spans="1:58" ht="12.95" customHeight="1">
      <c r="A102" s="41"/>
      <c r="B102" s="42"/>
      <c r="C102" s="411"/>
      <c r="D102" s="42"/>
      <c r="E102" s="43"/>
      <c r="F102" s="43"/>
      <c r="G102" s="44"/>
      <c r="H102" s="45"/>
      <c r="I102" s="46"/>
      <c r="J102" s="86"/>
      <c r="K102" s="86"/>
      <c r="L102" s="36"/>
      <c r="M102" s="36"/>
      <c r="N102" s="47"/>
      <c r="O102" s="48"/>
      <c r="P102" s="49"/>
      <c r="Q102" s="35"/>
      <c r="R102" s="497"/>
      <c r="S102" s="497"/>
      <c r="T102" s="38"/>
      <c r="U102" s="38"/>
      <c r="V102" s="38"/>
      <c r="W102" s="38"/>
      <c r="X102" s="39"/>
      <c r="Y102" s="216"/>
      <c r="Z102" s="38"/>
      <c r="AA102" s="38"/>
      <c r="AB102" s="38"/>
      <c r="AC102" s="38"/>
      <c r="AD102" s="38">
        <f>+AM102+BA102</f>
        <v>90</v>
      </c>
      <c r="AE102" s="238" t="s">
        <v>585</v>
      </c>
      <c r="AF102" s="38"/>
      <c r="AG102" s="38"/>
      <c r="AH102" s="38"/>
      <c r="AI102" s="499">
        <v>0</v>
      </c>
      <c r="AJ102" s="38"/>
      <c r="AK102" s="38"/>
      <c r="AL102" s="38"/>
      <c r="AM102" s="38">
        <f t="shared" si="134"/>
        <v>0</v>
      </c>
      <c r="AN102" s="38">
        <f>60+30</f>
        <v>90</v>
      </c>
      <c r="AO102" s="38"/>
      <c r="AP102" s="38"/>
      <c r="AQ102" s="38"/>
      <c r="AR102" s="38">
        <f t="shared" si="135"/>
        <v>90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90</v>
      </c>
      <c r="BB102" s="51"/>
      <c r="BC102" s="52"/>
      <c r="BD102" s="52"/>
      <c r="BE102" s="51"/>
      <c r="BF102" s="52"/>
    </row>
    <row r="103" spans="1:58" ht="12.95" customHeight="1">
      <c r="A103" s="41"/>
      <c r="B103" s="42"/>
      <c r="C103" s="411"/>
      <c r="D103" s="42"/>
      <c r="E103" s="43"/>
      <c r="F103" s="43"/>
      <c r="G103" s="496"/>
      <c r="H103" s="45"/>
      <c r="I103" s="46"/>
      <c r="J103" s="86"/>
      <c r="K103" s="86"/>
      <c r="L103" s="36"/>
      <c r="M103" s="36"/>
      <c r="N103" s="47"/>
      <c r="O103" s="48"/>
      <c r="P103" s="49"/>
      <c r="Q103" s="48"/>
      <c r="R103" s="497"/>
      <c r="S103" s="497"/>
      <c r="T103" s="38"/>
      <c r="U103" s="38"/>
      <c r="V103" s="38"/>
      <c r="W103" s="38"/>
      <c r="X103" s="39"/>
      <c r="Y103" s="216"/>
      <c r="Z103" s="38"/>
      <c r="AA103" s="38"/>
      <c r="AB103" s="38"/>
      <c r="AC103" s="38"/>
      <c r="AD103" s="38">
        <f>+AM103+BA103</f>
        <v>115</v>
      </c>
      <c r="AE103" s="238" t="s">
        <v>584</v>
      </c>
      <c r="AF103" s="38"/>
      <c r="AG103" s="38"/>
      <c r="AH103" s="38"/>
      <c r="AI103" s="38"/>
      <c r="AJ103" s="38"/>
      <c r="AK103" s="38"/>
      <c r="AL103" s="38"/>
      <c r="AM103" s="38">
        <f t="shared" si="134"/>
        <v>0</v>
      </c>
      <c r="AN103" s="38"/>
      <c r="AO103" s="38">
        <v>115</v>
      </c>
      <c r="AP103" s="38"/>
      <c r="AQ103" s="38"/>
      <c r="AR103" s="38">
        <f t="shared" si="135"/>
        <v>115</v>
      </c>
      <c r="AS103" s="38"/>
      <c r="AT103" s="38"/>
      <c r="AU103" s="38"/>
      <c r="AV103" s="38"/>
      <c r="AW103" s="38"/>
      <c r="AX103" s="38"/>
      <c r="AY103" s="38"/>
      <c r="AZ103" s="38"/>
      <c r="BA103" s="38">
        <f>+AR103+AS103+AU103+AW103+AY103+AZ103</f>
        <v>115</v>
      </c>
      <c r="BB103" s="34"/>
      <c r="BC103" s="52"/>
      <c r="BD103" s="52"/>
      <c r="BE103" s="52"/>
      <c r="BF103" s="52">
        <v>1</v>
      </c>
    </row>
    <row r="104" spans="1:58" ht="13.5" customHeight="1">
      <c r="A104" s="41"/>
      <c r="B104" s="42"/>
      <c r="C104" s="411"/>
      <c r="D104" s="42"/>
      <c r="E104" s="43"/>
      <c r="F104" s="43"/>
      <c r="G104" s="496"/>
      <c r="H104" s="45"/>
      <c r="I104" s="46"/>
      <c r="J104" s="86"/>
      <c r="K104" s="86"/>
      <c r="L104" s="36"/>
      <c r="M104" s="36"/>
      <c r="N104" s="47"/>
      <c r="O104" s="48"/>
      <c r="P104" s="49"/>
      <c r="Q104" s="48"/>
      <c r="R104" s="497"/>
      <c r="S104" s="497"/>
      <c r="T104" s="38"/>
      <c r="U104" s="38"/>
      <c r="V104" s="38"/>
      <c r="W104" s="38"/>
      <c r="X104" s="498"/>
      <c r="Y104" s="216"/>
      <c r="Z104" s="38"/>
      <c r="AA104" s="50"/>
      <c r="AB104" s="50"/>
      <c r="AC104" s="38"/>
      <c r="AD104" s="38"/>
      <c r="AE104" s="235"/>
      <c r="AF104" s="38"/>
      <c r="AG104" s="38"/>
      <c r="AH104" s="38"/>
      <c r="AI104" s="499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4"/>
      <c r="BC104" s="52"/>
      <c r="BD104" s="52"/>
      <c r="BE104" s="52"/>
      <c r="BF104" s="52"/>
    </row>
    <row r="105" spans="1:58" ht="12.75" customHeight="1">
      <c r="A105" s="41">
        <v>45889</v>
      </c>
      <c r="B105" s="42" t="s">
        <v>490</v>
      </c>
      <c r="C105" s="411">
        <f t="shared" ref="C105:C106" si="136">(M105*E105*O105*Q105)/100000000</f>
        <v>17.890784244666666</v>
      </c>
      <c r="D105" s="42" t="s">
        <v>304</v>
      </c>
      <c r="E105" s="43">
        <v>13</v>
      </c>
      <c r="F105" s="43">
        <v>1</v>
      </c>
      <c r="G105" s="496">
        <v>1230</v>
      </c>
      <c r="H105" s="45">
        <v>0.22</v>
      </c>
      <c r="I105" s="46">
        <v>0.88</v>
      </c>
      <c r="J105" s="86">
        <f t="shared" ref="J105:J106" si="137">E105*G105*(1-H105)*1440/1000000*2.74</f>
        <v>49.210312320000007</v>
      </c>
      <c r="K105" s="86">
        <f t="shared" ref="K105:K106" si="138">(IF(G105&lt;L105,L105,G105)*(1-IF(H105&lt;N105,H105,N105))*E105*O105*Q105)/100000000</f>
        <v>18.123132091999999</v>
      </c>
      <c r="L105" s="36">
        <v>1230</v>
      </c>
      <c r="M105" s="36">
        <v>947.09999999999991</v>
      </c>
      <c r="N105" s="47">
        <f t="shared" ref="N105:N106" si="139">1-(M105/L105)</f>
        <v>0.23000000000000009</v>
      </c>
      <c r="O105" s="48">
        <f>+'Trim Rwd'!H62</f>
        <v>258.55555555555554</v>
      </c>
      <c r="P105" s="49">
        <f t="shared" ref="P105:P106" si="140">O105*(Q105-R105-S105)</f>
        <v>136258.77777777778</v>
      </c>
      <c r="Q105" s="48">
        <v>562</v>
      </c>
      <c r="R105" s="497">
        <v>0</v>
      </c>
      <c r="S105" s="497">
        <v>35</v>
      </c>
      <c r="T105" s="38">
        <f t="shared" ref="T105:T106" si="141">E105*M105*O105*Q105/100000000</f>
        <v>17.890784244666666</v>
      </c>
      <c r="U105" s="38">
        <f t="shared" ref="U105:U106" si="142">E105*M105*O105*(Q105-R105-S105)/100000000</f>
        <v>16.776589496333333</v>
      </c>
      <c r="V105" s="38">
        <f t="shared" ref="V105:V106" si="143">E105*G105*(1-N105)*O105/100*(R105+S105)/1000000</f>
        <v>1.1141947483333332</v>
      </c>
      <c r="W105" s="38">
        <f>+'20'!K12/1000</f>
        <v>17.715</v>
      </c>
      <c r="X105" s="498">
        <f>SUM(W105:W108)/SUM(K105:K108)</f>
        <v>0.93323277801661286</v>
      </c>
      <c r="Y105" s="216">
        <v>0</v>
      </c>
      <c r="Z105" s="38">
        <v>0</v>
      </c>
      <c r="AA105" s="50">
        <f>SUM(U105:U108)-SUM(W105:W108)-SUM(Z105:Z108)-SUM(Y105:Y108)</f>
        <v>-0.10595453808176958</v>
      </c>
      <c r="AB105" s="50">
        <f>(SUM(K105:K108)-SUM(W105:W108)-SUM(Y105:Y108)-SUM(Z105:Z108)-SUM(AC105:AC108)-SUM(V105:V108))-AA105</f>
        <v>1.8873791418627661E-15</v>
      </c>
      <c r="AC105" s="38">
        <f>K105-T105</f>
        <v>0.23234784733333314</v>
      </c>
      <c r="AD105" s="38">
        <f>+AM105+BA105</f>
        <v>32</v>
      </c>
      <c r="AE105" s="235" t="s">
        <v>590</v>
      </c>
      <c r="AF105" s="38">
        <v>32</v>
      </c>
      <c r="AG105" s="38"/>
      <c r="AH105" s="38"/>
      <c r="AI105" s="499"/>
      <c r="AJ105" s="38"/>
      <c r="AK105" s="38"/>
      <c r="AL105" s="38"/>
      <c r="AM105" s="38">
        <f t="shared" ref="AM105:AM107" si="144">SUM(AF105:AL105)+AT105+AV105+AX105</f>
        <v>32</v>
      </c>
      <c r="AN105" s="38"/>
      <c r="AO105" s="38"/>
      <c r="AP105" s="38"/>
      <c r="AQ105" s="38"/>
      <c r="AR105" s="38">
        <f>SUM(AN105:AQ105)</f>
        <v>0</v>
      </c>
      <c r="AS105" s="38"/>
      <c r="AT105" s="38"/>
      <c r="AU105" s="38"/>
      <c r="AV105" s="38"/>
      <c r="AW105" s="38"/>
      <c r="AX105" s="38"/>
      <c r="AY105" s="38"/>
      <c r="AZ105" s="38"/>
      <c r="BA105" s="38">
        <f>+AR105+AS105+AU105+AW105+AY105+AZ105</f>
        <v>0</v>
      </c>
      <c r="BB105" s="34">
        <v>12</v>
      </c>
      <c r="BC105" s="52"/>
      <c r="BD105" s="52"/>
      <c r="BE105" s="34"/>
      <c r="BF105" s="52"/>
    </row>
    <row r="106" spans="1:58" ht="12.95" customHeight="1">
      <c r="A106" s="41"/>
      <c r="B106" s="42" t="s">
        <v>490</v>
      </c>
      <c r="C106" s="411">
        <f t="shared" si="136"/>
        <v>25.854105920603768</v>
      </c>
      <c r="D106" s="42" t="s">
        <v>304</v>
      </c>
      <c r="E106" s="43">
        <v>12</v>
      </c>
      <c r="F106" s="43">
        <v>1</v>
      </c>
      <c r="G106" s="496">
        <v>1230</v>
      </c>
      <c r="H106" s="45">
        <v>0.23</v>
      </c>
      <c r="I106" s="46">
        <v>0.88</v>
      </c>
      <c r="J106" s="86">
        <f t="shared" si="137"/>
        <v>44.842533120000006</v>
      </c>
      <c r="K106" s="86">
        <f t="shared" si="138"/>
        <v>25.854105920603768</v>
      </c>
      <c r="L106" s="36">
        <v>1230</v>
      </c>
      <c r="M106" s="36">
        <v>947.09999999999991</v>
      </c>
      <c r="N106" s="47">
        <f t="shared" si="139"/>
        <v>0.23000000000000009</v>
      </c>
      <c r="O106" s="48">
        <f>+'Trim Rwd'!H64</f>
        <v>259.09433962264148</v>
      </c>
      <c r="P106" s="49">
        <f t="shared" si="140"/>
        <v>216084.67924528301</v>
      </c>
      <c r="Q106" s="48">
        <v>878</v>
      </c>
      <c r="R106" s="497">
        <v>0</v>
      </c>
      <c r="S106" s="497">
        <v>44</v>
      </c>
      <c r="T106" s="38">
        <f t="shared" si="141"/>
        <v>25.854105920603768</v>
      </c>
      <c r="U106" s="38">
        <f t="shared" si="142"/>
        <v>24.558455965584898</v>
      </c>
      <c r="V106" s="38">
        <f t="shared" si="143"/>
        <v>1.2956499550188678</v>
      </c>
      <c r="W106" s="38">
        <f>+'20'!K13/1000</f>
        <v>23.326000000000001</v>
      </c>
      <c r="X106" s="39"/>
      <c r="Y106" s="216"/>
      <c r="Z106" s="38">
        <f>+'20'!D25/1000</f>
        <v>0.4</v>
      </c>
      <c r="AA106" s="38"/>
      <c r="AB106" s="38"/>
      <c r="AC106" s="38"/>
      <c r="AD106" s="38">
        <f>+AM106+BA106</f>
        <v>0</v>
      </c>
      <c r="AE106" s="235" t="s">
        <v>286</v>
      </c>
      <c r="AF106" s="38"/>
      <c r="AG106" s="38">
        <v>0</v>
      </c>
      <c r="AH106" s="38"/>
      <c r="AI106" s="499"/>
      <c r="AJ106" s="38"/>
      <c r="AK106" s="38"/>
      <c r="AL106" s="38"/>
      <c r="AM106" s="38">
        <f t="shared" si="144"/>
        <v>0</v>
      </c>
      <c r="AN106" s="87"/>
      <c r="AO106" s="38"/>
      <c r="AP106" s="38"/>
      <c r="AQ106" s="38"/>
      <c r="AR106" s="38">
        <f t="shared" ref="AR106:AR107" si="145">SUM(AN106:AQ106)</f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+AR106+AS106+AU106+AW106+AY106+AZ106</f>
        <v>0</v>
      </c>
      <c r="BB106" s="51"/>
      <c r="BC106" s="52">
        <v>0</v>
      </c>
      <c r="BD106" s="52"/>
      <c r="BE106" s="51"/>
      <c r="BF106" s="52"/>
    </row>
    <row r="107" spans="1:58" ht="12.95" customHeight="1">
      <c r="A107" s="41"/>
      <c r="B107" s="42"/>
      <c r="C107" s="411"/>
      <c r="D107" s="42"/>
      <c r="E107" s="43"/>
      <c r="F107" s="43"/>
      <c r="G107" s="44"/>
      <c r="H107" s="45"/>
      <c r="I107" s="46"/>
      <c r="J107" s="86"/>
      <c r="K107" s="86"/>
      <c r="L107" s="36"/>
      <c r="M107" s="36"/>
      <c r="N107" s="47"/>
      <c r="O107" s="48"/>
      <c r="P107" s="49"/>
      <c r="Q107" s="48"/>
      <c r="R107" s="497"/>
      <c r="S107" s="497"/>
      <c r="T107" s="38"/>
      <c r="U107" s="38"/>
      <c r="V107" s="38"/>
      <c r="W107" s="38"/>
      <c r="X107" s="39"/>
      <c r="Y107" s="216"/>
      <c r="Z107" s="38"/>
      <c r="AA107" s="38"/>
      <c r="AB107" s="38"/>
      <c r="AC107" s="38"/>
      <c r="AD107" s="38">
        <f>+AM107+BA107</f>
        <v>47</v>
      </c>
      <c r="AE107" s="235" t="s">
        <v>491</v>
      </c>
      <c r="AF107" s="34"/>
      <c r="AG107" s="34"/>
      <c r="AH107" s="34">
        <v>47</v>
      </c>
      <c r="AJ107" s="38"/>
      <c r="AK107" s="38"/>
      <c r="AL107" s="38"/>
      <c r="AM107" s="38">
        <f t="shared" si="144"/>
        <v>47</v>
      </c>
      <c r="AN107" s="38"/>
      <c r="AO107" s="38"/>
      <c r="AP107" s="38"/>
      <c r="AQ107" s="38"/>
      <c r="AR107" s="38">
        <f t="shared" si="145"/>
        <v>0</v>
      </c>
      <c r="AS107" s="38"/>
      <c r="AT107" s="38"/>
      <c r="AU107" s="38"/>
      <c r="AV107" s="38"/>
      <c r="AW107" s="38"/>
      <c r="AX107" s="38"/>
      <c r="AY107" s="38"/>
      <c r="AZ107" s="38"/>
      <c r="BA107" s="38">
        <f>+AR107+AS107+AU107+AW107+AY107+AZ107</f>
        <v>0</v>
      </c>
      <c r="BB107" s="34"/>
      <c r="BC107" s="500"/>
      <c r="BD107" s="500"/>
      <c r="BE107" s="34"/>
      <c r="BF107" s="500"/>
    </row>
    <row r="108" spans="1:58" ht="12.95" customHeight="1">
      <c r="A108" s="41"/>
      <c r="B108" s="42"/>
      <c r="C108" s="411"/>
      <c r="D108" s="42"/>
      <c r="E108" s="43"/>
      <c r="F108" s="43"/>
      <c r="G108" s="44"/>
      <c r="H108" s="45"/>
      <c r="I108" s="46"/>
      <c r="J108" s="86"/>
      <c r="K108" s="86"/>
      <c r="L108" s="36"/>
      <c r="M108" s="36"/>
      <c r="N108" s="47"/>
      <c r="O108" s="48"/>
      <c r="P108" s="49"/>
      <c r="Q108" s="35"/>
      <c r="R108" s="497"/>
      <c r="S108" s="497"/>
      <c r="T108" s="38"/>
      <c r="U108" s="38"/>
      <c r="V108" s="38"/>
      <c r="W108" s="38"/>
      <c r="X108" s="39"/>
      <c r="Y108" s="216"/>
      <c r="Z108" s="38"/>
      <c r="AA108" s="38"/>
      <c r="AB108" s="38"/>
      <c r="AC108" s="38"/>
      <c r="AD108" s="38"/>
      <c r="AE108" s="238"/>
      <c r="AF108" s="38"/>
      <c r="AG108" s="38"/>
      <c r="AH108" s="38"/>
      <c r="AI108" s="499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51"/>
      <c r="BC108" s="52"/>
      <c r="BD108" s="52"/>
      <c r="BE108" s="51"/>
      <c r="BF108" s="52"/>
    </row>
    <row r="109" spans="1:58" ht="12.75" customHeight="1">
      <c r="A109" s="41">
        <v>45890</v>
      </c>
      <c r="B109" s="42" t="s">
        <v>490</v>
      </c>
      <c r="C109" s="411">
        <f t="shared" ref="C109:C110" si="146">(M109*E109*O109*Q109)/100000000</f>
        <v>11.181538368</v>
      </c>
      <c r="D109" s="42" t="s">
        <v>304</v>
      </c>
      <c r="E109" s="43">
        <v>13</v>
      </c>
      <c r="F109" s="43">
        <v>1</v>
      </c>
      <c r="G109" s="496">
        <v>1230</v>
      </c>
      <c r="H109" s="45">
        <v>0.22</v>
      </c>
      <c r="I109" s="46">
        <v>0.88</v>
      </c>
      <c r="J109" s="86">
        <f t="shared" ref="J109:J110" si="147">E109*G109*(1-H109)*1440/1000000*2.74</f>
        <v>49.210312320000007</v>
      </c>
      <c r="K109" s="86">
        <f t="shared" ref="K109:K110" si="148">(IF(G109&lt;L109,L109,G109)*(1-IF(H109&lt;N109,H109,N109))*E109*O109*Q109)/100000000</f>
        <v>11.326753152</v>
      </c>
      <c r="L109" s="36">
        <v>1230</v>
      </c>
      <c r="M109" s="36">
        <v>947.09999999999991</v>
      </c>
      <c r="N109" s="47">
        <f t="shared" ref="N109:N110" si="149">1-(M109/L109)</f>
        <v>0.23000000000000009</v>
      </c>
      <c r="O109" s="48">
        <f>+'Trim Rwd'!H67</f>
        <v>264</v>
      </c>
      <c r="P109" s="49">
        <f t="shared" ref="P109:P110" si="150">O109*(Q109-R109-S109)</f>
        <v>85536</v>
      </c>
      <c r="Q109" s="48">
        <v>344</v>
      </c>
      <c r="R109" s="497">
        <v>0</v>
      </c>
      <c r="S109" s="497">
        <v>20</v>
      </c>
      <c r="T109" s="38">
        <f t="shared" ref="T109:T110" si="151">E109*M109*O109*Q109/100000000</f>
        <v>11.181538368</v>
      </c>
      <c r="U109" s="38">
        <f t="shared" ref="U109:U110" si="152">E109*M109*O109*(Q109-R109-S109)/100000000</f>
        <v>10.531448928</v>
      </c>
      <c r="V109" s="38">
        <f t="shared" ref="V109:V110" si="153">E109*G109*(1-N109)*O109/100*(R109+S109)/1000000</f>
        <v>0.65008943999999991</v>
      </c>
      <c r="W109" s="38">
        <f>+'21'!K12/1000</f>
        <v>15.503</v>
      </c>
      <c r="X109" s="498">
        <f>SUM(W109:W112)/SUM(K109:K112)</f>
        <v>0.9519032187092431</v>
      </c>
      <c r="Y109" s="216">
        <v>0</v>
      </c>
      <c r="Z109" s="38">
        <f>+'15'!D55/1000</f>
        <v>0</v>
      </c>
      <c r="AA109" s="50">
        <f>SUM(U109:U112)-SUM(W109:W112)-SUM(Z109:Z112)-SUM(Y109:Y112)</f>
        <v>-0.16955317200000053</v>
      </c>
      <c r="AB109" s="50">
        <f>(SUM(K109:K112)-SUM(W109:W112)-SUM(Y109:Y112)-SUM(Z109:Z112)-SUM(AC109:AC112)-SUM(V109:V112))-AA109</f>
        <v>1.7763568394002505E-15</v>
      </c>
      <c r="AC109" s="38">
        <f>K109-T109</f>
        <v>0.14521478400000021</v>
      </c>
      <c r="AD109" s="38">
        <f>+AM109+BA109</f>
        <v>24</v>
      </c>
      <c r="AE109" s="235" t="s">
        <v>511</v>
      </c>
      <c r="AF109" s="38">
        <v>24</v>
      </c>
      <c r="AG109" s="38"/>
      <c r="AH109" s="38"/>
      <c r="AI109" s="499"/>
      <c r="AJ109" s="38"/>
      <c r="AK109" s="38"/>
      <c r="AL109" s="38"/>
      <c r="AM109" s="38">
        <f t="shared" ref="AM109:AM111" si="154">SUM(AF109:AL109)+AT109+AV109+AX109</f>
        <v>24</v>
      </c>
      <c r="AN109" s="38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34">
        <v>8</v>
      </c>
      <c r="BC109" s="52"/>
      <c r="BD109" s="52"/>
      <c r="BE109" s="34"/>
      <c r="BF109" s="52"/>
    </row>
    <row r="110" spans="1:58" ht="12.95" customHeight="1">
      <c r="A110" s="41"/>
      <c r="B110" s="42" t="s">
        <v>490</v>
      </c>
      <c r="C110" s="411">
        <f t="shared" si="146"/>
        <v>32.697680399999996</v>
      </c>
      <c r="D110" s="42" t="s">
        <v>304</v>
      </c>
      <c r="E110" s="43">
        <v>12</v>
      </c>
      <c r="F110" s="43">
        <v>1</v>
      </c>
      <c r="G110" s="496">
        <v>1230</v>
      </c>
      <c r="H110" s="45">
        <v>0.23</v>
      </c>
      <c r="I110" s="46">
        <v>0.88</v>
      </c>
      <c r="J110" s="86">
        <f t="shared" si="147"/>
        <v>44.842533120000006</v>
      </c>
      <c r="K110" s="86">
        <f t="shared" si="148"/>
        <v>32.697680399999996</v>
      </c>
      <c r="L110" s="36">
        <v>1230</v>
      </c>
      <c r="M110" s="36">
        <v>947.09999999999991</v>
      </c>
      <c r="N110" s="47">
        <f t="shared" si="149"/>
        <v>0.23000000000000009</v>
      </c>
      <c r="O110" s="48">
        <f>+'Trim Rwd'!H68</f>
        <v>262.5</v>
      </c>
      <c r="P110" s="49">
        <f t="shared" si="150"/>
        <v>274575</v>
      </c>
      <c r="Q110" s="48">
        <v>1096</v>
      </c>
      <c r="R110" s="497">
        <v>0</v>
      </c>
      <c r="S110" s="497">
        <v>50</v>
      </c>
      <c r="T110" s="38">
        <f t="shared" si="151"/>
        <v>32.697680399999996</v>
      </c>
      <c r="U110" s="38">
        <f t="shared" si="152"/>
        <v>31.205997899999996</v>
      </c>
      <c r="V110" s="38">
        <f t="shared" si="153"/>
        <v>1.4916824999999998</v>
      </c>
      <c r="W110" s="38">
        <f>+'21'!K13/1000</f>
        <v>26.404</v>
      </c>
      <c r="X110" s="39"/>
      <c r="Y110" s="216"/>
      <c r="Z110" s="38">
        <f>+'20'!D29/1000</f>
        <v>0</v>
      </c>
      <c r="AA110" s="38"/>
      <c r="AB110" s="38"/>
      <c r="AC110" s="38"/>
      <c r="AD110" s="38">
        <f>+AM110+BA110</f>
        <v>6</v>
      </c>
      <c r="AE110" s="235" t="s">
        <v>388</v>
      </c>
      <c r="AF110" s="38"/>
      <c r="AG110" s="38">
        <v>6</v>
      </c>
      <c r="AH110" s="38"/>
      <c r="AI110" s="499"/>
      <c r="AJ110" s="38"/>
      <c r="AK110" s="38"/>
      <c r="AL110" s="38"/>
      <c r="AM110" s="38">
        <f t="shared" si="154"/>
        <v>6</v>
      </c>
      <c r="AN110" s="87"/>
      <c r="AO110" s="38"/>
      <c r="AP110" s="38"/>
      <c r="AQ110" s="38"/>
      <c r="AR110" s="38">
        <f t="shared" ref="AR110:AR111" si="155">SUM(AN110:AQ110)</f>
        <v>0</v>
      </c>
      <c r="AS110" s="38"/>
      <c r="AT110" s="38"/>
      <c r="AU110" s="38"/>
      <c r="AV110" s="38"/>
      <c r="AW110" s="38"/>
      <c r="AX110" s="38"/>
      <c r="AY110" s="38"/>
      <c r="AZ110" s="38"/>
      <c r="BA110" s="38">
        <f>+AR110+AS110+AU110+AW110+AY110+AZ110</f>
        <v>0</v>
      </c>
      <c r="BB110" s="51"/>
      <c r="BC110" s="52">
        <v>3</v>
      </c>
      <c r="BD110" s="52"/>
      <c r="BE110" s="51"/>
      <c r="BF110" s="52"/>
    </row>
    <row r="111" spans="1:58" ht="12.95" customHeight="1">
      <c r="A111" s="41"/>
      <c r="B111" s="42"/>
      <c r="C111" s="411"/>
      <c r="D111" s="42"/>
      <c r="E111" s="43"/>
      <c r="F111" s="43"/>
      <c r="G111" s="44"/>
      <c r="H111" s="45"/>
      <c r="I111" s="46"/>
      <c r="J111" s="86"/>
      <c r="K111" s="86"/>
      <c r="L111" s="36"/>
      <c r="M111" s="36"/>
      <c r="N111" s="47"/>
      <c r="O111" s="48"/>
      <c r="P111" s="49"/>
      <c r="Q111" s="48"/>
      <c r="R111" s="497"/>
      <c r="S111" s="497"/>
      <c r="T111" s="38"/>
      <c r="U111" s="38"/>
      <c r="V111" s="38"/>
      <c r="W111" s="38"/>
      <c r="X111" s="39"/>
      <c r="Y111" s="216"/>
      <c r="Z111" s="38"/>
      <c r="AA111" s="38"/>
      <c r="AB111" s="38"/>
      <c r="AC111" s="38"/>
      <c r="AD111" s="38">
        <f>+AM111+BA111</f>
        <v>40</v>
      </c>
      <c r="AE111" s="235" t="s">
        <v>594</v>
      </c>
      <c r="AF111" s="34"/>
      <c r="AG111" s="34"/>
      <c r="AH111" s="34">
        <v>40</v>
      </c>
      <c r="AJ111" s="38"/>
      <c r="AK111" s="38"/>
      <c r="AL111" s="38"/>
      <c r="AM111" s="38">
        <f t="shared" si="154"/>
        <v>40</v>
      </c>
      <c r="AN111" s="38"/>
      <c r="AO111" s="38"/>
      <c r="AP111" s="38"/>
      <c r="AQ111" s="38"/>
      <c r="AR111" s="38">
        <f t="shared" si="155"/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+AR111+AS111+AU111+AW111+AY111+AZ111</f>
        <v>0</v>
      </c>
      <c r="BB111" s="34"/>
      <c r="BC111" s="500"/>
      <c r="BD111" s="500"/>
      <c r="BE111" s="34"/>
      <c r="BF111" s="500"/>
    </row>
    <row r="112" spans="1:58" ht="12.95" customHeight="1">
      <c r="A112" s="41"/>
      <c r="B112" s="42"/>
      <c r="C112" s="411"/>
      <c r="D112" s="42"/>
      <c r="E112" s="43"/>
      <c r="F112" s="43"/>
      <c r="G112" s="44"/>
      <c r="H112" s="45"/>
      <c r="I112" s="46"/>
      <c r="J112" s="86"/>
      <c r="K112" s="86"/>
      <c r="L112" s="36"/>
      <c r="M112" s="36"/>
      <c r="N112" s="47"/>
      <c r="O112" s="48"/>
      <c r="P112" s="49"/>
      <c r="Q112" s="35"/>
      <c r="R112" s="497"/>
      <c r="S112" s="497"/>
      <c r="T112" s="38"/>
      <c r="U112" s="38"/>
      <c r="V112" s="38"/>
      <c r="W112" s="38"/>
      <c r="X112" s="39"/>
      <c r="Y112" s="216"/>
      <c r="Z112" s="38"/>
      <c r="AA112" s="38"/>
      <c r="AB112" s="38"/>
      <c r="AC112" s="38"/>
      <c r="AD112" s="38"/>
      <c r="AE112" s="238"/>
      <c r="AF112" s="38"/>
      <c r="AG112" s="38"/>
      <c r="AH112" s="38"/>
      <c r="AI112" s="499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51"/>
      <c r="BC112" s="52"/>
      <c r="BD112" s="52"/>
      <c r="BE112" s="51"/>
      <c r="BF112" s="52"/>
    </row>
    <row r="113" spans="1:58" ht="12.75" customHeight="1">
      <c r="A113" s="41">
        <v>45891</v>
      </c>
      <c r="B113" s="42" t="s">
        <v>490</v>
      </c>
      <c r="C113" s="411">
        <f t="shared" ref="C113:C114" si="156">(M113*E113*O113*Q113)/100000000</f>
        <v>24.614118897260866</v>
      </c>
      <c r="D113" s="42" t="s">
        <v>304</v>
      </c>
      <c r="E113" s="43">
        <v>12</v>
      </c>
      <c r="F113" s="43">
        <v>1</v>
      </c>
      <c r="G113" s="496">
        <v>1230</v>
      </c>
      <c r="H113" s="45">
        <v>0.23</v>
      </c>
      <c r="I113" s="46">
        <v>0.88</v>
      </c>
      <c r="J113" s="86">
        <f t="shared" ref="J113:J114" si="157">E113*G113*(1-H113)*1440/1000000*2.74</f>
        <v>44.842533120000006</v>
      </c>
      <c r="K113" s="86">
        <f t="shared" ref="K113:K114" si="158">(IF(G113&lt;L113,L113,G113)*(1-IF(H113&lt;N113,H113,N113))*E113*O113*Q113)/100000000</f>
        <v>24.614118897260866</v>
      </c>
      <c r="L113" s="36">
        <v>1230</v>
      </c>
      <c r="M113" s="36">
        <v>947.09999999999991</v>
      </c>
      <c r="N113" s="47">
        <f t="shared" ref="N113:N114" si="159">1-(M113/L113)</f>
        <v>0.23000000000000009</v>
      </c>
      <c r="O113" s="48">
        <f>+'Trim Rwd'!H70</f>
        <v>263.79347826086956</v>
      </c>
      <c r="P113" s="49">
        <f t="shared" ref="P113:P114" si="160">O113*(Q113-R113-S113)</f>
        <v>206550.29347826086</v>
      </c>
      <c r="Q113" s="48">
        <v>821</v>
      </c>
      <c r="R113" s="497">
        <v>0</v>
      </c>
      <c r="S113" s="497">
        <v>38</v>
      </c>
      <c r="T113" s="38">
        <f t="shared" ref="T113:T114" si="161">E113*M113*O113*Q113/100000000</f>
        <v>24.614118897260866</v>
      </c>
      <c r="U113" s="38">
        <f t="shared" ref="U113:U114" si="162">E113*M113*O113*(Q113-R113-S113)/100000000</f>
        <v>23.474853954391303</v>
      </c>
      <c r="V113" s="38">
        <f t="shared" ref="V113:V114" si="163">E113*G113*(1-N113)*O113/100*(R113+S113)/1000000</f>
        <v>1.1392649428695651</v>
      </c>
      <c r="W113" s="38">
        <f>+'22'!K13/1000</f>
        <v>28.231999999999999</v>
      </c>
      <c r="X113" s="498">
        <f>SUM(W113:W116)/SUM(K113:K116)</f>
        <v>1.0052664550061754</v>
      </c>
      <c r="Y113" s="216">
        <v>0</v>
      </c>
      <c r="Z113" s="38">
        <f>+'15'!D59/1000</f>
        <v>0</v>
      </c>
      <c r="AA113" s="50">
        <f>SUM(U113:U116)-SUM(W113:W116)-SUM(Z113:Z116)-SUM(Y113:Y116)</f>
        <v>-2.3069907443350299</v>
      </c>
      <c r="AB113" s="50">
        <f>(SUM(K113:K116)-SUM(W113:W116)-SUM(Y113:Y116)-SUM(Z113:Z116)-SUM(AC113:AC116)-SUM(V113:V116))-AA113</f>
        <v>0</v>
      </c>
      <c r="AC113" s="38">
        <f>K113-T113</f>
        <v>0</v>
      </c>
      <c r="AD113" s="38">
        <f>+AM113+BA113</f>
        <v>16</v>
      </c>
      <c r="AE113" s="235" t="s">
        <v>511</v>
      </c>
      <c r="AF113" s="38">
        <v>16</v>
      </c>
      <c r="AG113" s="38"/>
      <c r="AH113" s="38"/>
      <c r="AI113" s="499"/>
      <c r="AJ113" s="38"/>
      <c r="AK113" s="38"/>
      <c r="AL113" s="38"/>
      <c r="AM113" s="38">
        <f t="shared" ref="AM113:AM115" si="164">SUM(AF113:AL113)+AT113+AV113+AX113</f>
        <v>16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>
        <v>8</v>
      </c>
      <c r="BC113" s="52"/>
      <c r="BD113" s="52"/>
      <c r="BE113" s="34"/>
      <c r="BF113" s="52"/>
    </row>
    <row r="114" spans="1:58" ht="12.95" customHeight="1">
      <c r="A114" s="41"/>
      <c r="B114" s="42" t="s">
        <v>409</v>
      </c>
      <c r="C114" s="411">
        <f t="shared" si="156"/>
        <v>19.918352843999998</v>
      </c>
      <c r="D114" s="42" t="s">
        <v>304</v>
      </c>
      <c r="E114" s="43">
        <v>13</v>
      </c>
      <c r="F114" s="43">
        <v>1</v>
      </c>
      <c r="G114" s="496">
        <v>1230</v>
      </c>
      <c r="H114" s="45">
        <v>0.22</v>
      </c>
      <c r="I114" s="46">
        <v>0.88</v>
      </c>
      <c r="J114" s="86">
        <f t="shared" si="157"/>
        <v>49.210312320000007</v>
      </c>
      <c r="K114" s="86">
        <f t="shared" si="158"/>
        <v>19.918352843999998</v>
      </c>
      <c r="L114" s="36">
        <v>1230</v>
      </c>
      <c r="M114" s="36">
        <v>959.4</v>
      </c>
      <c r="N114" s="47">
        <f t="shared" si="159"/>
        <v>0.21999999999999997</v>
      </c>
      <c r="O114" s="48">
        <f>+'Trim Rwd'!H72</f>
        <v>258</v>
      </c>
      <c r="P114" s="49">
        <f t="shared" si="160"/>
        <v>152220</v>
      </c>
      <c r="Q114" s="48">
        <v>619</v>
      </c>
      <c r="R114" s="497">
        <v>0</v>
      </c>
      <c r="S114" s="497">
        <f>67-S113</f>
        <v>29</v>
      </c>
      <c r="T114" s="38">
        <f t="shared" si="161"/>
        <v>19.918352843999998</v>
      </c>
      <c r="U114" s="38">
        <f t="shared" si="162"/>
        <v>18.985182839999997</v>
      </c>
      <c r="V114" s="38">
        <f t="shared" si="163"/>
        <v>0.93317000400000005</v>
      </c>
      <c r="W114" s="38">
        <f>+'22'!K7/1000</f>
        <v>16.535</v>
      </c>
      <c r="X114" s="39"/>
      <c r="Y114" s="216"/>
      <c r="Z114" s="38">
        <f>+'20'!D33/1000</f>
        <v>2.7538726333907058E-5</v>
      </c>
      <c r="AA114" s="38"/>
      <c r="AB114" s="38"/>
      <c r="AC114" s="38"/>
      <c r="AD114" s="38">
        <f>+AM114+BA114</f>
        <v>6</v>
      </c>
      <c r="AE114" s="235" t="s">
        <v>508</v>
      </c>
      <c r="AF114" s="38"/>
      <c r="AG114" s="38">
        <v>6</v>
      </c>
      <c r="AH114" s="38"/>
      <c r="AI114" s="499"/>
      <c r="AJ114" s="38"/>
      <c r="AK114" s="38"/>
      <c r="AL114" s="38"/>
      <c r="AM114" s="38">
        <f t="shared" si="164"/>
        <v>6</v>
      </c>
      <c r="AN114" s="87"/>
      <c r="AO114" s="38"/>
      <c r="AP114" s="38"/>
      <c r="AQ114" s="38"/>
      <c r="AR114" s="38">
        <f t="shared" ref="AR114:AR115" si="165">SUM(AN114:AQ114)</f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>+AR114+AS114+AU114+AW114+AY114+AZ114</f>
        <v>0</v>
      </c>
      <c r="BB114" s="51"/>
      <c r="BC114" s="52">
        <v>2</v>
      </c>
      <c r="BD114" s="52"/>
      <c r="BE114" s="51"/>
      <c r="BF114" s="52"/>
    </row>
    <row r="115" spans="1:58" ht="12.95" customHeight="1">
      <c r="A115" s="41"/>
      <c r="B115" s="42"/>
      <c r="C115" s="411"/>
      <c r="D115" s="42"/>
      <c r="E115" s="43"/>
      <c r="F115" s="43"/>
      <c r="G115" s="44"/>
      <c r="H115" s="45"/>
      <c r="I115" s="46"/>
      <c r="J115" s="86"/>
      <c r="K115" s="86"/>
      <c r="L115" s="36"/>
      <c r="M115" s="36"/>
      <c r="N115" s="47"/>
      <c r="O115" s="48"/>
      <c r="P115" s="49"/>
      <c r="Q115" s="48"/>
      <c r="R115" s="497"/>
      <c r="S115" s="497"/>
      <c r="T115" s="38"/>
      <c r="U115" s="38"/>
      <c r="V115" s="38"/>
      <c r="W115" s="38"/>
      <c r="X115" s="39"/>
      <c r="Y115" s="216"/>
      <c r="Z115" s="38"/>
      <c r="AA115" s="38"/>
      <c r="AB115" s="38"/>
      <c r="AC115" s="38"/>
      <c r="AD115" s="38">
        <f>+AM115+BA115</f>
        <v>45</v>
      </c>
      <c r="AE115" s="235" t="s">
        <v>411</v>
      </c>
      <c r="AF115" s="34"/>
      <c r="AG115" s="34"/>
      <c r="AH115" s="34">
        <v>45</v>
      </c>
      <c r="AJ115" s="38"/>
      <c r="AK115" s="38"/>
      <c r="AL115" s="38"/>
      <c r="AM115" s="38">
        <f t="shared" si="164"/>
        <v>45</v>
      </c>
      <c r="AN115" s="38"/>
      <c r="AO115" s="38"/>
      <c r="AP115" s="38"/>
      <c r="AQ115" s="38"/>
      <c r="AR115" s="38">
        <f t="shared" si="165"/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/>
      <c r="BC115" s="500"/>
      <c r="BD115" s="500"/>
      <c r="BE115" s="34"/>
      <c r="BF115" s="500"/>
    </row>
    <row r="116" spans="1:58" ht="12.95" customHeight="1">
      <c r="A116" s="41"/>
      <c r="B116" s="42"/>
      <c r="C116" s="411"/>
      <c r="D116" s="42"/>
      <c r="E116" s="43"/>
      <c r="F116" s="43"/>
      <c r="G116" s="44"/>
      <c r="H116" s="45"/>
      <c r="I116" s="46"/>
      <c r="J116" s="86"/>
      <c r="K116" s="86"/>
      <c r="L116" s="36"/>
      <c r="M116" s="36"/>
      <c r="N116" s="47"/>
      <c r="O116" s="48"/>
      <c r="P116" s="49"/>
      <c r="Q116" s="35"/>
      <c r="R116" s="497"/>
      <c r="S116" s="497"/>
      <c r="T116" s="38"/>
      <c r="U116" s="38"/>
      <c r="V116" s="38"/>
      <c r="W116" s="38"/>
      <c r="X116" s="39"/>
      <c r="Y116" s="216"/>
      <c r="Z116" s="38"/>
      <c r="AA116" s="38"/>
      <c r="AB116" s="38"/>
      <c r="AC116" s="38"/>
      <c r="AD116" s="38"/>
      <c r="AE116" s="238"/>
      <c r="AF116" s="38"/>
      <c r="AG116" s="38"/>
      <c r="AH116" s="38"/>
      <c r="AI116" s="499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51"/>
      <c r="BC116" s="52"/>
      <c r="BD116" s="52"/>
      <c r="BE116" s="51"/>
      <c r="BF116" s="52"/>
    </row>
    <row r="117" spans="1:58" ht="12.75" customHeight="1">
      <c r="A117" s="41">
        <v>45892</v>
      </c>
      <c r="B117" s="42" t="s">
        <v>409</v>
      </c>
      <c r="C117" s="411">
        <f t="shared" ref="C117" si="166">(M117*E117*O117*Q117)/100000000</f>
        <v>46.138697279999988</v>
      </c>
      <c r="D117" s="42" t="s">
        <v>304</v>
      </c>
      <c r="E117" s="43">
        <v>13</v>
      </c>
      <c r="F117" s="43">
        <v>1</v>
      </c>
      <c r="G117" s="496">
        <v>1230</v>
      </c>
      <c r="H117" s="45">
        <f>+N117</f>
        <v>0.22333333333333349</v>
      </c>
      <c r="I117" s="46">
        <v>0.88</v>
      </c>
      <c r="J117" s="86">
        <f t="shared" ref="J117" si="167">E117*G117*(1-H117)*1440/1000000*2.74</f>
        <v>49.000011839999999</v>
      </c>
      <c r="K117" s="86">
        <f t="shared" ref="K117" si="168">(IF(G117&lt;L117,L117,G117)*(1-IF(H117&lt;N117,H117,N117))*E117*O117*Q117)/100000000</f>
        <v>46.138697279999988</v>
      </c>
      <c r="L117" s="36">
        <v>1230</v>
      </c>
      <c r="M117" s="36">
        <v>955.29999999999984</v>
      </c>
      <c r="N117" s="47">
        <f t="shared" ref="N117" si="169">1-(M117/L117)</f>
        <v>0.22333333333333349</v>
      </c>
      <c r="O117" s="48">
        <f>+'Trim Rwd'!H74</f>
        <v>258</v>
      </c>
      <c r="P117" s="49">
        <f t="shared" ref="P117" si="170">O117*(Q117-R117-S117)</f>
        <v>355782</v>
      </c>
      <c r="Q117" s="48">
        <v>1440</v>
      </c>
      <c r="R117" s="497">
        <v>0</v>
      </c>
      <c r="S117" s="497">
        <v>61</v>
      </c>
      <c r="T117" s="38">
        <f t="shared" ref="T117" si="171">E117*M117*O117*Q117/100000000</f>
        <v>46.138697279999988</v>
      </c>
      <c r="U117" s="38">
        <f t="shared" ref="U117" si="172">E117*M117*O117*(Q117-R117-S117)/100000000</f>
        <v>44.184210797999995</v>
      </c>
      <c r="V117" s="38">
        <f t="shared" ref="V117" si="173">E117*G117*(1-N117)*O117/100*(R117+S117)/1000000</f>
        <v>1.9544864819999994</v>
      </c>
      <c r="W117" s="38">
        <f>+'23'!K7/1000</f>
        <v>41.915999999999997</v>
      </c>
      <c r="X117" s="498">
        <f>SUM(W117:W121)/SUM(K117:K121)</f>
        <v>0.90847818579762052</v>
      </c>
      <c r="Y117" s="216">
        <v>0</v>
      </c>
      <c r="Z117" s="38">
        <f>+'23'!D34/1000</f>
        <v>0.56999999999999995</v>
      </c>
      <c r="AA117" s="50">
        <f>SUM(U117:U121)-SUM(W117:W121)-SUM(Z117:Z121)-SUM(Y117:Y121)</f>
        <v>1.6982107979999985</v>
      </c>
      <c r="AB117" s="50">
        <f>(SUM(K117:K121)-SUM(W117:W121)-SUM(Y117:Y121)-SUM(Z117:Z121)-SUM(AC117:AC121)-SUM(V117:V121))-AA117</f>
        <v>-6.4392935428259079E-15</v>
      </c>
      <c r="AC117" s="38">
        <f>K117-T117</f>
        <v>0</v>
      </c>
      <c r="AD117" s="38">
        <f>+AM117+BA117</f>
        <v>16</v>
      </c>
      <c r="AE117" s="235" t="s">
        <v>608</v>
      </c>
      <c r="AF117" s="38">
        <v>16</v>
      </c>
      <c r="AG117" s="38"/>
      <c r="AH117" s="38"/>
      <c r="AI117" s="499"/>
      <c r="AJ117" s="38"/>
      <c r="AK117" s="38"/>
      <c r="AL117" s="38"/>
      <c r="AM117" s="38">
        <f t="shared" ref="AM117:AM120" si="174">SUM(AF117:AL117)+AT117+AV117+AX117</f>
        <v>16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>
        <v>7</v>
      </c>
      <c r="BC117" s="52"/>
      <c r="BD117" s="52"/>
      <c r="BE117" s="34"/>
      <c r="BF117" s="52"/>
    </row>
    <row r="118" spans="1:58" ht="12.95" customHeight="1">
      <c r="A118" s="41"/>
      <c r="B118" s="42"/>
      <c r="C118" s="411"/>
      <c r="D118" s="42"/>
      <c r="E118" s="43"/>
      <c r="F118" s="43"/>
      <c r="G118" s="496"/>
      <c r="H118" s="45"/>
      <c r="I118" s="46"/>
      <c r="J118" s="86"/>
      <c r="K118" s="86"/>
      <c r="L118" s="36"/>
      <c r="M118" s="36"/>
      <c r="N118" s="47"/>
      <c r="O118" s="48"/>
      <c r="P118" s="49"/>
      <c r="Q118" s="48"/>
      <c r="R118" s="497"/>
      <c r="S118" s="497"/>
      <c r="T118" s="38"/>
      <c r="U118" s="38"/>
      <c r="V118" s="38"/>
      <c r="W118" s="38"/>
      <c r="X118" s="39"/>
      <c r="Y118" s="216"/>
      <c r="Z118" s="38"/>
      <c r="AA118" s="38"/>
      <c r="AB118" s="38"/>
      <c r="AC118" s="38"/>
      <c r="AD118" s="38">
        <f>+AM118+BA118</f>
        <v>2</v>
      </c>
      <c r="AE118" s="235" t="s">
        <v>607</v>
      </c>
      <c r="AF118" s="38"/>
      <c r="AG118" s="38">
        <v>2</v>
      </c>
      <c r="AH118" s="38"/>
      <c r="AI118" s="499"/>
      <c r="AJ118" s="38"/>
      <c r="AK118" s="38"/>
      <c r="AL118" s="38"/>
      <c r="AM118" s="38">
        <f t="shared" si="174"/>
        <v>2</v>
      </c>
      <c r="AN118" s="87"/>
      <c r="AO118" s="38"/>
      <c r="AP118" s="38"/>
      <c r="AQ118" s="38"/>
      <c r="AR118" s="38">
        <f t="shared" ref="AR118:AR120" si="175">SUM(AN118:AQ118)</f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>+AR118+AS118+AU118+AW118+AY118+AZ118</f>
        <v>0</v>
      </c>
      <c r="BB118" s="51"/>
      <c r="BC118" s="52">
        <v>1</v>
      </c>
      <c r="BD118" s="52"/>
      <c r="BE118" s="51"/>
      <c r="BF118" s="52"/>
    </row>
    <row r="119" spans="1:58" ht="12.95" customHeight="1">
      <c r="A119" s="41"/>
      <c r="B119" s="42"/>
      <c r="C119" s="411"/>
      <c r="D119" s="42"/>
      <c r="E119" s="43"/>
      <c r="F119" s="43"/>
      <c r="G119" s="44"/>
      <c r="H119" s="45"/>
      <c r="I119" s="46"/>
      <c r="J119" s="86"/>
      <c r="K119" s="86"/>
      <c r="L119" s="36"/>
      <c r="M119" s="36"/>
      <c r="N119" s="47"/>
      <c r="O119" s="48"/>
      <c r="P119" s="49"/>
      <c r="Q119" s="48"/>
      <c r="R119" s="497"/>
      <c r="S119" s="497"/>
      <c r="T119" s="38"/>
      <c r="U119" s="38"/>
      <c r="V119" s="38"/>
      <c r="W119" s="38"/>
      <c r="X119" s="39"/>
      <c r="Y119" s="216"/>
      <c r="Z119" s="38"/>
      <c r="AA119" s="38"/>
      <c r="AB119" s="38"/>
      <c r="AC119" s="38"/>
      <c r="AD119" s="38">
        <f>+AM119+BA119</f>
        <v>43</v>
      </c>
      <c r="AE119" s="235" t="s">
        <v>567</v>
      </c>
      <c r="AF119" s="34"/>
      <c r="AG119" s="34"/>
      <c r="AH119" s="34">
        <v>43</v>
      </c>
      <c r="AJ119" s="38"/>
      <c r="AK119" s="38"/>
      <c r="AL119" s="38"/>
      <c r="AM119" s="38">
        <f t="shared" si="174"/>
        <v>43</v>
      </c>
      <c r="AN119" s="38"/>
      <c r="AO119" s="38"/>
      <c r="AP119" s="38"/>
      <c r="AQ119" s="38"/>
      <c r="AR119" s="38">
        <f t="shared" si="175"/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/>
      <c r="BC119" s="500"/>
      <c r="BD119" s="500"/>
      <c r="BE119" s="34"/>
      <c r="BF119" s="500"/>
    </row>
    <row r="120" spans="1:58" ht="12.95" customHeight="1">
      <c r="A120" s="41"/>
      <c r="B120" s="42"/>
      <c r="C120" s="411"/>
      <c r="D120" s="42"/>
      <c r="E120" s="43"/>
      <c r="F120" s="43"/>
      <c r="G120" s="44"/>
      <c r="H120" s="594"/>
      <c r="I120" s="46"/>
      <c r="J120" s="86"/>
      <c r="K120" s="86"/>
      <c r="L120" s="36"/>
      <c r="M120" s="36"/>
      <c r="N120" s="47"/>
      <c r="O120" s="48"/>
      <c r="P120" s="49"/>
      <c r="Q120" s="35"/>
      <c r="R120" s="497"/>
      <c r="S120" s="497"/>
      <c r="T120" s="38"/>
      <c r="U120" s="38"/>
      <c r="V120" s="38"/>
      <c r="W120" s="38"/>
      <c r="X120" s="39"/>
      <c r="Y120" s="216"/>
      <c r="Z120" s="38"/>
      <c r="AA120" s="38"/>
      <c r="AB120" s="38"/>
      <c r="AC120" s="38"/>
      <c r="AD120" s="38">
        <f>+AM120+BA120</f>
        <v>0</v>
      </c>
      <c r="AE120" s="238" t="s">
        <v>380</v>
      </c>
      <c r="AF120" s="38"/>
      <c r="AG120" s="38"/>
      <c r="AH120" s="38"/>
      <c r="AI120" s="499">
        <v>0</v>
      </c>
      <c r="AJ120" s="38"/>
      <c r="AK120" s="38"/>
      <c r="AL120" s="38"/>
      <c r="AM120" s="38">
        <f t="shared" si="174"/>
        <v>0</v>
      </c>
      <c r="AN120" s="38"/>
      <c r="AO120" s="38"/>
      <c r="AP120" s="38"/>
      <c r="AQ120" s="38"/>
      <c r="AR120" s="38">
        <f t="shared" si="175"/>
        <v>0</v>
      </c>
      <c r="AS120" s="38"/>
      <c r="AT120" s="38"/>
      <c r="AU120" s="38"/>
      <c r="AV120" s="38"/>
      <c r="AW120" s="38"/>
      <c r="AX120" s="38"/>
      <c r="AY120" s="38"/>
      <c r="AZ120" s="38"/>
      <c r="BA120" s="38">
        <f>+AR120+AS120+AU120+AW120+AY120+AZ120</f>
        <v>0</v>
      </c>
      <c r="BB120" s="51"/>
      <c r="BC120" s="52"/>
      <c r="BD120" s="52"/>
      <c r="BE120" s="51"/>
      <c r="BF120" s="52"/>
    </row>
    <row r="121" spans="1:58" ht="12.95" customHeight="1">
      <c r="A121" s="41"/>
      <c r="B121" s="42"/>
      <c r="C121" s="411"/>
      <c r="D121" s="42"/>
      <c r="E121" s="43"/>
      <c r="F121" s="43"/>
      <c r="G121" s="44"/>
      <c r="H121" s="594"/>
      <c r="I121" s="46"/>
      <c r="J121" s="86"/>
      <c r="K121" s="86"/>
      <c r="L121" s="36"/>
      <c r="M121" s="36"/>
      <c r="N121" s="47"/>
      <c r="O121" s="48"/>
      <c r="P121" s="49"/>
      <c r="Q121" s="48"/>
      <c r="R121" s="497"/>
      <c r="S121" s="497"/>
      <c r="T121" s="38"/>
      <c r="U121" s="38"/>
      <c r="V121" s="38"/>
      <c r="W121" s="38"/>
      <c r="X121" s="39"/>
      <c r="Y121" s="216"/>
      <c r="Z121" s="38"/>
      <c r="AA121" s="38"/>
      <c r="AB121" s="38"/>
      <c r="AC121" s="38"/>
      <c r="AD121" s="38"/>
      <c r="AE121" s="235"/>
      <c r="AF121" s="34"/>
      <c r="AG121" s="34"/>
      <c r="AH121" s="34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4"/>
      <c r="BC121" s="500"/>
      <c r="BD121" s="52"/>
      <c r="BE121" s="52"/>
      <c r="BF121" s="52"/>
    </row>
    <row r="122" spans="1:58" ht="12.75" customHeight="1">
      <c r="A122" s="41">
        <v>45893</v>
      </c>
      <c r="B122" s="42" t="s">
        <v>409</v>
      </c>
      <c r="C122" s="411">
        <f t="shared" ref="C122" si="176">(M122*E122*O122*Q122)/100000000</f>
        <v>46.336717439999994</v>
      </c>
      <c r="D122" s="42" t="s">
        <v>304</v>
      </c>
      <c r="E122" s="43">
        <v>13</v>
      </c>
      <c r="F122" s="43">
        <v>1</v>
      </c>
      <c r="G122" s="496">
        <v>1230</v>
      </c>
      <c r="H122" s="594">
        <v>0.22</v>
      </c>
      <c r="I122" s="46">
        <v>0.88</v>
      </c>
      <c r="J122" s="86">
        <f t="shared" ref="J122" si="177">E122*G122*(1-H122)*1440/1000000*2.74</f>
        <v>49.210312320000007</v>
      </c>
      <c r="K122" s="86">
        <f t="shared" ref="K122" si="178">(IF(G122&lt;L122,L122,G122)*(1-IF(H122&lt;N122,H122,N122))*E122*O122*Q122)/100000000</f>
        <v>46.336717439999994</v>
      </c>
      <c r="L122" s="36">
        <v>1230</v>
      </c>
      <c r="M122" s="36">
        <v>959.4</v>
      </c>
      <c r="N122" s="47">
        <f t="shared" ref="N122" si="179">1-(M122/L122)</f>
        <v>0.21999999999999997</v>
      </c>
      <c r="O122" s="48">
        <f>+'Trim Rwd'!H76</f>
        <v>258</v>
      </c>
      <c r="P122" s="49">
        <f t="shared" ref="P122" si="180">O122*(Q122-R122-S122)</f>
        <v>356814</v>
      </c>
      <c r="Q122" s="48">
        <v>1440</v>
      </c>
      <c r="R122" s="497">
        <v>0</v>
      </c>
      <c r="S122" s="497">
        <v>57</v>
      </c>
      <c r="T122" s="38">
        <f t="shared" ref="T122" si="181">E122*M122*O122*Q122/100000000</f>
        <v>46.336717439999994</v>
      </c>
      <c r="U122" s="38">
        <f t="shared" ref="U122" si="182">E122*M122*O122*(Q122-R122-S122)/100000000</f>
        <v>44.502555707999996</v>
      </c>
      <c r="V122" s="38">
        <f t="shared" ref="V122" si="183">E122*G122*(1-N122)*O122/100*(R122+S122)/1000000</f>
        <v>1.8341617320000001</v>
      </c>
      <c r="W122" s="38">
        <f>+'24'!K7/1000</f>
        <v>44.848999999999997</v>
      </c>
      <c r="X122" s="498">
        <f>SUM(W122:W126)/SUM(K122:K126)</f>
        <v>0.96789333551893486</v>
      </c>
      <c r="Y122" s="216">
        <v>0</v>
      </c>
      <c r="Z122" s="38">
        <v>0</v>
      </c>
      <c r="AA122" s="50">
        <f>SUM(U122:U126)-SUM(W122:W126)-SUM(Z122:Z126)-SUM(Y122:Y126)</f>
        <v>-0.34644429200000104</v>
      </c>
      <c r="AB122" s="50">
        <f>(SUM(K122:K126)-SUM(W122:W126)-SUM(Y122:Y126)-SUM(Z122:Z126)-SUM(AC122:AC126)-SUM(V122:V126))-AA122</f>
        <v>-1.7763568394002505E-15</v>
      </c>
      <c r="AC122" s="38">
        <f>K122-T122</f>
        <v>0</v>
      </c>
      <c r="AD122" s="38">
        <f>+AM122+BA122</f>
        <v>14</v>
      </c>
      <c r="AE122" s="235" t="s">
        <v>436</v>
      </c>
      <c r="AF122" s="38">
        <v>14</v>
      </c>
      <c r="AG122" s="38"/>
      <c r="AH122" s="38"/>
      <c r="AI122" s="499"/>
      <c r="AJ122" s="38"/>
      <c r="AK122" s="38"/>
      <c r="AL122" s="38"/>
      <c r="AM122" s="38">
        <f t="shared" ref="AM122:AM125" si="184">SUM(AF122:AL122)+AT122+AV122+AX122</f>
        <v>14</v>
      </c>
      <c r="AN122" s="38"/>
      <c r="AO122" s="38"/>
      <c r="AP122" s="38"/>
      <c r="AQ122" s="38"/>
      <c r="AR122" s="38">
        <f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>+AR122+AS122+AU122+AW122+AY122+AZ122</f>
        <v>0</v>
      </c>
      <c r="BB122" s="34">
        <v>6</v>
      </c>
      <c r="BC122" s="52"/>
      <c r="BD122" s="52"/>
      <c r="BE122" s="34"/>
      <c r="BF122" s="52"/>
    </row>
    <row r="123" spans="1:58" ht="12.95" customHeight="1">
      <c r="A123" s="41"/>
      <c r="B123" s="42"/>
      <c r="C123" s="411"/>
      <c r="D123" s="42"/>
      <c r="E123" s="43"/>
      <c r="F123" s="43"/>
      <c r="G123" s="496"/>
      <c r="H123" s="594"/>
      <c r="I123" s="46"/>
      <c r="J123" s="86"/>
      <c r="K123" s="86"/>
      <c r="L123" s="36"/>
      <c r="M123" s="36"/>
      <c r="N123" s="47"/>
      <c r="O123" s="48"/>
      <c r="P123" s="49"/>
      <c r="Q123" s="48"/>
      <c r="R123" s="497"/>
      <c r="S123" s="497"/>
      <c r="T123" s="38"/>
      <c r="U123" s="38"/>
      <c r="V123" s="38"/>
      <c r="W123" s="38"/>
      <c r="X123" s="39"/>
      <c r="Y123" s="216"/>
      <c r="Z123" s="38"/>
      <c r="AA123" s="38"/>
      <c r="AB123" s="38"/>
      <c r="AC123" s="38"/>
      <c r="AD123" s="38">
        <f>+AM123+BA123</f>
        <v>4</v>
      </c>
      <c r="AE123" s="235" t="s">
        <v>508</v>
      </c>
      <c r="AF123" s="38"/>
      <c r="AG123" s="38">
        <v>4</v>
      </c>
      <c r="AH123" s="38"/>
      <c r="AI123" s="499"/>
      <c r="AJ123" s="38"/>
      <c r="AK123" s="38"/>
      <c r="AL123" s="38"/>
      <c r="AM123" s="38">
        <f t="shared" si="184"/>
        <v>4</v>
      </c>
      <c r="AN123" s="87"/>
      <c r="AO123" s="38"/>
      <c r="AP123" s="38"/>
      <c r="AQ123" s="38"/>
      <c r="AR123" s="38">
        <f t="shared" ref="AR123:AR125" si="185">SUM(AN123:AQ123)</f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51"/>
      <c r="BC123" s="52">
        <v>2</v>
      </c>
      <c r="BD123" s="52"/>
      <c r="BE123" s="51"/>
      <c r="BF123" s="52"/>
    </row>
    <row r="124" spans="1:58" ht="12.95" customHeight="1">
      <c r="A124" s="41"/>
      <c r="B124" s="42"/>
      <c r="C124" s="411"/>
      <c r="D124" s="42"/>
      <c r="E124" s="43"/>
      <c r="F124" s="43"/>
      <c r="G124" s="44"/>
      <c r="H124" s="594"/>
      <c r="I124" s="46"/>
      <c r="J124" s="86"/>
      <c r="K124" s="86"/>
      <c r="L124" s="36"/>
      <c r="M124" s="36"/>
      <c r="N124" s="47"/>
      <c r="O124" s="48"/>
      <c r="P124" s="49"/>
      <c r="Q124" s="48"/>
      <c r="R124" s="497"/>
      <c r="S124" s="497"/>
      <c r="T124" s="38"/>
      <c r="U124" s="38"/>
      <c r="V124" s="38"/>
      <c r="W124" s="38"/>
      <c r="X124" s="39"/>
      <c r="Y124" s="216"/>
      <c r="Z124" s="38"/>
      <c r="AA124" s="38"/>
      <c r="AB124" s="38"/>
      <c r="AC124" s="38"/>
      <c r="AD124" s="38">
        <f>+AM124+BA124</f>
        <v>39</v>
      </c>
      <c r="AE124" s="235" t="s">
        <v>411</v>
      </c>
      <c r="AF124" s="34"/>
      <c r="AG124" s="34"/>
      <c r="AH124" s="34">
        <v>39</v>
      </c>
      <c r="AJ124" s="38"/>
      <c r="AK124" s="38"/>
      <c r="AL124" s="38"/>
      <c r="AM124" s="38">
        <f t="shared" si="184"/>
        <v>39</v>
      </c>
      <c r="AN124" s="38"/>
      <c r="AO124" s="38"/>
      <c r="AP124" s="38"/>
      <c r="AQ124" s="38"/>
      <c r="AR124" s="38">
        <f t="shared" si="185"/>
        <v>0</v>
      </c>
      <c r="AS124" s="38"/>
      <c r="AT124" s="38"/>
      <c r="AU124" s="38"/>
      <c r="AV124" s="38"/>
      <c r="AW124" s="38"/>
      <c r="AX124" s="38"/>
      <c r="AY124" s="38"/>
      <c r="AZ124" s="38"/>
      <c r="BA124" s="38">
        <f>+AR124+AS124+AU124+AW124+AY124+AZ124</f>
        <v>0</v>
      </c>
      <c r="BB124" s="34"/>
      <c r="BC124" s="500"/>
      <c r="BD124" s="500"/>
      <c r="BE124" s="34"/>
      <c r="BF124" s="500"/>
    </row>
    <row r="125" spans="1:58" ht="12.95" customHeight="1">
      <c r="A125" s="41"/>
      <c r="B125" s="42"/>
      <c r="C125" s="411"/>
      <c r="D125" s="42"/>
      <c r="E125" s="43"/>
      <c r="F125" s="43"/>
      <c r="G125" s="44"/>
      <c r="H125" s="594"/>
      <c r="I125" s="46"/>
      <c r="J125" s="86"/>
      <c r="K125" s="86"/>
      <c r="L125" s="36"/>
      <c r="M125" s="36"/>
      <c r="N125" s="47"/>
      <c r="O125" s="48"/>
      <c r="P125" s="49"/>
      <c r="Q125" s="35"/>
      <c r="R125" s="497"/>
      <c r="S125" s="497"/>
      <c r="T125" s="38"/>
      <c r="U125" s="38"/>
      <c r="V125" s="38"/>
      <c r="W125" s="38"/>
      <c r="X125" s="39"/>
      <c r="Y125" s="216"/>
      <c r="Z125" s="38"/>
      <c r="AA125" s="38"/>
      <c r="AB125" s="38"/>
      <c r="AC125" s="38"/>
      <c r="AD125" s="38">
        <f>+AM125+BA125</f>
        <v>0</v>
      </c>
      <c r="AE125" s="238" t="s">
        <v>380</v>
      </c>
      <c r="AF125" s="38"/>
      <c r="AG125" s="38"/>
      <c r="AH125" s="38"/>
      <c r="AI125" s="499">
        <v>0</v>
      </c>
      <c r="AJ125" s="38"/>
      <c r="AK125" s="38"/>
      <c r="AL125" s="38"/>
      <c r="AM125" s="38">
        <f t="shared" si="184"/>
        <v>0</v>
      </c>
      <c r="AN125" s="38"/>
      <c r="AO125" s="38"/>
      <c r="AP125" s="38"/>
      <c r="AQ125" s="38"/>
      <c r="AR125" s="38">
        <f t="shared" si="185"/>
        <v>0</v>
      </c>
      <c r="AS125" s="38"/>
      <c r="AT125" s="38"/>
      <c r="AU125" s="38"/>
      <c r="AV125" s="38"/>
      <c r="AW125" s="38"/>
      <c r="AX125" s="38"/>
      <c r="AY125" s="38"/>
      <c r="AZ125" s="38"/>
      <c r="BA125" s="38">
        <f>+AR125+AS125+AU125+AW125+AY125+AZ125</f>
        <v>0</v>
      </c>
      <c r="BB125" s="51"/>
      <c r="BC125" s="52"/>
      <c r="BD125" s="52"/>
      <c r="BE125" s="51"/>
      <c r="BF125" s="52"/>
    </row>
    <row r="126" spans="1:58" ht="12.95" customHeight="1">
      <c r="A126" s="41"/>
      <c r="B126" s="42"/>
      <c r="C126" s="411"/>
      <c r="D126" s="42"/>
      <c r="E126" s="43"/>
      <c r="F126" s="43"/>
      <c r="G126" s="44"/>
      <c r="H126" s="594"/>
      <c r="I126" s="46"/>
      <c r="J126" s="86"/>
      <c r="K126" s="86"/>
      <c r="L126" s="36"/>
      <c r="M126" s="36"/>
      <c r="N126" s="47"/>
      <c r="O126" s="48"/>
      <c r="P126" s="49"/>
      <c r="Q126" s="48"/>
      <c r="R126" s="497"/>
      <c r="S126" s="497"/>
      <c r="T126" s="38"/>
      <c r="U126" s="38"/>
      <c r="V126" s="38"/>
      <c r="W126" s="38"/>
      <c r="X126" s="39"/>
      <c r="Y126" s="216"/>
      <c r="Z126" s="38"/>
      <c r="AA126" s="38"/>
      <c r="AB126" s="38"/>
      <c r="AC126" s="38"/>
      <c r="AD126" s="38"/>
      <c r="AE126" s="235"/>
      <c r="AF126" s="34"/>
      <c r="AG126" s="34"/>
      <c r="AH126" s="34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4"/>
      <c r="BC126" s="500"/>
      <c r="BD126" s="52"/>
      <c r="BE126" s="52"/>
      <c r="BF126" s="52"/>
    </row>
    <row r="127" spans="1:58" ht="12.75" customHeight="1">
      <c r="A127" s="41">
        <v>45894</v>
      </c>
      <c r="B127" s="42" t="s">
        <v>409</v>
      </c>
      <c r="C127" s="411">
        <f t="shared" ref="C127" si="186">(M127*E127*O127*Q127)/100000000</f>
        <v>45.756129978000004</v>
      </c>
      <c r="D127" s="42" t="s">
        <v>304</v>
      </c>
      <c r="E127" s="43">
        <v>13</v>
      </c>
      <c r="F127" s="43">
        <v>1</v>
      </c>
      <c r="G127" s="496">
        <v>1230</v>
      </c>
      <c r="H127" s="594">
        <f>+N127</f>
        <v>0.22777200400767572</v>
      </c>
      <c r="I127" s="46">
        <v>0.88</v>
      </c>
      <c r="J127" s="86">
        <f t="shared" ref="J127" si="187">E127*G127*(1-H127)*1440/1000000*2.74</f>
        <v>48.719975467987162</v>
      </c>
      <c r="K127" s="86">
        <f t="shared" ref="K127" si="188">(IF(G127&lt;L127,L127,G127)*(1-IF(H127&lt;N127,H127,N127))*E127*O127*Q127)/100000000</f>
        <v>45.875013396863835</v>
      </c>
      <c r="L127" s="36">
        <v>1226.8125</v>
      </c>
      <c r="M127" s="36">
        <v>947.37895833333334</v>
      </c>
      <c r="N127" s="47">
        <f t="shared" ref="N127" si="189">1-(M127/L127)</f>
        <v>0.22777200400767572</v>
      </c>
      <c r="O127" s="48">
        <f>+'Trim Rwd'!H78</f>
        <v>258</v>
      </c>
      <c r="P127" s="49">
        <f t="shared" ref="P127" si="190">O127*(Q127-R127-S127)</f>
        <v>354492</v>
      </c>
      <c r="Q127" s="48">
        <v>1440</v>
      </c>
      <c r="R127" s="497">
        <v>0</v>
      </c>
      <c r="S127" s="497">
        <v>66</v>
      </c>
      <c r="T127" s="38">
        <f t="shared" ref="T127" si="191">E127*M127*O127*Q127/100000000</f>
        <v>45.756129978000004</v>
      </c>
      <c r="U127" s="38">
        <f t="shared" ref="U127" si="192">E127*M127*O127*(Q127-R127-S127)/100000000</f>
        <v>43.658974020675004</v>
      </c>
      <c r="V127" s="38">
        <f t="shared" ref="V127" si="193">E127*G127*(1-N127)*O127/100*(R127+S127)/1000000</f>
        <v>2.1026047806895916</v>
      </c>
      <c r="W127" s="38">
        <f>+'25'!K7/1000</f>
        <v>40.912999999999997</v>
      </c>
      <c r="X127" s="498">
        <f>SUM(W127:W131)/SUM(K127:K131)</f>
        <v>0.89183625181888104</v>
      </c>
      <c r="Y127" s="216">
        <v>0</v>
      </c>
      <c r="Z127" s="38">
        <f>+'25'!D34/1000</f>
        <v>0.89700000000000002</v>
      </c>
      <c r="AA127" s="50">
        <f>SUM(U127:U131)-SUM(W127:W131)-SUM(Z127:Z131)-SUM(Y127:Y131)</f>
        <v>1.8489740206750069</v>
      </c>
      <c r="AB127" s="50">
        <f>(SUM(K127:K131)-SUM(W127:W131)-SUM(Y127:Y131)-SUM(Z127:Z131)-SUM(AC127:AC131)-SUM(V127:V131))-AA127</f>
        <v>-5.4488233645912931E-3</v>
      </c>
      <c r="AC127" s="38">
        <f>K127-T127</f>
        <v>0.11888341886383103</v>
      </c>
      <c r="AD127" s="38">
        <f>+AM127+BA127</f>
        <v>14</v>
      </c>
      <c r="AE127" s="235" t="s">
        <v>436</v>
      </c>
      <c r="AF127" s="38">
        <v>14</v>
      </c>
      <c r="AG127" s="38"/>
      <c r="AH127" s="38"/>
      <c r="AI127" s="499"/>
      <c r="AJ127" s="38"/>
      <c r="AK127" s="38"/>
      <c r="AL127" s="38"/>
      <c r="AM127" s="38">
        <f t="shared" ref="AM127:AM130" si="194">SUM(AF127:AL127)+AT127+AV127+AX127</f>
        <v>14</v>
      </c>
      <c r="AN127" s="38"/>
      <c r="AO127" s="38"/>
      <c r="AP127" s="38"/>
      <c r="AQ127" s="38"/>
      <c r="AR127" s="38">
        <f>SUM(AN127:AQ127)</f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>+AR127+AS127+AU127+AW127+AY127+AZ127</f>
        <v>0</v>
      </c>
      <c r="BB127" s="34">
        <v>6</v>
      </c>
      <c r="BC127" s="52"/>
      <c r="BD127" s="52"/>
      <c r="BE127" s="34"/>
      <c r="BF127" s="52"/>
    </row>
    <row r="128" spans="1:58" ht="12.95" customHeight="1">
      <c r="A128" s="41"/>
      <c r="B128" s="42"/>
      <c r="C128" s="411"/>
      <c r="D128" s="42"/>
      <c r="E128" s="43"/>
      <c r="F128" s="43"/>
      <c r="G128" s="496"/>
      <c r="H128" s="594"/>
      <c r="I128" s="46"/>
      <c r="J128" s="86"/>
      <c r="K128" s="86"/>
      <c r="L128" s="36"/>
      <c r="M128" s="36"/>
      <c r="N128" s="47"/>
      <c r="O128" s="48"/>
      <c r="P128" s="49"/>
      <c r="Q128" s="48"/>
      <c r="R128" s="497"/>
      <c r="S128" s="497"/>
      <c r="T128" s="38"/>
      <c r="U128" s="38"/>
      <c r="V128" s="38"/>
      <c r="W128" s="38"/>
      <c r="X128" s="39"/>
      <c r="Y128" s="216"/>
      <c r="Z128" s="38"/>
      <c r="AA128" s="38"/>
      <c r="AB128" s="38"/>
      <c r="AC128" s="38"/>
      <c r="AD128" s="38">
        <f>+AM128+BA128</f>
        <v>0</v>
      </c>
      <c r="AE128" s="235" t="s">
        <v>286</v>
      </c>
      <c r="AF128" s="38"/>
      <c r="AG128" s="38">
        <v>0</v>
      </c>
      <c r="AH128" s="38"/>
      <c r="AI128" s="499"/>
      <c r="AJ128" s="38"/>
      <c r="AK128" s="38"/>
      <c r="AL128" s="38"/>
      <c r="AM128" s="38">
        <f t="shared" si="194"/>
        <v>0</v>
      </c>
      <c r="AN128" s="87"/>
      <c r="AO128" s="38"/>
      <c r="AP128" s="38"/>
      <c r="AQ128" s="38"/>
      <c r="AR128" s="38">
        <f t="shared" ref="AR128:AR130" si="195">SUM(AN128:AQ128)</f>
        <v>0</v>
      </c>
      <c r="AS128" s="38"/>
      <c r="AT128" s="38"/>
      <c r="AU128" s="38"/>
      <c r="AV128" s="38"/>
      <c r="AW128" s="38"/>
      <c r="AX128" s="38"/>
      <c r="AY128" s="38"/>
      <c r="AZ128" s="38"/>
      <c r="BA128" s="38">
        <f>+AR128+AS128+AU128+AW128+AY128+AZ128</f>
        <v>0</v>
      </c>
      <c r="BB128" s="51"/>
      <c r="BC128" s="52">
        <v>0</v>
      </c>
      <c r="BD128" s="52"/>
      <c r="BE128" s="51"/>
      <c r="BF128" s="52"/>
    </row>
    <row r="129" spans="1:58" ht="12.95" customHeight="1">
      <c r="A129" s="41"/>
      <c r="B129" s="42"/>
      <c r="C129" s="411"/>
      <c r="D129" s="42"/>
      <c r="E129" s="43"/>
      <c r="F129" s="43"/>
      <c r="G129" s="44"/>
      <c r="H129" s="594"/>
      <c r="I129" s="46"/>
      <c r="J129" s="86"/>
      <c r="K129" s="86"/>
      <c r="L129" s="36"/>
      <c r="M129" s="36"/>
      <c r="N129" s="47"/>
      <c r="O129" s="48"/>
      <c r="P129" s="49"/>
      <c r="Q129" s="48"/>
      <c r="R129" s="497"/>
      <c r="S129" s="497"/>
      <c r="T129" s="38"/>
      <c r="U129" s="38"/>
      <c r="V129" s="38"/>
      <c r="W129" s="38"/>
      <c r="X129" s="39"/>
      <c r="Y129" s="216"/>
      <c r="Z129" s="38"/>
      <c r="AA129" s="38"/>
      <c r="AB129" s="38"/>
      <c r="AC129" s="38"/>
      <c r="AD129" s="38">
        <f>+AM129+BA129</f>
        <v>52</v>
      </c>
      <c r="AE129" s="235" t="s">
        <v>567</v>
      </c>
      <c r="AF129" s="34"/>
      <c r="AG129" s="34"/>
      <c r="AH129" s="34">
        <v>52</v>
      </c>
      <c r="AJ129" s="38"/>
      <c r="AK129" s="38"/>
      <c r="AL129" s="38"/>
      <c r="AM129" s="38">
        <f t="shared" si="194"/>
        <v>52</v>
      </c>
      <c r="AN129" s="38"/>
      <c r="AO129" s="38"/>
      <c r="AP129" s="38"/>
      <c r="AQ129" s="38"/>
      <c r="AR129" s="38">
        <f t="shared" si="195"/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0</v>
      </c>
      <c r="BB129" s="34"/>
      <c r="BC129" s="500"/>
      <c r="BD129" s="500"/>
      <c r="BE129" s="34"/>
      <c r="BF129" s="500"/>
    </row>
    <row r="130" spans="1:58" ht="12.95" customHeight="1">
      <c r="A130" s="41"/>
      <c r="B130" s="42"/>
      <c r="C130" s="411"/>
      <c r="D130" s="42"/>
      <c r="E130" s="43"/>
      <c r="F130" s="43"/>
      <c r="G130" s="44"/>
      <c r="H130" s="594"/>
      <c r="I130" s="46"/>
      <c r="J130" s="86"/>
      <c r="K130" s="86"/>
      <c r="L130" s="36"/>
      <c r="M130" s="36"/>
      <c r="N130" s="47"/>
      <c r="O130" s="48"/>
      <c r="P130" s="49"/>
      <c r="Q130" s="35"/>
      <c r="R130" s="497"/>
      <c r="S130" s="497"/>
      <c r="T130" s="38"/>
      <c r="U130" s="38"/>
      <c r="V130" s="38"/>
      <c r="W130" s="38"/>
      <c r="X130" s="39"/>
      <c r="Y130" s="216"/>
      <c r="Z130" s="38"/>
      <c r="AA130" s="38"/>
      <c r="AB130" s="38"/>
      <c r="AC130" s="38"/>
      <c r="AD130" s="38">
        <f>+AM130+BA130</f>
        <v>0</v>
      </c>
      <c r="AE130" s="238" t="s">
        <v>380</v>
      </c>
      <c r="AF130" s="38"/>
      <c r="AG130" s="38"/>
      <c r="AH130" s="38"/>
      <c r="AI130" s="499">
        <v>0</v>
      </c>
      <c r="AJ130" s="38"/>
      <c r="AK130" s="38"/>
      <c r="AL130" s="38"/>
      <c r="AM130" s="38">
        <f t="shared" si="194"/>
        <v>0</v>
      </c>
      <c r="AN130" s="38"/>
      <c r="AO130" s="38"/>
      <c r="AP130" s="38"/>
      <c r="AQ130" s="38"/>
      <c r="AR130" s="38">
        <f t="shared" si="195"/>
        <v>0</v>
      </c>
      <c r="AS130" s="38"/>
      <c r="AT130" s="38"/>
      <c r="AU130" s="38"/>
      <c r="AV130" s="38"/>
      <c r="AW130" s="38"/>
      <c r="AX130" s="38"/>
      <c r="AY130" s="38"/>
      <c r="AZ130" s="38"/>
      <c r="BA130" s="38">
        <f>+AR130+AS130+AU130+AW130+AY130+AZ130</f>
        <v>0</v>
      </c>
      <c r="BB130" s="51"/>
      <c r="BC130" s="52"/>
      <c r="BD130" s="52"/>
      <c r="BE130" s="51"/>
      <c r="BF130" s="52"/>
    </row>
    <row r="131" spans="1:58" ht="12.95" customHeight="1">
      <c r="A131" s="41"/>
      <c r="B131" s="42"/>
      <c r="C131" s="411"/>
      <c r="D131" s="42"/>
      <c r="E131" s="43"/>
      <c r="F131" s="43"/>
      <c r="G131" s="44"/>
      <c r="H131" s="594"/>
      <c r="I131" s="46"/>
      <c r="J131" s="86"/>
      <c r="K131" s="86"/>
      <c r="L131" s="36"/>
      <c r="M131" s="36"/>
      <c r="N131" s="47"/>
      <c r="O131" s="48"/>
      <c r="P131" s="49"/>
      <c r="Q131" s="48"/>
      <c r="R131" s="497"/>
      <c r="S131" s="497"/>
      <c r="T131" s="38"/>
      <c r="U131" s="38"/>
      <c r="V131" s="38"/>
      <c r="W131" s="38"/>
      <c r="X131" s="39"/>
      <c r="Y131" s="216"/>
      <c r="Z131" s="38"/>
      <c r="AA131" s="38"/>
      <c r="AB131" s="38"/>
      <c r="AC131" s="38"/>
      <c r="AD131" s="38"/>
      <c r="AE131" s="235"/>
      <c r="AF131" s="34"/>
      <c r="AG131" s="34"/>
      <c r="AH131" s="34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4"/>
      <c r="BC131" s="500"/>
      <c r="BD131" s="52"/>
      <c r="BE131" s="52"/>
      <c r="BF131" s="52"/>
    </row>
    <row r="132" spans="1:58" ht="12.75" customHeight="1">
      <c r="A132" s="41">
        <v>45895</v>
      </c>
      <c r="B132" s="42" t="s">
        <v>409</v>
      </c>
      <c r="C132" s="411">
        <f t="shared" ref="C132:C133" si="196">(M132*E132*O132*Q132)/100000000</f>
        <v>33.360218892000006</v>
      </c>
      <c r="D132" s="42" t="s">
        <v>304</v>
      </c>
      <c r="E132" s="43">
        <v>13</v>
      </c>
      <c r="F132" s="43">
        <v>1</v>
      </c>
      <c r="G132" s="496">
        <v>1230</v>
      </c>
      <c r="H132" s="594">
        <f>+N132</f>
        <v>0.22999999999999998</v>
      </c>
      <c r="I132" s="46">
        <v>0.88</v>
      </c>
      <c r="J132" s="86">
        <f t="shared" ref="J132:J133" si="197">E132*G132*(1-H132)*1440/1000000*2.74</f>
        <v>48.579410880000005</v>
      </c>
      <c r="K132" s="86">
        <f t="shared" ref="K132:K133" si="198">(IF(G132&lt;L132,L132,G132)*(1-IF(H132&lt;N132,H132,N132))*E132*O132*Q132)/100000000</f>
        <v>33.608146572000003</v>
      </c>
      <c r="L132" s="36">
        <v>1220.9262759924386</v>
      </c>
      <c r="M132" s="36">
        <v>940.11323251417775</v>
      </c>
      <c r="N132" s="47">
        <f t="shared" ref="N132:N133" si="199">1-(M132/L132)</f>
        <v>0.22999999999999998</v>
      </c>
      <c r="O132" s="48">
        <f>+'Trim Rwd'!H80</f>
        <v>258</v>
      </c>
      <c r="P132" s="49">
        <f t="shared" ref="P132:P133" si="200">O132*(Q132-R132-S132)</f>
        <v>260064</v>
      </c>
      <c r="Q132" s="48">
        <v>1058</v>
      </c>
      <c r="R132" s="497">
        <v>0</v>
      </c>
      <c r="S132" s="497">
        <v>50</v>
      </c>
      <c r="T132" s="38">
        <f t="shared" ref="T132:T133" si="201">E132*M132*O132*Q132/100000000</f>
        <v>33.360218892000006</v>
      </c>
      <c r="U132" s="38">
        <f t="shared" ref="U132:U133" si="202">E132*M132*O132*(Q132-R132-S132)/100000000</f>
        <v>31.783649001073726</v>
      </c>
      <c r="V132" s="38">
        <f t="shared" ref="V132:V133" si="203">E132*G132*(1-N132)*O132/100*(R132+S132)/1000000</f>
        <v>1.5882867000000003</v>
      </c>
      <c r="W132" s="38">
        <f>+'26'!K7/1000</f>
        <v>34.619999999999997</v>
      </c>
      <c r="X132" s="498">
        <f>SUM(W132:W136)/SUM(K132:K136)</f>
        <v>0.88567217476587135</v>
      </c>
      <c r="Y132" s="216">
        <v>0</v>
      </c>
      <c r="Z132" s="38">
        <f>+'26'!D7/1000</f>
        <v>0.29699999999999999</v>
      </c>
      <c r="AA132" s="50">
        <f>SUM(U132:U136)-SUM(W132:W136)-SUM(Z132:Z136)-SUM(Y132:Y136)</f>
        <v>1.9888873690737341</v>
      </c>
      <c r="AB132" s="50">
        <f>(SUM(K132:K136)-SUM(W132:W136)-SUM(Y132:Y136)-SUM(Z132:Z136)-SUM(AC132:AC136)-SUM(V132:V136))-AA132</f>
        <v>0.16050200692628125</v>
      </c>
      <c r="AC132" s="38">
        <f>K132-T132</f>
        <v>0.24792767999999654</v>
      </c>
      <c r="AD132" s="38">
        <f>+AM132+BA132</f>
        <v>12</v>
      </c>
      <c r="AE132" s="235" t="s">
        <v>436</v>
      </c>
      <c r="AF132" s="38">
        <v>12</v>
      </c>
      <c r="AG132" s="38"/>
      <c r="AH132" s="38"/>
      <c r="AI132" s="499"/>
      <c r="AJ132" s="38"/>
      <c r="AK132" s="38"/>
      <c r="AL132" s="38"/>
      <c r="AM132" s="38">
        <f t="shared" ref="AM132:AM135" si="204">SUM(AF132:AL132)+AT132+AV132+AX132</f>
        <v>12</v>
      </c>
      <c r="AN132" s="38"/>
      <c r="AO132" s="38"/>
      <c r="AP132" s="38"/>
      <c r="AQ132" s="38"/>
      <c r="AR132" s="38">
        <f>SUM(AN132:AQ132)</f>
        <v>0</v>
      </c>
      <c r="AS132" s="38"/>
      <c r="AT132" s="38"/>
      <c r="AU132" s="38"/>
      <c r="AV132" s="38"/>
      <c r="AW132" s="38"/>
      <c r="AX132" s="38"/>
      <c r="AY132" s="38"/>
      <c r="AZ132" s="38"/>
      <c r="BA132" s="38">
        <f>+AR132+AS132+AU132+AW132+AY132+AZ132</f>
        <v>0</v>
      </c>
      <c r="BB132" s="34">
        <v>6</v>
      </c>
      <c r="BC132" s="52"/>
      <c r="BD132" s="52"/>
      <c r="BE132" s="34"/>
      <c r="BF132" s="52"/>
    </row>
    <row r="133" spans="1:58" ht="12.95" customHeight="1">
      <c r="A133" s="41"/>
      <c r="B133" s="42" t="s">
        <v>490</v>
      </c>
      <c r="C133" s="411">
        <f t="shared" si="196"/>
        <v>11.275209792000004</v>
      </c>
      <c r="D133" s="42" t="s">
        <v>304</v>
      </c>
      <c r="E133" s="43">
        <v>12</v>
      </c>
      <c r="F133" s="43">
        <v>1</v>
      </c>
      <c r="G133" s="496">
        <v>1230</v>
      </c>
      <c r="H133" s="45">
        <f>+N133</f>
        <v>0.22999999999999998</v>
      </c>
      <c r="I133" s="46">
        <v>0.88</v>
      </c>
      <c r="J133" s="86">
        <f t="shared" si="197"/>
        <v>44.842533120000006</v>
      </c>
      <c r="K133" s="86">
        <f t="shared" si="198"/>
        <v>11.461576896000002</v>
      </c>
      <c r="L133" s="36">
        <v>1210</v>
      </c>
      <c r="M133" s="36">
        <v>931.7</v>
      </c>
      <c r="N133" s="47">
        <f t="shared" si="199"/>
        <v>0.22999999999999998</v>
      </c>
      <c r="O133" s="48">
        <f>+'Trim Rwd'!H81</f>
        <v>264</v>
      </c>
      <c r="P133" s="49">
        <f t="shared" si="200"/>
        <v>93192</v>
      </c>
      <c r="Q133" s="48">
        <v>382</v>
      </c>
      <c r="R133" s="497">
        <v>0</v>
      </c>
      <c r="S133" s="497">
        <v>29</v>
      </c>
      <c r="T133" s="38">
        <f t="shared" si="201"/>
        <v>11.275209792000004</v>
      </c>
      <c r="U133" s="38">
        <f t="shared" si="202"/>
        <v>10.419238368000002</v>
      </c>
      <c r="V133" s="38">
        <f t="shared" si="203"/>
        <v>0.87011971200000016</v>
      </c>
      <c r="W133" s="38">
        <f>+'26'!K13/1000</f>
        <v>5.2969999999999997</v>
      </c>
      <c r="X133" s="39"/>
      <c r="Y133" s="216"/>
      <c r="Z133" s="38"/>
      <c r="AA133" s="38"/>
      <c r="AB133" s="38"/>
      <c r="AC133" s="38"/>
      <c r="AD133" s="38">
        <f>+AM133+BA133</f>
        <v>0</v>
      </c>
      <c r="AE133" s="235" t="s">
        <v>286</v>
      </c>
      <c r="AF133" s="38"/>
      <c r="AG133" s="38">
        <v>0</v>
      </c>
      <c r="AH133" s="38"/>
      <c r="AI133" s="499"/>
      <c r="AJ133" s="38"/>
      <c r="AK133" s="38"/>
      <c r="AL133" s="38"/>
      <c r="AM133" s="38">
        <f t="shared" si="204"/>
        <v>0</v>
      </c>
      <c r="AN133" s="87"/>
      <c r="AO133" s="38"/>
      <c r="AP133" s="38"/>
      <c r="AQ133" s="38"/>
      <c r="AR133" s="38">
        <f t="shared" ref="AR133:AR135" si="205"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51"/>
      <c r="BC133" s="52">
        <v>0</v>
      </c>
      <c r="BD133" s="52"/>
      <c r="BE133" s="51"/>
      <c r="BF133" s="52"/>
    </row>
    <row r="134" spans="1:58" ht="12.95" customHeight="1">
      <c r="A134" s="41"/>
      <c r="B134" s="42"/>
      <c r="C134" s="411"/>
      <c r="D134" s="42"/>
      <c r="E134" s="43"/>
      <c r="F134" s="43"/>
      <c r="G134" s="44"/>
      <c r="H134" s="45"/>
      <c r="I134" s="46"/>
      <c r="J134" s="86"/>
      <c r="K134" s="86"/>
      <c r="L134" s="36"/>
      <c r="M134" s="36"/>
      <c r="N134" s="47"/>
      <c r="O134" s="48"/>
      <c r="P134" s="49"/>
      <c r="Q134" s="48"/>
      <c r="R134" s="497"/>
      <c r="S134" s="497"/>
      <c r="T134" s="38"/>
      <c r="U134" s="38"/>
      <c r="V134" s="38"/>
      <c r="W134" s="38"/>
      <c r="X134" s="39"/>
      <c r="Y134" s="216"/>
      <c r="Z134" s="38"/>
      <c r="AA134" s="38"/>
      <c r="AB134" s="38"/>
      <c r="AC134" s="38"/>
      <c r="AD134" s="38">
        <f>+AM134+BA134</f>
        <v>67</v>
      </c>
      <c r="AE134" s="235" t="s">
        <v>438</v>
      </c>
      <c r="AF134" s="34"/>
      <c r="AG134" s="34"/>
      <c r="AH134" s="34">
        <v>67</v>
      </c>
      <c r="AJ134" s="38"/>
      <c r="AK134" s="38"/>
      <c r="AL134" s="38"/>
      <c r="AM134" s="38">
        <f t="shared" si="204"/>
        <v>67</v>
      </c>
      <c r="AN134" s="38"/>
      <c r="AO134" s="38"/>
      <c r="AP134" s="38"/>
      <c r="AQ134" s="38"/>
      <c r="AR134" s="38">
        <f t="shared" si="205"/>
        <v>0</v>
      </c>
      <c r="AS134" s="38"/>
      <c r="AT134" s="38"/>
      <c r="AU134" s="38"/>
      <c r="AV134" s="38"/>
      <c r="AW134" s="38"/>
      <c r="AX134" s="38"/>
      <c r="AY134" s="38"/>
      <c r="AZ134" s="38"/>
      <c r="BA134" s="38">
        <f>+AR134+AS134+AU134+AW134+AY134+AZ134</f>
        <v>0</v>
      </c>
      <c r="BB134" s="34"/>
      <c r="BC134" s="500"/>
      <c r="BD134" s="500"/>
      <c r="BE134" s="34"/>
      <c r="BF134" s="500"/>
    </row>
    <row r="135" spans="1:58" ht="12.95" customHeight="1">
      <c r="A135" s="41"/>
      <c r="B135" s="42"/>
      <c r="C135" s="411"/>
      <c r="D135" s="42"/>
      <c r="E135" s="43"/>
      <c r="F135" s="43"/>
      <c r="G135" s="44"/>
      <c r="H135" s="45"/>
      <c r="I135" s="46"/>
      <c r="J135" s="86"/>
      <c r="K135" s="86"/>
      <c r="L135" s="36"/>
      <c r="M135" s="36"/>
      <c r="N135" s="47"/>
      <c r="O135" s="48"/>
      <c r="P135" s="49"/>
      <c r="Q135" s="35"/>
      <c r="R135" s="497"/>
      <c r="S135" s="497"/>
      <c r="T135" s="38"/>
      <c r="U135" s="38"/>
      <c r="V135" s="38"/>
      <c r="W135" s="38"/>
      <c r="X135" s="39"/>
      <c r="Y135" s="216"/>
      <c r="Z135" s="38"/>
      <c r="AA135" s="38"/>
      <c r="AB135" s="38"/>
      <c r="AC135" s="38"/>
      <c r="AD135" s="38">
        <f>+AM135+BA135</f>
        <v>0</v>
      </c>
      <c r="AE135" s="238" t="s">
        <v>380</v>
      </c>
      <c r="AF135" s="38"/>
      <c r="AG135" s="38"/>
      <c r="AH135" s="38"/>
      <c r="AI135" s="499">
        <v>0</v>
      </c>
      <c r="AJ135" s="38"/>
      <c r="AK135" s="38"/>
      <c r="AL135" s="38"/>
      <c r="AM135" s="38">
        <f t="shared" si="204"/>
        <v>0</v>
      </c>
      <c r="AN135" s="38"/>
      <c r="AO135" s="38"/>
      <c r="AP135" s="38"/>
      <c r="AQ135" s="38"/>
      <c r="AR135" s="38">
        <f t="shared" si="205"/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+AR135+AS135+AU135+AW135+AY135+AZ135</f>
        <v>0</v>
      </c>
      <c r="BB135" s="51"/>
      <c r="BC135" s="52"/>
      <c r="BD135" s="52"/>
      <c r="BE135" s="51"/>
      <c r="BF135" s="52"/>
    </row>
    <row r="136" spans="1:58" ht="12.95" customHeight="1">
      <c r="A136" s="41"/>
      <c r="B136" s="42"/>
      <c r="C136" s="411"/>
      <c r="D136" s="42"/>
      <c r="E136" s="43"/>
      <c r="F136" s="43"/>
      <c r="G136" s="44"/>
      <c r="H136" s="45"/>
      <c r="I136" s="46"/>
      <c r="J136" s="86"/>
      <c r="K136" s="86"/>
      <c r="L136" s="36"/>
      <c r="M136" s="36"/>
      <c r="N136" s="47"/>
      <c r="O136" s="48"/>
      <c r="P136" s="49"/>
      <c r="Q136" s="48"/>
      <c r="R136" s="497"/>
      <c r="S136" s="497"/>
      <c r="T136" s="38"/>
      <c r="U136" s="38"/>
      <c r="V136" s="38"/>
      <c r="W136" s="38"/>
      <c r="X136" s="39"/>
      <c r="Y136" s="216"/>
      <c r="Z136" s="38"/>
      <c r="AA136" s="38"/>
      <c r="AB136" s="38"/>
      <c r="AC136" s="38"/>
      <c r="AD136" s="38"/>
      <c r="AE136" s="235"/>
      <c r="AF136" s="34"/>
      <c r="AG136" s="34"/>
      <c r="AH136" s="34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4"/>
      <c r="BC136" s="500"/>
      <c r="BD136" s="52"/>
      <c r="BE136" s="52"/>
      <c r="BF136" s="52"/>
    </row>
    <row r="137" spans="1:58" ht="12.75" customHeight="1">
      <c r="A137" s="41">
        <v>45896</v>
      </c>
      <c r="B137" s="42" t="s">
        <v>490</v>
      </c>
      <c r="C137" s="411">
        <f t="shared" ref="C137" si="206">(M137*E137*O137*Q137)/100000000</f>
        <v>43.200333791999995</v>
      </c>
      <c r="D137" s="42" t="s">
        <v>304</v>
      </c>
      <c r="E137" s="43">
        <v>12</v>
      </c>
      <c r="F137" s="43">
        <v>1</v>
      </c>
      <c r="G137" s="496">
        <v>1230</v>
      </c>
      <c r="H137" s="45">
        <f>+N137</f>
        <v>0.23000000000000009</v>
      </c>
      <c r="I137" s="46">
        <v>0.88</v>
      </c>
      <c r="J137" s="86">
        <f t="shared" ref="J137" si="207">E137*G137*(1-H137)*1440/1000000*2.74</f>
        <v>44.842533119999999</v>
      </c>
      <c r="K137" s="86">
        <f t="shared" ref="K137" si="208">(IF(G137&lt;L137,L137,G137)*(1-IF(H137&lt;N137,H137,N137))*E137*O137*Q137)/100000000</f>
        <v>43.20594432</v>
      </c>
      <c r="L137" s="36">
        <v>1229.8402777777778</v>
      </c>
      <c r="M137" s="36">
        <v>946.97701388888879</v>
      </c>
      <c r="N137" s="47">
        <f t="shared" ref="N137" si="209">1-(M137/L137)</f>
        <v>0.23000000000000009</v>
      </c>
      <c r="O137" s="48">
        <f>+'Trim Rwd'!H83</f>
        <v>264</v>
      </c>
      <c r="P137" s="49">
        <f t="shared" ref="P137" si="210">O137*(Q137-R137-S137)</f>
        <v>361152</v>
      </c>
      <c r="Q137" s="48">
        <v>1440</v>
      </c>
      <c r="R137" s="497">
        <v>0</v>
      </c>
      <c r="S137" s="497">
        <v>72</v>
      </c>
      <c r="T137" s="38">
        <f t="shared" ref="T137" si="211">E137*M137*O137*Q137/100000000</f>
        <v>43.200333791999995</v>
      </c>
      <c r="U137" s="38">
        <f t="shared" ref="U137" si="212">E137*M137*O137*(Q137-R137-S137)/100000000</f>
        <v>41.040317102399996</v>
      </c>
      <c r="V137" s="38">
        <f t="shared" ref="V137" si="213">E137*G137*(1-N137)*O137/100*(R137+S137)/1000000</f>
        <v>2.160297216</v>
      </c>
      <c r="W137" s="38">
        <f>+'27'!K13/1000</f>
        <v>40.606000000000002</v>
      </c>
      <c r="X137" s="498">
        <f>SUM(W137:W141)/SUM(K137:K141)</f>
        <v>0.93982438386848344</v>
      </c>
      <c r="Y137" s="216">
        <v>0</v>
      </c>
      <c r="Z137" s="38">
        <f>+'27'!D7/1000</f>
        <v>0.44</v>
      </c>
      <c r="AA137" s="50">
        <f>SUM(U137:U141)-SUM(W137:W141)-SUM(Z137:Z141)-SUM(Y137:Y141)</f>
        <v>-5.6828976000056763E-3</v>
      </c>
      <c r="AB137" s="50">
        <f>(SUM(K137:K141)-SUM(W137:W141)-SUM(Y137:Y141)-SUM(Z137:Z141)-SUM(AC137:AC141)-SUM(V137:V141))-AA137</f>
        <v>-2.8052640000092444E-4</v>
      </c>
      <c r="AC137" s="38">
        <f>K137-T137</f>
        <v>5.6105280000053881E-3</v>
      </c>
      <c r="AD137" s="38">
        <f>+AM137+BA137</f>
        <v>9</v>
      </c>
      <c r="AE137" s="235" t="s">
        <v>407</v>
      </c>
      <c r="AF137" s="38">
        <v>9</v>
      </c>
      <c r="AG137" s="38"/>
      <c r="AH137" s="38"/>
      <c r="AI137" s="499"/>
      <c r="AJ137" s="38"/>
      <c r="AK137" s="38"/>
      <c r="AL137" s="38"/>
      <c r="AM137" s="38">
        <f t="shared" ref="AM137:AM140" si="214">SUM(AF137:AL137)+AT137+AV137+AX137</f>
        <v>9</v>
      </c>
      <c r="AN137" s="38"/>
      <c r="AO137" s="38"/>
      <c r="AP137" s="38"/>
      <c r="AQ137" s="38"/>
      <c r="AR137" s="38">
        <f>SUM(AN137:AQ137)</f>
        <v>0</v>
      </c>
      <c r="AS137" s="38"/>
      <c r="AT137" s="38"/>
      <c r="AU137" s="38"/>
      <c r="AV137" s="38"/>
      <c r="AW137" s="38"/>
      <c r="AX137" s="38"/>
      <c r="AY137" s="38"/>
      <c r="AZ137" s="38"/>
      <c r="BA137" s="38">
        <f>+AR137+AS137+AU137+AW137+AY137+AZ137</f>
        <v>0</v>
      </c>
      <c r="BB137" s="34">
        <v>3</v>
      </c>
      <c r="BC137" s="52"/>
      <c r="BD137" s="52"/>
      <c r="BE137" s="34"/>
      <c r="BF137" s="52"/>
    </row>
    <row r="138" spans="1:58" ht="12.95" customHeight="1">
      <c r="A138" s="41"/>
      <c r="B138" s="42"/>
      <c r="C138" s="411"/>
      <c r="D138" s="42"/>
      <c r="E138" s="43"/>
      <c r="F138" s="43"/>
      <c r="G138" s="496"/>
      <c r="H138" s="594"/>
      <c r="I138" s="46"/>
      <c r="J138" s="86"/>
      <c r="K138" s="86"/>
      <c r="L138" s="36"/>
      <c r="M138" s="36"/>
      <c r="N138" s="47"/>
      <c r="O138" s="48"/>
      <c r="P138" s="49"/>
      <c r="Q138" s="48"/>
      <c r="R138" s="497"/>
      <c r="S138" s="497"/>
      <c r="T138" s="38"/>
      <c r="U138" s="38"/>
      <c r="V138" s="38"/>
      <c r="W138" s="38"/>
      <c r="X138" s="39"/>
      <c r="Y138" s="216"/>
      <c r="Z138" s="38"/>
      <c r="AA138" s="38"/>
      <c r="AB138" s="38"/>
      <c r="AC138" s="38"/>
      <c r="AD138" s="38">
        <f>+AM138+BA138</f>
        <v>16</v>
      </c>
      <c r="AE138" s="235" t="s">
        <v>512</v>
      </c>
      <c r="AF138" s="38"/>
      <c r="AG138" s="38">
        <v>16</v>
      </c>
      <c r="AH138" s="38"/>
      <c r="AI138" s="499"/>
      <c r="AJ138" s="38"/>
      <c r="AK138" s="38"/>
      <c r="AL138" s="38"/>
      <c r="AM138" s="38">
        <f t="shared" si="214"/>
        <v>16</v>
      </c>
      <c r="AN138" s="87"/>
      <c r="AO138" s="38"/>
      <c r="AP138" s="38"/>
      <c r="AQ138" s="38"/>
      <c r="AR138" s="38">
        <f t="shared" ref="AR138:AR140" si="215">SUM(AN138:AQ138)</f>
        <v>0</v>
      </c>
      <c r="AS138" s="38"/>
      <c r="AT138" s="38"/>
      <c r="AU138" s="38"/>
      <c r="AV138" s="38"/>
      <c r="AW138" s="38"/>
      <c r="AX138" s="38"/>
      <c r="AY138" s="38"/>
      <c r="AZ138" s="38"/>
      <c r="BA138" s="38">
        <f>+AR138+AS138+AU138+AW138+AY138+AZ138</f>
        <v>0</v>
      </c>
      <c r="BB138" s="51"/>
      <c r="BC138" s="52">
        <v>8</v>
      </c>
      <c r="BD138" s="52"/>
      <c r="BE138" s="51"/>
      <c r="BF138" s="52"/>
    </row>
    <row r="139" spans="1:58" ht="12.95" customHeight="1">
      <c r="A139" s="41"/>
      <c r="B139" s="42"/>
      <c r="C139" s="411"/>
      <c r="D139" s="42"/>
      <c r="E139" s="43"/>
      <c r="F139" s="43"/>
      <c r="G139" s="44"/>
      <c r="H139" s="594"/>
      <c r="I139" s="46"/>
      <c r="J139" s="86"/>
      <c r="K139" s="86"/>
      <c r="L139" s="36"/>
      <c r="M139" s="36"/>
      <c r="N139" s="47"/>
      <c r="O139" s="48"/>
      <c r="P139" s="49"/>
      <c r="Q139" s="48"/>
      <c r="R139" s="497"/>
      <c r="S139" s="497"/>
      <c r="T139" s="38"/>
      <c r="U139" s="38"/>
      <c r="V139" s="38"/>
      <c r="W139" s="38"/>
      <c r="X139" s="39"/>
      <c r="Y139" s="216"/>
      <c r="Z139" s="38"/>
      <c r="AA139" s="38"/>
      <c r="AB139" s="38"/>
      <c r="AC139" s="38"/>
      <c r="AD139" s="38">
        <f>+AM139+BA139</f>
        <v>47</v>
      </c>
      <c r="AE139" s="235" t="s">
        <v>626</v>
      </c>
      <c r="AF139" s="34"/>
      <c r="AG139" s="34"/>
      <c r="AH139" s="34">
        <v>47</v>
      </c>
      <c r="AJ139" s="38"/>
      <c r="AK139" s="38"/>
      <c r="AL139" s="38"/>
      <c r="AM139" s="38">
        <f t="shared" si="214"/>
        <v>47</v>
      </c>
      <c r="AN139" s="38"/>
      <c r="AO139" s="38"/>
      <c r="AP139" s="38"/>
      <c r="AQ139" s="38"/>
      <c r="AR139" s="38">
        <f t="shared" si="215"/>
        <v>0</v>
      </c>
      <c r="AS139" s="38"/>
      <c r="AT139" s="38"/>
      <c r="AU139" s="38"/>
      <c r="AV139" s="38"/>
      <c r="AW139" s="38"/>
      <c r="AX139" s="38"/>
      <c r="AY139" s="38"/>
      <c r="AZ139" s="38"/>
      <c r="BA139" s="38">
        <f>+AR139+AS139+AU139+AW139+AY139+AZ139</f>
        <v>0</v>
      </c>
      <c r="BB139" s="34"/>
      <c r="BC139" s="500"/>
      <c r="BD139" s="500"/>
      <c r="BE139" s="34"/>
      <c r="BF139" s="500"/>
    </row>
    <row r="140" spans="1:58" ht="12.95" customHeight="1">
      <c r="A140" s="41"/>
      <c r="B140" s="42"/>
      <c r="C140" s="411"/>
      <c r="D140" s="42"/>
      <c r="E140" s="43"/>
      <c r="F140" s="43"/>
      <c r="G140" s="44"/>
      <c r="H140" s="594"/>
      <c r="I140" s="46"/>
      <c r="J140" s="86"/>
      <c r="K140" s="86"/>
      <c r="L140" s="36"/>
      <c r="M140" s="36"/>
      <c r="N140" s="47"/>
      <c r="O140" s="48"/>
      <c r="P140" s="49"/>
      <c r="Q140" s="35"/>
      <c r="R140" s="497"/>
      <c r="S140" s="497"/>
      <c r="T140" s="38"/>
      <c r="U140" s="38"/>
      <c r="V140" s="38"/>
      <c r="W140" s="38"/>
      <c r="X140" s="39"/>
      <c r="Y140" s="216"/>
      <c r="Z140" s="38"/>
      <c r="AA140" s="38"/>
      <c r="AB140" s="38"/>
      <c r="AC140" s="38"/>
      <c r="AD140" s="38">
        <f>+AM140+BA140</f>
        <v>0</v>
      </c>
      <c r="AE140" s="238" t="s">
        <v>380</v>
      </c>
      <c r="AF140" s="38"/>
      <c r="AG140" s="38"/>
      <c r="AH140" s="38"/>
      <c r="AI140" s="499">
        <v>0</v>
      </c>
      <c r="AJ140" s="38"/>
      <c r="AK140" s="38"/>
      <c r="AL140" s="38"/>
      <c r="AM140" s="38">
        <f t="shared" si="214"/>
        <v>0</v>
      </c>
      <c r="AN140" s="38"/>
      <c r="AO140" s="38"/>
      <c r="AP140" s="38"/>
      <c r="AQ140" s="38"/>
      <c r="AR140" s="38">
        <f t="shared" si="215"/>
        <v>0</v>
      </c>
      <c r="AS140" s="38"/>
      <c r="AT140" s="38"/>
      <c r="AU140" s="38"/>
      <c r="AV140" s="38"/>
      <c r="AW140" s="38"/>
      <c r="AX140" s="38"/>
      <c r="AY140" s="38"/>
      <c r="AZ140" s="38"/>
      <c r="BA140" s="38">
        <f>+AR140+AS140+AU140+AW140+AY140+AZ140</f>
        <v>0</v>
      </c>
      <c r="BB140" s="51"/>
      <c r="BC140" s="52"/>
      <c r="BD140" s="52"/>
      <c r="BE140" s="51"/>
      <c r="BF140" s="52"/>
    </row>
    <row r="141" spans="1:58" ht="12.95" customHeight="1">
      <c r="A141" s="41"/>
      <c r="B141" s="42"/>
      <c r="C141" s="411"/>
      <c r="D141" s="42"/>
      <c r="E141" s="43"/>
      <c r="F141" s="43"/>
      <c r="G141" s="44"/>
      <c r="H141" s="45"/>
      <c r="I141" s="46"/>
      <c r="J141" s="86"/>
      <c r="K141" s="86"/>
      <c r="L141" s="36"/>
      <c r="M141" s="36"/>
      <c r="N141" s="47"/>
      <c r="O141" s="48"/>
      <c r="P141" s="49"/>
      <c r="Q141" s="48"/>
      <c r="R141" s="497"/>
      <c r="S141" s="497"/>
      <c r="T141" s="38"/>
      <c r="U141" s="38"/>
      <c r="V141" s="38"/>
      <c r="W141" s="38"/>
      <c r="X141" s="39"/>
      <c r="Y141" s="216"/>
      <c r="Z141" s="38"/>
      <c r="AA141" s="38"/>
      <c r="AB141" s="38"/>
      <c r="AC141" s="38"/>
      <c r="AD141" s="38"/>
      <c r="AE141" s="235"/>
      <c r="AF141" s="34"/>
      <c r="AG141" s="34"/>
      <c r="AH141" s="34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4"/>
      <c r="BC141" s="500"/>
      <c r="BD141" s="52"/>
      <c r="BE141" s="52"/>
      <c r="BF141" s="52"/>
    </row>
    <row r="142" spans="1:58" ht="12.75" customHeight="1">
      <c r="A142" s="41">
        <v>45897</v>
      </c>
      <c r="B142" s="42" t="s">
        <v>490</v>
      </c>
      <c r="C142" s="411">
        <f t="shared" ref="C142" si="216">(M142*E142*O142*Q142)/100000000</f>
        <v>42.752629820108112</v>
      </c>
      <c r="D142" s="42" t="s">
        <v>304</v>
      </c>
      <c r="E142" s="43">
        <v>12</v>
      </c>
      <c r="F142" s="43">
        <v>1</v>
      </c>
      <c r="G142" s="496">
        <v>1230</v>
      </c>
      <c r="H142" s="45">
        <f>+N142</f>
        <v>0.22999999999999998</v>
      </c>
      <c r="I142" s="46">
        <v>0.88</v>
      </c>
      <c r="J142" s="86">
        <f t="shared" ref="J142" si="217">E142*G142*(1-H142)*1440/1000000*2.74</f>
        <v>44.842533120000006</v>
      </c>
      <c r="K142" s="86">
        <f t="shared" ref="K142" si="218">(IF(G142&lt;L142,L142,G142)*(1-IF(H142&lt;N142,H142,N142))*E142*O142*Q142)/100000000</f>
        <v>43.228060384864875</v>
      </c>
      <c r="L142" s="36">
        <v>1216.4722222222222</v>
      </c>
      <c r="M142" s="36">
        <v>936.68361111111108</v>
      </c>
      <c r="N142" s="47">
        <f t="shared" ref="N142" si="219">1-(M142/L142)</f>
        <v>0.22999999999999998</v>
      </c>
      <c r="O142" s="48">
        <f>+'Trim Rwd'!H85</f>
        <v>264.13513513513516</v>
      </c>
      <c r="P142" s="49">
        <f t="shared" ref="P142" si="220">O142*(Q142-R142-S142)</f>
        <v>355525.89189189195</v>
      </c>
      <c r="Q142" s="48">
        <v>1440</v>
      </c>
      <c r="R142" s="497">
        <v>0</v>
      </c>
      <c r="S142" s="497">
        <v>94</v>
      </c>
      <c r="T142" s="38">
        <f t="shared" ref="T142" si="221">E142*M142*O142*Q142/100000000</f>
        <v>42.752629820108112</v>
      </c>
      <c r="U142" s="38">
        <f t="shared" ref="U142" si="222">E142*M142*O142*(Q142-R142-S142)/100000000</f>
        <v>39.961833151295501</v>
      </c>
      <c r="V142" s="38">
        <f t="shared" ref="V142" si="223">E142*G142*(1-N142)*O142/100*(R142+S142)/1000000</f>
        <v>2.8218317195675682</v>
      </c>
      <c r="W142" s="38">
        <f>+'28'!K13/1000</f>
        <v>39.936999999999998</v>
      </c>
      <c r="X142" s="498">
        <f>SUM(W142:W146)/SUM(K142:K146)</f>
        <v>0.92386749820454228</v>
      </c>
      <c r="Y142" s="216">
        <v>0</v>
      </c>
      <c r="Z142" s="38">
        <f>+'28'!D34/1000</f>
        <v>1.04</v>
      </c>
      <c r="AA142" s="50">
        <f>SUM(U142:U146)-SUM(W142:W146)-SUM(Z142:Z146)-SUM(Y142:Y146)</f>
        <v>-1.0151668487044967</v>
      </c>
      <c r="AB142" s="50">
        <f>(SUM(K142:K146)-SUM(W142:W146)-SUM(Y142:Y146)-SUM(Z142:Z146)-SUM(AC142:AC146)-SUM(V142:V146))-AA142</f>
        <v>-3.1035050754957272E-2</v>
      </c>
      <c r="AC142" s="38">
        <f>K142-T142</f>
        <v>0.47543056475676337</v>
      </c>
      <c r="AD142" s="38">
        <f>+AM142+BA142</f>
        <v>36</v>
      </c>
      <c r="AE142" s="235" t="s">
        <v>544</v>
      </c>
      <c r="AF142" s="38">
        <v>36</v>
      </c>
      <c r="AG142" s="38"/>
      <c r="AH142" s="38"/>
      <c r="AI142" s="499"/>
      <c r="AJ142" s="38"/>
      <c r="AK142" s="38"/>
      <c r="AL142" s="38"/>
      <c r="AM142" s="38">
        <f t="shared" ref="AM142:AM145" si="224">SUM(AF142:AL142)+AT142+AV142+AX142</f>
        <v>36</v>
      </c>
      <c r="AN142" s="38"/>
      <c r="AO142" s="38"/>
      <c r="AP142" s="38"/>
      <c r="AQ142" s="38"/>
      <c r="AR142" s="38">
        <f>SUM(AN142:AQ142)</f>
        <v>0</v>
      </c>
      <c r="AS142" s="38"/>
      <c r="AT142" s="38"/>
      <c r="AU142" s="38"/>
      <c r="AV142" s="38"/>
      <c r="AW142" s="38"/>
      <c r="AX142" s="38"/>
      <c r="AY142" s="38"/>
      <c r="AZ142" s="38"/>
      <c r="BA142" s="38">
        <f>+AR142+AS142+AU142+AW142+AY142+AZ142</f>
        <v>0</v>
      </c>
      <c r="BB142" s="34">
        <v>9</v>
      </c>
      <c r="BC142" s="52"/>
      <c r="BD142" s="52"/>
      <c r="BE142" s="34"/>
      <c r="BF142" s="52"/>
    </row>
    <row r="143" spans="1:58" ht="12.95" customHeight="1">
      <c r="A143" s="41"/>
      <c r="B143" s="42"/>
      <c r="C143" s="411"/>
      <c r="D143" s="42"/>
      <c r="E143" s="43"/>
      <c r="F143" s="43"/>
      <c r="G143" s="496"/>
      <c r="H143" s="594"/>
      <c r="I143" s="46"/>
      <c r="J143" s="86"/>
      <c r="K143" s="86"/>
      <c r="L143" s="36"/>
      <c r="M143" s="36"/>
      <c r="N143" s="47"/>
      <c r="O143" s="48"/>
      <c r="P143" s="49"/>
      <c r="Q143" s="48"/>
      <c r="R143" s="497"/>
      <c r="S143" s="497"/>
      <c r="T143" s="38"/>
      <c r="U143" s="38"/>
      <c r="V143" s="38"/>
      <c r="W143" s="38"/>
      <c r="X143" s="39"/>
      <c r="Y143" s="216"/>
      <c r="Z143" s="38"/>
      <c r="AA143" s="38"/>
      <c r="AB143" s="38"/>
      <c r="AC143" s="38"/>
      <c r="AD143" s="38">
        <f>+AM143+BA143</f>
        <v>9</v>
      </c>
      <c r="AE143" s="235" t="s">
        <v>388</v>
      </c>
      <c r="AF143" s="38"/>
      <c r="AG143" s="38">
        <v>9</v>
      </c>
      <c r="AH143" s="38"/>
      <c r="AI143" s="499"/>
      <c r="AJ143" s="38"/>
      <c r="AK143" s="38"/>
      <c r="AL143" s="38"/>
      <c r="AM143" s="38">
        <f t="shared" si="224"/>
        <v>9</v>
      </c>
      <c r="AN143" s="87"/>
      <c r="AO143" s="38"/>
      <c r="AP143" s="38"/>
      <c r="AQ143" s="38"/>
      <c r="AR143" s="38">
        <f t="shared" ref="AR143:AR145" si="225">SUM(AN143:AQ143)</f>
        <v>0</v>
      </c>
      <c r="AS143" s="38"/>
      <c r="AT143" s="38"/>
      <c r="AU143" s="38"/>
      <c r="AV143" s="38"/>
      <c r="AW143" s="38"/>
      <c r="AX143" s="38"/>
      <c r="AY143" s="38"/>
      <c r="AZ143" s="38"/>
      <c r="BA143" s="38">
        <f>+AR143+AS143+AU143+AW143+AY143+AZ143</f>
        <v>0</v>
      </c>
      <c r="BB143" s="51"/>
      <c r="BC143" s="52">
        <v>3</v>
      </c>
      <c r="BD143" s="52"/>
      <c r="BE143" s="51"/>
      <c r="BF143" s="52"/>
    </row>
    <row r="144" spans="1:58" ht="12.95" customHeight="1">
      <c r="A144" s="41"/>
      <c r="B144" s="42"/>
      <c r="C144" s="411"/>
      <c r="D144" s="42"/>
      <c r="E144" s="43"/>
      <c r="F144" s="43"/>
      <c r="G144" s="44"/>
      <c r="H144" s="594"/>
      <c r="I144" s="46"/>
      <c r="J144" s="86"/>
      <c r="K144" s="86"/>
      <c r="L144" s="36"/>
      <c r="M144" s="36"/>
      <c r="N144" s="47"/>
      <c r="O144" s="48"/>
      <c r="P144" s="49"/>
      <c r="Q144" s="48"/>
      <c r="R144" s="497"/>
      <c r="S144" s="497"/>
      <c r="T144" s="38"/>
      <c r="U144" s="38"/>
      <c r="V144" s="38"/>
      <c r="W144" s="38"/>
      <c r="X144" s="39"/>
      <c r="Y144" s="216"/>
      <c r="Z144" s="38"/>
      <c r="AA144" s="38"/>
      <c r="AB144" s="38"/>
      <c r="AC144" s="38"/>
      <c r="AD144" s="38">
        <f>+AM144+BA144</f>
        <v>49</v>
      </c>
      <c r="AE144" s="235" t="s">
        <v>567</v>
      </c>
      <c r="AF144" s="34"/>
      <c r="AG144" s="34"/>
      <c r="AH144" s="34">
        <v>49</v>
      </c>
      <c r="AJ144" s="38"/>
      <c r="AK144" s="38"/>
      <c r="AL144" s="38"/>
      <c r="AM144" s="38">
        <f t="shared" si="224"/>
        <v>49</v>
      </c>
      <c r="AN144" s="38"/>
      <c r="AO144" s="38"/>
      <c r="AP144" s="38"/>
      <c r="AQ144" s="38"/>
      <c r="AR144" s="38">
        <f t="shared" si="225"/>
        <v>0</v>
      </c>
      <c r="AS144" s="38"/>
      <c r="AT144" s="38"/>
      <c r="AU144" s="38"/>
      <c r="AV144" s="38"/>
      <c r="AW144" s="38"/>
      <c r="AX144" s="38"/>
      <c r="AY144" s="38"/>
      <c r="AZ144" s="38"/>
      <c r="BA144" s="38">
        <f>+AR144+AS144+AU144+AW144+AY144+AZ144</f>
        <v>0</v>
      </c>
      <c r="BB144" s="34"/>
      <c r="BC144" s="500"/>
      <c r="BD144" s="500"/>
      <c r="BE144" s="34"/>
      <c r="BF144" s="500"/>
    </row>
    <row r="145" spans="1:58" ht="12.95" customHeight="1">
      <c r="A145" s="41"/>
      <c r="B145" s="42"/>
      <c r="C145" s="411"/>
      <c r="D145" s="42"/>
      <c r="E145" s="43"/>
      <c r="F145" s="43"/>
      <c r="G145" s="44"/>
      <c r="H145" s="594"/>
      <c r="I145" s="46"/>
      <c r="J145" s="86"/>
      <c r="K145" s="86"/>
      <c r="L145" s="36"/>
      <c r="M145" s="36"/>
      <c r="N145" s="47"/>
      <c r="O145" s="48"/>
      <c r="P145" s="49"/>
      <c r="Q145" s="35"/>
      <c r="R145" s="497"/>
      <c r="S145" s="497"/>
      <c r="T145" s="38"/>
      <c r="U145" s="38"/>
      <c r="V145" s="38"/>
      <c r="W145" s="38"/>
      <c r="X145" s="39"/>
      <c r="Y145" s="216"/>
      <c r="Z145" s="38"/>
      <c r="AA145" s="38"/>
      <c r="AB145" s="38"/>
      <c r="AC145" s="38"/>
      <c r="AD145" s="38">
        <f>+AM145+BA145</f>
        <v>0</v>
      </c>
      <c r="AE145" s="238" t="s">
        <v>380</v>
      </c>
      <c r="AF145" s="38"/>
      <c r="AG145" s="38"/>
      <c r="AH145" s="38"/>
      <c r="AI145" s="499">
        <v>0</v>
      </c>
      <c r="AJ145" s="38"/>
      <c r="AK145" s="38"/>
      <c r="AL145" s="38"/>
      <c r="AM145" s="38">
        <f t="shared" si="224"/>
        <v>0</v>
      </c>
      <c r="AN145" s="38"/>
      <c r="AO145" s="38"/>
      <c r="AP145" s="38"/>
      <c r="AQ145" s="38"/>
      <c r="AR145" s="38">
        <f t="shared" si="225"/>
        <v>0</v>
      </c>
      <c r="AS145" s="38"/>
      <c r="AT145" s="38"/>
      <c r="AU145" s="38"/>
      <c r="AV145" s="38"/>
      <c r="AW145" s="38"/>
      <c r="AX145" s="38"/>
      <c r="AY145" s="38"/>
      <c r="AZ145" s="38"/>
      <c r="BA145" s="38">
        <f>+AR145+AS145+AU145+AW145+AY145+AZ145</f>
        <v>0</v>
      </c>
      <c r="BB145" s="51"/>
      <c r="BC145" s="52"/>
      <c r="BD145" s="52"/>
      <c r="BE145" s="51"/>
      <c r="BF145" s="52"/>
    </row>
    <row r="146" spans="1:58" ht="12.95" customHeight="1">
      <c r="A146" s="41"/>
      <c r="B146" s="42"/>
      <c r="C146" s="411"/>
      <c r="D146" s="42"/>
      <c r="E146" s="43"/>
      <c r="F146" s="43"/>
      <c r="G146" s="496"/>
      <c r="H146" s="45"/>
      <c r="I146" s="46"/>
      <c r="J146" s="86"/>
      <c r="K146" s="86"/>
      <c r="L146" s="36"/>
      <c r="M146" s="36"/>
      <c r="N146" s="47"/>
      <c r="O146" s="48"/>
      <c r="P146" s="49"/>
      <c r="Q146" s="48"/>
      <c r="R146" s="497"/>
      <c r="S146" s="497"/>
      <c r="T146" s="38"/>
      <c r="U146" s="38"/>
      <c r="V146" s="38"/>
      <c r="W146" s="38"/>
      <c r="X146" s="39"/>
      <c r="Y146" s="216"/>
      <c r="Z146" s="38"/>
      <c r="AA146" s="38"/>
      <c r="AB146" s="38"/>
      <c r="AC146" s="38"/>
      <c r="AD146" s="38"/>
      <c r="AE146" s="235"/>
      <c r="AF146" s="38"/>
      <c r="AG146" s="38"/>
      <c r="AH146" s="38"/>
      <c r="AI146" s="499"/>
      <c r="AJ146" s="38"/>
      <c r="AK146" s="38"/>
      <c r="AL146" s="38"/>
      <c r="AM146" s="38"/>
      <c r="AN146" s="87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51"/>
      <c r="BC146" s="52"/>
      <c r="BD146" s="52"/>
      <c r="BE146" s="52"/>
      <c r="BF146" s="52"/>
    </row>
    <row r="147" spans="1:58" ht="12.75" customHeight="1">
      <c r="A147" s="41">
        <v>45898</v>
      </c>
      <c r="B147" s="42" t="s">
        <v>490</v>
      </c>
      <c r="C147" s="411">
        <f t="shared" ref="C147:C148" si="226">(M147*E147*O147*Q147)/100000000</f>
        <v>20.839051269473686</v>
      </c>
      <c r="D147" s="42" t="s">
        <v>304</v>
      </c>
      <c r="E147" s="43">
        <v>12</v>
      </c>
      <c r="F147" s="43">
        <v>1</v>
      </c>
      <c r="G147" s="496">
        <v>1230</v>
      </c>
      <c r="H147" s="45">
        <f>+N147</f>
        <v>0.23000000000000009</v>
      </c>
      <c r="I147" s="46">
        <v>0.88</v>
      </c>
      <c r="J147" s="86">
        <f t="shared" ref="J147:J148" si="227">E147*G147*(1-H147)*1440/1000000*2.74</f>
        <v>44.842533119999999</v>
      </c>
      <c r="K147" s="86">
        <f t="shared" ref="K147:K148" si="228">(IF(G147&lt;L147,L147,G147)*(1-IF(H147&lt;N147,H147,N147))*E147*O147*Q147)/100000000</f>
        <v>20.839051269473686</v>
      </c>
      <c r="L147" s="36">
        <v>1230</v>
      </c>
      <c r="M147" s="36">
        <v>947.09999999999991</v>
      </c>
      <c r="N147" s="47">
        <f t="shared" ref="N147:N148" si="229">1-(M147/L147)</f>
        <v>0.23000000000000009</v>
      </c>
      <c r="O147" s="48">
        <f>+'Trim Rwd'!H88</f>
        <v>265.73684210526318</v>
      </c>
      <c r="P147" s="49">
        <f t="shared" ref="P147:P148" si="230">O147*(Q147-R147-S147)</f>
        <v>176715</v>
      </c>
      <c r="Q147" s="48">
        <v>690</v>
      </c>
      <c r="R147" s="497">
        <v>0</v>
      </c>
      <c r="S147" s="497">
        <v>25</v>
      </c>
      <c r="T147" s="38">
        <f t="shared" ref="T147:T148" si="231">E147*M147*O147*Q147/100000000</f>
        <v>20.839051269473686</v>
      </c>
      <c r="U147" s="38">
        <f t="shared" ref="U147:U148" si="232">E147*M147*O147*(Q147-R147-S147)/100000000</f>
        <v>20.084013179999999</v>
      </c>
      <c r="V147" s="38">
        <f t="shared" ref="V147:V148" si="233">E147*G147*(1-N147)*O147/100*(R147+S147)/1000000</f>
        <v>0.75503808947368423</v>
      </c>
      <c r="W147" s="38">
        <f>+'29'!K13/1000</f>
        <v>17.556999999999999</v>
      </c>
      <c r="X147" s="498">
        <f>SUM(W147:W151)/SUM(K147:K151)</f>
        <v>0.82356973734924932</v>
      </c>
      <c r="Y147" s="216">
        <v>0</v>
      </c>
      <c r="Z147" s="38">
        <f>+'28'!D39/1000</f>
        <v>0</v>
      </c>
      <c r="AA147" s="50">
        <f>SUM(U147:U151)-SUM(W147:W151)-SUM(Z147:Z151)-SUM(Y147:Y151)</f>
        <v>5.1358265261176488</v>
      </c>
      <c r="AB147" s="50">
        <f>(SUM(K147:K151)-SUM(W147:W151)-SUM(Y147:Y151)-SUM(Z147:Z151)-SUM(AC147:AC151)-SUM(V147:V151))-AA147</f>
        <v>0.31787179411765543</v>
      </c>
      <c r="AC147" s="38">
        <f>K147-T147</f>
        <v>0</v>
      </c>
      <c r="AD147" s="38">
        <f>+AM147+BA147</f>
        <v>0</v>
      </c>
      <c r="AE147" s="235" t="s">
        <v>387</v>
      </c>
      <c r="AF147" s="38">
        <v>0</v>
      </c>
      <c r="AG147" s="38"/>
      <c r="AH147" s="38"/>
      <c r="AI147" s="499"/>
      <c r="AJ147" s="38"/>
      <c r="AK147" s="38"/>
      <c r="AL147" s="38"/>
      <c r="AM147" s="38">
        <f t="shared" ref="AM147:AM150" si="234">SUM(AF147:AL147)+AT147+AV147+AX147</f>
        <v>0</v>
      </c>
      <c r="AN147" s="38"/>
      <c r="AO147" s="38"/>
      <c r="AP147" s="38"/>
      <c r="AQ147" s="38"/>
      <c r="AR147" s="38">
        <f>SUM(AN147:AQ147)</f>
        <v>0</v>
      </c>
      <c r="AS147" s="38"/>
      <c r="AT147" s="38"/>
      <c r="AU147" s="38"/>
      <c r="AV147" s="38"/>
      <c r="AW147" s="38"/>
      <c r="AX147" s="38"/>
      <c r="AY147" s="38"/>
      <c r="AZ147" s="38"/>
      <c r="BA147" s="38">
        <f>+AR147+AS147+AU147+AW147+AY147+AZ147</f>
        <v>0</v>
      </c>
      <c r="BB147" s="34">
        <v>0</v>
      </c>
      <c r="BC147" s="52"/>
      <c r="BD147" s="52"/>
      <c r="BE147" s="34"/>
      <c r="BF147" s="52"/>
    </row>
    <row r="148" spans="1:58" ht="12.95" customHeight="1">
      <c r="A148" s="41"/>
      <c r="B148" s="42" t="s">
        <v>490</v>
      </c>
      <c r="C148" s="411">
        <f t="shared" si="226"/>
        <v>24.476128147058819</v>
      </c>
      <c r="D148" s="42" t="s">
        <v>304</v>
      </c>
      <c r="E148" s="43">
        <v>13</v>
      </c>
      <c r="F148" s="43">
        <v>1</v>
      </c>
      <c r="G148" s="496">
        <v>1230</v>
      </c>
      <c r="H148" s="45">
        <v>0.22</v>
      </c>
      <c r="I148" s="46">
        <v>0.88</v>
      </c>
      <c r="J148" s="86">
        <f t="shared" si="227"/>
        <v>49.210312320000007</v>
      </c>
      <c r="K148" s="86">
        <f t="shared" si="228"/>
        <v>24.793999941176473</v>
      </c>
      <c r="L148" s="36">
        <v>1230</v>
      </c>
      <c r="M148" s="36">
        <v>947.09999999999991</v>
      </c>
      <c r="N148" s="47">
        <f t="shared" si="229"/>
        <v>0.23000000000000009</v>
      </c>
      <c r="O148" s="48">
        <f>+'Trim Rwd'!H90</f>
        <v>265.05882352941177</v>
      </c>
      <c r="P148" s="49">
        <f t="shared" si="230"/>
        <v>190312.23529411765</v>
      </c>
      <c r="Q148" s="48">
        <v>750</v>
      </c>
      <c r="R148" s="497">
        <v>0</v>
      </c>
      <c r="S148" s="497">
        <f>57-S147</f>
        <v>32</v>
      </c>
      <c r="T148" s="38">
        <f t="shared" si="231"/>
        <v>24.476128147058819</v>
      </c>
      <c r="U148" s="38">
        <f t="shared" si="232"/>
        <v>23.431813346117643</v>
      </c>
      <c r="V148" s="38">
        <f t="shared" si="233"/>
        <v>1.0443148009411765</v>
      </c>
      <c r="W148" s="38">
        <f>+'29'!K12/1000</f>
        <v>20.024999999999999</v>
      </c>
      <c r="X148" s="39"/>
      <c r="Y148" s="216"/>
      <c r="Z148" s="38">
        <f>+'29'!D25/1000</f>
        <v>0.79800000000000004</v>
      </c>
      <c r="AA148" s="38"/>
      <c r="AB148" s="38"/>
      <c r="AC148" s="38"/>
      <c r="AD148" s="38">
        <f>+AM148+BA148</f>
        <v>24</v>
      </c>
      <c r="AE148" s="235" t="s">
        <v>640</v>
      </c>
      <c r="AF148" s="38"/>
      <c r="AG148" s="38">
        <v>24</v>
      </c>
      <c r="AH148" s="38"/>
      <c r="AI148" s="499"/>
      <c r="AJ148" s="38"/>
      <c r="AK148" s="38"/>
      <c r="AL148" s="38"/>
      <c r="AM148" s="38">
        <f t="shared" si="234"/>
        <v>24</v>
      </c>
      <c r="AN148" s="87"/>
      <c r="AO148" s="38"/>
      <c r="AP148" s="38"/>
      <c r="AQ148" s="38"/>
      <c r="AR148" s="38">
        <f t="shared" ref="AR148:AR150" si="235">SUM(AN148:AQ148)</f>
        <v>0</v>
      </c>
      <c r="AS148" s="38"/>
      <c r="AT148" s="38"/>
      <c r="AU148" s="38"/>
      <c r="AV148" s="38"/>
      <c r="AW148" s="38"/>
      <c r="AX148" s="38"/>
      <c r="AY148" s="38"/>
      <c r="AZ148" s="38"/>
      <c r="BA148" s="38">
        <f>+AR148+AS148+AU148+AW148+AY148+AZ148</f>
        <v>0</v>
      </c>
      <c r="BB148" s="51"/>
      <c r="BC148" s="52">
        <v>11</v>
      </c>
      <c r="BD148" s="52"/>
      <c r="BE148" s="51"/>
      <c r="BF148" s="52"/>
    </row>
    <row r="149" spans="1:58" ht="12.95" customHeight="1">
      <c r="A149" s="41"/>
      <c r="B149" s="42"/>
      <c r="C149" s="411"/>
      <c r="D149" s="42"/>
      <c r="E149" s="43"/>
      <c r="F149" s="43"/>
      <c r="G149" s="44"/>
      <c r="H149" s="594"/>
      <c r="I149" s="46"/>
      <c r="J149" s="86"/>
      <c r="K149" s="86"/>
      <c r="L149" s="36"/>
      <c r="M149" s="36"/>
      <c r="N149" s="47"/>
      <c r="O149" s="48"/>
      <c r="P149" s="49"/>
      <c r="Q149" s="48"/>
      <c r="R149" s="497"/>
      <c r="S149" s="497"/>
      <c r="T149" s="38"/>
      <c r="U149" s="38"/>
      <c r="V149" s="38"/>
      <c r="W149" s="38"/>
      <c r="X149" s="39"/>
      <c r="Y149" s="216"/>
      <c r="Z149" s="38"/>
      <c r="AA149" s="38"/>
      <c r="AB149" s="38"/>
      <c r="AC149" s="38"/>
      <c r="AD149" s="38">
        <f>+AM149+BA149</f>
        <v>33</v>
      </c>
      <c r="AE149" s="235" t="s">
        <v>457</v>
      </c>
      <c r="AF149" s="34"/>
      <c r="AG149" s="34"/>
      <c r="AH149" s="34">
        <v>33</v>
      </c>
      <c r="AJ149" s="38"/>
      <c r="AK149" s="38"/>
      <c r="AL149" s="38"/>
      <c r="AM149" s="38">
        <f t="shared" si="234"/>
        <v>33</v>
      </c>
      <c r="AN149" s="38"/>
      <c r="AO149" s="38"/>
      <c r="AP149" s="38"/>
      <c r="AQ149" s="38"/>
      <c r="AR149" s="38">
        <f t="shared" si="235"/>
        <v>0</v>
      </c>
      <c r="AS149" s="38"/>
      <c r="AT149" s="38"/>
      <c r="AU149" s="38"/>
      <c r="AV149" s="38"/>
      <c r="AW149" s="38"/>
      <c r="AX149" s="38"/>
      <c r="AY149" s="38"/>
      <c r="AZ149" s="38"/>
      <c r="BA149" s="38">
        <f>+AR149+AS149+AU149+AW149+AY149+AZ149</f>
        <v>0</v>
      </c>
      <c r="BB149" s="34"/>
      <c r="BC149" s="500"/>
      <c r="BD149" s="500"/>
      <c r="BE149" s="34"/>
      <c r="BF149" s="500"/>
    </row>
    <row r="150" spans="1:58" ht="12.95" customHeight="1">
      <c r="A150" s="41"/>
      <c r="B150" s="42"/>
      <c r="C150" s="411"/>
      <c r="D150" s="42"/>
      <c r="E150" s="43"/>
      <c r="F150" s="43"/>
      <c r="G150" s="44"/>
      <c r="H150" s="594"/>
      <c r="I150" s="46"/>
      <c r="J150" s="86"/>
      <c r="K150" s="86"/>
      <c r="L150" s="36"/>
      <c r="M150" s="36"/>
      <c r="N150" s="47"/>
      <c r="O150" s="48"/>
      <c r="P150" s="49"/>
      <c r="Q150" s="35"/>
      <c r="R150" s="497"/>
      <c r="S150" s="497"/>
      <c r="T150" s="38"/>
      <c r="U150" s="38"/>
      <c r="V150" s="38"/>
      <c r="W150" s="38"/>
      <c r="X150" s="39"/>
      <c r="Y150" s="216"/>
      <c r="Z150" s="38"/>
      <c r="AA150" s="38"/>
      <c r="AB150" s="38"/>
      <c r="AC150" s="38"/>
      <c r="AD150" s="38">
        <f>+AM150+BA150</f>
        <v>0</v>
      </c>
      <c r="AE150" s="238" t="s">
        <v>380</v>
      </c>
      <c r="AF150" s="38"/>
      <c r="AG150" s="38"/>
      <c r="AH150" s="38"/>
      <c r="AI150" s="499">
        <v>0</v>
      </c>
      <c r="AJ150" s="38"/>
      <c r="AK150" s="38"/>
      <c r="AL150" s="38"/>
      <c r="AM150" s="38">
        <f t="shared" si="234"/>
        <v>0</v>
      </c>
      <c r="AN150" s="38"/>
      <c r="AO150" s="38"/>
      <c r="AP150" s="38"/>
      <c r="AQ150" s="38"/>
      <c r="AR150" s="38">
        <f t="shared" si="235"/>
        <v>0</v>
      </c>
      <c r="AS150" s="38"/>
      <c r="AT150" s="38"/>
      <c r="AU150" s="38"/>
      <c r="AV150" s="38"/>
      <c r="AW150" s="38"/>
      <c r="AX150" s="38"/>
      <c r="AY150" s="38"/>
      <c r="AZ150" s="38"/>
      <c r="BA150" s="38">
        <f>+AR150+AS150+AU150+AW150+AY150+AZ150</f>
        <v>0</v>
      </c>
      <c r="BB150" s="51"/>
      <c r="BC150" s="52"/>
      <c r="BD150" s="52"/>
      <c r="BE150" s="51"/>
      <c r="BF150" s="52"/>
    </row>
    <row r="151" spans="1:58" ht="12.95" customHeight="1">
      <c r="A151" s="41"/>
      <c r="B151" s="42"/>
      <c r="C151" s="411"/>
      <c r="D151" s="42"/>
      <c r="E151" s="43"/>
      <c r="F151" s="43"/>
      <c r="G151" s="496"/>
      <c r="H151" s="45"/>
      <c r="I151" s="46"/>
      <c r="J151" s="86"/>
      <c r="K151" s="86"/>
      <c r="L151" s="36"/>
      <c r="M151" s="36"/>
      <c r="N151" s="47"/>
      <c r="O151" s="48"/>
      <c r="P151" s="49"/>
      <c r="Q151" s="48"/>
      <c r="R151" s="497"/>
      <c r="S151" s="497"/>
      <c r="T151" s="38"/>
      <c r="U151" s="38"/>
      <c r="V151" s="38"/>
      <c r="W151" s="38"/>
      <c r="X151" s="39"/>
      <c r="Y151" s="216"/>
      <c r="Z151" s="38"/>
      <c r="AA151" s="38"/>
      <c r="AB151" s="38"/>
      <c r="AC151" s="38"/>
      <c r="AD151" s="38"/>
      <c r="AE151" s="235"/>
      <c r="AF151" s="38"/>
      <c r="AG151" s="38"/>
      <c r="AH151" s="38"/>
      <c r="AI151" s="499"/>
      <c r="AJ151" s="38"/>
      <c r="AK151" s="38"/>
      <c r="AL151" s="38"/>
      <c r="AM151" s="38"/>
      <c r="AN151" s="87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51"/>
      <c r="BC151" s="52"/>
      <c r="BD151" s="52"/>
      <c r="BE151" s="52"/>
      <c r="BF151" s="52"/>
    </row>
    <row r="152" spans="1:58" ht="12.75" customHeight="1">
      <c r="A152" s="41">
        <v>45899</v>
      </c>
      <c r="B152" s="42" t="s">
        <v>490</v>
      </c>
      <c r="C152" s="411">
        <f t="shared" ref="C152:C153" si="236">(M152*E152*O152*Q152)/100000000</f>
        <v>27.636188579999999</v>
      </c>
      <c r="D152" s="42" t="s">
        <v>304</v>
      </c>
      <c r="E152" s="43">
        <v>13</v>
      </c>
      <c r="F152" s="43">
        <v>1</v>
      </c>
      <c r="G152" s="496">
        <v>1230</v>
      </c>
      <c r="H152" s="45">
        <v>0.22</v>
      </c>
      <c r="I152" s="46">
        <v>0.88</v>
      </c>
      <c r="J152" s="86">
        <f t="shared" ref="J152:J153" si="237">E152*G152*(1-H152)*1440/1000000*2.74</f>
        <v>49.210312320000007</v>
      </c>
      <c r="K152" s="86">
        <f t="shared" ref="K152:K153" si="238">(IF(G152&lt;L152,L152,G152)*(1-IF(H152&lt;N152,H152,N152))*E152*O152*Q152)/100000000</f>
        <v>27.995100119999996</v>
      </c>
      <c r="L152" s="36">
        <v>1230</v>
      </c>
      <c r="M152" s="36">
        <v>947.09999999999991</v>
      </c>
      <c r="N152" s="47">
        <f t="shared" ref="N152:N153" si="239">1-(M152/L152)</f>
        <v>0.23000000000000009</v>
      </c>
      <c r="O152" s="48">
        <f>+'Trim Rwd'!H93</f>
        <v>258</v>
      </c>
      <c r="P152" s="49">
        <f t="shared" ref="P152:P153" si="240">O152*(Q152-R152-S152)</f>
        <v>215946</v>
      </c>
      <c r="Q152" s="48">
        <v>870</v>
      </c>
      <c r="R152" s="497">
        <v>0</v>
      </c>
      <c r="S152" s="497">
        <v>33</v>
      </c>
      <c r="T152" s="38">
        <f t="shared" ref="T152:T153" si="241">E152*M152*O152*Q152/100000000</f>
        <v>27.636188579999999</v>
      </c>
      <c r="U152" s="38">
        <f t="shared" ref="U152:U153" si="242">E152*M152*O152*(Q152-R152-S152)/100000000</f>
        <v>26.587919357999997</v>
      </c>
      <c r="V152" s="38">
        <f t="shared" ref="V152:V153" si="243">E152*G152*(1-N152)*O152/100*(R152+S152)/1000000</f>
        <v>1.0482692220000001</v>
      </c>
      <c r="W152" s="38">
        <f>+'30'!K12/1000</f>
        <v>31.658999999999999</v>
      </c>
      <c r="X152" s="498">
        <f>SUM(W152:W156)/SUM(K152:K156)</f>
        <v>0.87476475753086813</v>
      </c>
      <c r="Y152" s="216">
        <v>0</v>
      </c>
      <c r="Z152" s="38">
        <f>+'30'!D34/1000</f>
        <v>0.24</v>
      </c>
      <c r="AA152" s="50">
        <f>SUM(U152:U156)-SUM(W152:W156)-SUM(Z152:Z156)-SUM(Y152:Y156)</f>
        <v>3.1098926379999927</v>
      </c>
      <c r="AB152" s="50">
        <f>(SUM(K152:K156)-SUM(W152:W156)-SUM(Y152:Y156)-SUM(Z152:Z156)-SUM(AC152:AC156)-SUM(V152:V156))-AA152</f>
        <v>0</v>
      </c>
      <c r="AC152" s="38">
        <f>K152-T152</f>
        <v>0.35891153999999759</v>
      </c>
      <c r="AD152" s="38">
        <f>+AM152+BA152</f>
        <v>12</v>
      </c>
      <c r="AE152" s="235" t="s">
        <v>436</v>
      </c>
      <c r="AF152" s="38">
        <v>12</v>
      </c>
      <c r="AG152" s="38"/>
      <c r="AH152" s="38"/>
      <c r="AI152" s="499"/>
      <c r="AJ152" s="38"/>
      <c r="AK152" s="38"/>
      <c r="AL152" s="38"/>
      <c r="AM152" s="38">
        <f t="shared" ref="AM152:AM155" si="244">SUM(AF152:AL152)+AT152+AV152+AX152</f>
        <v>12</v>
      </c>
      <c r="AN152" s="38"/>
      <c r="AO152" s="38"/>
      <c r="AP152" s="38"/>
      <c r="AQ152" s="38"/>
      <c r="AR152" s="38">
        <f>SUM(AN152:AQ152)</f>
        <v>0</v>
      </c>
      <c r="AS152" s="38"/>
      <c r="AT152" s="38"/>
      <c r="AU152" s="38"/>
      <c r="AV152" s="38"/>
      <c r="AW152" s="38"/>
      <c r="AX152" s="38"/>
      <c r="AY152" s="38"/>
      <c r="AZ152" s="38"/>
      <c r="BA152" s="38">
        <f>+AR152+AS152+AU152+AW152+AY152+AZ152</f>
        <v>0</v>
      </c>
      <c r="BB152" s="34">
        <v>6</v>
      </c>
      <c r="BC152" s="52"/>
      <c r="BD152" s="52"/>
      <c r="BE152" s="34"/>
      <c r="BF152" s="52"/>
    </row>
    <row r="153" spans="1:58" ht="12.95" customHeight="1">
      <c r="A153" s="41"/>
      <c r="B153" s="42" t="s">
        <v>490</v>
      </c>
      <c r="C153" s="411">
        <f t="shared" si="236"/>
        <v>17.231916239999997</v>
      </c>
      <c r="D153" s="42" t="s">
        <v>304</v>
      </c>
      <c r="E153" s="43">
        <v>12</v>
      </c>
      <c r="F153" s="43">
        <v>1</v>
      </c>
      <c r="G153" s="496">
        <v>1230</v>
      </c>
      <c r="H153" s="45">
        <f>+N153</f>
        <v>0.23000000000000009</v>
      </c>
      <c r="I153" s="46">
        <v>0.88</v>
      </c>
      <c r="J153" s="86">
        <f t="shared" si="237"/>
        <v>44.842533119999999</v>
      </c>
      <c r="K153" s="86">
        <f t="shared" si="238"/>
        <v>17.231916239999997</v>
      </c>
      <c r="L153" s="36">
        <v>1230</v>
      </c>
      <c r="M153" s="36">
        <v>947.09999999999991</v>
      </c>
      <c r="N153" s="47">
        <f t="shared" si="239"/>
        <v>0.23000000000000009</v>
      </c>
      <c r="O153" s="48">
        <f>+'Trim Rwd'!H94</f>
        <v>266</v>
      </c>
      <c r="P153" s="49">
        <f t="shared" si="240"/>
        <v>143640</v>
      </c>
      <c r="Q153" s="48">
        <v>570</v>
      </c>
      <c r="R153" s="497">
        <v>0</v>
      </c>
      <c r="S153" s="497">
        <v>30</v>
      </c>
      <c r="T153" s="38">
        <f t="shared" si="241"/>
        <v>17.231916239999997</v>
      </c>
      <c r="U153" s="38">
        <f t="shared" si="242"/>
        <v>16.324973279999998</v>
      </c>
      <c r="V153" s="38">
        <f t="shared" si="243"/>
        <v>0.90694295999999996</v>
      </c>
      <c r="W153" s="38">
        <f>+'30'!K13/1000</f>
        <v>7.9039999999999999</v>
      </c>
      <c r="X153" s="39"/>
      <c r="Y153" s="216"/>
      <c r="Z153" s="38"/>
      <c r="AA153" s="38"/>
      <c r="AB153" s="38"/>
      <c r="AC153" s="38"/>
      <c r="AD153" s="38">
        <f>+AM153+BA153</f>
        <v>0</v>
      </c>
      <c r="AE153" s="235" t="s">
        <v>286</v>
      </c>
      <c r="AF153" s="38"/>
      <c r="AG153" s="38">
        <v>0</v>
      </c>
      <c r="AH153" s="38"/>
      <c r="AI153" s="499"/>
      <c r="AJ153" s="38"/>
      <c r="AK153" s="38"/>
      <c r="AL153" s="38"/>
      <c r="AM153" s="38">
        <f t="shared" si="244"/>
        <v>0</v>
      </c>
      <c r="AN153" s="87"/>
      <c r="AO153" s="38"/>
      <c r="AP153" s="38"/>
      <c r="AQ153" s="38"/>
      <c r="AR153" s="38">
        <f t="shared" ref="AR153:AR155" si="245">SUM(AN153:AQ153)</f>
        <v>0</v>
      </c>
      <c r="AS153" s="38"/>
      <c r="AT153" s="38"/>
      <c r="AU153" s="38"/>
      <c r="AV153" s="38"/>
      <c r="AW153" s="38"/>
      <c r="AX153" s="38"/>
      <c r="AY153" s="38"/>
      <c r="AZ153" s="38"/>
      <c r="BA153" s="38">
        <f>+AR153+AS153+AU153+AW153+AY153+AZ153</f>
        <v>0</v>
      </c>
      <c r="BB153" s="51"/>
      <c r="BC153" s="52">
        <v>0</v>
      </c>
      <c r="BD153" s="52"/>
      <c r="BE153" s="51"/>
      <c r="BF153" s="52"/>
    </row>
    <row r="154" spans="1:58" ht="12.95" customHeight="1">
      <c r="A154" s="41"/>
      <c r="B154" s="42"/>
      <c r="C154" s="411"/>
      <c r="D154" s="42"/>
      <c r="E154" s="43"/>
      <c r="F154" s="43"/>
      <c r="G154" s="44"/>
      <c r="H154" s="594"/>
      <c r="I154" s="46"/>
      <c r="J154" s="86"/>
      <c r="K154" s="86"/>
      <c r="L154" s="36"/>
      <c r="M154" s="36"/>
      <c r="N154" s="47"/>
      <c r="O154" s="48"/>
      <c r="P154" s="49"/>
      <c r="Q154" s="48"/>
      <c r="R154" s="497"/>
      <c r="S154" s="497"/>
      <c r="T154" s="38"/>
      <c r="U154" s="38"/>
      <c r="V154" s="38"/>
      <c r="W154" s="38"/>
      <c r="X154" s="39"/>
      <c r="Y154" s="216"/>
      <c r="Z154" s="38"/>
      <c r="AA154" s="38"/>
      <c r="AB154" s="38"/>
      <c r="AC154" s="38"/>
      <c r="AD154" s="38">
        <f>+AM154+BA154</f>
        <v>51</v>
      </c>
      <c r="AE154" s="235" t="s">
        <v>566</v>
      </c>
      <c r="AF154" s="34"/>
      <c r="AG154" s="34"/>
      <c r="AH154" s="34">
        <v>51</v>
      </c>
      <c r="AJ154" s="38"/>
      <c r="AK154" s="38"/>
      <c r="AL154" s="38"/>
      <c r="AM154" s="38">
        <f t="shared" si="244"/>
        <v>51</v>
      </c>
      <c r="AN154" s="38"/>
      <c r="AO154" s="38"/>
      <c r="AP154" s="38"/>
      <c r="AQ154" s="38"/>
      <c r="AR154" s="38">
        <f t="shared" si="245"/>
        <v>0</v>
      </c>
      <c r="AS154" s="38"/>
      <c r="AT154" s="38"/>
      <c r="AU154" s="38"/>
      <c r="AV154" s="38"/>
      <c r="AW154" s="38"/>
      <c r="AX154" s="38"/>
      <c r="AY154" s="38"/>
      <c r="AZ154" s="38"/>
      <c r="BA154" s="38">
        <f>+AR154+AS154+AU154+AW154+AY154+AZ154</f>
        <v>0</v>
      </c>
      <c r="BB154" s="34"/>
      <c r="BC154" s="500"/>
      <c r="BD154" s="500"/>
      <c r="BE154" s="34"/>
      <c r="BF154" s="500"/>
    </row>
    <row r="155" spans="1:58" ht="12.95" customHeight="1">
      <c r="A155" s="41"/>
      <c r="B155" s="42"/>
      <c r="C155" s="411"/>
      <c r="D155" s="42"/>
      <c r="E155" s="43"/>
      <c r="F155" s="43"/>
      <c r="G155" s="44"/>
      <c r="H155" s="594"/>
      <c r="I155" s="46"/>
      <c r="J155" s="86"/>
      <c r="K155" s="86"/>
      <c r="L155" s="36"/>
      <c r="M155" s="36"/>
      <c r="N155" s="47"/>
      <c r="O155" s="48"/>
      <c r="P155" s="49"/>
      <c r="Q155" s="35"/>
      <c r="R155" s="497"/>
      <c r="S155" s="497"/>
      <c r="T155" s="38"/>
      <c r="U155" s="38"/>
      <c r="V155" s="38"/>
      <c r="W155" s="38"/>
      <c r="X155" s="39"/>
      <c r="Y155" s="216"/>
      <c r="Z155" s="38"/>
      <c r="AA155" s="38"/>
      <c r="AB155" s="38"/>
      <c r="AC155" s="38"/>
      <c r="AD155" s="38">
        <f>+AM155+BA155</f>
        <v>0</v>
      </c>
      <c r="AE155" s="238" t="s">
        <v>380</v>
      </c>
      <c r="AF155" s="38"/>
      <c r="AG155" s="38"/>
      <c r="AH155" s="38"/>
      <c r="AI155" s="499">
        <v>0</v>
      </c>
      <c r="AJ155" s="38"/>
      <c r="AK155" s="38"/>
      <c r="AL155" s="38"/>
      <c r="AM155" s="38">
        <f t="shared" si="244"/>
        <v>0</v>
      </c>
      <c r="AN155" s="38"/>
      <c r="AO155" s="38"/>
      <c r="AP155" s="38"/>
      <c r="AQ155" s="38"/>
      <c r="AR155" s="38">
        <f t="shared" si="245"/>
        <v>0</v>
      </c>
      <c r="AS155" s="38"/>
      <c r="AT155" s="38"/>
      <c r="AU155" s="38"/>
      <c r="AV155" s="38"/>
      <c r="AW155" s="38"/>
      <c r="AX155" s="38"/>
      <c r="AY155" s="38"/>
      <c r="AZ155" s="38"/>
      <c r="BA155" s="38">
        <f>+AR155+AS155+AU155+AW155+AY155+AZ155</f>
        <v>0</v>
      </c>
      <c r="BB155" s="51"/>
      <c r="BC155" s="52"/>
      <c r="BD155" s="52"/>
      <c r="BE155" s="51"/>
      <c r="BF155" s="52"/>
    </row>
    <row r="156" spans="1:58" ht="12.95" customHeight="1">
      <c r="A156" s="41"/>
      <c r="B156" s="42"/>
      <c r="C156" s="411"/>
      <c r="D156" s="42"/>
      <c r="E156" s="43"/>
      <c r="F156" s="43"/>
      <c r="G156" s="496"/>
      <c r="H156" s="45"/>
      <c r="I156" s="46"/>
      <c r="J156" s="86"/>
      <c r="K156" s="86"/>
      <c r="L156" s="36"/>
      <c r="M156" s="36"/>
      <c r="N156" s="47"/>
      <c r="O156" s="48"/>
      <c r="P156" s="49"/>
      <c r="Q156" s="48"/>
      <c r="R156" s="497"/>
      <c r="S156" s="497"/>
      <c r="T156" s="38"/>
      <c r="U156" s="38"/>
      <c r="V156" s="38"/>
      <c r="W156" s="38"/>
      <c r="X156" s="39"/>
      <c r="Y156" s="216"/>
      <c r="Z156" s="38"/>
      <c r="AA156" s="38"/>
      <c r="AB156" s="38"/>
      <c r="AC156" s="38"/>
      <c r="AD156" s="38"/>
      <c r="AE156" s="235"/>
      <c r="AF156" s="38"/>
      <c r="AG156" s="38"/>
      <c r="AH156" s="38"/>
      <c r="AI156" s="499"/>
      <c r="AJ156" s="38"/>
      <c r="AK156" s="38"/>
      <c r="AL156" s="38"/>
      <c r="AM156" s="38"/>
      <c r="AN156" s="87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51"/>
      <c r="BC156" s="52"/>
      <c r="BD156" s="52"/>
      <c r="BE156" s="52"/>
      <c r="BF156" s="52"/>
    </row>
    <row r="157" spans="1:58" ht="12.75" customHeight="1">
      <c r="A157" s="41">
        <v>45900</v>
      </c>
      <c r="B157" s="42" t="s">
        <v>490</v>
      </c>
      <c r="C157" s="411">
        <f t="shared" ref="C157:C159" si="246">(M157*E157*O157*Q157)/100000000</f>
        <v>6.4631051099999999</v>
      </c>
      <c r="D157" s="42" t="s">
        <v>304</v>
      </c>
      <c r="E157" s="43">
        <v>12</v>
      </c>
      <c r="F157" s="43">
        <v>1</v>
      </c>
      <c r="G157" s="496">
        <v>1230</v>
      </c>
      <c r="H157" s="45">
        <f>+N157</f>
        <v>0.23000000000000009</v>
      </c>
      <c r="I157" s="46">
        <v>0.88</v>
      </c>
      <c r="J157" s="86">
        <f t="shared" ref="J157:J159" si="247">E157*G157*(1-H157)*1440/1000000*2.74</f>
        <v>44.842533119999999</v>
      </c>
      <c r="K157" s="86">
        <f t="shared" ref="K157:K159" si="248">(IF(G157&lt;L157,L157,G157)*(1-IF(H157&lt;N157,H157,N157))*E157*O157*Q157)/100000000</f>
        <v>6.4631051099999999</v>
      </c>
      <c r="L157" s="36">
        <v>1230</v>
      </c>
      <c r="M157" s="36">
        <v>947.09999999999991</v>
      </c>
      <c r="N157" s="47">
        <f t="shared" ref="N157:N159" si="249">1-(M157/L157)</f>
        <v>0.23000000000000009</v>
      </c>
      <c r="O157" s="48">
        <f>+'Trim Rwd'!H96</f>
        <v>264.5</v>
      </c>
      <c r="P157" s="49">
        <f t="shared" ref="P157:P159" si="250">O157*(Q157-R157-S157)</f>
        <v>53693.5</v>
      </c>
      <c r="Q157" s="48">
        <v>215</v>
      </c>
      <c r="R157" s="497">
        <v>0</v>
      </c>
      <c r="S157" s="497">
        <v>12</v>
      </c>
      <c r="T157" s="38">
        <f t="shared" ref="T157:T159" si="251">E157*M157*O157*Q157/100000000</f>
        <v>6.4631051099999999</v>
      </c>
      <c r="U157" s="38">
        <f t="shared" ref="U157:U159" si="252">E157*M157*O157*(Q157-R157-S157)/100000000</f>
        <v>6.1023736619999989</v>
      </c>
      <c r="V157" s="38">
        <f t="shared" ref="V157:V159" si="253">E157*G157*(1-N157)*O157/100*(R157+S157)/1000000</f>
        <v>0.36073144799999995</v>
      </c>
      <c r="W157" s="38">
        <f>+'31'!K13/1000</f>
        <v>15.606999999999999</v>
      </c>
      <c r="X157" s="498">
        <f>SUM(W157:W161)/SUM(K157:K161)</f>
        <v>0.96751081846380171</v>
      </c>
      <c r="Y157" s="216">
        <f>+SUM(RBP!AG3:AG4)</f>
        <v>4.7309999999999999</v>
      </c>
      <c r="Z157" s="38">
        <f>+'31'!D34/1000</f>
        <v>0.71</v>
      </c>
      <c r="AA157" s="50">
        <f>SUM(U157:U161)-SUM(W157:W161)-SUM(Z157:Z161)-SUM(Y157:Y161)</f>
        <v>-6.706303900500008</v>
      </c>
      <c r="AB157" s="50">
        <f>(SUM(K157:K161)-SUM(W157:W161)-SUM(Y157:Y161)-SUM(Z157:Z161)-SUM(AC157:AC161)-SUM(V157:V161))-AA157</f>
        <v>0.49738893750000113</v>
      </c>
      <c r="AC157" s="38">
        <f>K157-T157</f>
        <v>0</v>
      </c>
      <c r="AD157" s="38">
        <f>+AM157+BA157</f>
        <v>21</v>
      </c>
      <c r="AE157" s="235" t="s">
        <v>544</v>
      </c>
      <c r="AF157" s="38">
        <v>21</v>
      </c>
      <c r="AG157" s="38"/>
      <c r="AH157" s="38"/>
      <c r="AI157" s="499"/>
      <c r="AJ157" s="38"/>
      <c r="AK157" s="38"/>
      <c r="AL157" s="38"/>
      <c r="AM157" s="38">
        <f t="shared" ref="AM157:AM160" si="254">SUM(AF157:AL157)+AT157+AV157+AX157</f>
        <v>21</v>
      </c>
      <c r="AN157" s="38"/>
      <c r="AO157" s="38"/>
      <c r="AP157" s="38"/>
      <c r="AQ157" s="38"/>
      <c r="AR157" s="38">
        <f>SUM(AN157:AQ157)</f>
        <v>0</v>
      </c>
      <c r="AS157" s="38"/>
      <c r="AT157" s="38"/>
      <c r="AU157" s="38"/>
      <c r="AV157" s="38"/>
      <c r="AW157" s="38"/>
      <c r="AX157" s="38"/>
      <c r="AY157" s="38"/>
      <c r="AZ157" s="38"/>
      <c r="BA157" s="38">
        <f>+AR157+AS157+AU157+AW157+AY157+AZ157</f>
        <v>0</v>
      </c>
      <c r="BB157" s="34">
        <v>9</v>
      </c>
      <c r="BC157" s="52"/>
      <c r="BD157" s="52"/>
      <c r="BE157" s="34"/>
      <c r="BF157" s="52"/>
    </row>
    <row r="158" spans="1:58" ht="12.95" customHeight="1">
      <c r="A158" s="41"/>
      <c r="B158" s="42" t="s">
        <v>490</v>
      </c>
      <c r="C158" s="411">
        <f t="shared" si="246"/>
        <v>25.855829999999994</v>
      </c>
      <c r="D158" s="42" t="s">
        <v>304</v>
      </c>
      <c r="E158" s="43">
        <v>12.5</v>
      </c>
      <c r="F158" s="43">
        <v>1</v>
      </c>
      <c r="G158" s="496">
        <v>1230</v>
      </c>
      <c r="H158" s="45">
        <v>0.22</v>
      </c>
      <c r="I158" s="46">
        <v>0.88</v>
      </c>
      <c r="J158" s="86">
        <f t="shared" si="247"/>
        <v>47.317608000000007</v>
      </c>
      <c r="K158" s="86">
        <f t="shared" si="248"/>
        <v>26.19162</v>
      </c>
      <c r="L158" s="36">
        <v>1230</v>
      </c>
      <c r="M158" s="36">
        <v>947.09999999999991</v>
      </c>
      <c r="N158" s="47">
        <f t="shared" si="249"/>
        <v>0.23000000000000009</v>
      </c>
      <c r="O158" s="48">
        <f>+'Trim Rwd'!H98</f>
        <v>260</v>
      </c>
      <c r="P158" s="49">
        <f t="shared" si="250"/>
        <v>208000</v>
      </c>
      <c r="Q158" s="48">
        <v>840</v>
      </c>
      <c r="R158" s="497">
        <v>0</v>
      </c>
      <c r="S158" s="497">
        <v>40</v>
      </c>
      <c r="T158" s="38">
        <f t="shared" si="251"/>
        <v>25.855829999999994</v>
      </c>
      <c r="U158" s="38">
        <f t="shared" si="252"/>
        <v>24.624599999999994</v>
      </c>
      <c r="V158" s="38">
        <f t="shared" si="253"/>
        <v>1.2312299999999998</v>
      </c>
      <c r="W158" s="38">
        <f>+'31'!K14/1000</f>
        <v>20.738</v>
      </c>
      <c r="X158" s="39"/>
      <c r="Y158" s="216"/>
      <c r="Z158" s="38"/>
      <c r="AA158" s="38"/>
      <c r="AB158" s="38"/>
      <c r="AC158" s="38"/>
      <c r="AD158" s="38">
        <f>+AM158+BA158</f>
        <v>0</v>
      </c>
      <c r="AE158" s="235" t="s">
        <v>286</v>
      </c>
      <c r="AF158" s="38"/>
      <c r="AG158" s="38">
        <v>0</v>
      </c>
      <c r="AH158" s="38"/>
      <c r="AI158" s="499"/>
      <c r="AJ158" s="38"/>
      <c r="AK158" s="38"/>
      <c r="AL158" s="38"/>
      <c r="AM158" s="38">
        <f t="shared" si="254"/>
        <v>0</v>
      </c>
      <c r="AN158" s="87"/>
      <c r="AO158" s="38"/>
      <c r="AP158" s="38"/>
      <c r="AQ158" s="38"/>
      <c r="AR158" s="38">
        <f t="shared" ref="AR158:AR160" si="255">SUM(AN158:AQ158)</f>
        <v>0</v>
      </c>
      <c r="AS158" s="38"/>
      <c r="AT158" s="38"/>
      <c r="AU158" s="38"/>
      <c r="AV158" s="38"/>
      <c r="AW158" s="38"/>
      <c r="AX158" s="38"/>
      <c r="AY158" s="38"/>
      <c r="AZ158" s="38"/>
      <c r="BA158" s="38">
        <f>+AR158+AS158+AU158+AW158+AY158+AZ158</f>
        <v>0</v>
      </c>
      <c r="BB158" s="51"/>
      <c r="BC158" s="52">
        <v>0</v>
      </c>
      <c r="BD158" s="52"/>
      <c r="BE158" s="51"/>
      <c r="BF158" s="52"/>
    </row>
    <row r="159" spans="1:58" ht="12.95" customHeight="1">
      <c r="A159" s="41"/>
      <c r="B159" s="42" t="s">
        <v>490</v>
      </c>
      <c r="C159" s="411">
        <f t="shared" si="246"/>
        <v>12.4431181875</v>
      </c>
      <c r="D159" s="42" t="s">
        <v>304</v>
      </c>
      <c r="E159" s="43">
        <v>13</v>
      </c>
      <c r="F159" s="43">
        <v>1</v>
      </c>
      <c r="G159" s="496">
        <v>1230</v>
      </c>
      <c r="H159" s="45">
        <v>0.22</v>
      </c>
      <c r="I159" s="46">
        <v>0.88</v>
      </c>
      <c r="J159" s="86">
        <f t="shared" si="247"/>
        <v>49.210312320000007</v>
      </c>
      <c r="K159" s="86">
        <f t="shared" si="248"/>
        <v>12.604717124999997</v>
      </c>
      <c r="L159" s="36">
        <v>1230</v>
      </c>
      <c r="M159" s="36">
        <v>947.09999999999991</v>
      </c>
      <c r="N159" s="47">
        <f t="shared" si="249"/>
        <v>0.23000000000000009</v>
      </c>
      <c r="O159" s="48">
        <f>+'Trim Rwd'!H99</f>
        <v>262.5</v>
      </c>
      <c r="P159" s="49">
        <f t="shared" si="250"/>
        <v>95812.5</v>
      </c>
      <c r="Q159" s="48">
        <v>385</v>
      </c>
      <c r="R159" s="497">
        <v>0</v>
      </c>
      <c r="S159" s="497">
        <v>20</v>
      </c>
      <c r="T159" s="38">
        <f t="shared" si="251"/>
        <v>12.4431181875</v>
      </c>
      <c r="U159" s="38">
        <f t="shared" si="252"/>
        <v>11.7967224375</v>
      </c>
      <c r="V159" s="38">
        <f t="shared" si="253"/>
        <v>0.64639575000000005</v>
      </c>
      <c r="W159" s="38">
        <f>+'31'!K12/1000</f>
        <v>7.444</v>
      </c>
      <c r="X159" s="39"/>
      <c r="Y159" s="216"/>
      <c r="Z159" s="38"/>
      <c r="AA159" s="38"/>
      <c r="AB159" s="38"/>
      <c r="AC159" s="38"/>
      <c r="AD159" s="38">
        <f>+AM159+BA159</f>
        <v>51</v>
      </c>
      <c r="AE159" s="235" t="s">
        <v>566</v>
      </c>
      <c r="AF159" s="34"/>
      <c r="AG159" s="34"/>
      <c r="AH159" s="34">
        <v>51</v>
      </c>
      <c r="AJ159" s="38"/>
      <c r="AK159" s="38"/>
      <c r="AL159" s="38"/>
      <c r="AM159" s="38">
        <f t="shared" si="254"/>
        <v>51</v>
      </c>
      <c r="AN159" s="38"/>
      <c r="AO159" s="38"/>
      <c r="AP159" s="38"/>
      <c r="AQ159" s="38"/>
      <c r="AR159" s="38">
        <f t="shared" si="255"/>
        <v>0</v>
      </c>
      <c r="AS159" s="38"/>
      <c r="AT159" s="38"/>
      <c r="AU159" s="38"/>
      <c r="AV159" s="38"/>
      <c r="AW159" s="38"/>
      <c r="AX159" s="38"/>
      <c r="AY159" s="38"/>
      <c r="AZ159" s="38"/>
      <c r="BA159" s="38">
        <f>+AR159+AS159+AU159+AW159+AY159+AZ159</f>
        <v>0</v>
      </c>
      <c r="BB159" s="34"/>
      <c r="BC159" s="500"/>
      <c r="BD159" s="500"/>
      <c r="BE159" s="34"/>
      <c r="BF159" s="500"/>
    </row>
    <row r="160" spans="1:58" ht="12.95" customHeight="1">
      <c r="A160" s="41"/>
      <c r="B160" s="42"/>
      <c r="C160" s="411"/>
      <c r="D160" s="42"/>
      <c r="E160" s="43"/>
      <c r="F160" s="43"/>
      <c r="G160" s="44"/>
      <c r="H160" s="594"/>
      <c r="I160" s="46"/>
      <c r="J160" s="86"/>
      <c r="K160" s="86"/>
      <c r="L160" s="36"/>
      <c r="M160" s="36"/>
      <c r="N160" s="47"/>
      <c r="O160" s="48"/>
      <c r="P160" s="49"/>
      <c r="Q160" s="35"/>
      <c r="R160" s="497"/>
      <c r="S160" s="497"/>
      <c r="T160" s="38"/>
      <c r="U160" s="38"/>
      <c r="V160" s="38"/>
      <c r="W160" s="38"/>
      <c r="X160" s="39"/>
      <c r="Y160" s="216"/>
      <c r="Z160" s="38"/>
      <c r="AA160" s="38"/>
      <c r="AB160" s="38"/>
      <c r="AC160" s="38"/>
      <c r="AD160" s="38">
        <f>+AM160+BA160</f>
        <v>0</v>
      </c>
      <c r="AE160" s="238" t="s">
        <v>380</v>
      </c>
      <c r="AF160" s="38"/>
      <c r="AG160" s="38"/>
      <c r="AH160" s="38"/>
      <c r="AI160" s="499">
        <v>0</v>
      </c>
      <c r="AJ160" s="38"/>
      <c r="AK160" s="38"/>
      <c r="AL160" s="38"/>
      <c r="AM160" s="38">
        <f t="shared" si="254"/>
        <v>0</v>
      </c>
      <c r="AN160" s="38"/>
      <c r="AO160" s="38"/>
      <c r="AP160" s="38"/>
      <c r="AQ160" s="38"/>
      <c r="AR160" s="38">
        <f t="shared" si="255"/>
        <v>0</v>
      </c>
      <c r="AS160" s="38"/>
      <c r="AT160" s="38"/>
      <c r="AU160" s="38"/>
      <c r="AV160" s="38"/>
      <c r="AW160" s="38"/>
      <c r="AX160" s="38"/>
      <c r="AY160" s="38"/>
      <c r="AZ160" s="38"/>
      <c r="BA160" s="38">
        <f>+AR160+AS160+AU160+AW160+AY160+AZ160</f>
        <v>0</v>
      </c>
      <c r="BB160" s="51"/>
      <c r="BC160" s="52"/>
      <c r="BD160" s="52"/>
      <c r="BE160" s="51"/>
      <c r="BF160" s="52"/>
    </row>
    <row r="161" spans="1:58" ht="12.95" customHeight="1">
      <c r="A161" s="41"/>
      <c r="B161" s="42"/>
      <c r="C161" s="411"/>
      <c r="D161" s="42"/>
      <c r="E161" s="43"/>
      <c r="F161" s="43"/>
      <c r="G161" s="496"/>
      <c r="H161" s="45"/>
      <c r="I161" s="46"/>
      <c r="J161" s="86"/>
      <c r="K161" s="86"/>
      <c r="L161" s="36"/>
      <c r="M161" s="36"/>
      <c r="N161" s="47"/>
      <c r="O161" s="48"/>
      <c r="P161" s="49"/>
      <c r="Q161" s="48"/>
      <c r="R161" s="497"/>
      <c r="S161" s="497"/>
      <c r="T161" s="38"/>
      <c r="U161" s="38"/>
      <c r="V161" s="38"/>
      <c r="W161" s="38"/>
      <c r="X161" s="39"/>
      <c r="Y161" s="216"/>
      <c r="Z161" s="38"/>
      <c r="AA161" s="38"/>
      <c r="AB161" s="38"/>
      <c r="AC161" s="38"/>
      <c r="AD161" s="38"/>
      <c r="AE161" s="235"/>
      <c r="AF161" s="38"/>
      <c r="AG161" s="38"/>
      <c r="AH161" s="38"/>
      <c r="AI161" s="499"/>
      <c r="AJ161" s="38"/>
      <c r="AK161" s="38"/>
      <c r="AL161" s="38"/>
      <c r="AM161" s="38"/>
      <c r="AN161" s="87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51"/>
      <c r="BC161" s="52"/>
      <c r="BD161" s="52"/>
      <c r="BE161" s="52"/>
      <c r="BF161" s="52"/>
    </row>
    <row r="162" spans="1:58" ht="12.95" customHeight="1">
      <c r="A162" s="41"/>
      <c r="B162" s="42"/>
      <c r="C162" s="411"/>
      <c r="D162" s="42"/>
      <c r="E162" s="43"/>
      <c r="F162" s="43"/>
      <c r="G162" s="54"/>
      <c r="H162" s="55"/>
      <c r="I162" s="46"/>
      <c r="J162" s="86"/>
      <c r="K162" s="86"/>
      <c r="L162" s="36"/>
      <c r="M162" s="36"/>
      <c r="N162" s="47"/>
      <c r="O162" s="48"/>
      <c r="P162" s="49"/>
      <c r="Q162" s="335"/>
      <c r="R162" s="51"/>
      <c r="S162" s="51"/>
      <c r="T162" s="38"/>
      <c r="U162" s="38"/>
      <c r="V162" s="38"/>
      <c r="W162" s="34"/>
      <c r="X162" s="39"/>
      <c r="Y162" s="39"/>
      <c r="Z162" s="34"/>
      <c r="AA162" s="50">
        <f>U162-W162-Z162</f>
        <v>0</v>
      </c>
      <c r="AB162" s="50"/>
      <c r="AC162" s="38">
        <f>K162-T162</f>
        <v>0</v>
      </c>
      <c r="AD162" s="38"/>
      <c r="AE162" s="56"/>
      <c r="AF162" s="38"/>
      <c r="AG162" s="38"/>
      <c r="AH162" s="38"/>
      <c r="AI162" s="38"/>
      <c r="AJ162" s="38"/>
      <c r="AK162" s="38"/>
      <c r="AL162" s="38"/>
      <c r="AM162" s="38">
        <f t="shared" ref="AM162:AM163" si="256">SUM(AF162:AL162)</f>
        <v>0</v>
      </c>
      <c r="AN162" s="38"/>
      <c r="AO162" s="38"/>
      <c r="AP162" s="38"/>
      <c r="AQ162" s="38"/>
      <c r="AR162" s="38">
        <f t="shared" ref="AR162:AR163" si="257">SUM(AN162:AQ162)</f>
        <v>0</v>
      </c>
      <c r="AS162" s="38"/>
      <c r="AT162" s="38"/>
      <c r="AU162" s="38"/>
      <c r="AV162" s="38"/>
      <c r="AW162" s="38"/>
      <c r="AX162" s="38"/>
      <c r="AY162" s="38"/>
      <c r="AZ162" s="38"/>
      <c r="BA162" s="38"/>
      <c r="BB162" s="34"/>
      <c r="BC162" s="52"/>
      <c r="BD162" s="52"/>
      <c r="BE162" s="52"/>
      <c r="BF162" s="52"/>
    </row>
    <row r="163" spans="1:58">
      <c r="R163" s="501"/>
      <c r="S163" s="501"/>
      <c r="AA163" s="252">
        <f>U163-W163-Z163</f>
        <v>0</v>
      </c>
      <c r="AB163" s="252"/>
      <c r="AC163" s="253">
        <f>K163-T163</f>
        <v>0</v>
      </c>
      <c r="AD163" s="38"/>
      <c r="AF163" s="53"/>
      <c r="AG163" s="53"/>
      <c r="AH163" s="53"/>
      <c r="AI163" s="53"/>
      <c r="AJ163" s="53"/>
      <c r="AK163" s="53"/>
      <c r="AL163" s="53"/>
      <c r="AM163" s="38">
        <f t="shared" si="256"/>
        <v>0</v>
      </c>
      <c r="AN163" s="53"/>
      <c r="AO163" s="53"/>
      <c r="AP163" s="53"/>
      <c r="AQ163" s="53"/>
      <c r="AR163" s="38">
        <f t="shared" si="257"/>
        <v>0</v>
      </c>
      <c r="AS163" s="53"/>
      <c r="AT163" s="53"/>
      <c r="AU163" s="53"/>
      <c r="AV163" s="53"/>
      <c r="AW163" s="53"/>
      <c r="AX163" s="53"/>
      <c r="AY163" s="53"/>
      <c r="AZ163" s="53"/>
      <c r="BA163" s="38"/>
      <c r="BB163" s="34"/>
      <c r="BC163" s="52"/>
      <c r="BD163" s="52"/>
      <c r="BE163" s="52"/>
      <c r="BF163" s="52"/>
    </row>
    <row r="164" spans="1:58" s="28" customFormat="1" ht="12.95" customHeight="1">
      <c r="A164" s="60"/>
      <c r="B164" s="61"/>
      <c r="C164" s="412">
        <f>SUM(C6:C162)</f>
        <v>1429.862123743444</v>
      </c>
      <c r="D164" s="61"/>
      <c r="E164" s="62"/>
      <c r="F164" s="62"/>
      <c r="G164" s="63"/>
      <c r="H164" s="63"/>
      <c r="I164" s="64">
        <v>0.85</v>
      </c>
      <c r="J164" s="86"/>
      <c r="K164" s="88">
        <f>SUM(K6:K162)</f>
        <v>1439.183603312561</v>
      </c>
      <c r="L164" s="66"/>
      <c r="M164" s="66"/>
      <c r="N164" s="67"/>
      <c r="O164" s="68">
        <f>P164/(Q164-R164-S164)</f>
        <v>263.04472587514692</v>
      </c>
      <c r="P164" s="65">
        <f>SUM(P6:P162)</f>
        <v>11036041.474091789</v>
      </c>
      <c r="Q164" s="337">
        <f>SUM(Q6:Q163)</f>
        <v>44640</v>
      </c>
      <c r="R164" s="65">
        <f t="shared" ref="R164:W164" si="258">SUM(R6:R162)</f>
        <v>624</v>
      </c>
      <c r="S164" s="65">
        <f t="shared" si="258"/>
        <v>2061</v>
      </c>
      <c r="T164" s="65">
        <f t="shared" si="258"/>
        <v>1429.862123743444</v>
      </c>
      <c r="U164" s="65">
        <f t="shared" si="258"/>
        <v>1343.454162498598</v>
      </c>
      <c r="V164" s="361">
        <f t="shared" si="258"/>
        <v>86.447920557960643</v>
      </c>
      <c r="W164" s="443">
        <f t="shared" si="258"/>
        <v>1304.5219999999999</v>
      </c>
      <c r="X164" s="492">
        <f>W164/K164</f>
        <v>0.90643195002874466</v>
      </c>
      <c r="Y164" s="362">
        <f>SUM(Y6:Y162)</f>
        <v>4.7309999999999999</v>
      </c>
      <c r="Z164" s="443">
        <f>SUM(Z6:Z162)</f>
        <v>10.282034369871049</v>
      </c>
      <c r="AA164" s="65">
        <f>SUM(AA6:AA162)</f>
        <v>23.919128128727099</v>
      </c>
      <c r="AB164" s="65">
        <f>SUM(AB6:AB162)</f>
        <v>3.1999738295033322</v>
      </c>
      <c r="AC164" s="65">
        <f>SUM(AC6:AC162)</f>
        <v>6.081546426498706</v>
      </c>
      <c r="AD164" s="38">
        <f>SUM(AD6:AD163)</f>
        <v>2685</v>
      </c>
      <c r="AE164" s="69"/>
      <c r="AF164" s="65">
        <f t="shared" ref="AF164:BF164" si="259">SUM(AF6:AF163)</f>
        <v>498</v>
      </c>
      <c r="AG164" s="65">
        <f t="shared" si="259"/>
        <v>199</v>
      </c>
      <c r="AH164" s="65">
        <f t="shared" si="259"/>
        <v>1364</v>
      </c>
      <c r="AI164" s="65">
        <f t="shared" si="259"/>
        <v>0</v>
      </c>
      <c r="AJ164" s="65">
        <f t="shared" si="259"/>
        <v>0</v>
      </c>
      <c r="AK164" s="65">
        <f t="shared" si="259"/>
        <v>0</v>
      </c>
      <c r="AL164" s="65">
        <f t="shared" si="259"/>
        <v>0</v>
      </c>
      <c r="AM164" s="65">
        <f t="shared" si="259"/>
        <v>2061</v>
      </c>
      <c r="AN164" s="53">
        <f t="shared" si="259"/>
        <v>150</v>
      </c>
      <c r="AO164" s="53">
        <f t="shared" si="259"/>
        <v>414</v>
      </c>
      <c r="AP164" s="53">
        <f t="shared" si="259"/>
        <v>60</v>
      </c>
      <c r="AQ164" s="53">
        <f t="shared" si="259"/>
        <v>0</v>
      </c>
      <c r="AR164" s="65">
        <f t="shared" si="259"/>
        <v>624</v>
      </c>
      <c r="AS164" s="65">
        <f t="shared" si="259"/>
        <v>0</v>
      </c>
      <c r="AT164" s="65">
        <f t="shared" si="259"/>
        <v>0</v>
      </c>
      <c r="AU164" s="65">
        <f t="shared" si="259"/>
        <v>0</v>
      </c>
      <c r="AV164" s="65">
        <f t="shared" si="259"/>
        <v>0</v>
      </c>
      <c r="AW164" s="65">
        <f t="shared" si="259"/>
        <v>0</v>
      </c>
      <c r="AX164" s="65">
        <f t="shared" si="259"/>
        <v>0</v>
      </c>
      <c r="AY164" s="65">
        <f t="shared" si="259"/>
        <v>0</v>
      </c>
      <c r="AZ164" s="65">
        <f t="shared" si="259"/>
        <v>0</v>
      </c>
      <c r="BA164" s="65">
        <f t="shared" si="259"/>
        <v>624</v>
      </c>
      <c r="BB164" s="53">
        <f t="shared" si="259"/>
        <v>203</v>
      </c>
      <c r="BC164" s="53">
        <f t="shared" si="259"/>
        <v>106</v>
      </c>
      <c r="BD164" s="53">
        <f t="shared" si="259"/>
        <v>0</v>
      </c>
      <c r="BE164" s="53">
        <f t="shared" si="259"/>
        <v>0</v>
      </c>
      <c r="BF164" s="53">
        <f t="shared" si="259"/>
        <v>1</v>
      </c>
    </row>
    <row r="165" spans="1:58" s="28" customFormat="1" ht="12.95" customHeight="1">
      <c r="A165" s="60"/>
      <c r="B165" s="61"/>
      <c r="C165" s="61"/>
      <c r="D165" s="61"/>
      <c r="E165" s="62"/>
      <c r="F165" s="62"/>
      <c r="G165" s="63"/>
      <c r="H165" s="63"/>
      <c r="I165" s="63"/>
      <c r="J165" s="89"/>
      <c r="K165" s="89"/>
      <c r="L165" s="66"/>
      <c r="M165" s="66"/>
      <c r="N165" s="67"/>
      <c r="O165" s="662"/>
      <c r="P165" s="663"/>
      <c r="Q165" s="63">
        <f>31*1440-Q164</f>
        <v>0</v>
      </c>
      <c r="R165" s="70">
        <f>R164/Q164</f>
        <v>1.3978494623655914E-2</v>
      </c>
      <c r="S165" s="70">
        <f>S164/Q164</f>
        <v>4.6169354838709681E-2</v>
      </c>
      <c r="T165" s="348"/>
      <c r="U165" s="348"/>
      <c r="V165" s="350">
        <f>V164/K164</f>
        <v>6.0067332867734136E-2</v>
      </c>
      <c r="W165" s="366" t="s">
        <v>170</v>
      </c>
      <c r="X165" s="493">
        <v>0.85</v>
      </c>
      <c r="Y165" s="363">
        <f>Y164/K164</f>
        <v>3.2872803644445944E-3</v>
      </c>
      <c r="Z165" s="71">
        <f>Z164/K164</f>
        <v>7.144352080029919E-3</v>
      </c>
      <c r="AA165" s="71">
        <f>AA164/K164</f>
        <v>1.6619928182667294E-2</v>
      </c>
      <c r="AB165" s="71">
        <f>AB164/K164</f>
        <v>2.223464624067402E-3</v>
      </c>
      <c r="AC165" s="494">
        <f>AC164/K164</f>
        <v>4.2256918523118549E-3</v>
      </c>
      <c r="AD165" s="351"/>
      <c r="AE165" s="40"/>
      <c r="AF165" s="71">
        <f>AF164/$AD$164*$V$165</f>
        <v>1.1140980174350688E-2</v>
      </c>
      <c r="AG165" s="71">
        <f>AG164/$AD$164*$V$165</f>
        <v>4.4519177805136291E-3</v>
      </c>
      <c r="AH165" s="71">
        <f>AH164/$AD$164*$V$165</f>
        <v>3.0514652525731607E-2</v>
      </c>
      <c r="AI165" s="71">
        <f>AI164/$AD$164*$V$165</f>
        <v>0</v>
      </c>
      <c r="AJ165" s="71">
        <f t="shared" ref="AJ165:BA165" si="260">AJ164/$AD$164*$V$165</f>
        <v>0</v>
      </c>
      <c r="AK165" s="71">
        <f t="shared" si="260"/>
        <v>0</v>
      </c>
      <c r="AL165" s="71">
        <f t="shared" si="260"/>
        <v>0</v>
      </c>
      <c r="AM165" s="71">
        <f t="shared" si="260"/>
        <v>4.6107550480595921E-2</v>
      </c>
      <c r="AN165" s="71">
        <f t="shared" si="260"/>
        <v>3.355716919985147E-3</v>
      </c>
      <c r="AO165" s="71">
        <f t="shared" si="260"/>
        <v>9.2617786991590068E-3</v>
      </c>
      <c r="AP165" s="71">
        <f t="shared" si="260"/>
        <v>1.342286767994059E-3</v>
      </c>
      <c r="AQ165" s="71">
        <f t="shared" si="260"/>
        <v>0</v>
      </c>
      <c r="AR165" s="71">
        <f t="shared" si="260"/>
        <v>1.3959782387138213E-2</v>
      </c>
      <c r="AS165" s="71">
        <f t="shared" si="260"/>
        <v>0</v>
      </c>
      <c r="AT165" s="71">
        <f t="shared" si="260"/>
        <v>0</v>
      </c>
      <c r="AU165" s="71">
        <f t="shared" si="260"/>
        <v>0</v>
      </c>
      <c r="AV165" s="71">
        <f>AV164/$AD$164*$V$165</f>
        <v>0</v>
      </c>
      <c r="AW165" s="71">
        <f t="shared" ref="AW165:AZ165" si="261">AW164/$AD$164*$V$165</f>
        <v>0</v>
      </c>
      <c r="AX165" s="71">
        <f t="shared" si="261"/>
        <v>0</v>
      </c>
      <c r="AY165" s="71">
        <f t="shared" si="261"/>
        <v>0</v>
      </c>
      <c r="AZ165" s="71">
        <f t="shared" si="261"/>
        <v>0</v>
      </c>
      <c r="BA165" s="71">
        <f t="shared" si="260"/>
        <v>1.3959782387138213E-2</v>
      </c>
      <c r="BB165" s="35" t="s">
        <v>169</v>
      </c>
      <c r="BC165" s="35" t="s">
        <v>169</v>
      </c>
      <c r="BD165" s="35" t="s">
        <v>398</v>
      </c>
      <c r="BE165" s="35" t="s">
        <v>398</v>
      </c>
      <c r="BF165" s="35" t="s">
        <v>398</v>
      </c>
    </row>
    <row r="166" spans="1:58" ht="12.95" customHeight="1">
      <c r="A166" s="60"/>
      <c r="B166" s="61"/>
      <c r="C166" s="61"/>
      <c r="D166" s="61"/>
      <c r="E166" s="62"/>
      <c r="F166" s="62"/>
      <c r="G166" s="35"/>
      <c r="H166" s="35"/>
      <c r="I166" s="35"/>
      <c r="J166" s="86"/>
      <c r="K166" s="86"/>
      <c r="L166" s="36"/>
      <c r="M166" s="36"/>
      <c r="N166" s="34"/>
      <c r="O166" s="37"/>
      <c r="P166" s="29"/>
      <c r="Q166" s="35"/>
      <c r="R166" s="38">
        <f>R164-(BA164)</f>
        <v>0</v>
      </c>
      <c r="S166" s="38">
        <f>S164-SUM(AF164:AL164)</f>
        <v>0</v>
      </c>
      <c r="T166" s="34"/>
      <c r="U166" s="34"/>
      <c r="V166" s="34"/>
      <c r="W166" s="364"/>
      <c r="X166" s="365"/>
      <c r="Y166" s="72">
        <f>+Y164-(SUM(RBP!AG3:AG4))</f>
        <v>0</v>
      </c>
      <c r="Z166" s="38"/>
      <c r="AA166" s="34"/>
      <c r="AB166" s="34"/>
      <c r="AC166" s="34"/>
      <c r="AD166" s="34"/>
      <c r="AE166" s="40"/>
      <c r="AF166" s="338"/>
      <c r="AG166" s="338"/>
      <c r="AH166" s="338"/>
      <c r="AI166" s="338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502">
        <f>BB164/($Q$164/1440)/2</f>
        <v>3.274193548387097</v>
      </c>
      <c r="BC166" s="502">
        <f>BC164/($Q$164/1440)/2</f>
        <v>1.7096774193548387</v>
      </c>
      <c r="BD166" s="502">
        <f>BD164/($Q$164/1440)</f>
        <v>0</v>
      </c>
      <c r="BE166" s="502">
        <f t="shared" ref="BE166:BF166" si="262">BE164/($Q$164/1440)</f>
        <v>0</v>
      </c>
      <c r="BF166" s="502">
        <f t="shared" si="262"/>
        <v>3.2258064516129031E-2</v>
      </c>
    </row>
    <row r="167" spans="1:58">
      <c r="A167" s="73"/>
      <c r="B167" s="74"/>
      <c r="C167" s="74"/>
      <c r="D167" s="74"/>
      <c r="E167" s="75"/>
      <c r="F167" s="75"/>
      <c r="G167" s="76"/>
      <c r="H167" s="76"/>
      <c r="I167" s="76"/>
      <c r="J167" s="90"/>
      <c r="K167" s="90"/>
      <c r="O167" s="77"/>
      <c r="P167" s="78"/>
      <c r="Q167" s="76"/>
      <c r="R167" s="57"/>
      <c r="S167" s="57"/>
      <c r="U167" s="79"/>
      <c r="V167" s="79"/>
      <c r="W167" s="80" t="s">
        <v>118</v>
      </c>
      <c r="X167" s="495">
        <f>W164/U164</f>
        <v>0.97102084791178078</v>
      </c>
      <c r="Y167" s="495"/>
      <c r="Z167" s="57"/>
      <c r="AD167" s="87"/>
      <c r="AE167" s="82"/>
      <c r="AF167" s="83"/>
      <c r="AG167" s="83"/>
      <c r="AH167" s="83"/>
      <c r="AI167" s="83"/>
      <c r="AJ167" s="83"/>
      <c r="AK167" s="83"/>
      <c r="AL167" s="83"/>
      <c r="AM167" s="83"/>
      <c r="AN167" s="81"/>
      <c r="AO167" s="81"/>
      <c r="AP167" s="81"/>
      <c r="AQ167" s="81"/>
      <c r="AR167" s="81"/>
      <c r="AS167" s="83"/>
      <c r="AT167" s="83"/>
      <c r="AU167" s="83"/>
      <c r="AV167" s="83"/>
      <c r="AW167" s="83"/>
      <c r="AX167" s="83"/>
      <c r="AY167" s="83"/>
      <c r="AZ167" s="83"/>
      <c r="BA167" s="81"/>
      <c r="BB167" s="28"/>
      <c r="BC167" s="81"/>
      <c r="BD167" s="81"/>
      <c r="BE167" s="28"/>
      <c r="BF167" s="81"/>
    </row>
    <row r="168" spans="1:58">
      <c r="A168" s="73"/>
      <c r="B168" s="74"/>
      <c r="C168" s="74"/>
      <c r="D168" s="74"/>
      <c r="E168" s="75"/>
      <c r="F168" s="75"/>
      <c r="G168" s="76"/>
      <c r="H168" s="76"/>
      <c r="I168" s="76"/>
      <c r="J168" s="90"/>
      <c r="K168" s="90"/>
      <c r="O168" s="77"/>
      <c r="P168" s="78"/>
      <c r="Q168" s="76"/>
      <c r="R168" s="57"/>
      <c r="S168" s="57"/>
      <c r="U168" s="79"/>
      <c r="V168" s="79"/>
      <c r="W168" s="80"/>
      <c r="X168" s="81"/>
      <c r="Y168" s="81"/>
      <c r="Z168" s="57"/>
      <c r="AA168" s="93"/>
      <c r="AB168" s="93"/>
      <c r="AD168" s="87"/>
      <c r="AE168" s="82"/>
      <c r="AF168" s="83"/>
      <c r="AG168" s="83"/>
      <c r="AH168" s="83"/>
      <c r="AI168" s="83"/>
      <c r="AJ168" s="83"/>
      <c r="AK168" s="83"/>
      <c r="AL168" s="83"/>
      <c r="AM168" s="83"/>
      <c r="AN168" s="83"/>
      <c r="AO168" s="81"/>
      <c r="AP168" s="81"/>
      <c r="AQ168" s="81"/>
      <c r="AR168" s="83"/>
      <c r="AS168" s="81"/>
      <c r="AT168" s="81"/>
      <c r="AU168" s="81"/>
      <c r="AV168" s="81"/>
      <c r="AW168" s="81"/>
      <c r="AX168" s="81"/>
      <c r="AY168" s="81"/>
      <c r="AZ168" s="81"/>
      <c r="BA168" s="81"/>
      <c r="BB168" s="28"/>
      <c r="BC168" s="81"/>
      <c r="BD168" s="81"/>
      <c r="BE168" s="28"/>
      <c r="BF168" s="81"/>
    </row>
    <row r="169" spans="1:58">
      <c r="A169" s="73"/>
      <c r="B169" s="74"/>
      <c r="C169" s="74"/>
      <c r="D169" s="74"/>
      <c r="E169" s="75"/>
      <c r="F169" s="75"/>
      <c r="G169" s="76"/>
      <c r="H169" s="76"/>
      <c r="I169" s="76"/>
      <c r="J169" s="90"/>
      <c r="K169" s="90"/>
      <c r="O169" s="77"/>
      <c r="P169" s="78"/>
      <c r="Q169" s="76"/>
      <c r="R169" s="349"/>
      <c r="S169" s="57"/>
      <c r="U169" s="79"/>
      <c r="V169" s="79"/>
      <c r="W169" s="80" t="s">
        <v>142</v>
      </c>
      <c r="X169" s="338">
        <f>+W164+Y164</f>
        <v>1309.2529999999999</v>
      </c>
      <c r="Y169" s="81"/>
      <c r="Z169" s="57"/>
      <c r="AD169" s="87"/>
      <c r="AE169" s="82"/>
      <c r="AF169" s="87"/>
      <c r="AG169" s="87"/>
      <c r="AH169" s="87"/>
      <c r="AI169" s="87"/>
      <c r="AJ169" s="81"/>
      <c r="AK169" s="81"/>
      <c r="AL169" s="81"/>
      <c r="AM169" s="83"/>
      <c r="AN169" s="81"/>
      <c r="AO169" s="81"/>
      <c r="AP169" s="81"/>
      <c r="AQ169" s="81"/>
      <c r="AR169" s="83"/>
      <c r="AS169" s="81"/>
      <c r="AT169" s="81"/>
      <c r="AU169" s="81"/>
      <c r="AV169" s="81"/>
      <c r="AW169" s="81"/>
      <c r="AX169" s="81"/>
      <c r="AY169" s="81"/>
      <c r="AZ169" s="81"/>
      <c r="BA169" s="81"/>
      <c r="BB169" s="28"/>
      <c r="BC169" s="81"/>
      <c r="BD169" s="81"/>
      <c r="BE169" s="28"/>
      <c r="BF169" s="81"/>
    </row>
    <row r="170" spans="1:58">
      <c r="A170" s="73"/>
      <c r="C170" s="74" t="s">
        <v>300</v>
      </c>
      <c r="D170" s="74"/>
      <c r="E170" s="75"/>
      <c r="F170" s="75"/>
      <c r="G170" s="76"/>
      <c r="H170" s="76"/>
      <c r="I170" s="76"/>
      <c r="J170" s="90"/>
      <c r="K170" s="90"/>
      <c r="O170" s="77"/>
      <c r="P170" s="78"/>
      <c r="Q170" s="76"/>
      <c r="R170" s="349"/>
      <c r="S170" s="57"/>
      <c r="U170" s="79"/>
      <c r="V170" s="359"/>
      <c r="W170" s="360"/>
      <c r="X170" s="354"/>
      <c r="Y170" s="360"/>
      <c r="Z170" s="354"/>
      <c r="AD170" s="347"/>
      <c r="AE170" s="82"/>
      <c r="AF170" s="347"/>
      <c r="AG170" s="347"/>
      <c r="AH170" s="347"/>
      <c r="AI170" s="347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28"/>
      <c r="BC170" s="81"/>
      <c r="BD170" s="81"/>
      <c r="BE170" s="28"/>
      <c r="BF170" s="81"/>
    </row>
    <row r="171" spans="1:58">
      <c r="A171" s="73"/>
      <c r="B171" s="74"/>
      <c r="C171" s="74" t="s">
        <v>301</v>
      </c>
      <c r="D171" s="74"/>
      <c r="E171" s="75"/>
      <c r="F171" s="75"/>
      <c r="G171" s="76"/>
      <c r="H171" s="76"/>
      <c r="I171" s="76"/>
      <c r="J171" s="90"/>
      <c r="K171" s="90"/>
      <c r="O171" s="77"/>
      <c r="P171" s="78"/>
      <c r="Q171" s="76"/>
      <c r="R171" s="349"/>
      <c r="S171" s="57"/>
      <c r="V171" s="352"/>
      <c r="W171" s="353" t="s">
        <v>307</v>
      </c>
      <c r="X171" s="352"/>
      <c r="Y171" s="352"/>
      <c r="Z171" s="354"/>
      <c r="AE171" s="82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28"/>
      <c r="BE171" s="28"/>
    </row>
    <row r="172" spans="1:58">
      <c r="A172" s="73"/>
      <c r="B172" s="74"/>
      <c r="C172" s="74"/>
      <c r="D172" s="74"/>
      <c r="E172" s="75"/>
      <c r="F172" s="75"/>
      <c r="G172" s="76"/>
      <c r="H172" s="76"/>
      <c r="I172" s="76"/>
      <c r="J172" s="90"/>
      <c r="K172" s="90"/>
      <c r="O172" s="77"/>
      <c r="P172" s="78"/>
      <c r="Q172" s="76"/>
      <c r="R172" s="349"/>
      <c r="S172" s="57"/>
      <c r="V172" s="352"/>
      <c r="W172" s="355" t="s">
        <v>296</v>
      </c>
      <c r="X172" s="503">
        <f>Y165</f>
        <v>3.2872803644445944E-3</v>
      </c>
      <c r="Y172" s="356"/>
      <c r="Z172" s="354"/>
      <c r="AE172" s="82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28"/>
      <c r="BE172" s="28"/>
    </row>
    <row r="173" spans="1:58">
      <c r="R173" s="93"/>
      <c r="V173" s="352"/>
      <c r="W173" s="355" t="s">
        <v>149</v>
      </c>
      <c r="X173" s="358">
        <f>Z165</f>
        <v>7.144352080029919E-3</v>
      </c>
      <c r="Y173" s="357"/>
      <c r="Z173" s="352"/>
    </row>
    <row r="174" spans="1:58">
      <c r="R174" s="93"/>
      <c r="V174" s="352"/>
      <c r="W174" s="355" t="s">
        <v>150</v>
      </c>
      <c r="X174" s="358">
        <f>AC165</f>
        <v>4.2256918523118549E-3</v>
      </c>
      <c r="Y174" s="358"/>
      <c r="Z174" s="352"/>
    </row>
    <row r="175" spans="1:58">
      <c r="R175" s="93"/>
      <c r="V175" s="352"/>
      <c r="W175" s="355" t="s">
        <v>151</v>
      </c>
      <c r="X175" s="358">
        <f>AA165</f>
        <v>1.6619928182667294E-2</v>
      </c>
      <c r="Y175" s="357"/>
      <c r="Z175" s="352"/>
    </row>
    <row r="176" spans="1:58">
      <c r="V176" s="352"/>
      <c r="W176" s="355" t="s">
        <v>167</v>
      </c>
      <c r="X176" s="358">
        <f>AB165</f>
        <v>2.223464624067402E-3</v>
      </c>
      <c r="Y176" s="357" t="s">
        <v>165</v>
      </c>
      <c r="Z176" s="352"/>
    </row>
    <row r="177" spans="22:26" s="30" customFormat="1">
      <c r="V177" s="352"/>
      <c r="W177" s="355" t="s">
        <v>223</v>
      </c>
      <c r="X177" s="358">
        <f>AF165</f>
        <v>1.1140980174350688E-2</v>
      </c>
      <c r="Y177" s="357"/>
      <c r="Z177" s="352"/>
    </row>
    <row r="178" spans="22:26" s="30" customFormat="1">
      <c r="V178" s="352"/>
      <c r="W178" s="355" t="s">
        <v>224</v>
      </c>
      <c r="X178" s="358">
        <f>+AG165</f>
        <v>4.4519177805136291E-3</v>
      </c>
      <c r="Y178" s="357"/>
      <c r="Z178" s="352"/>
    </row>
    <row r="179" spans="22:26" s="30" customFormat="1">
      <c r="V179" s="352"/>
      <c r="W179" s="355" t="s">
        <v>302</v>
      </c>
      <c r="X179" s="358">
        <f>+AH165</f>
        <v>3.0514652525731607E-2</v>
      </c>
      <c r="Y179" s="357"/>
      <c r="Z179" s="352"/>
    </row>
    <row r="180" spans="22:26" s="30" customFormat="1">
      <c r="V180" s="352"/>
      <c r="W180" s="355" t="s">
        <v>225</v>
      </c>
      <c r="X180" s="358">
        <f>+AI165</f>
        <v>0</v>
      </c>
      <c r="Y180" s="357"/>
      <c r="Z180" s="352"/>
    </row>
    <row r="181" spans="22:26" s="30" customFormat="1">
      <c r="V181" s="352"/>
      <c r="W181" s="355" t="s">
        <v>158</v>
      </c>
      <c r="X181" s="358">
        <f>+AJ165</f>
        <v>0</v>
      </c>
      <c r="Y181" s="357"/>
      <c r="Z181" s="352"/>
    </row>
    <row r="182" spans="22:26" s="30" customFormat="1">
      <c r="V182" s="352"/>
      <c r="W182" s="355" t="s">
        <v>160</v>
      </c>
      <c r="X182" s="358">
        <f>+AK165</f>
        <v>0</v>
      </c>
      <c r="Y182" s="357"/>
      <c r="Z182" s="352"/>
    </row>
    <row r="183" spans="22:26" s="30" customFormat="1">
      <c r="V183" s="352"/>
      <c r="W183" s="355" t="s">
        <v>159</v>
      </c>
      <c r="X183" s="358">
        <f>+AL165</f>
        <v>0</v>
      </c>
      <c r="Y183" s="357"/>
      <c r="Z183" s="352"/>
    </row>
    <row r="184" spans="22:26" s="30" customFormat="1">
      <c r="V184" s="352"/>
      <c r="W184" s="355" t="s">
        <v>152</v>
      </c>
      <c r="X184" s="358">
        <f>+AN165</f>
        <v>3.355716919985147E-3</v>
      </c>
      <c r="Y184" s="357"/>
      <c r="Z184" s="352"/>
    </row>
    <row r="185" spans="22:26" s="30" customFormat="1">
      <c r="V185" s="352"/>
      <c r="W185" s="355" t="s">
        <v>162</v>
      </c>
      <c r="X185" s="358">
        <f>+AO165</f>
        <v>9.2617786991590068E-3</v>
      </c>
      <c r="Y185" s="357"/>
      <c r="Z185" s="352"/>
    </row>
    <row r="186" spans="22:26" s="30" customFormat="1">
      <c r="V186" s="352"/>
      <c r="W186" s="355" t="s">
        <v>153</v>
      </c>
      <c r="X186" s="358">
        <f>+AP165</f>
        <v>1.342286767994059E-3</v>
      </c>
      <c r="Y186" s="357"/>
      <c r="Z186" s="352"/>
    </row>
    <row r="187" spans="22:26" s="30" customFormat="1">
      <c r="V187" s="352"/>
      <c r="W187" s="355" t="s">
        <v>161</v>
      </c>
      <c r="X187" s="358">
        <f>+AQ165</f>
        <v>0</v>
      </c>
      <c r="Y187" s="357"/>
      <c r="Z187" s="352"/>
    </row>
    <row r="188" spans="22:26" s="30" customFormat="1">
      <c r="V188" s="352"/>
      <c r="W188" s="355" t="s">
        <v>164</v>
      </c>
      <c r="X188" s="358">
        <f>+AS165</f>
        <v>0</v>
      </c>
      <c r="Y188" s="357"/>
      <c r="Z188" s="352"/>
    </row>
    <row r="189" spans="22:26" s="30" customFormat="1">
      <c r="V189" s="352"/>
      <c r="W189" s="355" t="s">
        <v>303</v>
      </c>
      <c r="X189" s="358">
        <f>+AT165</f>
        <v>0</v>
      </c>
      <c r="Y189" s="357"/>
      <c r="Z189" s="352"/>
    </row>
    <row r="190" spans="22:26" s="30" customFormat="1">
      <c r="V190" s="352"/>
      <c r="W190" s="355" t="s">
        <v>239</v>
      </c>
      <c r="X190" s="358">
        <f>+AU165</f>
        <v>0</v>
      </c>
      <c r="Y190" s="357"/>
      <c r="Z190" s="352"/>
    </row>
    <row r="191" spans="22:26" s="30" customFormat="1">
      <c r="V191" s="352"/>
      <c r="W191" s="355" t="s">
        <v>309</v>
      </c>
      <c r="X191" s="358">
        <f>+AW165</f>
        <v>0</v>
      </c>
      <c r="Y191" s="357"/>
      <c r="Z191" s="352"/>
    </row>
    <row r="192" spans="22:26" s="30" customFormat="1">
      <c r="V192" s="352"/>
      <c r="W192" s="355" t="s">
        <v>310</v>
      </c>
      <c r="X192" s="358">
        <f>+AV165</f>
        <v>0</v>
      </c>
      <c r="Y192" s="357"/>
      <c r="Z192" s="352"/>
    </row>
    <row r="193" spans="22:26" s="30" customFormat="1">
      <c r="V193" s="352"/>
      <c r="W193" s="352" t="s">
        <v>163</v>
      </c>
      <c r="X193" s="358">
        <f>+AX165+AY165</f>
        <v>0</v>
      </c>
      <c r="Y193" s="358"/>
      <c r="Z193" s="352"/>
    </row>
    <row r="194" spans="22:26" s="30" customFormat="1">
      <c r="V194" s="352"/>
      <c r="W194" s="352" t="s">
        <v>308</v>
      </c>
      <c r="X194" s="358">
        <f>+AZ165</f>
        <v>0</v>
      </c>
      <c r="Y194" s="352"/>
      <c r="Z194" s="352"/>
    </row>
    <row r="195" spans="22:26" s="30" customFormat="1">
      <c r="V195" s="352"/>
      <c r="W195" s="352"/>
      <c r="X195" s="516">
        <f>SUM(X172:X194)</f>
        <v>9.3568049971255202E-2</v>
      </c>
      <c r="Y195" s="352"/>
      <c r="Z195" s="352"/>
    </row>
    <row r="196" spans="22:26" s="30" customFormat="1"/>
    <row r="197" spans="22:26" s="30" customFormat="1"/>
    <row r="198" spans="22:26" s="30" customFormat="1">
      <c r="X198" s="93">
        <f>+X195+X164</f>
        <v>0.99999999999999989</v>
      </c>
    </row>
    <row r="199" spans="22:26" s="30" customFormat="1"/>
    <row r="200" spans="22:26" s="30" customFormat="1"/>
    <row r="201" spans="22:26" s="30" customFormat="1">
      <c r="X201" s="93"/>
    </row>
    <row r="202" spans="22:26" s="30" customFormat="1"/>
    <row r="203" spans="22:26" s="30" customFormat="1"/>
    <row r="204" spans="22:26" s="30" customFormat="1"/>
    <row r="205" spans="22:26" s="30" customFormat="1"/>
    <row r="206" spans="22:26" s="30" customFormat="1"/>
    <row r="207" spans="22:26" s="30" customFormat="1"/>
    <row r="208" spans="22:26" s="30" customFormat="1"/>
    <row r="209" s="30" customFormat="1"/>
    <row r="210" s="30" customFormat="1"/>
    <row r="211" s="30" customFormat="1"/>
    <row r="214" s="30" customFormat="1"/>
  </sheetData>
  <mergeCells count="50">
    <mergeCell ref="O165:P165"/>
    <mergeCell ref="R3:R5"/>
    <mergeCell ref="T3:T5"/>
    <mergeCell ref="U3:U5"/>
    <mergeCell ref="G3:K4"/>
    <mergeCell ref="L3:N4"/>
    <mergeCell ref="O3:O5"/>
    <mergeCell ref="P3:P5"/>
    <mergeCell ref="Q3:Q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AL4:AL5"/>
    <mergeCell ref="AN4:AN5"/>
    <mergeCell ref="AO4:AO5"/>
    <mergeCell ref="AP4:AP5"/>
    <mergeCell ref="AF3:AL3"/>
    <mergeCell ref="AD3:AD5"/>
    <mergeCell ref="S3:S5"/>
    <mergeCell ref="V3:V5"/>
    <mergeCell ref="W3:W5"/>
    <mergeCell ref="AE3:AE5"/>
    <mergeCell ref="Y3:Y5"/>
    <mergeCell ref="Z3:Z5"/>
    <mergeCell ref="AA3:AA5"/>
    <mergeCell ref="AB3:AB5"/>
    <mergeCell ref="AC3:AC5"/>
    <mergeCell ref="X3:X5"/>
  </mergeCells>
  <conditionalFormatting sqref="C165 B162:B165 C161:C163">
    <cfRule type="cellIs" dxfId="821" priority="2483" stopIfTrue="1" operator="equal">
      <formula>"Towel"</formula>
    </cfRule>
    <cfRule type="cellIs" dxfId="820" priority="2484" stopIfTrue="1" operator="equal">
      <formula>"Napkin Hs"</formula>
    </cfRule>
  </conditionalFormatting>
  <conditionalFormatting sqref="B161:C161">
    <cfRule type="cellIs" dxfId="819" priority="2479" stopIfTrue="1" operator="equal">
      <formula>"Towel"</formula>
    </cfRule>
    <cfRule type="cellIs" dxfId="818" priority="2480" stopIfTrue="1" operator="equal">
      <formula>"Napkin Hs"</formula>
    </cfRule>
  </conditionalFormatting>
  <conditionalFormatting sqref="C162">
    <cfRule type="cellIs" dxfId="817" priority="2482" stopIfTrue="1" operator="equal">
      <formula>"Napkin Hs"</formula>
    </cfRule>
  </conditionalFormatting>
  <conditionalFormatting sqref="C162">
    <cfRule type="cellIs" dxfId="816" priority="2481" stopIfTrue="1" operator="equal">
      <formula>"Towel"</formula>
    </cfRule>
  </conditionalFormatting>
  <conditionalFormatting sqref="C161">
    <cfRule type="cellIs" dxfId="815" priority="2475" stopIfTrue="1" operator="equal">
      <formula>"Towel"</formula>
    </cfRule>
    <cfRule type="cellIs" dxfId="814" priority="2476" stopIfTrue="1" operator="equal">
      <formula>"Napkin Hs"</formula>
    </cfRule>
  </conditionalFormatting>
  <conditionalFormatting sqref="B161:C161">
    <cfRule type="cellIs" dxfId="813" priority="2411" stopIfTrue="1" operator="equal">
      <formula>"Towel"</formula>
    </cfRule>
    <cfRule type="cellIs" dxfId="812" priority="2412" stopIfTrue="1" operator="equal">
      <formula>"Napkin Hs"</formula>
    </cfRule>
  </conditionalFormatting>
  <conditionalFormatting sqref="C161">
    <cfRule type="cellIs" dxfId="811" priority="2410" stopIfTrue="1" operator="equal">
      <formula>"Napkin Hs"</formula>
    </cfRule>
  </conditionalFormatting>
  <conditionalFormatting sqref="C161">
    <cfRule type="cellIs" dxfId="810" priority="2407" stopIfTrue="1" operator="equal">
      <formula>"Towel"</formula>
    </cfRule>
    <cfRule type="cellIs" dxfId="809" priority="2408" stopIfTrue="1" operator="equal">
      <formula>"Napkin Hs"</formula>
    </cfRule>
  </conditionalFormatting>
  <conditionalFormatting sqref="C161">
    <cfRule type="cellIs" dxfId="808" priority="2409" stopIfTrue="1" operator="equal">
      <formula>"Towel"</formula>
    </cfRule>
  </conditionalFormatting>
  <conditionalFormatting sqref="B6:C6 B8:C8 B27:C27 B78:C78 B83:C83 B88:C88 B10:C10">
    <cfRule type="cellIs" dxfId="807" priority="799" stopIfTrue="1" operator="equal">
      <formula>"Towel"</formula>
    </cfRule>
    <cfRule type="cellIs" dxfId="806" priority="800" stopIfTrue="1" operator="equal">
      <formula>"Napkin Hs"</formula>
    </cfRule>
  </conditionalFormatting>
  <conditionalFormatting sqref="B7:C7">
    <cfRule type="cellIs" dxfId="805" priority="757" stopIfTrue="1" operator="equal">
      <formula>"Towel"</formula>
    </cfRule>
    <cfRule type="cellIs" dxfId="804" priority="758" stopIfTrue="1" operator="equal">
      <formula>"Napkin Hs"</formula>
    </cfRule>
  </conditionalFormatting>
  <conditionalFormatting sqref="B22:C22">
    <cfRule type="cellIs" dxfId="803" priority="763" stopIfTrue="1" operator="equal">
      <formula>"Towel"</formula>
    </cfRule>
    <cfRule type="cellIs" dxfId="802" priority="764" stopIfTrue="1" operator="equal">
      <formula>"Napkin Hs"</formula>
    </cfRule>
  </conditionalFormatting>
  <conditionalFormatting sqref="C73">
    <cfRule type="cellIs" dxfId="801" priority="789" stopIfTrue="1" operator="equal">
      <formula>"Towel"</formula>
    </cfRule>
    <cfRule type="cellIs" dxfId="800" priority="790" stopIfTrue="1" operator="equal">
      <formula>"Napkin Hs"</formula>
    </cfRule>
  </conditionalFormatting>
  <conditionalFormatting sqref="B73:C73">
    <cfRule type="cellIs" dxfId="799" priority="793" stopIfTrue="1" operator="equal">
      <formula>"Towel"</formula>
    </cfRule>
    <cfRule type="cellIs" dxfId="798" priority="794" stopIfTrue="1" operator="equal">
      <formula>"Napkin Hs"</formula>
    </cfRule>
  </conditionalFormatting>
  <conditionalFormatting sqref="B93:C93">
    <cfRule type="cellIs" dxfId="797" priority="781" stopIfTrue="1" operator="equal">
      <formula>"Towel"</formula>
    </cfRule>
    <cfRule type="cellIs" dxfId="796" priority="782" stopIfTrue="1" operator="equal">
      <formula>"Napkin Hs"</formula>
    </cfRule>
  </conditionalFormatting>
  <conditionalFormatting sqref="B103:C103">
    <cfRule type="cellIs" dxfId="795" priority="775" stopIfTrue="1" operator="equal">
      <formula>"Towel"</formula>
    </cfRule>
    <cfRule type="cellIs" dxfId="794" priority="776" stopIfTrue="1" operator="equal">
      <formula>"Napkin Hs"</formula>
    </cfRule>
  </conditionalFormatting>
  <conditionalFormatting sqref="B160:C160">
    <cfRule type="cellIs" dxfId="793" priority="769" stopIfTrue="1" operator="equal">
      <formula>"Towel"</formula>
    </cfRule>
    <cfRule type="cellIs" dxfId="792" priority="770" stopIfTrue="1" operator="equal">
      <formula>"Napkin Hs"</formula>
    </cfRule>
  </conditionalFormatting>
  <conditionalFormatting sqref="C6 C8 C27 C78 C83 C88 C10">
    <cfRule type="cellIs" dxfId="791" priority="798" stopIfTrue="1" operator="equal">
      <formula>"Napkin Hs"</formula>
    </cfRule>
  </conditionalFormatting>
  <conditionalFormatting sqref="C6:C8 C10">
    <cfRule type="cellIs" dxfId="790" priority="755" stopIfTrue="1" operator="equal">
      <formula>"Towel"</formula>
    </cfRule>
    <cfRule type="cellIs" dxfId="789" priority="756" stopIfTrue="1" operator="equal">
      <formula>"Napkin Hs"</formula>
    </cfRule>
  </conditionalFormatting>
  <conditionalFormatting sqref="C7">
    <cfRule type="cellIs" dxfId="788" priority="753" stopIfTrue="1" operator="equal">
      <formula>"Towel"</formula>
    </cfRule>
    <cfRule type="cellIs" dxfId="787" priority="754" stopIfTrue="1" operator="equal">
      <formula>"Napkin Hs"</formula>
    </cfRule>
  </conditionalFormatting>
  <conditionalFormatting sqref="C27 C78 C83 C88 C6 C8 C10">
    <cfRule type="cellIs" dxfId="786" priority="797" stopIfTrue="1" operator="equal">
      <formula>"Towel"</formula>
    </cfRule>
  </conditionalFormatting>
  <conditionalFormatting sqref="C22">
    <cfRule type="cellIs" dxfId="785" priority="761" stopIfTrue="1" operator="equal">
      <formula>"Towel"</formula>
    </cfRule>
    <cfRule type="cellIs" dxfId="784" priority="762" stopIfTrue="1" operator="equal">
      <formula>"Napkin Hs"</formula>
    </cfRule>
  </conditionalFormatting>
  <conditionalFormatting sqref="C22">
    <cfRule type="cellIs" dxfId="783" priority="759" stopIfTrue="1" operator="equal">
      <formula>"Towel"</formula>
    </cfRule>
    <cfRule type="cellIs" dxfId="782" priority="760" stopIfTrue="1" operator="equal">
      <formula>"Napkin Hs"</formula>
    </cfRule>
  </conditionalFormatting>
  <conditionalFormatting sqref="C27">
    <cfRule type="cellIs" dxfId="781" priority="795" stopIfTrue="1" operator="equal">
      <formula>"Towel"</formula>
    </cfRule>
    <cfRule type="cellIs" dxfId="780" priority="796" stopIfTrue="1" operator="equal">
      <formula>"Napkin Hs"</formula>
    </cfRule>
  </conditionalFormatting>
  <conditionalFormatting sqref="C78">
    <cfRule type="cellIs" dxfId="779" priority="787" stopIfTrue="1" operator="equal">
      <formula>"Towel"</formula>
    </cfRule>
    <cfRule type="cellIs" dxfId="778" priority="788" stopIfTrue="1" operator="equal">
      <formula>"Napkin Hs"</formula>
    </cfRule>
  </conditionalFormatting>
  <conditionalFormatting sqref="C83">
    <cfRule type="cellIs" dxfId="777" priority="785" stopIfTrue="1" operator="equal">
      <formula>"Towel"</formula>
    </cfRule>
    <cfRule type="cellIs" dxfId="776" priority="786" stopIfTrue="1" operator="equal">
      <formula>"Napkin Hs"</formula>
    </cfRule>
  </conditionalFormatting>
  <conditionalFormatting sqref="C73">
    <cfRule type="cellIs" dxfId="775" priority="791" stopIfTrue="1" operator="equal">
      <formula>"Towel"</formula>
    </cfRule>
    <cfRule type="cellIs" dxfId="774" priority="792" stopIfTrue="1" operator="equal">
      <formula>"Napkin Hs"</formula>
    </cfRule>
  </conditionalFormatting>
  <conditionalFormatting sqref="C88">
    <cfRule type="cellIs" dxfId="773" priority="783" stopIfTrue="1" operator="equal">
      <formula>"Towel"</formula>
    </cfRule>
    <cfRule type="cellIs" dxfId="772" priority="784" stopIfTrue="1" operator="equal">
      <formula>"Napkin Hs"</formula>
    </cfRule>
  </conditionalFormatting>
  <conditionalFormatting sqref="C93">
    <cfRule type="cellIs" dxfId="771" priority="779" stopIfTrue="1" operator="equal">
      <formula>"Towel"</formula>
    </cfRule>
    <cfRule type="cellIs" dxfId="770" priority="780" stopIfTrue="1" operator="equal">
      <formula>"Napkin Hs"</formula>
    </cfRule>
  </conditionalFormatting>
  <conditionalFormatting sqref="C93">
    <cfRule type="cellIs" dxfId="769" priority="777" stopIfTrue="1" operator="equal">
      <formula>"Towel"</formula>
    </cfRule>
    <cfRule type="cellIs" dxfId="768" priority="778" stopIfTrue="1" operator="equal">
      <formula>"Napkin Hs"</formula>
    </cfRule>
  </conditionalFormatting>
  <conditionalFormatting sqref="C103">
    <cfRule type="cellIs" dxfId="767" priority="773" stopIfTrue="1" operator="equal">
      <formula>"Towel"</formula>
    </cfRule>
    <cfRule type="cellIs" dxfId="766" priority="774" stopIfTrue="1" operator="equal">
      <formula>"Napkin Hs"</formula>
    </cfRule>
  </conditionalFormatting>
  <conditionalFormatting sqref="C103">
    <cfRule type="cellIs" dxfId="765" priority="771" stopIfTrue="1" operator="equal">
      <formula>"Towel"</formula>
    </cfRule>
    <cfRule type="cellIs" dxfId="764" priority="772" stopIfTrue="1" operator="equal">
      <formula>"Napkin Hs"</formula>
    </cfRule>
  </conditionalFormatting>
  <conditionalFormatting sqref="C160">
    <cfRule type="cellIs" dxfId="763" priority="765" stopIfTrue="1" operator="equal">
      <formula>"Towel"</formula>
    </cfRule>
    <cfRule type="cellIs" dxfId="762" priority="766" stopIfTrue="1" operator="equal">
      <formula>"Napkin Hs"</formula>
    </cfRule>
  </conditionalFormatting>
  <conditionalFormatting sqref="C160">
    <cfRule type="cellIs" dxfId="761" priority="767" stopIfTrue="1" operator="equal">
      <formula>"Towel"</formula>
    </cfRule>
    <cfRule type="cellIs" dxfId="760" priority="768" stopIfTrue="1" operator="equal">
      <formula>"Napkin Hs"</formula>
    </cfRule>
  </conditionalFormatting>
  <conditionalFormatting sqref="B15:C15">
    <cfRule type="cellIs" dxfId="759" priority="751" stopIfTrue="1" operator="equal">
      <formula>"Towel"</formula>
    </cfRule>
    <cfRule type="cellIs" dxfId="758" priority="752" stopIfTrue="1" operator="equal">
      <formula>"Napkin Hs"</formula>
    </cfRule>
  </conditionalFormatting>
  <conditionalFormatting sqref="B9:C9">
    <cfRule type="cellIs" dxfId="757" priority="745" stopIfTrue="1" operator="equal">
      <formula>"Towel"</formula>
    </cfRule>
    <cfRule type="cellIs" dxfId="756" priority="746" stopIfTrue="1" operator="equal">
      <formula>"Napkin Hs"</formula>
    </cfRule>
  </conditionalFormatting>
  <conditionalFormatting sqref="C15">
    <cfRule type="cellIs" dxfId="755" priority="750" stopIfTrue="1" operator="equal">
      <formula>"Napkin Hs"</formula>
    </cfRule>
  </conditionalFormatting>
  <conditionalFormatting sqref="C15">
    <cfRule type="cellIs" dxfId="754" priority="747" stopIfTrue="1" operator="equal">
      <formula>"Towel"</formula>
    </cfRule>
    <cfRule type="cellIs" dxfId="753" priority="748" stopIfTrue="1" operator="equal">
      <formula>"Napkin Hs"</formula>
    </cfRule>
  </conditionalFormatting>
  <conditionalFormatting sqref="C9">
    <cfRule type="cellIs" dxfId="752" priority="741" stopIfTrue="1" operator="equal">
      <formula>"Towel"</formula>
    </cfRule>
    <cfRule type="cellIs" dxfId="751" priority="742" stopIfTrue="1" operator="equal">
      <formula>"Napkin Hs"</formula>
    </cfRule>
  </conditionalFormatting>
  <conditionalFormatting sqref="C15">
    <cfRule type="cellIs" dxfId="750" priority="749" stopIfTrue="1" operator="equal">
      <formula>"Towel"</formula>
    </cfRule>
  </conditionalFormatting>
  <conditionalFormatting sqref="C9">
    <cfRule type="cellIs" dxfId="749" priority="744" stopIfTrue="1" operator="equal">
      <formula>"Napkin Hs"</formula>
    </cfRule>
  </conditionalFormatting>
  <conditionalFormatting sqref="C9">
    <cfRule type="cellIs" dxfId="748" priority="743" stopIfTrue="1" operator="equal">
      <formula>"Towel"</formula>
    </cfRule>
  </conditionalFormatting>
  <conditionalFormatting sqref="B47:C47">
    <cfRule type="cellIs" dxfId="747" priority="739" stopIfTrue="1" operator="equal">
      <formula>"Towel"</formula>
    </cfRule>
    <cfRule type="cellIs" dxfId="746" priority="740" stopIfTrue="1" operator="equal">
      <formula>"Napkin Hs"</formula>
    </cfRule>
  </conditionalFormatting>
  <conditionalFormatting sqref="C47">
    <cfRule type="cellIs" dxfId="745" priority="738" stopIfTrue="1" operator="equal">
      <formula>"Napkin Hs"</formula>
    </cfRule>
  </conditionalFormatting>
  <conditionalFormatting sqref="C47">
    <cfRule type="cellIs" dxfId="744" priority="735" stopIfTrue="1" operator="equal">
      <formula>"Towel"</formula>
    </cfRule>
    <cfRule type="cellIs" dxfId="743" priority="736" stopIfTrue="1" operator="equal">
      <formula>"Napkin Hs"</formula>
    </cfRule>
  </conditionalFormatting>
  <conditionalFormatting sqref="C47">
    <cfRule type="cellIs" dxfId="742" priority="737" stopIfTrue="1" operator="equal">
      <formula>"Towel"</formula>
    </cfRule>
  </conditionalFormatting>
  <conditionalFormatting sqref="B53:C53">
    <cfRule type="cellIs" dxfId="741" priority="733" stopIfTrue="1" operator="equal">
      <formula>"Towel"</formula>
    </cfRule>
    <cfRule type="cellIs" dxfId="740" priority="734" stopIfTrue="1" operator="equal">
      <formula>"Napkin Hs"</formula>
    </cfRule>
  </conditionalFormatting>
  <conditionalFormatting sqref="C53">
    <cfRule type="cellIs" dxfId="739" priority="732" stopIfTrue="1" operator="equal">
      <formula>"Napkin Hs"</formula>
    </cfRule>
  </conditionalFormatting>
  <conditionalFormatting sqref="C53">
    <cfRule type="cellIs" dxfId="738" priority="729" stopIfTrue="1" operator="equal">
      <formula>"Towel"</formula>
    </cfRule>
    <cfRule type="cellIs" dxfId="737" priority="730" stopIfTrue="1" operator="equal">
      <formula>"Napkin Hs"</formula>
    </cfRule>
  </conditionalFormatting>
  <conditionalFormatting sqref="C53">
    <cfRule type="cellIs" dxfId="736" priority="731" stopIfTrue="1" operator="equal">
      <formula>"Towel"</formula>
    </cfRule>
  </conditionalFormatting>
  <conditionalFormatting sqref="B58:C58">
    <cfRule type="cellIs" dxfId="735" priority="727" stopIfTrue="1" operator="equal">
      <formula>"Towel"</formula>
    </cfRule>
    <cfRule type="cellIs" dxfId="734" priority="728" stopIfTrue="1" operator="equal">
      <formula>"Napkin Hs"</formula>
    </cfRule>
  </conditionalFormatting>
  <conditionalFormatting sqref="C58">
    <cfRule type="cellIs" dxfId="733" priority="726" stopIfTrue="1" operator="equal">
      <formula>"Napkin Hs"</formula>
    </cfRule>
  </conditionalFormatting>
  <conditionalFormatting sqref="C58">
    <cfRule type="cellIs" dxfId="732" priority="723" stopIfTrue="1" operator="equal">
      <formula>"Towel"</formula>
    </cfRule>
    <cfRule type="cellIs" dxfId="731" priority="724" stopIfTrue="1" operator="equal">
      <formula>"Napkin Hs"</formula>
    </cfRule>
  </conditionalFormatting>
  <conditionalFormatting sqref="C58">
    <cfRule type="cellIs" dxfId="730" priority="725" stopIfTrue="1" operator="equal">
      <formula>"Towel"</formula>
    </cfRule>
  </conditionalFormatting>
  <conditionalFormatting sqref="B63:C63">
    <cfRule type="cellIs" dxfId="729" priority="721" stopIfTrue="1" operator="equal">
      <formula>"Towel"</formula>
    </cfRule>
    <cfRule type="cellIs" dxfId="728" priority="722" stopIfTrue="1" operator="equal">
      <formula>"Napkin Hs"</formula>
    </cfRule>
  </conditionalFormatting>
  <conditionalFormatting sqref="C63">
    <cfRule type="cellIs" dxfId="727" priority="720" stopIfTrue="1" operator="equal">
      <formula>"Napkin Hs"</formula>
    </cfRule>
  </conditionalFormatting>
  <conditionalFormatting sqref="C63">
    <cfRule type="cellIs" dxfId="726" priority="717" stopIfTrue="1" operator="equal">
      <formula>"Towel"</formula>
    </cfRule>
    <cfRule type="cellIs" dxfId="725" priority="718" stopIfTrue="1" operator="equal">
      <formula>"Napkin Hs"</formula>
    </cfRule>
  </conditionalFormatting>
  <conditionalFormatting sqref="C63">
    <cfRule type="cellIs" dxfId="724" priority="719" stopIfTrue="1" operator="equal">
      <formula>"Towel"</formula>
    </cfRule>
  </conditionalFormatting>
  <conditionalFormatting sqref="C68">
    <cfRule type="cellIs" dxfId="723" priority="715" stopIfTrue="1" operator="equal">
      <formula>"Towel"</formula>
    </cfRule>
    <cfRule type="cellIs" dxfId="722" priority="716" stopIfTrue="1" operator="equal">
      <formula>"Napkin Hs"</formula>
    </cfRule>
  </conditionalFormatting>
  <conditionalFormatting sqref="C68">
    <cfRule type="cellIs" dxfId="721" priority="711" stopIfTrue="1" operator="equal">
      <formula>"Towel"</formula>
    </cfRule>
    <cfRule type="cellIs" dxfId="720" priority="712" stopIfTrue="1" operator="equal">
      <formula>"Napkin Hs"</formula>
    </cfRule>
  </conditionalFormatting>
  <conditionalFormatting sqref="C68">
    <cfRule type="cellIs" dxfId="719" priority="713" stopIfTrue="1" operator="equal">
      <formula>"Towel"</formula>
    </cfRule>
    <cfRule type="cellIs" dxfId="718" priority="714" stopIfTrue="1" operator="equal">
      <formula>"Napkin Hs"</formula>
    </cfRule>
  </conditionalFormatting>
  <conditionalFormatting sqref="B68">
    <cfRule type="cellIs" dxfId="717" priority="709" stopIfTrue="1" operator="equal">
      <formula>"Towel"</formula>
    </cfRule>
    <cfRule type="cellIs" dxfId="716" priority="710" stopIfTrue="1" operator="equal">
      <formula>"Napkin Hs"</formula>
    </cfRule>
  </conditionalFormatting>
  <conditionalFormatting sqref="B104:C104">
    <cfRule type="cellIs" dxfId="715" priority="707" stopIfTrue="1" operator="equal">
      <formula>"Towel"</formula>
    </cfRule>
    <cfRule type="cellIs" dxfId="714" priority="708" stopIfTrue="1" operator="equal">
      <formula>"Napkin Hs"</formula>
    </cfRule>
  </conditionalFormatting>
  <conditionalFormatting sqref="C104">
    <cfRule type="cellIs" dxfId="713" priority="706" stopIfTrue="1" operator="equal">
      <formula>"Napkin Hs"</formula>
    </cfRule>
  </conditionalFormatting>
  <conditionalFormatting sqref="C104">
    <cfRule type="cellIs" dxfId="712" priority="703" stopIfTrue="1" operator="equal">
      <formula>"Towel"</formula>
    </cfRule>
    <cfRule type="cellIs" dxfId="711" priority="704" stopIfTrue="1" operator="equal">
      <formula>"Napkin Hs"</formula>
    </cfRule>
  </conditionalFormatting>
  <conditionalFormatting sqref="C104">
    <cfRule type="cellIs" dxfId="710" priority="705" stopIfTrue="1" operator="equal">
      <formula>"Towel"</formula>
    </cfRule>
  </conditionalFormatting>
  <conditionalFormatting sqref="B121:C121">
    <cfRule type="cellIs" dxfId="709" priority="701" stopIfTrue="1" operator="equal">
      <formula>"Towel"</formula>
    </cfRule>
    <cfRule type="cellIs" dxfId="708" priority="702" stopIfTrue="1" operator="equal">
      <formula>"Napkin Hs"</formula>
    </cfRule>
  </conditionalFormatting>
  <conditionalFormatting sqref="C121">
    <cfRule type="cellIs" dxfId="707" priority="700" stopIfTrue="1" operator="equal">
      <formula>"Napkin Hs"</formula>
    </cfRule>
  </conditionalFormatting>
  <conditionalFormatting sqref="C121">
    <cfRule type="cellIs" dxfId="706" priority="697" stopIfTrue="1" operator="equal">
      <formula>"Towel"</formula>
    </cfRule>
    <cfRule type="cellIs" dxfId="705" priority="698" stopIfTrue="1" operator="equal">
      <formula>"Napkin Hs"</formula>
    </cfRule>
  </conditionalFormatting>
  <conditionalFormatting sqref="C121">
    <cfRule type="cellIs" dxfId="704" priority="699" stopIfTrue="1" operator="equal">
      <formula>"Towel"</formula>
    </cfRule>
  </conditionalFormatting>
  <conditionalFormatting sqref="B126:C126">
    <cfRule type="cellIs" dxfId="703" priority="695" stopIfTrue="1" operator="equal">
      <formula>"Towel"</formula>
    </cfRule>
    <cfRule type="cellIs" dxfId="702" priority="696" stopIfTrue="1" operator="equal">
      <formula>"Napkin Hs"</formula>
    </cfRule>
  </conditionalFormatting>
  <conditionalFormatting sqref="C126">
    <cfRule type="cellIs" dxfId="701" priority="694" stopIfTrue="1" operator="equal">
      <formula>"Napkin Hs"</formula>
    </cfRule>
  </conditionalFormatting>
  <conditionalFormatting sqref="C126">
    <cfRule type="cellIs" dxfId="700" priority="691" stopIfTrue="1" operator="equal">
      <formula>"Towel"</formula>
    </cfRule>
    <cfRule type="cellIs" dxfId="699" priority="692" stopIfTrue="1" operator="equal">
      <formula>"Napkin Hs"</formula>
    </cfRule>
  </conditionalFormatting>
  <conditionalFormatting sqref="C126">
    <cfRule type="cellIs" dxfId="698" priority="693" stopIfTrue="1" operator="equal">
      <formula>"Towel"</formula>
    </cfRule>
  </conditionalFormatting>
  <conditionalFormatting sqref="B131:C131">
    <cfRule type="cellIs" dxfId="697" priority="689" stopIfTrue="1" operator="equal">
      <formula>"Towel"</formula>
    </cfRule>
    <cfRule type="cellIs" dxfId="696" priority="690" stopIfTrue="1" operator="equal">
      <formula>"Napkin Hs"</formula>
    </cfRule>
  </conditionalFormatting>
  <conditionalFormatting sqref="C131">
    <cfRule type="cellIs" dxfId="695" priority="688" stopIfTrue="1" operator="equal">
      <formula>"Napkin Hs"</formula>
    </cfRule>
  </conditionalFormatting>
  <conditionalFormatting sqref="C131">
    <cfRule type="cellIs" dxfId="694" priority="685" stopIfTrue="1" operator="equal">
      <formula>"Towel"</formula>
    </cfRule>
    <cfRule type="cellIs" dxfId="693" priority="686" stopIfTrue="1" operator="equal">
      <formula>"Napkin Hs"</formula>
    </cfRule>
  </conditionalFormatting>
  <conditionalFormatting sqref="C131">
    <cfRule type="cellIs" dxfId="692" priority="687" stopIfTrue="1" operator="equal">
      <formula>"Towel"</formula>
    </cfRule>
  </conditionalFormatting>
  <conditionalFormatting sqref="B136:C136">
    <cfRule type="cellIs" dxfId="691" priority="683" stopIfTrue="1" operator="equal">
      <formula>"Towel"</formula>
    </cfRule>
    <cfRule type="cellIs" dxfId="690" priority="684" stopIfTrue="1" operator="equal">
      <formula>"Napkin Hs"</formula>
    </cfRule>
  </conditionalFormatting>
  <conditionalFormatting sqref="C136">
    <cfRule type="cellIs" dxfId="689" priority="682" stopIfTrue="1" operator="equal">
      <formula>"Napkin Hs"</formula>
    </cfRule>
  </conditionalFormatting>
  <conditionalFormatting sqref="C136">
    <cfRule type="cellIs" dxfId="688" priority="679" stopIfTrue="1" operator="equal">
      <formula>"Towel"</formula>
    </cfRule>
    <cfRule type="cellIs" dxfId="687" priority="680" stopIfTrue="1" operator="equal">
      <formula>"Napkin Hs"</formula>
    </cfRule>
  </conditionalFormatting>
  <conditionalFormatting sqref="C136">
    <cfRule type="cellIs" dxfId="686" priority="681" stopIfTrue="1" operator="equal">
      <formula>"Towel"</formula>
    </cfRule>
  </conditionalFormatting>
  <conditionalFormatting sqref="B141:C141">
    <cfRule type="cellIs" dxfId="685" priority="677" stopIfTrue="1" operator="equal">
      <formula>"Towel"</formula>
    </cfRule>
    <cfRule type="cellIs" dxfId="684" priority="678" stopIfTrue="1" operator="equal">
      <formula>"Napkin Hs"</formula>
    </cfRule>
  </conditionalFormatting>
  <conditionalFormatting sqref="C141">
    <cfRule type="cellIs" dxfId="683" priority="676" stopIfTrue="1" operator="equal">
      <formula>"Napkin Hs"</formula>
    </cfRule>
  </conditionalFormatting>
  <conditionalFormatting sqref="C141">
    <cfRule type="cellIs" dxfId="682" priority="673" stopIfTrue="1" operator="equal">
      <formula>"Towel"</formula>
    </cfRule>
    <cfRule type="cellIs" dxfId="681" priority="674" stopIfTrue="1" operator="equal">
      <formula>"Napkin Hs"</formula>
    </cfRule>
  </conditionalFormatting>
  <conditionalFormatting sqref="C141">
    <cfRule type="cellIs" dxfId="680" priority="675" stopIfTrue="1" operator="equal">
      <formula>"Towel"</formula>
    </cfRule>
  </conditionalFormatting>
  <conditionalFormatting sqref="B146:C146">
    <cfRule type="cellIs" dxfId="679" priority="671" stopIfTrue="1" operator="equal">
      <formula>"Towel"</formula>
    </cfRule>
    <cfRule type="cellIs" dxfId="678" priority="672" stopIfTrue="1" operator="equal">
      <formula>"Napkin Hs"</formula>
    </cfRule>
  </conditionalFormatting>
  <conditionalFormatting sqref="C146">
    <cfRule type="cellIs" dxfId="677" priority="670" stopIfTrue="1" operator="equal">
      <formula>"Napkin Hs"</formula>
    </cfRule>
  </conditionalFormatting>
  <conditionalFormatting sqref="C146">
    <cfRule type="cellIs" dxfId="676" priority="667" stopIfTrue="1" operator="equal">
      <formula>"Towel"</formula>
    </cfRule>
    <cfRule type="cellIs" dxfId="675" priority="668" stopIfTrue="1" operator="equal">
      <formula>"Napkin Hs"</formula>
    </cfRule>
  </conditionalFormatting>
  <conditionalFormatting sqref="C146">
    <cfRule type="cellIs" dxfId="674" priority="669" stopIfTrue="1" operator="equal">
      <formula>"Towel"</formula>
    </cfRule>
  </conditionalFormatting>
  <conditionalFormatting sqref="B151:C151">
    <cfRule type="cellIs" dxfId="673" priority="665" stopIfTrue="1" operator="equal">
      <formula>"Towel"</formula>
    </cfRule>
    <cfRule type="cellIs" dxfId="672" priority="666" stopIfTrue="1" operator="equal">
      <formula>"Napkin Hs"</formula>
    </cfRule>
  </conditionalFormatting>
  <conditionalFormatting sqref="C151">
    <cfRule type="cellIs" dxfId="671" priority="664" stopIfTrue="1" operator="equal">
      <formula>"Napkin Hs"</formula>
    </cfRule>
  </conditionalFormatting>
  <conditionalFormatting sqref="C151">
    <cfRule type="cellIs" dxfId="670" priority="661" stopIfTrue="1" operator="equal">
      <formula>"Towel"</formula>
    </cfRule>
    <cfRule type="cellIs" dxfId="669" priority="662" stopIfTrue="1" operator="equal">
      <formula>"Napkin Hs"</formula>
    </cfRule>
  </conditionalFormatting>
  <conditionalFormatting sqref="C151">
    <cfRule type="cellIs" dxfId="668" priority="663" stopIfTrue="1" operator="equal">
      <formula>"Towel"</formula>
    </cfRule>
  </conditionalFormatting>
  <conditionalFormatting sqref="B158:C159">
    <cfRule type="cellIs" dxfId="667" priority="659" stopIfTrue="1" operator="equal">
      <formula>"Towel"</formula>
    </cfRule>
    <cfRule type="cellIs" dxfId="666" priority="660" stopIfTrue="1" operator="equal">
      <formula>"Napkin Hs"</formula>
    </cfRule>
  </conditionalFormatting>
  <conditionalFormatting sqref="C158:C159">
    <cfRule type="cellIs" dxfId="665" priority="658" stopIfTrue="1" operator="equal">
      <formula>"Napkin Hs"</formula>
    </cfRule>
  </conditionalFormatting>
  <conditionalFormatting sqref="C158:C159">
    <cfRule type="cellIs" dxfId="664" priority="655" stopIfTrue="1" operator="equal">
      <formula>"Towel"</formula>
    </cfRule>
    <cfRule type="cellIs" dxfId="663" priority="656" stopIfTrue="1" operator="equal">
      <formula>"Napkin Hs"</formula>
    </cfRule>
  </conditionalFormatting>
  <conditionalFormatting sqref="C158:C159">
    <cfRule type="cellIs" dxfId="662" priority="657" stopIfTrue="1" operator="equal">
      <formula>"Towel"</formula>
    </cfRule>
  </conditionalFormatting>
  <conditionalFormatting sqref="B156:C156">
    <cfRule type="cellIs" dxfId="661" priority="653" stopIfTrue="1" operator="equal">
      <formula>"Towel"</formula>
    </cfRule>
    <cfRule type="cellIs" dxfId="660" priority="654" stopIfTrue="1" operator="equal">
      <formula>"Napkin Hs"</formula>
    </cfRule>
  </conditionalFormatting>
  <conditionalFormatting sqref="C156">
    <cfRule type="cellIs" dxfId="659" priority="652" stopIfTrue="1" operator="equal">
      <formula>"Napkin Hs"</formula>
    </cfRule>
  </conditionalFormatting>
  <conditionalFormatting sqref="C156">
    <cfRule type="cellIs" dxfId="658" priority="649" stopIfTrue="1" operator="equal">
      <formula>"Towel"</formula>
    </cfRule>
    <cfRule type="cellIs" dxfId="657" priority="650" stopIfTrue="1" operator="equal">
      <formula>"Napkin Hs"</formula>
    </cfRule>
  </conditionalFormatting>
  <conditionalFormatting sqref="C156">
    <cfRule type="cellIs" dxfId="656" priority="651" stopIfTrue="1" operator="equal">
      <formula>"Towel"</formula>
    </cfRule>
  </conditionalFormatting>
  <conditionalFormatting sqref="B15:C15">
    <cfRule type="cellIs" dxfId="655" priority="647" stopIfTrue="1" operator="equal">
      <formula>"Towel"</formula>
    </cfRule>
    <cfRule type="cellIs" dxfId="654" priority="648" stopIfTrue="1" operator="equal">
      <formula>"Napkin Hs"</formula>
    </cfRule>
  </conditionalFormatting>
  <conditionalFormatting sqref="C15">
    <cfRule type="cellIs" dxfId="653" priority="643" stopIfTrue="1" operator="equal">
      <formula>"Towel"</formula>
    </cfRule>
    <cfRule type="cellIs" dxfId="652" priority="644" stopIfTrue="1" operator="equal">
      <formula>"Napkin Hs"</formula>
    </cfRule>
  </conditionalFormatting>
  <conditionalFormatting sqref="C15">
    <cfRule type="cellIs" dxfId="651" priority="646" stopIfTrue="1" operator="equal">
      <formula>"Napkin Hs"</formula>
    </cfRule>
  </conditionalFormatting>
  <conditionalFormatting sqref="C15">
    <cfRule type="cellIs" dxfId="650" priority="645" stopIfTrue="1" operator="equal">
      <formula>"Towel"</formula>
    </cfRule>
  </conditionalFormatting>
  <conditionalFormatting sqref="B20:C21">
    <cfRule type="cellIs" dxfId="649" priority="641" stopIfTrue="1" operator="equal">
      <formula>"Towel"</formula>
    </cfRule>
    <cfRule type="cellIs" dxfId="648" priority="642" stopIfTrue="1" operator="equal">
      <formula>"Napkin Hs"</formula>
    </cfRule>
  </conditionalFormatting>
  <conditionalFormatting sqref="C20:C21">
    <cfRule type="cellIs" dxfId="647" priority="640" stopIfTrue="1" operator="equal">
      <formula>"Napkin Hs"</formula>
    </cfRule>
  </conditionalFormatting>
  <conditionalFormatting sqref="C20:C21">
    <cfRule type="cellIs" dxfId="646" priority="637" stopIfTrue="1" operator="equal">
      <formula>"Towel"</formula>
    </cfRule>
    <cfRule type="cellIs" dxfId="645" priority="638" stopIfTrue="1" operator="equal">
      <formula>"Napkin Hs"</formula>
    </cfRule>
  </conditionalFormatting>
  <conditionalFormatting sqref="C20:C21">
    <cfRule type="cellIs" dxfId="644" priority="639" stopIfTrue="1" operator="equal">
      <formula>"Towel"</formula>
    </cfRule>
  </conditionalFormatting>
  <conditionalFormatting sqref="B20:C20">
    <cfRule type="cellIs" dxfId="643" priority="635" stopIfTrue="1" operator="equal">
      <formula>"Towel"</formula>
    </cfRule>
    <cfRule type="cellIs" dxfId="642" priority="636" stopIfTrue="1" operator="equal">
      <formula>"Napkin Hs"</formula>
    </cfRule>
  </conditionalFormatting>
  <conditionalFormatting sqref="C20">
    <cfRule type="cellIs" dxfId="641" priority="634" stopIfTrue="1" operator="equal">
      <formula>"Napkin Hs"</formula>
    </cfRule>
  </conditionalFormatting>
  <conditionalFormatting sqref="C20">
    <cfRule type="cellIs" dxfId="640" priority="631" stopIfTrue="1" operator="equal">
      <formula>"Towel"</formula>
    </cfRule>
    <cfRule type="cellIs" dxfId="639" priority="632" stopIfTrue="1" operator="equal">
      <formula>"Napkin Hs"</formula>
    </cfRule>
  </conditionalFormatting>
  <conditionalFormatting sqref="C20">
    <cfRule type="cellIs" dxfId="638" priority="633" stopIfTrue="1" operator="equal">
      <formula>"Towel"</formula>
    </cfRule>
  </conditionalFormatting>
  <conditionalFormatting sqref="B21:C21">
    <cfRule type="cellIs" dxfId="637" priority="629" stopIfTrue="1" operator="equal">
      <formula>"Towel"</formula>
    </cfRule>
    <cfRule type="cellIs" dxfId="636" priority="630" stopIfTrue="1" operator="equal">
      <formula>"Napkin Hs"</formula>
    </cfRule>
  </conditionalFormatting>
  <conditionalFormatting sqref="C21">
    <cfRule type="cellIs" dxfId="635" priority="625" stopIfTrue="1" operator="equal">
      <formula>"Towel"</formula>
    </cfRule>
    <cfRule type="cellIs" dxfId="634" priority="626" stopIfTrue="1" operator="equal">
      <formula>"Napkin Hs"</formula>
    </cfRule>
  </conditionalFormatting>
  <conditionalFormatting sqref="C21">
    <cfRule type="cellIs" dxfId="633" priority="628" stopIfTrue="1" operator="equal">
      <formula>"Napkin Hs"</formula>
    </cfRule>
  </conditionalFormatting>
  <conditionalFormatting sqref="C21">
    <cfRule type="cellIs" dxfId="632" priority="627" stopIfTrue="1" operator="equal">
      <formula>"Towel"</formula>
    </cfRule>
  </conditionalFormatting>
  <conditionalFormatting sqref="B32:C32">
    <cfRule type="cellIs" dxfId="631" priority="623" stopIfTrue="1" operator="equal">
      <formula>"Towel"</formula>
    </cfRule>
    <cfRule type="cellIs" dxfId="630" priority="624" stopIfTrue="1" operator="equal">
      <formula>"Napkin Hs"</formula>
    </cfRule>
  </conditionalFormatting>
  <conditionalFormatting sqref="C32">
    <cfRule type="cellIs" dxfId="629" priority="622" stopIfTrue="1" operator="equal">
      <formula>"Napkin Hs"</formula>
    </cfRule>
  </conditionalFormatting>
  <conditionalFormatting sqref="C32">
    <cfRule type="cellIs" dxfId="628" priority="621" stopIfTrue="1" operator="equal">
      <formula>"Towel"</formula>
    </cfRule>
  </conditionalFormatting>
  <conditionalFormatting sqref="C32">
    <cfRule type="cellIs" dxfId="627" priority="619" stopIfTrue="1" operator="equal">
      <formula>"Towel"</formula>
    </cfRule>
    <cfRule type="cellIs" dxfId="626" priority="620" stopIfTrue="1" operator="equal">
      <formula>"Napkin Hs"</formula>
    </cfRule>
  </conditionalFormatting>
  <conditionalFormatting sqref="B11:C11 B13:C13">
    <cfRule type="cellIs" dxfId="625" priority="617" stopIfTrue="1" operator="equal">
      <formula>"Towel"</formula>
    </cfRule>
    <cfRule type="cellIs" dxfId="624" priority="618" stopIfTrue="1" operator="equal">
      <formula>"Napkin Hs"</formula>
    </cfRule>
  </conditionalFormatting>
  <conditionalFormatting sqref="B12:C12">
    <cfRule type="cellIs" dxfId="623" priority="613" stopIfTrue="1" operator="equal">
      <formula>"Towel"</formula>
    </cfRule>
    <cfRule type="cellIs" dxfId="622" priority="614" stopIfTrue="1" operator="equal">
      <formula>"Napkin Hs"</formula>
    </cfRule>
  </conditionalFormatting>
  <conditionalFormatting sqref="C11 C13">
    <cfRule type="cellIs" dxfId="621" priority="616" stopIfTrue="1" operator="equal">
      <formula>"Napkin Hs"</formula>
    </cfRule>
  </conditionalFormatting>
  <conditionalFormatting sqref="C11:C13">
    <cfRule type="cellIs" dxfId="620" priority="611" stopIfTrue="1" operator="equal">
      <formula>"Towel"</formula>
    </cfRule>
    <cfRule type="cellIs" dxfId="619" priority="612" stopIfTrue="1" operator="equal">
      <formula>"Napkin Hs"</formula>
    </cfRule>
  </conditionalFormatting>
  <conditionalFormatting sqref="C12">
    <cfRule type="cellIs" dxfId="618" priority="609" stopIfTrue="1" operator="equal">
      <formula>"Towel"</formula>
    </cfRule>
    <cfRule type="cellIs" dxfId="617" priority="610" stopIfTrue="1" operator="equal">
      <formula>"Napkin Hs"</formula>
    </cfRule>
  </conditionalFormatting>
  <conditionalFormatting sqref="C11 C13">
    <cfRule type="cellIs" dxfId="616" priority="615" stopIfTrue="1" operator="equal">
      <formula>"Towel"</formula>
    </cfRule>
  </conditionalFormatting>
  <conditionalFormatting sqref="B14:C14">
    <cfRule type="cellIs" dxfId="615" priority="607" stopIfTrue="1" operator="equal">
      <formula>"Towel"</formula>
    </cfRule>
    <cfRule type="cellIs" dxfId="614" priority="608" stopIfTrue="1" operator="equal">
      <formula>"Napkin Hs"</formula>
    </cfRule>
  </conditionalFormatting>
  <conditionalFormatting sqref="C14">
    <cfRule type="cellIs" dxfId="613" priority="603" stopIfTrue="1" operator="equal">
      <formula>"Towel"</formula>
    </cfRule>
    <cfRule type="cellIs" dxfId="612" priority="604" stopIfTrue="1" operator="equal">
      <formula>"Napkin Hs"</formula>
    </cfRule>
  </conditionalFormatting>
  <conditionalFormatting sqref="C14">
    <cfRule type="cellIs" dxfId="611" priority="606" stopIfTrue="1" operator="equal">
      <formula>"Napkin Hs"</formula>
    </cfRule>
  </conditionalFormatting>
  <conditionalFormatting sqref="C14">
    <cfRule type="cellIs" dxfId="610" priority="605" stopIfTrue="1" operator="equal">
      <formula>"Towel"</formula>
    </cfRule>
  </conditionalFormatting>
  <conditionalFormatting sqref="B16:C16 B18:C18">
    <cfRule type="cellIs" dxfId="609" priority="601" stopIfTrue="1" operator="equal">
      <formula>"Towel"</formula>
    </cfRule>
    <cfRule type="cellIs" dxfId="608" priority="602" stopIfTrue="1" operator="equal">
      <formula>"Napkin Hs"</formula>
    </cfRule>
  </conditionalFormatting>
  <conditionalFormatting sqref="B17:C17">
    <cfRule type="cellIs" dxfId="607" priority="597" stopIfTrue="1" operator="equal">
      <formula>"Towel"</formula>
    </cfRule>
    <cfRule type="cellIs" dxfId="606" priority="598" stopIfTrue="1" operator="equal">
      <formula>"Napkin Hs"</formula>
    </cfRule>
  </conditionalFormatting>
  <conditionalFormatting sqref="C16 C18">
    <cfRule type="cellIs" dxfId="605" priority="600" stopIfTrue="1" operator="equal">
      <formula>"Napkin Hs"</formula>
    </cfRule>
  </conditionalFormatting>
  <conditionalFormatting sqref="C16:C18">
    <cfRule type="cellIs" dxfId="604" priority="595" stopIfTrue="1" operator="equal">
      <formula>"Towel"</formula>
    </cfRule>
    <cfRule type="cellIs" dxfId="603" priority="596" stopIfTrue="1" operator="equal">
      <formula>"Napkin Hs"</formula>
    </cfRule>
  </conditionalFormatting>
  <conditionalFormatting sqref="C17">
    <cfRule type="cellIs" dxfId="602" priority="593" stopIfTrue="1" operator="equal">
      <formula>"Towel"</formula>
    </cfRule>
    <cfRule type="cellIs" dxfId="601" priority="594" stopIfTrue="1" operator="equal">
      <formula>"Napkin Hs"</formula>
    </cfRule>
  </conditionalFormatting>
  <conditionalFormatting sqref="C16 C18">
    <cfRule type="cellIs" dxfId="600" priority="599" stopIfTrue="1" operator="equal">
      <formula>"Towel"</formula>
    </cfRule>
  </conditionalFormatting>
  <conditionalFormatting sqref="B19:C19">
    <cfRule type="cellIs" dxfId="599" priority="591" stopIfTrue="1" operator="equal">
      <formula>"Towel"</formula>
    </cfRule>
    <cfRule type="cellIs" dxfId="598" priority="592" stopIfTrue="1" operator="equal">
      <formula>"Napkin Hs"</formula>
    </cfRule>
  </conditionalFormatting>
  <conditionalFormatting sqref="C19">
    <cfRule type="cellIs" dxfId="597" priority="587" stopIfTrue="1" operator="equal">
      <formula>"Towel"</formula>
    </cfRule>
    <cfRule type="cellIs" dxfId="596" priority="588" stopIfTrue="1" operator="equal">
      <formula>"Napkin Hs"</formula>
    </cfRule>
  </conditionalFormatting>
  <conditionalFormatting sqref="C19">
    <cfRule type="cellIs" dxfId="595" priority="590" stopIfTrue="1" operator="equal">
      <formula>"Napkin Hs"</formula>
    </cfRule>
  </conditionalFormatting>
  <conditionalFormatting sqref="C19">
    <cfRule type="cellIs" dxfId="594" priority="589" stopIfTrue="1" operator="equal">
      <formula>"Towel"</formula>
    </cfRule>
  </conditionalFormatting>
  <conditionalFormatting sqref="B23:C23 B25:C25">
    <cfRule type="cellIs" dxfId="593" priority="585" stopIfTrue="1" operator="equal">
      <formula>"Towel"</formula>
    </cfRule>
    <cfRule type="cellIs" dxfId="592" priority="586" stopIfTrue="1" operator="equal">
      <formula>"Napkin Hs"</formula>
    </cfRule>
  </conditionalFormatting>
  <conditionalFormatting sqref="B24:C24">
    <cfRule type="cellIs" dxfId="591" priority="581" stopIfTrue="1" operator="equal">
      <formula>"Towel"</formula>
    </cfRule>
    <cfRule type="cellIs" dxfId="590" priority="582" stopIfTrue="1" operator="equal">
      <formula>"Napkin Hs"</formula>
    </cfRule>
  </conditionalFormatting>
  <conditionalFormatting sqref="C23 C25">
    <cfRule type="cellIs" dxfId="589" priority="584" stopIfTrue="1" operator="equal">
      <formula>"Napkin Hs"</formula>
    </cfRule>
  </conditionalFormatting>
  <conditionalFormatting sqref="C23:C25">
    <cfRule type="cellIs" dxfId="588" priority="579" stopIfTrue="1" operator="equal">
      <formula>"Towel"</formula>
    </cfRule>
    <cfRule type="cellIs" dxfId="587" priority="580" stopIfTrue="1" operator="equal">
      <formula>"Napkin Hs"</formula>
    </cfRule>
  </conditionalFormatting>
  <conditionalFormatting sqref="C24">
    <cfRule type="cellIs" dxfId="586" priority="577" stopIfTrue="1" operator="equal">
      <formula>"Towel"</formula>
    </cfRule>
    <cfRule type="cellIs" dxfId="585" priority="578" stopIfTrue="1" operator="equal">
      <formula>"Napkin Hs"</formula>
    </cfRule>
  </conditionalFormatting>
  <conditionalFormatting sqref="C23 C25">
    <cfRule type="cellIs" dxfId="584" priority="583" stopIfTrue="1" operator="equal">
      <formula>"Towel"</formula>
    </cfRule>
  </conditionalFormatting>
  <conditionalFormatting sqref="B26:C26">
    <cfRule type="cellIs" dxfId="583" priority="575" stopIfTrue="1" operator="equal">
      <formula>"Towel"</formula>
    </cfRule>
    <cfRule type="cellIs" dxfId="582" priority="576" stopIfTrue="1" operator="equal">
      <formula>"Napkin Hs"</formula>
    </cfRule>
  </conditionalFormatting>
  <conditionalFormatting sqref="C26">
    <cfRule type="cellIs" dxfId="581" priority="571" stopIfTrue="1" operator="equal">
      <formula>"Towel"</formula>
    </cfRule>
    <cfRule type="cellIs" dxfId="580" priority="572" stopIfTrue="1" operator="equal">
      <formula>"Napkin Hs"</formula>
    </cfRule>
  </conditionalFormatting>
  <conditionalFormatting sqref="C26">
    <cfRule type="cellIs" dxfId="579" priority="574" stopIfTrue="1" operator="equal">
      <formula>"Napkin Hs"</formula>
    </cfRule>
  </conditionalFormatting>
  <conditionalFormatting sqref="C26">
    <cfRule type="cellIs" dxfId="578" priority="573" stopIfTrue="1" operator="equal">
      <formula>"Towel"</formula>
    </cfRule>
  </conditionalFormatting>
  <conditionalFormatting sqref="B28:C28 B30:C30">
    <cfRule type="cellIs" dxfId="577" priority="569" stopIfTrue="1" operator="equal">
      <formula>"Towel"</formula>
    </cfRule>
    <cfRule type="cellIs" dxfId="576" priority="570" stopIfTrue="1" operator="equal">
      <formula>"Napkin Hs"</formula>
    </cfRule>
  </conditionalFormatting>
  <conditionalFormatting sqref="B29:C29">
    <cfRule type="cellIs" dxfId="575" priority="565" stopIfTrue="1" operator="equal">
      <formula>"Towel"</formula>
    </cfRule>
    <cfRule type="cellIs" dxfId="574" priority="566" stopIfTrue="1" operator="equal">
      <formula>"Napkin Hs"</formula>
    </cfRule>
  </conditionalFormatting>
  <conditionalFormatting sqref="C28 C30">
    <cfRule type="cellIs" dxfId="573" priority="568" stopIfTrue="1" operator="equal">
      <formula>"Napkin Hs"</formula>
    </cfRule>
  </conditionalFormatting>
  <conditionalFormatting sqref="C28:C30">
    <cfRule type="cellIs" dxfId="572" priority="563" stopIfTrue="1" operator="equal">
      <formula>"Towel"</formula>
    </cfRule>
    <cfRule type="cellIs" dxfId="571" priority="564" stopIfTrue="1" operator="equal">
      <formula>"Napkin Hs"</formula>
    </cfRule>
  </conditionalFormatting>
  <conditionalFormatting sqref="C29">
    <cfRule type="cellIs" dxfId="570" priority="561" stopIfTrue="1" operator="equal">
      <formula>"Towel"</formula>
    </cfRule>
    <cfRule type="cellIs" dxfId="569" priority="562" stopIfTrue="1" operator="equal">
      <formula>"Napkin Hs"</formula>
    </cfRule>
  </conditionalFormatting>
  <conditionalFormatting sqref="C28 C30">
    <cfRule type="cellIs" dxfId="568" priority="567" stopIfTrue="1" operator="equal">
      <formula>"Towel"</formula>
    </cfRule>
  </conditionalFormatting>
  <conditionalFormatting sqref="B31:C31">
    <cfRule type="cellIs" dxfId="567" priority="559" stopIfTrue="1" operator="equal">
      <formula>"Towel"</formula>
    </cfRule>
    <cfRule type="cellIs" dxfId="566" priority="560" stopIfTrue="1" operator="equal">
      <formula>"Napkin Hs"</formula>
    </cfRule>
  </conditionalFormatting>
  <conditionalFormatting sqref="C31">
    <cfRule type="cellIs" dxfId="565" priority="555" stopIfTrue="1" operator="equal">
      <formula>"Towel"</formula>
    </cfRule>
    <cfRule type="cellIs" dxfId="564" priority="556" stopIfTrue="1" operator="equal">
      <formula>"Napkin Hs"</formula>
    </cfRule>
  </conditionalFormatting>
  <conditionalFormatting sqref="C31">
    <cfRule type="cellIs" dxfId="563" priority="558" stopIfTrue="1" operator="equal">
      <formula>"Napkin Hs"</formula>
    </cfRule>
  </conditionalFormatting>
  <conditionalFormatting sqref="C31">
    <cfRule type="cellIs" dxfId="562" priority="557" stopIfTrue="1" operator="equal">
      <formula>"Towel"</formula>
    </cfRule>
  </conditionalFormatting>
  <conditionalFormatting sqref="B37:C37">
    <cfRule type="cellIs" dxfId="561" priority="553" stopIfTrue="1" operator="equal">
      <formula>"Towel"</formula>
    </cfRule>
    <cfRule type="cellIs" dxfId="560" priority="554" stopIfTrue="1" operator="equal">
      <formula>"Napkin Hs"</formula>
    </cfRule>
  </conditionalFormatting>
  <conditionalFormatting sqref="C37">
    <cfRule type="cellIs" dxfId="559" priority="552" stopIfTrue="1" operator="equal">
      <formula>"Napkin Hs"</formula>
    </cfRule>
  </conditionalFormatting>
  <conditionalFormatting sqref="C37">
    <cfRule type="cellIs" dxfId="558" priority="551" stopIfTrue="1" operator="equal">
      <formula>"Towel"</formula>
    </cfRule>
  </conditionalFormatting>
  <conditionalFormatting sqref="C37">
    <cfRule type="cellIs" dxfId="557" priority="549" stopIfTrue="1" operator="equal">
      <formula>"Towel"</formula>
    </cfRule>
    <cfRule type="cellIs" dxfId="556" priority="550" stopIfTrue="1" operator="equal">
      <formula>"Napkin Hs"</formula>
    </cfRule>
  </conditionalFormatting>
  <conditionalFormatting sqref="B33:C35">
    <cfRule type="cellIs" dxfId="555" priority="547" stopIfTrue="1" operator="equal">
      <formula>"Towel"</formula>
    </cfRule>
    <cfRule type="cellIs" dxfId="554" priority="548" stopIfTrue="1" operator="equal">
      <formula>"Napkin Hs"</formula>
    </cfRule>
  </conditionalFormatting>
  <conditionalFormatting sqref="C33:C35">
    <cfRule type="cellIs" dxfId="553" priority="546" stopIfTrue="1" operator="equal">
      <formula>"Napkin Hs"</formula>
    </cfRule>
  </conditionalFormatting>
  <conditionalFormatting sqref="C33:C35">
    <cfRule type="cellIs" dxfId="552" priority="543" stopIfTrue="1" operator="equal">
      <formula>"Towel"</formula>
    </cfRule>
    <cfRule type="cellIs" dxfId="551" priority="544" stopIfTrue="1" operator="equal">
      <formula>"Napkin Hs"</formula>
    </cfRule>
  </conditionalFormatting>
  <conditionalFormatting sqref="C33:C35">
    <cfRule type="cellIs" dxfId="550" priority="545" stopIfTrue="1" operator="equal">
      <formula>"Towel"</formula>
    </cfRule>
  </conditionalFormatting>
  <conditionalFormatting sqref="B36:C36">
    <cfRule type="cellIs" dxfId="549" priority="541" stopIfTrue="1" operator="equal">
      <formula>"Towel"</formula>
    </cfRule>
    <cfRule type="cellIs" dxfId="548" priority="542" stopIfTrue="1" operator="equal">
      <formula>"Napkin Hs"</formula>
    </cfRule>
  </conditionalFormatting>
  <conditionalFormatting sqref="C36">
    <cfRule type="cellIs" dxfId="547" priority="537" stopIfTrue="1" operator="equal">
      <formula>"Towel"</formula>
    </cfRule>
    <cfRule type="cellIs" dxfId="546" priority="538" stopIfTrue="1" operator="equal">
      <formula>"Napkin Hs"</formula>
    </cfRule>
  </conditionalFormatting>
  <conditionalFormatting sqref="C36">
    <cfRule type="cellIs" dxfId="545" priority="540" stopIfTrue="1" operator="equal">
      <formula>"Napkin Hs"</formula>
    </cfRule>
  </conditionalFormatting>
  <conditionalFormatting sqref="C36">
    <cfRule type="cellIs" dxfId="544" priority="539" stopIfTrue="1" operator="equal">
      <formula>"Towel"</formula>
    </cfRule>
  </conditionalFormatting>
  <conditionalFormatting sqref="B40:C40">
    <cfRule type="cellIs" dxfId="543" priority="535" stopIfTrue="1" operator="equal">
      <formula>"Towel"</formula>
    </cfRule>
    <cfRule type="cellIs" dxfId="542" priority="536" stopIfTrue="1" operator="equal">
      <formula>"Napkin Hs"</formula>
    </cfRule>
  </conditionalFormatting>
  <conditionalFormatting sqref="C39">
    <cfRule type="cellIs" dxfId="541" priority="531" stopIfTrue="1" operator="equal">
      <formula>"Towel"</formula>
    </cfRule>
    <cfRule type="cellIs" dxfId="540" priority="532" stopIfTrue="1" operator="equal">
      <formula>"Napkin Hs"</formula>
    </cfRule>
  </conditionalFormatting>
  <conditionalFormatting sqref="C40">
    <cfRule type="cellIs" dxfId="539" priority="534" stopIfTrue="1" operator="equal">
      <formula>"Napkin Hs"</formula>
    </cfRule>
  </conditionalFormatting>
  <conditionalFormatting sqref="C39:C40">
    <cfRule type="cellIs" dxfId="538" priority="529" stopIfTrue="1" operator="equal">
      <formula>"Towel"</formula>
    </cfRule>
    <cfRule type="cellIs" dxfId="537" priority="530" stopIfTrue="1" operator="equal">
      <formula>"Napkin Hs"</formula>
    </cfRule>
  </conditionalFormatting>
  <conditionalFormatting sqref="C39">
    <cfRule type="cellIs" dxfId="536" priority="527" stopIfTrue="1" operator="equal">
      <formula>"Towel"</formula>
    </cfRule>
    <cfRule type="cellIs" dxfId="535" priority="528" stopIfTrue="1" operator="equal">
      <formula>"Napkin Hs"</formula>
    </cfRule>
  </conditionalFormatting>
  <conditionalFormatting sqref="C40">
    <cfRule type="cellIs" dxfId="534" priority="533" stopIfTrue="1" operator="equal">
      <formula>"Towel"</formula>
    </cfRule>
  </conditionalFormatting>
  <conditionalFormatting sqref="B41:C41">
    <cfRule type="cellIs" dxfId="533" priority="525" stopIfTrue="1" operator="equal">
      <formula>"Towel"</formula>
    </cfRule>
    <cfRule type="cellIs" dxfId="532" priority="526" stopIfTrue="1" operator="equal">
      <formula>"Napkin Hs"</formula>
    </cfRule>
  </conditionalFormatting>
  <conditionalFormatting sqref="C41">
    <cfRule type="cellIs" dxfId="531" priority="521" stopIfTrue="1" operator="equal">
      <formula>"Towel"</formula>
    </cfRule>
    <cfRule type="cellIs" dxfId="530" priority="522" stopIfTrue="1" operator="equal">
      <formula>"Napkin Hs"</formula>
    </cfRule>
  </conditionalFormatting>
  <conditionalFormatting sqref="C41">
    <cfRule type="cellIs" dxfId="529" priority="524" stopIfTrue="1" operator="equal">
      <formula>"Napkin Hs"</formula>
    </cfRule>
  </conditionalFormatting>
  <conditionalFormatting sqref="C41">
    <cfRule type="cellIs" dxfId="528" priority="523" stopIfTrue="1" operator="equal">
      <formula>"Towel"</formula>
    </cfRule>
  </conditionalFormatting>
  <conditionalFormatting sqref="B38:C38 B39">
    <cfRule type="cellIs" dxfId="527" priority="519" stopIfTrue="1" operator="equal">
      <formula>"Towel"</formula>
    </cfRule>
    <cfRule type="cellIs" dxfId="526" priority="520" stopIfTrue="1" operator="equal">
      <formula>"Napkin Hs"</formula>
    </cfRule>
  </conditionalFormatting>
  <conditionalFormatting sqref="C38">
    <cfRule type="cellIs" dxfId="525" priority="518" stopIfTrue="1" operator="equal">
      <formula>"Napkin Hs"</formula>
    </cfRule>
  </conditionalFormatting>
  <conditionalFormatting sqref="C38">
    <cfRule type="cellIs" dxfId="524" priority="515" stopIfTrue="1" operator="equal">
      <formula>"Towel"</formula>
    </cfRule>
    <cfRule type="cellIs" dxfId="523" priority="516" stopIfTrue="1" operator="equal">
      <formula>"Napkin Hs"</formula>
    </cfRule>
  </conditionalFormatting>
  <conditionalFormatting sqref="C38">
    <cfRule type="cellIs" dxfId="522" priority="517" stopIfTrue="1" operator="equal">
      <formula>"Towel"</formula>
    </cfRule>
  </conditionalFormatting>
  <conditionalFormatting sqref="B42:C42">
    <cfRule type="cellIs" dxfId="521" priority="513" stopIfTrue="1" operator="equal">
      <formula>"Towel"</formula>
    </cfRule>
    <cfRule type="cellIs" dxfId="520" priority="514" stopIfTrue="1" operator="equal">
      <formula>"Napkin Hs"</formula>
    </cfRule>
  </conditionalFormatting>
  <conditionalFormatting sqref="C42">
    <cfRule type="cellIs" dxfId="519" priority="512" stopIfTrue="1" operator="equal">
      <formula>"Napkin Hs"</formula>
    </cfRule>
  </conditionalFormatting>
  <conditionalFormatting sqref="C42">
    <cfRule type="cellIs" dxfId="518" priority="509" stopIfTrue="1" operator="equal">
      <formula>"Towel"</formula>
    </cfRule>
    <cfRule type="cellIs" dxfId="517" priority="510" stopIfTrue="1" operator="equal">
      <formula>"Napkin Hs"</formula>
    </cfRule>
  </conditionalFormatting>
  <conditionalFormatting sqref="C42">
    <cfRule type="cellIs" dxfId="516" priority="511" stopIfTrue="1" operator="equal">
      <formula>"Towel"</formula>
    </cfRule>
  </conditionalFormatting>
  <conditionalFormatting sqref="B46:C46">
    <cfRule type="cellIs" dxfId="515" priority="507" stopIfTrue="1" operator="equal">
      <formula>"Towel"</formula>
    </cfRule>
    <cfRule type="cellIs" dxfId="514" priority="508" stopIfTrue="1" operator="equal">
      <formula>"Napkin Hs"</formula>
    </cfRule>
  </conditionalFormatting>
  <conditionalFormatting sqref="C46">
    <cfRule type="cellIs" dxfId="513" priority="503" stopIfTrue="1" operator="equal">
      <formula>"Towel"</formula>
    </cfRule>
    <cfRule type="cellIs" dxfId="512" priority="504" stopIfTrue="1" operator="equal">
      <formula>"Napkin Hs"</formula>
    </cfRule>
  </conditionalFormatting>
  <conditionalFormatting sqref="C46">
    <cfRule type="cellIs" dxfId="511" priority="506" stopIfTrue="1" operator="equal">
      <formula>"Napkin Hs"</formula>
    </cfRule>
  </conditionalFormatting>
  <conditionalFormatting sqref="C46">
    <cfRule type="cellIs" dxfId="510" priority="505" stopIfTrue="1" operator="equal">
      <formula>"Towel"</formula>
    </cfRule>
  </conditionalFormatting>
  <conditionalFormatting sqref="B43:C45">
    <cfRule type="cellIs" dxfId="509" priority="501" stopIfTrue="1" operator="equal">
      <formula>"Towel"</formula>
    </cfRule>
    <cfRule type="cellIs" dxfId="508" priority="502" stopIfTrue="1" operator="equal">
      <formula>"Napkin Hs"</formula>
    </cfRule>
  </conditionalFormatting>
  <conditionalFormatting sqref="C43:C45">
    <cfRule type="cellIs" dxfId="507" priority="500" stopIfTrue="1" operator="equal">
      <formula>"Napkin Hs"</formula>
    </cfRule>
  </conditionalFormatting>
  <conditionalFormatting sqref="C43:C45">
    <cfRule type="cellIs" dxfId="506" priority="497" stopIfTrue="1" operator="equal">
      <formula>"Towel"</formula>
    </cfRule>
    <cfRule type="cellIs" dxfId="505" priority="498" stopIfTrue="1" operator="equal">
      <formula>"Napkin Hs"</formula>
    </cfRule>
  </conditionalFormatting>
  <conditionalFormatting sqref="C43:C45">
    <cfRule type="cellIs" dxfId="504" priority="499" stopIfTrue="1" operator="equal">
      <formula>"Towel"</formula>
    </cfRule>
  </conditionalFormatting>
  <conditionalFormatting sqref="B48:C52">
    <cfRule type="cellIs" dxfId="503" priority="495" stopIfTrue="1" operator="equal">
      <formula>"Towel"</formula>
    </cfRule>
    <cfRule type="cellIs" dxfId="502" priority="496" stopIfTrue="1" operator="equal">
      <formula>"Napkin Hs"</formula>
    </cfRule>
  </conditionalFormatting>
  <conditionalFormatting sqref="C48:C52">
    <cfRule type="cellIs" dxfId="501" priority="494" stopIfTrue="1" operator="equal">
      <formula>"Napkin Hs"</formula>
    </cfRule>
  </conditionalFormatting>
  <conditionalFormatting sqref="C48:C52">
    <cfRule type="cellIs" dxfId="500" priority="491" stopIfTrue="1" operator="equal">
      <formula>"Towel"</formula>
    </cfRule>
    <cfRule type="cellIs" dxfId="499" priority="492" stopIfTrue="1" operator="equal">
      <formula>"Napkin Hs"</formula>
    </cfRule>
  </conditionalFormatting>
  <conditionalFormatting sqref="C48:C52">
    <cfRule type="cellIs" dxfId="498" priority="493" stopIfTrue="1" operator="equal">
      <formula>"Towel"</formula>
    </cfRule>
  </conditionalFormatting>
  <conditionalFormatting sqref="B56:C56">
    <cfRule type="cellIs" dxfId="497" priority="489" stopIfTrue="1" operator="equal">
      <formula>"Towel"</formula>
    </cfRule>
    <cfRule type="cellIs" dxfId="496" priority="490" stopIfTrue="1" operator="equal">
      <formula>"Napkin Hs"</formula>
    </cfRule>
  </conditionalFormatting>
  <conditionalFormatting sqref="B55:C55">
    <cfRule type="cellIs" dxfId="495" priority="485" stopIfTrue="1" operator="equal">
      <formula>"Towel"</formula>
    </cfRule>
    <cfRule type="cellIs" dxfId="494" priority="486" stopIfTrue="1" operator="equal">
      <formula>"Napkin Hs"</formula>
    </cfRule>
  </conditionalFormatting>
  <conditionalFormatting sqref="C56">
    <cfRule type="cellIs" dxfId="493" priority="488" stopIfTrue="1" operator="equal">
      <formula>"Napkin Hs"</formula>
    </cfRule>
  </conditionalFormatting>
  <conditionalFormatting sqref="C55:C56">
    <cfRule type="cellIs" dxfId="492" priority="483" stopIfTrue="1" operator="equal">
      <formula>"Towel"</formula>
    </cfRule>
    <cfRule type="cellIs" dxfId="491" priority="484" stopIfTrue="1" operator="equal">
      <formula>"Napkin Hs"</formula>
    </cfRule>
  </conditionalFormatting>
  <conditionalFormatting sqref="C55">
    <cfRule type="cellIs" dxfId="490" priority="481" stopIfTrue="1" operator="equal">
      <formula>"Towel"</formula>
    </cfRule>
    <cfRule type="cellIs" dxfId="489" priority="482" stopIfTrue="1" operator="equal">
      <formula>"Napkin Hs"</formula>
    </cfRule>
  </conditionalFormatting>
  <conditionalFormatting sqref="C56">
    <cfRule type="cellIs" dxfId="488" priority="487" stopIfTrue="1" operator="equal">
      <formula>"Towel"</formula>
    </cfRule>
  </conditionalFormatting>
  <conditionalFormatting sqref="B57:C57">
    <cfRule type="cellIs" dxfId="487" priority="479" stopIfTrue="1" operator="equal">
      <formula>"Towel"</formula>
    </cfRule>
    <cfRule type="cellIs" dxfId="486" priority="480" stopIfTrue="1" operator="equal">
      <formula>"Napkin Hs"</formula>
    </cfRule>
  </conditionalFormatting>
  <conditionalFormatting sqref="C57">
    <cfRule type="cellIs" dxfId="485" priority="475" stopIfTrue="1" operator="equal">
      <formula>"Towel"</formula>
    </cfRule>
    <cfRule type="cellIs" dxfId="484" priority="476" stopIfTrue="1" operator="equal">
      <formula>"Napkin Hs"</formula>
    </cfRule>
  </conditionalFormatting>
  <conditionalFormatting sqref="C57">
    <cfRule type="cellIs" dxfId="483" priority="478" stopIfTrue="1" operator="equal">
      <formula>"Napkin Hs"</formula>
    </cfRule>
  </conditionalFormatting>
  <conditionalFormatting sqref="C57">
    <cfRule type="cellIs" dxfId="482" priority="477" stopIfTrue="1" operator="equal">
      <formula>"Towel"</formula>
    </cfRule>
  </conditionalFormatting>
  <conditionalFormatting sqref="B54:C54">
    <cfRule type="cellIs" dxfId="481" priority="473" stopIfTrue="1" operator="equal">
      <formula>"Towel"</formula>
    </cfRule>
    <cfRule type="cellIs" dxfId="480" priority="474" stopIfTrue="1" operator="equal">
      <formula>"Napkin Hs"</formula>
    </cfRule>
  </conditionalFormatting>
  <conditionalFormatting sqref="C54">
    <cfRule type="cellIs" dxfId="479" priority="472" stopIfTrue="1" operator="equal">
      <formula>"Napkin Hs"</formula>
    </cfRule>
  </conditionalFormatting>
  <conditionalFormatting sqref="C54">
    <cfRule type="cellIs" dxfId="478" priority="469" stopIfTrue="1" operator="equal">
      <formula>"Towel"</formula>
    </cfRule>
    <cfRule type="cellIs" dxfId="477" priority="470" stopIfTrue="1" operator="equal">
      <formula>"Napkin Hs"</formula>
    </cfRule>
  </conditionalFormatting>
  <conditionalFormatting sqref="C54">
    <cfRule type="cellIs" dxfId="476" priority="471" stopIfTrue="1" operator="equal">
      <formula>"Towel"</formula>
    </cfRule>
  </conditionalFormatting>
  <conditionalFormatting sqref="B61:C61">
    <cfRule type="cellIs" dxfId="475" priority="467" stopIfTrue="1" operator="equal">
      <formula>"Towel"</formula>
    </cfRule>
    <cfRule type="cellIs" dxfId="474" priority="468" stopIfTrue="1" operator="equal">
      <formula>"Napkin Hs"</formula>
    </cfRule>
  </conditionalFormatting>
  <conditionalFormatting sqref="C61">
    <cfRule type="cellIs" dxfId="473" priority="466" stopIfTrue="1" operator="equal">
      <formula>"Napkin Hs"</formula>
    </cfRule>
  </conditionalFormatting>
  <conditionalFormatting sqref="C61">
    <cfRule type="cellIs" dxfId="472" priority="463" stopIfTrue="1" operator="equal">
      <formula>"Towel"</formula>
    </cfRule>
    <cfRule type="cellIs" dxfId="471" priority="464" stopIfTrue="1" operator="equal">
      <formula>"Napkin Hs"</formula>
    </cfRule>
  </conditionalFormatting>
  <conditionalFormatting sqref="C61">
    <cfRule type="cellIs" dxfId="470" priority="465" stopIfTrue="1" operator="equal">
      <formula>"Towel"</formula>
    </cfRule>
  </conditionalFormatting>
  <conditionalFormatting sqref="B62:C62">
    <cfRule type="cellIs" dxfId="469" priority="461" stopIfTrue="1" operator="equal">
      <formula>"Towel"</formula>
    </cfRule>
    <cfRule type="cellIs" dxfId="468" priority="462" stopIfTrue="1" operator="equal">
      <formula>"Napkin Hs"</formula>
    </cfRule>
  </conditionalFormatting>
  <conditionalFormatting sqref="C62">
    <cfRule type="cellIs" dxfId="467" priority="457" stopIfTrue="1" operator="equal">
      <formula>"Towel"</formula>
    </cfRule>
    <cfRule type="cellIs" dxfId="466" priority="458" stopIfTrue="1" operator="equal">
      <formula>"Napkin Hs"</formula>
    </cfRule>
  </conditionalFormatting>
  <conditionalFormatting sqref="C62">
    <cfRule type="cellIs" dxfId="465" priority="460" stopIfTrue="1" operator="equal">
      <formula>"Napkin Hs"</formula>
    </cfRule>
  </conditionalFormatting>
  <conditionalFormatting sqref="C62">
    <cfRule type="cellIs" dxfId="464" priority="459" stopIfTrue="1" operator="equal">
      <formula>"Towel"</formula>
    </cfRule>
  </conditionalFormatting>
  <conditionalFormatting sqref="B59:C60">
    <cfRule type="cellIs" dxfId="463" priority="455" stopIfTrue="1" operator="equal">
      <formula>"Towel"</formula>
    </cfRule>
    <cfRule type="cellIs" dxfId="462" priority="456" stopIfTrue="1" operator="equal">
      <formula>"Napkin Hs"</formula>
    </cfRule>
  </conditionalFormatting>
  <conditionalFormatting sqref="C59:C60">
    <cfRule type="cellIs" dxfId="461" priority="454" stopIfTrue="1" operator="equal">
      <formula>"Napkin Hs"</formula>
    </cfRule>
  </conditionalFormatting>
  <conditionalFormatting sqref="C59:C60">
    <cfRule type="cellIs" dxfId="460" priority="451" stopIfTrue="1" operator="equal">
      <formula>"Towel"</formula>
    </cfRule>
    <cfRule type="cellIs" dxfId="459" priority="452" stopIfTrue="1" operator="equal">
      <formula>"Napkin Hs"</formula>
    </cfRule>
  </conditionalFormatting>
  <conditionalFormatting sqref="C59:C60">
    <cfRule type="cellIs" dxfId="458" priority="453" stopIfTrue="1" operator="equal">
      <formula>"Towel"</formula>
    </cfRule>
  </conditionalFormatting>
  <conditionalFormatting sqref="B66:C66">
    <cfRule type="cellIs" dxfId="457" priority="449" stopIfTrue="1" operator="equal">
      <formula>"Towel"</formula>
    </cfRule>
    <cfRule type="cellIs" dxfId="456" priority="450" stopIfTrue="1" operator="equal">
      <formula>"Napkin Hs"</formula>
    </cfRule>
  </conditionalFormatting>
  <conditionalFormatting sqref="C66">
    <cfRule type="cellIs" dxfId="455" priority="448" stopIfTrue="1" operator="equal">
      <formula>"Napkin Hs"</formula>
    </cfRule>
  </conditionalFormatting>
  <conditionalFormatting sqref="C66">
    <cfRule type="cellIs" dxfId="454" priority="445" stopIfTrue="1" operator="equal">
      <formula>"Towel"</formula>
    </cfRule>
    <cfRule type="cellIs" dxfId="453" priority="446" stopIfTrue="1" operator="equal">
      <formula>"Napkin Hs"</formula>
    </cfRule>
  </conditionalFormatting>
  <conditionalFormatting sqref="C66">
    <cfRule type="cellIs" dxfId="452" priority="447" stopIfTrue="1" operator="equal">
      <formula>"Towel"</formula>
    </cfRule>
  </conditionalFormatting>
  <conditionalFormatting sqref="B67:C67">
    <cfRule type="cellIs" dxfId="451" priority="443" stopIfTrue="1" operator="equal">
      <formula>"Towel"</formula>
    </cfRule>
    <cfRule type="cellIs" dxfId="450" priority="444" stopIfTrue="1" operator="equal">
      <formula>"Napkin Hs"</formula>
    </cfRule>
  </conditionalFormatting>
  <conditionalFormatting sqref="C67">
    <cfRule type="cellIs" dxfId="449" priority="439" stopIfTrue="1" operator="equal">
      <formula>"Towel"</formula>
    </cfRule>
    <cfRule type="cellIs" dxfId="448" priority="440" stopIfTrue="1" operator="equal">
      <formula>"Napkin Hs"</formula>
    </cfRule>
  </conditionalFormatting>
  <conditionalFormatting sqref="C67">
    <cfRule type="cellIs" dxfId="447" priority="442" stopIfTrue="1" operator="equal">
      <formula>"Napkin Hs"</formula>
    </cfRule>
  </conditionalFormatting>
  <conditionalFormatting sqref="C67">
    <cfRule type="cellIs" dxfId="446" priority="441" stopIfTrue="1" operator="equal">
      <formula>"Towel"</formula>
    </cfRule>
  </conditionalFormatting>
  <conditionalFormatting sqref="B64:C65">
    <cfRule type="cellIs" dxfId="445" priority="437" stopIfTrue="1" operator="equal">
      <formula>"Towel"</formula>
    </cfRule>
    <cfRule type="cellIs" dxfId="444" priority="438" stopIfTrue="1" operator="equal">
      <formula>"Napkin Hs"</formula>
    </cfRule>
  </conditionalFormatting>
  <conditionalFormatting sqref="C64:C65">
    <cfRule type="cellIs" dxfId="443" priority="436" stopIfTrue="1" operator="equal">
      <formula>"Napkin Hs"</formula>
    </cfRule>
  </conditionalFormatting>
  <conditionalFormatting sqref="C64:C65">
    <cfRule type="cellIs" dxfId="442" priority="433" stopIfTrue="1" operator="equal">
      <formula>"Towel"</formula>
    </cfRule>
    <cfRule type="cellIs" dxfId="441" priority="434" stopIfTrue="1" operator="equal">
      <formula>"Napkin Hs"</formula>
    </cfRule>
  </conditionalFormatting>
  <conditionalFormatting sqref="C64:C65">
    <cfRule type="cellIs" dxfId="440" priority="435" stopIfTrue="1" operator="equal">
      <formula>"Towel"</formula>
    </cfRule>
  </conditionalFormatting>
  <conditionalFormatting sqref="B67:C67">
    <cfRule type="cellIs" dxfId="439" priority="431" stopIfTrue="1" operator="equal">
      <formula>"Towel"</formula>
    </cfRule>
    <cfRule type="cellIs" dxfId="438" priority="432" stopIfTrue="1" operator="equal">
      <formula>"Napkin Hs"</formula>
    </cfRule>
  </conditionalFormatting>
  <conditionalFormatting sqref="C67">
    <cfRule type="cellIs" dxfId="437" priority="430" stopIfTrue="1" operator="equal">
      <formula>"Napkin Hs"</formula>
    </cfRule>
  </conditionalFormatting>
  <conditionalFormatting sqref="C67">
    <cfRule type="cellIs" dxfId="436" priority="427" stopIfTrue="1" operator="equal">
      <formula>"Towel"</formula>
    </cfRule>
    <cfRule type="cellIs" dxfId="435" priority="428" stopIfTrue="1" operator="equal">
      <formula>"Napkin Hs"</formula>
    </cfRule>
  </conditionalFormatting>
  <conditionalFormatting sqref="C67">
    <cfRule type="cellIs" dxfId="434" priority="429" stopIfTrue="1" operator="equal">
      <formula>"Towel"</formula>
    </cfRule>
  </conditionalFormatting>
  <conditionalFormatting sqref="B66:C66">
    <cfRule type="cellIs" dxfId="433" priority="425" stopIfTrue="1" operator="equal">
      <formula>"Towel"</formula>
    </cfRule>
    <cfRule type="cellIs" dxfId="432" priority="426" stopIfTrue="1" operator="equal">
      <formula>"Napkin Hs"</formula>
    </cfRule>
  </conditionalFormatting>
  <conditionalFormatting sqref="C66">
    <cfRule type="cellIs" dxfId="431" priority="424" stopIfTrue="1" operator="equal">
      <formula>"Napkin Hs"</formula>
    </cfRule>
  </conditionalFormatting>
  <conditionalFormatting sqref="C66">
    <cfRule type="cellIs" dxfId="430" priority="421" stopIfTrue="1" operator="equal">
      <formula>"Towel"</formula>
    </cfRule>
    <cfRule type="cellIs" dxfId="429" priority="422" stopIfTrue="1" operator="equal">
      <formula>"Napkin Hs"</formula>
    </cfRule>
  </conditionalFormatting>
  <conditionalFormatting sqref="C66">
    <cfRule type="cellIs" dxfId="428" priority="423" stopIfTrue="1" operator="equal">
      <formula>"Towel"</formula>
    </cfRule>
  </conditionalFormatting>
  <conditionalFormatting sqref="B71:C71">
    <cfRule type="cellIs" dxfId="427" priority="419" stopIfTrue="1" operator="equal">
      <formula>"Towel"</formula>
    </cfRule>
    <cfRule type="cellIs" dxfId="426" priority="420" stopIfTrue="1" operator="equal">
      <formula>"Napkin Hs"</formula>
    </cfRule>
  </conditionalFormatting>
  <conditionalFormatting sqref="C71">
    <cfRule type="cellIs" dxfId="425" priority="418" stopIfTrue="1" operator="equal">
      <formula>"Napkin Hs"</formula>
    </cfRule>
  </conditionalFormatting>
  <conditionalFormatting sqref="C71">
    <cfRule type="cellIs" dxfId="424" priority="415" stopIfTrue="1" operator="equal">
      <formula>"Towel"</formula>
    </cfRule>
    <cfRule type="cellIs" dxfId="423" priority="416" stopIfTrue="1" operator="equal">
      <formula>"Napkin Hs"</formula>
    </cfRule>
  </conditionalFormatting>
  <conditionalFormatting sqref="C71">
    <cfRule type="cellIs" dxfId="422" priority="417" stopIfTrue="1" operator="equal">
      <formula>"Towel"</formula>
    </cfRule>
  </conditionalFormatting>
  <conditionalFormatting sqref="B72:C72">
    <cfRule type="cellIs" dxfId="421" priority="413" stopIfTrue="1" operator="equal">
      <formula>"Towel"</formula>
    </cfRule>
    <cfRule type="cellIs" dxfId="420" priority="414" stopIfTrue="1" operator="equal">
      <formula>"Napkin Hs"</formula>
    </cfRule>
  </conditionalFormatting>
  <conditionalFormatting sqref="C72">
    <cfRule type="cellIs" dxfId="419" priority="409" stopIfTrue="1" operator="equal">
      <formula>"Towel"</formula>
    </cfRule>
    <cfRule type="cellIs" dxfId="418" priority="410" stopIfTrue="1" operator="equal">
      <formula>"Napkin Hs"</formula>
    </cfRule>
  </conditionalFormatting>
  <conditionalFormatting sqref="C72">
    <cfRule type="cellIs" dxfId="417" priority="412" stopIfTrue="1" operator="equal">
      <formula>"Napkin Hs"</formula>
    </cfRule>
  </conditionalFormatting>
  <conditionalFormatting sqref="C72">
    <cfRule type="cellIs" dxfId="416" priority="411" stopIfTrue="1" operator="equal">
      <formula>"Towel"</formula>
    </cfRule>
  </conditionalFormatting>
  <conditionalFormatting sqref="B69:C70">
    <cfRule type="cellIs" dxfId="415" priority="407" stopIfTrue="1" operator="equal">
      <formula>"Towel"</formula>
    </cfRule>
    <cfRule type="cellIs" dxfId="414" priority="408" stopIfTrue="1" operator="equal">
      <formula>"Napkin Hs"</formula>
    </cfRule>
  </conditionalFormatting>
  <conditionalFormatting sqref="C69:C70">
    <cfRule type="cellIs" dxfId="413" priority="406" stopIfTrue="1" operator="equal">
      <formula>"Napkin Hs"</formula>
    </cfRule>
  </conditionalFormatting>
  <conditionalFormatting sqref="C69:C70">
    <cfRule type="cellIs" dxfId="412" priority="403" stopIfTrue="1" operator="equal">
      <formula>"Towel"</formula>
    </cfRule>
    <cfRule type="cellIs" dxfId="411" priority="404" stopIfTrue="1" operator="equal">
      <formula>"Napkin Hs"</formula>
    </cfRule>
  </conditionalFormatting>
  <conditionalFormatting sqref="C69:C70">
    <cfRule type="cellIs" dxfId="410" priority="405" stopIfTrue="1" operator="equal">
      <formula>"Towel"</formula>
    </cfRule>
  </conditionalFormatting>
  <conditionalFormatting sqref="B76:C76">
    <cfRule type="cellIs" dxfId="409" priority="401" stopIfTrue="1" operator="equal">
      <formula>"Towel"</formula>
    </cfRule>
    <cfRule type="cellIs" dxfId="408" priority="402" stopIfTrue="1" operator="equal">
      <formula>"Napkin Hs"</formula>
    </cfRule>
  </conditionalFormatting>
  <conditionalFormatting sqref="C76">
    <cfRule type="cellIs" dxfId="407" priority="400" stopIfTrue="1" operator="equal">
      <formula>"Napkin Hs"</formula>
    </cfRule>
  </conditionalFormatting>
  <conditionalFormatting sqref="C76">
    <cfRule type="cellIs" dxfId="406" priority="397" stopIfTrue="1" operator="equal">
      <formula>"Towel"</formula>
    </cfRule>
    <cfRule type="cellIs" dxfId="405" priority="398" stopIfTrue="1" operator="equal">
      <formula>"Napkin Hs"</formula>
    </cfRule>
  </conditionalFormatting>
  <conditionalFormatting sqref="C76">
    <cfRule type="cellIs" dxfId="404" priority="399" stopIfTrue="1" operator="equal">
      <formula>"Towel"</formula>
    </cfRule>
  </conditionalFormatting>
  <conditionalFormatting sqref="B77:C77">
    <cfRule type="cellIs" dxfId="403" priority="395" stopIfTrue="1" operator="equal">
      <formula>"Towel"</formula>
    </cfRule>
    <cfRule type="cellIs" dxfId="402" priority="396" stopIfTrue="1" operator="equal">
      <formula>"Napkin Hs"</formula>
    </cfRule>
  </conditionalFormatting>
  <conditionalFormatting sqref="C77">
    <cfRule type="cellIs" dxfId="401" priority="391" stopIfTrue="1" operator="equal">
      <formula>"Towel"</formula>
    </cfRule>
    <cfRule type="cellIs" dxfId="400" priority="392" stopIfTrue="1" operator="equal">
      <formula>"Napkin Hs"</formula>
    </cfRule>
  </conditionalFormatting>
  <conditionalFormatting sqref="C77">
    <cfRule type="cellIs" dxfId="399" priority="394" stopIfTrue="1" operator="equal">
      <formula>"Napkin Hs"</formula>
    </cfRule>
  </conditionalFormatting>
  <conditionalFormatting sqref="C77">
    <cfRule type="cellIs" dxfId="398" priority="393" stopIfTrue="1" operator="equal">
      <formula>"Towel"</formula>
    </cfRule>
  </conditionalFormatting>
  <conditionalFormatting sqref="B75:C75">
    <cfRule type="cellIs" dxfId="397" priority="389" stopIfTrue="1" operator="equal">
      <formula>"Towel"</formula>
    </cfRule>
    <cfRule type="cellIs" dxfId="396" priority="390" stopIfTrue="1" operator="equal">
      <formula>"Napkin Hs"</formula>
    </cfRule>
  </conditionalFormatting>
  <conditionalFormatting sqref="C75">
    <cfRule type="cellIs" dxfId="395" priority="388" stopIfTrue="1" operator="equal">
      <formula>"Napkin Hs"</formula>
    </cfRule>
  </conditionalFormatting>
  <conditionalFormatting sqref="C75">
    <cfRule type="cellIs" dxfId="394" priority="385" stopIfTrue="1" operator="equal">
      <formula>"Towel"</formula>
    </cfRule>
    <cfRule type="cellIs" dxfId="393" priority="386" stopIfTrue="1" operator="equal">
      <formula>"Napkin Hs"</formula>
    </cfRule>
  </conditionalFormatting>
  <conditionalFormatting sqref="C75">
    <cfRule type="cellIs" dxfId="392" priority="387" stopIfTrue="1" operator="equal">
      <formula>"Towel"</formula>
    </cfRule>
  </conditionalFormatting>
  <conditionalFormatting sqref="B74:C74">
    <cfRule type="cellIs" dxfId="391" priority="383" stopIfTrue="1" operator="equal">
      <formula>"Towel"</formula>
    </cfRule>
    <cfRule type="cellIs" dxfId="390" priority="384" stopIfTrue="1" operator="equal">
      <formula>"Napkin Hs"</formula>
    </cfRule>
  </conditionalFormatting>
  <conditionalFormatting sqref="C74">
    <cfRule type="cellIs" dxfId="389" priority="382" stopIfTrue="1" operator="equal">
      <formula>"Napkin Hs"</formula>
    </cfRule>
  </conditionalFormatting>
  <conditionalFormatting sqref="C74">
    <cfRule type="cellIs" dxfId="388" priority="379" stopIfTrue="1" operator="equal">
      <formula>"Towel"</formula>
    </cfRule>
    <cfRule type="cellIs" dxfId="387" priority="380" stopIfTrue="1" operator="equal">
      <formula>"Napkin Hs"</formula>
    </cfRule>
  </conditionalFormatting>
  <conditionalFormatting sqref="C74">
    <cfRule type="cellIs" dxfId="386" priority="381" stopIfTrue="1" operator="equal">
      <formula>"Towel"</formula>
    </cfRule>
  </conditionalFormatting>
  <conditionalFormatting sqref="B81:C81">
    <cfRule type="cellIs" dxfId="385" priority="377" stopIfTrue="1" operator="equal">
      <formula>"Towel"</formula>
    </cfRule>
    <cfRule type="cellIs" dxfId="384" priority="378" stopIfTrue="1" operator="equal">
      <formula>"Napkin Hs"</formula>
    </cfRule>
  </conditionalFormatting>
  <conditionalFormatting sqref="C81">
    <cfRule type="cellIs" dxfId="383" priority="376" stopIfTrue="1" operator="equal">
      <formula>"Napkin Hs"</formula>
    </cfRule>
  </conditionalFormatting>
  <conditionalFormatting sqref="C81">
    <cfRule type="cellIs" dxfId="382" priority="373" stopIfTrue="1" operator="equal">
      <formula>"Towel"</formula>
    </cfRule>
    <cfRule type="cellIs" dxfId="381" priority="374" stopIfTrue="1" operator="equal">
      <formula>"Napkin Hs"</formula>
    </cfRule>
  </conditionalFormatting>
  <conditionalFormatting sqref="C81">
    <cfRule type="cellIs" dxfId="380" priority="375" stopIfTrue="1" operator="equal">
      <formula>"Towel"</formula>
    </cfRule>
  </conditionalFormatting>
  <conditionalFormatting sqref="B82:C82">
    <cfRule type="cellIs" dxfId="379" priority="371" stopIfTrue="1" operator="equal">
      <formula>"Towel"</formula>
    </cfRule>
    <cfRule type="cellIs" dxfId="378" priority="372" stopIfTrue="1" operator="equal">
      <formula>"Napkin Hs"</formula>
    </cfRule>
  </conditionalFormatting>
  <conditionalFormatting sqref="C82">
    <cfRule type="cellIs" dxfId="377" priority="367" stopIfTrue="1" operator="equal">
      <formula>"Towel"</formula>
    </cfRule>
    <cfRule type="cellIs" dxfId="376" priority="368" stopIfTrue="1" operator="equal">
      <formula>"Napkin Hs"</formula>
    </cfRule>
  </conditionalFormatting>
  <conditionalFormatting sqref="C82">
    <cfRule type="cellIs" dxfId="375" priority="370" stopIfTrue="1" operator="equal">
      <formula>"Napkin Hs"</formula>
    </cfRule>
  </conditionalFormatting>
  <conditionalFormatting sqref="C82">
    <cfRule type="cellIs" dxfId="374" priority="369" stopIfTrue="1" operator="equal">
      <formula>"Towel"</formula>
    </cfRule>
  </conditionalFormatting>
  <conditionalFormatting sqref="B80:C80">
    <cfRule type="cellIs" dxfId="373" priority="365" stopIfTrue="1" operator="equal">
      <formula>"Towel"</formula>
    </cfRule>
    <cfRule type="cellIs" dxfId="372" priority="366" stopIfTrue="1" operator="equal">
      <formula>"Napkin Hs"</formula>
    </cfRule>
  </conditionalFormatting>
  <conditionalFormatting sqref="C80">
    <cfRule type="cellIs" dxfId="371" priority="364" stopIfTrue="1" operator="equal">
      <formula>"Napkin Hs"</formula>
    </cfRule>
  </conditionalFormatting>
  <conditionalFormatting sqref="C80">
    <cfRule type="cellIs" dxfId="370" priority="361" stopIfTrue="1" operator="equal">
      <formula>"Towel"</formula>
    </cfRule>
    <cfRule type="cellIs" dxfId="369" priority="362" stopIfTrue="1" operator="equal">
      <formula>"Napkin Hs"</formula>
    </cfRule>
  </conditionalFormatting>
  <conditionalFormatting sqref="C80">
    <cfRule type="cellIs" dxfId="368" priority="363" stopIfTrue="1" operator="equal">
      <formula>"Towel"</formula>
    </cfRule>
  </conditionalFormatting>
  <conditionalFormatting sqref="B79:C79">
    <cfRule type="cellIs" dxfId="367" priority="359" stopIfTrue="1" operator="equal">
      <formula>"Towel"</formula>
    </cfRule>
    <cfRule type="cellIs" dxfId="366" priority="360" stopIfTrue="1" operator="equal">
      <formula>"Napkin Hs"</formula>
    </cfRule>
  </conditionalFormatting>
  <conditionalFormatting sqref="C79">
    <cfRule type="cellIs" dxfId="365" priority="358" stopIfTrue="1" operator="equal">
      <formula>"Napkin Hs"</formula>
    </cfRule>
  </conditionalFormatting>
  <conditionalFormatting sqref="C79">
    <cfRule type="cellIs" dxfId="364" priority="355" stopIfTrue="1" operator="equal">
      <formula>"Towel"</formula>
    </cfRule>
    <cfRule type="cellIs" dxfId="363" priority="356" stopIfTrue="1" operator="equal">
      <formula>"Napkin Hs"</formula>
    </cfRule>
  </conditionalFormatting>
  <conditionalFormatting sqref="C79">
    <cfRule type="cellIs" dxfId="362" priority="357" stopIfTrue="1" operator="equal">
      <formula>"Towel"</formula>
    </cfRule>
  </conditionalFormatting>
  <conditionalFormatting sqref="B86:C86">
    <cfRule type="cellIs" dxfId="361" priority="353" stopIfTrue="1" operator="equal">
      <formula>"Towel"</formula>
    </cfRule>
    <cfRule type="cellIs" dxfId="360" priority="354" stopIfTrue="1" operator="equal">
      <formula>"Napkin Hs"</formula>
    </cfRule>
  </conditionalFormatting>
  <conditionalFormatting sqref="C86">
    <cfRule type="cellIs" dxfId="359" priority="352" stopIfTrue="1" operator="equal">
      <formula>"Napkin Hs"</formula>
    </cfRule>
  </conditionalFormatting>
  <conditionalFormatting sqref="C86">
    <cfRule type="cellIs" dxfId="358" priority="349" stopIfTrue="1" operator="equal">
      <formula>"Towel"</formula>
    </cfRule>
    <cfRule type="cellIs" dxfId="357" priority="350" stopIfTrue="1" operator="equal">
      <formula>"Napkin Hs"</formula>
    </cfRule>
  </conditionalFormatting>
  <conditionalFormatting sqref="C86">
    <cfRule type="cellIs" dxfId="356" priority="351" stopIfTrue="1" operator="equal">
      <formula>"Towel"</formula>
    </cfRule>
  </conditionalFormatting>
  <conditionalFormatting sqref="B87:C87">
    <cfRule type="cellIs" dxfId="355" priority="347" stopIfTrue="1" operator="equal">
      <formula>"Towel"</formula>
    </cfRule>
    <cfRule type="cellIs" dxfId="354" priority="348" stopIfTrue="1" operator="equal">
      <formula>"Napkin Hs"</formula>
    </cfRule>
  </conditionalFormatting>
  <conditionalFormatting sqref="C87">
    <cfRule type="cellIs" dxfId="353" priority="343" stopIfTrue="1" operator="equal">
      <formula>"Towel"</formula>
    </cfRule>
    <cfRule type="cellIs" dxfId="352" priority="344" stopIfTrue="1" operator="equal">
      <formula>"Napkin Hs"</formula>
    </cfRule>
  </conditionalFormatting>
  <conditionalFormatting sqref="C87">
    <cfRule type="cellIs" dxfId="351" priority="346" stopIfTrue="1" operator="equal">
      <formula>"Napkin Hs"</formula>
    </cfRule>
  </conditionalFormatting>
  <conditionalFormatting sqref="C87">
    <cfRule type="cellIs" dxfId="350" priority="345" stopIfTrue="1" operator="equal">
      <formula>"Towel"</formula>
    </cfRule>
  </conditionalFormatting>
  <conditionalFormatting sqref="B85:C85">
    <cfRule type="cellIs" dxfId="349" priority="341" stopIfTrue="1" operator="equal">
      <formula>"Towel"</formula>
    </cfRule>
    <cfRule type="cellIs" dxfId="348" priority="342" stopIfTrue="1" operator="equal">
      <formula>"Napkin Hs"</formula>
    </cfRule>
  </conditionalFormatting>
  <conditionalFormatting sqref="C85">
    <cfRule type="cellIs" dxfId="347" priority="340" stopIfTrue="1" operator="equal">
      <formula>"Napkin Hs"</formula>
    </cfRule>
  </conditionalFormatting>
  <conditionalFormatting sqref="C85">
    <cfRule type="cellIs" dxfId="346" priority="337" stopIfTrue="1" operator="equal">
      <formula>"Towel"</formula>
    </cfRule>
    <cfRule type="cellIs" dxfId="345" priority="338" stopIfTrue="1" operator="equal">
      <formula>"Napkin Hs"</formula>
    </cfRule>
  </conditionalFormatting>
  <conditionalFormatting sqref="C85">
    <cfRule type="cellIs" dxfId="344" priority="339" stopIfTrue="1" operator="equal">
      <formula>"Towel"</formula>
    </cfRule>
  </conditionalFormatting>
  <conditionalFormatting sqref="B84:C84">
    <cfRule type="cellIs" dxfId="343" priority="335" stopIfTrue="1" operator="equal">
      <formula>"Towel"</formula>
    </cfRule>
    <cfRule type="cellIs" dxfId="342" priority="336" stopIfTrue="1" operator="equal">
      <formula>"Napkin Hs"</formula>
    </cfRule>
  </conditionalFormatting>
  <conditionalFormatting sqref="C84">
    <cfRule type="cellIs" dxfId="341" priority="334" stopIfTrue="1" operator="equal">
      <formula>"Napkin Hs"</formula>
    </cfRule>
  </conditionalFormatting>
  <conditionalFormatting sqref="C84">
    <cfRule type="cellIs" dxfId="340" priority="331" stopIfTrue="1" operator="equal">
      <formula>"Towel"</formula>
    </cfRule>
    <cfRule type="cellIs" dxfId="339" priority="332" stopIfTrue="1" operator="equal">
      <formula>"Napkin Hs"</formula>
    </cfRule>
  </conditionalFormatting>
  <conditionalFormatting sqref="C84">
    <cfRule type="cellIs" dxfId="338" priority="333" stopIfTrue="1" operator="equal">
      <formula>"Towel"</formula>
    </cfRule>
  </conditionalFormatting>
  <conditionalFormatting sqref="B91:C91">
    <cfRule type="cellIs" dxfId="337" priority="329" stopIfTrue="1" operator="equal">
      <formula>"Towel"</formula>
    </cfRule>
    <cfRule type="cellIs" dxfId="336" priority="330" stopIfTrue="1" operator="equal">
      <formula>"Napkin Hs"</formula>
    </cfRule>
  </conditionalFormatting>
  <conditionalFormatting sqref="C91">
    <cfRule type="cellIs" dxfId="335" priority="328" stopIfTrue="1" operator="equal">
      <formula>"Napkin Hs"</formula>
    </cfRule>
  </conditionalFormatting>
  <conditionalFormatting sqref="C91">
    <cfRule type="cellIs" dxfId="334" priority="325" stopIfTrue="1" operator="equal">
      <formula>"Towel"</formula>
    </cfRule>
    <cfRule type="cellIs" dxfId="333" priority="326" stopIfTrue="1" operator="equal">
      <formula>"Napkin Hs"</formula>
    </cfRule>
  </conditionalFormatting>
  <conditionalFormatting sqref="C91">
    <cfRule type="cellIs" dxfId="332" priority="327" stopIfTrue="1" operator="equal">
      <formula>"Towel"</formula>
    </cfRule>
  </conditionalFormatting>
  <conditionalFormatting sqref="B92:C92">
    <cfRule type="cellIs" dxfId="331" priority="323" stopIfTrue="1" operator="equal">
      <formula>"Towel"</formula>
    </cfRule>
    <cfRule type="cellIs" dxfId="330" priority="324" stopIfTrue="1" operator="equal">
      <formula>"Napkin Hs"</formula>
    </cfRule>
  </conditionalFormatting>
  <conditionalFormatting sqref="C92">
    <cfRule type="cellIs" dxfId="329" priority="319" stopIfTrue="1" operator="equal">
      <formula>"Towel"</formula>
    </cfRule>
    <cfRule type="cellIs" dxfId="328" priority="320" stopIfTrue="1" operator="equal">
      <formula>"Napkin Hs"</formula>
    </cfRule>
  </conditionalFormatting>
  <conditionalFormatting sqref="C92">
    <cfRule type="cellIs" dxfId="327" priority="322" stopIfTrue="1" operator="equal">
      <formula>"Napkin Hs"</formula>
    </cfRule>
  </conditionalFormatting>
  <conditionalFormatting sqref="C92">
    <cfRule type="cellIs" dxfId="326" priority="321" stopIfTrue="1" operator="equal">
      <formula>"Towel"</formula>
    </cfRule>
  </conditionalFormatting>
  <conditionalFormatting sqref="B89:C90">
    <cfRule type="cellIs" dxfId="325" priority="317" stopIfTrue="1" operator="equal">
      <formula>"Towel"</formula>
    </cfRule>
    <cfRule type="cellIs" dxfId="324" priority="318" stopIfTrue="1" operator="equal">
      <formula>"Napkin Hs"</formula>
    </cfRule>
  </conditionalFormatting>
  <conditionalFormatting sqref="C89:C90">
    <cfRule type="cellIs" dxfId="323" priority="316" stopIfTrue="1" operator="equal">
      <formula>"Napkin Hs"</formula>
    </cfRule>
  </conditionalFormatting>
  <conditionalFormatting sqref="C89:C90">
    <cfRule type="cellIs" dxfId="322" priority="313" stopIfTrue="1" operator="equal">
      <formula>"Towel"</formula>
    </cfRule>
    <cfRule type="cellIs" dxfId="321" priority="314" stopIfTrue="1" operator="equal">
      <formula>"Napkin Hs"</formula>
    </cfRule>
  </conditionalFormatting>
  <conditionalFormatting sqref="C89:C90">
    <cfRule type="cellIs" dxfId="320" priority="315" stopIfTrue="1" operator="equal">
      <formula>"Towel"</formula>
    </cfRule>
  </conditionalFormatting>
  <conditionalFormatting sqref="B98:C98">
    <cfRule type="cellIs" dxfId="319" priority="311" stopIfTrue="1" operator="equal">
      <formula>"Towel"</formula>
    </cfRule>
    <cfRule type="cellIs" dxfId="318" priority="312" stopIfTrue="1" operator="equal">
      <formula>"Napkin Hs"</formula>
    </cfRule>
  </conditionalFormatting>
  <conditionalFormatting sqref="C98">
    <cfRule type="cellIs" dxfId="317" priority="309" stopIfTrue="1" operator="equal">
      <formula>"Towel"</formula>
    </cfRule>
    <cfRule type="cellIs" dxfId="316" priority="310" stopIfTrue="1" operator="equal">
      <formula>"Napkin Hs"</formula>
    </cfRule>
  </conditionalFormatting>
  <conditionalFormatting sqref="C98">
    <cfRule type="cellIs" dxfId="315" priority="307" stopIfTrue="1" operator="equal">
      <formula>"Towel"</formula>
    </cfRule>
    <cfRule type="cellIs" dxfId="314" priority="308" stopIfTrue="1" operator="equal">
      <formula>"Napkin Hs"</formula>
    </cfRule>
  </conditionalFormatting>
  <conditionalFormatting sqref="B96:C96">
    <cfRule type="cellIs" dxfId="313" priority="305" stopIfTrue="1" operator="equal">
      <formula>"Towel"</formula>
    </cfRule>
    <cfRule type="cellIs" dxfId="312" priority="306" stopIfTrue="1" operator="equal">
      <formula>"Napkin Hs"</formula>
    </cfRule>
  </conditionalFormatting>
  <conditionalFormatting sqref="C96">
    <cfRule type="cellIs" dxfId="311" priority="304" stopIfTrue="1" operator="equal">
      <formula>"Napkin Hs"</formula>
    </cfRule>
  </conditionalFormatting>
  <conditionalFormatting sqref="C96">
    <cfRule type="cellIs" dxfId="310" priority="301" stopIfTrue="1" operator="equal">
      <formula>"Towel"</formula>
    </cfRule>
    <cfRule type="cellIs" dxfId="309" priority="302" stopIfTrue="1" operator="equal">
      <formula>"Napkin Hs"</formula>
    </cfRule>
  </conditionalFormatting>
  <conditionalFormatting sqref="C96">
    <cfRule type="cellIs" dxfId="308" priority="303" stopIfTrue="1" operator="equal">
      <formula>"Towel"</formula>
    </cfRule>
  </conditionalFormatting>
  <conditionalFormatting sqref="B97:C97">
    <cfRule type="cellIs" dxfId="307" priority="299" stopIfTrue="1" operator="equal">
      <formula>"Towel"</formula>
    </cfRule>
    <cfRule type="cellIs" dxfId="306" priority="300" stopIfTrue="1" operator="equal">
      <formula>"Napkin Hs"</formula>
    </cfRule>
  </conditionalFormatting>
  <conditionalFormatting sqref="C97">
    <cfRule type="cellIs" dxfId="305" priority="295" stopIfTrue="1" operator="equal">
      <formula>"Towel"</formula>
    </cfRule>
    <cfRule type="cellIs" dxfId="304" priority="296" stopIfTrue="1" operator="equal">
      <formula>"Napkin Hs"</formula>
    </cfRule>
  </conditionalFormatting>
  <conditionalFormatting sqref="C97">
    <cfRule type="cellIs" dxfId="303" priority="298" stopIfTrue="1" operator="equal">
      <formula>"Napkin Hs"</formula>
    </cfRule>
  </conditionalFormatting>
  <conditionalFormatting sqref="C97">
    <cfRule type="cellIs" dxfId="302" priority="297" stopIfTrue="1" operator="equal">
      <formula>"Towel"</formula>
    </cfRule>
  </conditionalFormatting>
  <conditionalFormatting sqref="B95:C95">
    <cfRule type="cellIs" dxfId="301" priority="293" stopIfTrue="1" operator="equal">
      <formula>"Towel"</formula>
    </cfRule>
    <cfRule type="cellIs" dxfId="300" priority="294" stopIfTrue="1" operator="equal">
      <formula>"Napkin Hs"</formula>
    </cfRule>
  </conditionalFormatting>
  <conditionalFormatting sqref="C95">
    <cfRule type="cellIs" dxfId="299" priority="292" stopIfTrue="1" operator="equal">
      <formula>"Napkin Hs"</formula>
    </cfRule>
  </conditionalFormatting>
  <conditionalFormatting sqref="C95">
    <cfRule type="cellIs" dxfId="298" priority="289" stopIfTrue="1" operator="equal">
      <formula>"Towel"</formula>
    </cfRule>
    <cfRule type="cellIs" dxfId="297" priority="290" stopIfTrue="1" operator="equal">
      <formula>"Napkin Hs"</formula>
    </cfRule>
  </conditionalFormatting>
  <conditionalFormatting sqref="C95">
    <cfRule type="cellIs" dxfId="296" priority="291" stopIfTrue="1" operator="equal">
      <formula>"Towel"</formula>
    </cfRule>
  </conditionalFormatting>
  <conditionalFormatting sqref="B94:C94">
    <cfRule type="cellIs" dxfId="295" priority="287" stopIfTrue="1" operator="equal">
      <formula>"Towel"</formula>
    </cfRule>
    <cfRule type="cellIs" dxfId="294" priority="288" stopIfTrue="1" operator="equal">
      <formula>"Napkin Hs"</formula>
    </cfRule>
  </conditionalFormatting>
  <conditionalFormatting sqref="C94">
    <cfRule type="cellIs" dxfId="293" priority="286" stopIfTrue="1" operator="equal">
      <formula>"Napkin Hs"</formula>
    </cfRule>
  </conditionalFormatting>
  <conditionalFormatting sqref="C94">
    <cfRule type="cellIs" dxfId="292" priority="283" stopIfTrue="1" operator="equal">
      <formula>"Towel"</formula>
    </cfRule>
    <cfRule type="cellIs" dxfId="291" priority="284" stopIfTrue="1" operator="equal">
      <formula>"Napkin Hs"</formula>
    </cfRule>
  </conditionalFormatting>
  <conditionalFormatting sqref="C94">
    <cfRule type="cellIs" dxfId="290" priority="285" stopIfTrue="1" operator="equal">
      <formula>"Towel"</formula>
    </cfRule>
  </conditionalFormatting>
  <conditionalFormatting sqref="B101:C101">
    <cfRule type="cellIs" dxfId="289" priority="281" stopIfTrue="1" operator="equal">
      <formula>"Towel"</formula>
    </cfRule>
    <cfRule type="cellIs" dxfId="288" priority="282" stopIfTrue="1" operator="equal">
      <formula>"Napkin Hs"</formula>
    </cfRule>
  </conditionalFormatting>
  <conditionalFormatting sqref="C101">
    <cfRule type="cellIs" dxfId="287" priority="280" stopIfTrue="1" operator="equal">
      <formula>"Napkin Hs"</formula>
    </cfRule>
  </conditionalFormatting>
  <conditionalFormatting sqref="C101">
    <cfRule type="cellIs" dxfId="286" priority="277" stopIfTrue="1" operator="equal">
      <formula>"Towel"</formula>
    </cfRule>
    <cfRule type="cellIs" dxfId="285" priority="278" stopIfTrue="1" operator="equal">
      <formula>"Napkin Hs"</formula>
    </cfRule>
  </conditionalFormatting>
  <conditionalFormatting sqref="C101">
    <cfRule type="cellIs" dxfId="284" priority="279" stopIfTrue="1" operator="equal">
      <formula>"Towel"</formula>
    </cfRule>
  </conditionalFormatting>
  <conditionalFormatting sqref="B102:C102">
    <cfRule type="cellIs" dxfId="283" priority="275" stopIfTrue="1" operator="equal">
      <formula>"Towel"</formula>
    </cfRule>
    <cfRule type="cellIs" dxfId="282" priority="276" stopIfTrue="1" operator="equal">
      <formula>"Napkin Hs"</formula>
    </cfRule>
  </conditionalFormatting>
  <conditionalFormatting sqref="C102">
    <cfRule type="cellIs" dxfId="281" priority="271" stopIfTrue="1" operator="equal">
      <formula>"Towel"</formula>
    </cfRule>
    <cfRule type="cellIs" dxfId="280" priority="272" stopIfTrue="1" operator="equal">
      <formula>"Napkin Hs"</formula>
    </cfRule>
  </conditionalFormatting>
  <conditionalFormatting sqref="C102">
    <cfRule type="cellIs" dxfId="279" priority="274" stopIfTrue="1" operator="equal">
      <formula>"Napkin Hs"</formula>
    </cfRule>
  </conditionalFormatting>
  <conditionalFormatting sqref="C102">
    <cfRule type="cellIs" dxfId="278" priority="273" stopIfTrue="1" operator="equal">
      <formula>"Towel"</formula>
    </cfRule>
  </conditionalFormatting>
  <conditionalFormatting sqref="B100:C100">
    <cfRule type="cellIs" dxfId="277" priority="269" stopIfTrue="1" operator="equal">
      <formula>"Towel"</formula>
    </cfRule>
    <cfRule type="cellIs" dxfId="276" priority="270" stopIfTrue="1" operator="equal">
      <formula>"Napkin Hs"</formula>
    </cfRule>
  </conditionalFormatting>
  <conditionalFormatting sqref="C100">
    <cfRule type="cellIs" dxfId="275" priority="268" stopIfTrue="1" operator="equal">
      <formula>"Napkin Hs"</formula>
    </cfRule>
  </conditionalFormatting>
  <conditionalFormatting sqref="C100">
    <cfRule type="cellIs" dxfId="274" priority="265" stopIfTrue="1" operator="equal">
      <formula>"Towel"</formula>
    </cfRule>
    <cfRule type="cellIs" dxfId="273" priority="266" stopIfTrue="1" operator="equal">
      <formula>"Napkin Hs"</formula>
    </cfRule>
  </conditionalFormatting>
  <conditionalFormatting sqref="C100">
    <cfRule type="cellIs" dxfId="272" priority="267" stopIfTrue="1" operator="equal">
      <formula>"Towel"</formula>
    </cfRule>
  </conditionalFormatting>
  <conditionalFormatting sqref="B99:C99">
    <cfRule type="cellIs" dxfId="271" priority="263" stopIfTrue="1" operator="equal">
      <formula>"Towel"</formula>
    </cfRule>
    <cfRule type="cellIs" dxfId="270" priority="264" stopIfTrue="1" operator="equal">
      <formula>"Napkin Hs"</formula>
    </cfRule>
  </conditionalFormatting>
  <conditionalFormatting sqref="C99">
    <cfRule type="cellIs" dxfId="269" priority="262" stopIfTrue="1" operator="equal">
      <formula>"Napkin Hs"</formula>
    </cfRule>
  </conditionalFormatting>
  <conditionalFormatting sqref="C99">
    <cfRule type="cellIs" dxfId="268" priority="259" stopIfTrue="1" operator="equal">
      <formula>"Towel"</formula>
    </cfRule>
    <cfRule type="cellIs" dxfId="267" priority="260" stopIfTrue="1" operator="equal">
      <formula>"Napkin Hs"</formula>
    </cfRule>
  </conditionalFormatting>
  <conditionalFormatting sqref="C99">
    <cfRule type="cellIs" dxfId="266" priority="261" stopIfTrue="1" operator="equal">
      <formula>"Towel"</formula>
    </cfRule>
  </conditionalFormatting>
  <conditionalFormatting sqref="B107:C107">
    <cfRule type="cellIs" dxfId="265" priority="257" stopIfTrue="1" operator="equal">
      <formula>"Towel"</formula>
    </cfRule>
    <cfRule type="cellIs" dxfId="264" priority="258" stopIfTrue="1" operator="equal">
      <formula>"Napkin Hs"</formula>
    </cfRule>
  </conditionalFormatting>
  <conditionalFormatting sqref="C107">
    <cfRule type="cellIs" dxfId="263" priority="256" stopIfTrue="1" operator="equal">
      <formula>"Napkin Hs"</formula>
    </cfRule>
  </conditionalFormatting>
  <conditionalFormatting sqref="C107">
    <cfRule type="cellIs" dxfId="262" priority="253" stopIfTrue="1" operator="equal">
      <formula>"Towel"</formula>
    </cfRule>
    <cfRule type="cellIs" dxfId="261" priority="254" stopIfTrue="1" operator="equal">
      <formula>"Napkin Hs"</formula>
    </cfRule>
  </conditionalFormatting>
  <conditionalFormatting sqref="C107">
    <cfRule type="cellIs" dxfId="260" priority="255" stopIfTrue="1" operator="equal">
      <formula>"Towel"</formula>
    </cfRule>
  </conditionalFormatting>
  <conditionalFormatting sqref="B108:C108">
    <cfRule type="cellIs" dxfId="259" priority="251" stopIfTrue="1" operator="equal">
      <formula>"Towel"</formula>
    </cfRule>
    <cfRule type="cellIs" dxfId="258" priority="252" stopIfTrue="1" operator="equal">
      <formula>"Napkin Hs"</formula>
    </cfRule>
  </conditionalFormatting>
  <conditionalFormatting sqref="C108">
    <cfRule type="cellIs" dxfId="257" priority="247" stopIfTrue="1" operator="equal">
      <formula>"Towel"</formula>
    </cfRule>
    <cfRule type="cellIs" dxfId="256" priority="248" stopIfTrue="1" operator="equal">
      <formula>"Napkin Hs"</formula>
    </cfRule>
  </conditionalFormatting>
  <conditionalFormatting sqref="C108">
    <cfRule type="cellIs" dxfId="255" priority="250" stopIfTrue="1" operator="equal">
      <formula>"Napkin Hs"</formula>
    </cfRule>
  </conditionalFormatting>
  <conditionalFormatting sqref="C108">
    <cfRule type="cellIs" dxfId="254" priority="249" stopIfTrue="1" operator="equal">
      <formula>"Towel"</formula>
    </cfRule>
  </conditionalFormatting>
  <conditionalFormatting sqref="B105:C106">
    <cfRule type="cellIs" dxfId="253" priority="245" stopIfTrue="1" operator="equal">
      <formula>"Towel"</formula>
    </cfRule>
    <cfRule type="cellIs" dxfId="252" priority="246" stopIfTrue="1" operator="equal">
      <formula>"Napkin Hs"</formula>
    </cfRule>
  </conditionalFormatting>
  <conditionalFormatting sqref="C105:C106">
    <cfRule type="cellIs" dxfId="251" priority="244" stopIfTrue="1" operator="equal">
      <formula>"Napkin Hs"</formula>
    </cfRule>
  </conditionalFormatting>
  <conditionalFormatting sqref="C105:C106">
    <cfRule type="cellIs" dxfId="250" priority="241" stopIfTrue="1" operator="equal">
      <formula>"Towel"</formula>
    </cfRule>
    <cfRule type="cellIs" dxfId="249" priority="242" stopIfTrue="1" operator="equal">
      <formula>"Napkin Hs"</formula>
    </cfRule>
  </conditionalFormatting>
  <conditionalFormatting sqref="C105:C106">
    <cfRule type="cellIs" dxfId="248" priority="243" stopIfTrue="1" operator="equal">
      <formula>"Towel"</formula>
    </cfRule>
  </conditionalFormatting>
  <conditionalFormatting sqref="B111:C111">
    <cfRule type="cellIs" dxfId="247" priority="239" stopIfTrue="1" operator="equal">
      <formula>"Towel"</formula>
    </cfRule>
    <cfRule type="cellIs" dxfId="246" priority="240" stopIfTrue="1" operator="equal">
      <formula>"Napkin Hs"</formula>
    </cfRule>
  </conditionalFormatting>
  <conditionalFormatting sqref="C111">
    <cfRule type="cellIs" dxfId="245" priority="238" stopIfTrue="1" operator="equal">
      <formula>"Napkin Hs"</formula>
    </cfRule>
  </conditionalFormatting>
  <conditionalFormatting sqref="C111">
    <cfRule type="cellIs" dxfId="244" priority="235" stopIfTrue="1" operator="equal">
      <formula>"Towel"</formula>
    </cfRule>
    <cfRule type="cellIs" dxfId="243" priority="236" stopIfTrue="1" operator="equal">
      <formula>"Napkin Hs"</formula>
    </cfRule>
  </conditionalFormatting>
  <conditionalFormatting sqref="C111">
    <cfRule type="cellIs" dxfId="242" priority="237" stopIfTrue="1" operator="equal">
      <formula>"Towel"</formula>
    </cfRule>
  </conditionalFormatting>
  <conditionalFormatting sqref="B112:C112">
    <cfRule type="cellIs" dxfId="241" priority="233" stopIfTrue="1" operator="equal">
      <formula>"Towel"</formula>
    </cfRule>
    <cfRule type="cellIs" dxfId="240" priority="234" stopIfTrue="1" operator="equal">
      <formula>"Napkin Hs"</formula>
    </cfRule>
  </conditionalFormatting>
  <conditionalFormatting sqref="C112">
    <cfRule type="cellIs" dxfId="239" priority="229" stopIfTrue="1" operator="equal">
      <formula>"Towel"</formula>
    </cfRule>
    <cfRule type="cellIs" dxfId="238" priority="230" stopIfTrue="1" operator="equal">
      <formula>"Napkin Hs"</formula>
    </cfRule>
  </conditionalFormatting>
  <conditionalFormatting sqref="C112">
    <cfRule type="cellIs" dxfId="237" priority="232" stopIfTrue="1" operator="equal">
      <formula>"Napkin Hs"</formula>
    </cfRule>
  </conditionalFormatting>
  <conditionalFormatting sqref="C112">
    <cfRule type="cellIs" dxfId="236" priority="231" stopIfTrue="1" operator="equal">
      <formula>"Towel"</formula>
    </cfRule>
  </conditionalFormatting>
  <conditionalFormatting sqref="B109:C110">
    <cfRule type="cellIs" dxfId="235" priority="227" stopIfTrue="1" operator="equal">
      <formula>"Towel"</formula>
    </cfRule>
    <cfRule type="cellIs" dxfId="234" priority="228" stopIfTrue="1" operator="equal">
      <formula>"Napkin Hs"</formula>
    </cfRule>
  </conditionalFormatting>
  <conditionalFormatting sqref="C109:C110">
    <cfRule type="cellIs" dxfId="233" priority="226" stopIfTrue="1" operator="equal">
      <formula>"Napkin Hs"</formula>
    </cfRule>
  </conditionalFormatting>
  <conditionalFormatting sqref="C109:C110">
    <cfRule type="cellIs" dxfId="232" priority="223" stopIfTrue="1" operator="equal">
      <formula>"Towel"</formula>
    </cfRule>
    <cfRule type="cellIs" dxfId="231" priority="224" stopIfTrue="1" operator="equal">
      <formula>"Napkin Hs"</formula>
    </cfRule>
  </conditionalFormatting>
  <conditionalFormatting sqref="C109:C110">
    <cfRule type="cellIs" dxfId="230" priority="225" stopIfTrue="1" operator="equal">
      <formula>"Towel"</formula>
    </cfRule>
  </conditionalFormatting>
  <conditionalFormatting sqref="B115:C115">
    <cfRule type="cellIs" dxfId="229" priority="221" stopIfTrue="1" operator="equal">
      <formula>"Towel"</formula>
    </cfRule>
    <cfRule type="cellIs" dxfId="228" priority="222" stopIfTrue="1" operator="equal">
      <formula>"Napkin Hs"</formula>
    </cfRule>
  </conditionalFormatting>
  <conditionalFormatting sqref="C115">
    <cfRule type="cellIs" dxfId="227" priority="220" stopIfTrue="1" operator="equal">
      <formula>"Napkin Hs"</formula>
    </cfRule>
  </conditionalFormatting>
  <conditionalFormatting sqref="C115">
    <cfRule type="cellIs" dxfId="226" priority="217" stopIfTrue="1" operator="equal">
      <formula>"Towel"</formula>
    </cfRule>
    <cfRule type="cellIs" dxfId="225" priority="218" stopIfTrue="1" operator="equal">
      <formula>"Napkin Hs"</formula>
    </cfRule>
  </conditionalFormatting>
  <conditionalFormatting sqref="C115">
    <cfRule type="cellIs" dxfId="224" priority="219" stopIfTrue="1" operator="equal">
      <formula>"Towel"</formula>
    </cfRule>
  </conditionalFormatting>
  <conditionalFormatting sqref="B116:C116">
    <cfRule type="cellIs" dxfId="223" priority="215" stopIfTrue="1" operator="equal">
      <formula>"Towel"</formula>
    </cfRule>
    <cfRule type="cellIs" dxfId="222" priority="216" stopIfTrue="1" operator="equal">
      <formula>"Napkin Hs"</formula>
    </cfRule>
  </conditionalFormatting>
  <conditionalFormatting sqref="C116">
    <cfRule type="cellIs" dxfId="221" priority="211" stopIfTrue="1" operator="equal">
      <formula>"Towel"</formula>
    </cfRule>
    <cfRule type="cellIs" dxfId="220" priority="212" stopIfTrue="1" operator="equal">
      <formula>"Napkin Hs"</formula>
    </cfRule>
  </conditionalFormatting>
  <conditionalFormatting sqref="C116">
    <cfRule type="cellIs" dxfId="219" priority="214" stopIfTrue="1" operator="equal">
      <formula>"Napkin Hs"</formula>
    </cfRule>
  </conditionalFormatting>
  <conditionalFormatting sqref="C116">
    <cfRule type="cellIs" dxfId="218" priority="213" stopIfTrue="1" operator="equal">
      <formula>"Towel"</formula>
    </cfRule>
  </conditionalFormatting>
  <conditionalFormatting sqref="B114:C114">
    <cfRule type="cellIs" dxfId="217" priority="209" stopIfTrue="1" operator="equal">
      <formula>"Towel"</formula>
    </cfRule>
    <cfRule type="cellIs" dxfId="216" priority="210" stopIfTrue="1" operator="equal">
      <formula>"Napkin Hs"</formula>
    </cfRule>
  </conditionalFormatting>
  <conditionalFormatting sqref="C114">
    <cfRule type="cellIs" dxfId="215" priority="208" stopIfTrue="1" operator="equal">
      <formula>"Napkin Hs"</formula>
    </cfRule>
  </conditionalFormatting>
  <conditionalFormatting sqref="C114">
    <cfRule type="cellIs" dxfId="214" priority="205" stopIfTrue="1" operator="equal">
      <formula>"Towel"</formula>
    </cfRule>
    <cfRule type="cellIs" dxfId="213" priority="206" stopIfTrue="1" operator="equal">
      <formula>"Napkin Hs"</formula>
    </cfRule>
  </conditionalFormatting>
  <conditionalFormatting sqref="C114">
    <cfRule type="cellIs" dxfId="212" priority="207" stopIfTrue="1" operator="equal">
      <formula>"Towel"</formula>
    </cfRule>
  </conditionalFormatting>
  <conditionalFormatting sqref="B113:C113">
    <cfRule type="cellIs" dxfId="211" priority="203" stopIfTrue="1" operator="equal">
      <formula>"Towel"</formula>
    </cfRule>
    <cfRule type="cellIs" dxfId="210" priority="204" stopIfTrue="1" operator="equal">
      <formula>"Napkin Hs"</formula>
    </cfRule>
  </conditionalFormatting>
  <conditionalFormatting sqref="C113">
    <cfRule type="cellIs" dxfId="209" priority="202" stopIfTrue="1" operator="equal">
      <formula>"Napkin Hs"</formula>
    </cfRule>
  </conditionalFormatting>
  <conditionalFormatting sqref="C113">
    <cfRule type="cellIs" dxfId="208" priority="199" stopIfTrue="1" operator="equal">
      <formula>"Towel"</formula>
    </cfRule>
    <cfRule type="cellIs" dxfId="207" priority="200" stopIfTrue="1" operator="equal">
      <formula>"Napkin Hs"</formula>
    </cfRule>
  </conditionalFormatting>
  <conditionalFormatting sqref="C113">
    <cfRule type="cellIs" dxfId="206" priority="201" stopIfTrue="1" operator="equal">
      <formula>"Towel"</formula>
    </cfRule>
  </conditionalFormatting>
  <conditionalFormatting sqref="B119:C119">
    <cfRule type="cellIs" dxfId="205" priority="197" stopIfTrue="1" operator="equal">
      <formula>"Towel"</formula>
    </cfRule>
    <cfRule type="cellIs" dxfId="204" priority="198" stopIfTrue="1" operator="equal">
      <formula>"Napkin Hs"</formula>
    </cfRule>
  </conditionalFormatting>
  <conditionalFormatting sqref="C119">
    <cfRule type="cellIs" dxfId="203" priority="196" stopIfTrue="1" operator="equal">
      <formula>"Napkin Hs"</formula>
    </cfRule>
  </conditionalFormatting>
  <conditionalFormatting sqref="C119">
    <cfRule type="cellIs" dxfId="202" priority="193" stopIfTrue="1" operator="equal">
      <formula>"Towel"</formula>
    </cfRule>
    <cfRule type="cellIs" dxfId="201" priority="194" stopIfTrue="1" operator="equal">
      <formula>"Napkin Hs"</formula>
    </cfRule>
  </conditionalFormatting>
  <conditionalFormatting sqref="C119">
    <cfRule type="cellIs" dxfId="200" priority="195" stopIfTrue="1" operator="equal">
      <formula>"Towel"</formula>
    </cfRule>
  </conditionalFormatting>
  <conditionalFormatting sqref="B120:C120">
    <cfRule type="cellIs" dxfId="199" priority="191" stopIfTrue="1" operator="equal">
      <formula>"Towel"</formula>
    </cfRule>
    <cfRule type="cellIs" dxfId="198" priority="192" stopIfTrue="1" operator="equal">
      <formula>"Napkin Hs"</formula>
    </cfRule>
  </conditionalFormatting>
  <conditionalFormatting sqref="C120">
    <cfRule type="cellIs" dxfId="197" priority="187" stopIfTrue="1" operator="equal">
      <formula>"Towel"</formula>
    </cfRule>
    <cfRule type="cellIs" dxfId="196" priority="188" stopIfTrue="1" operator="equal">
      <formula>"Napkin Hs"</formula>
    </cfRule>
  </conditionalFormatting>
  <conditionalFormatting sqref="C120">
    <cfRule type="cellIs" dxfId="195" priority="190" stopIfTrue="1" operator="equal">
      <formula>"Napkin Hs"</formula>
    </cfRule>
  </conditionalFormatting>
  <conditionalFormatting sqref="C120">
    <cfRule type="cellIs" dxfId="194" priority="189" stopIfTrue="1" operator="equal">
      <formula>"Towel"</formula>
    </cfRule>
  </conditionalFormatting>
  <conditionalFormatting sqref="B118:C118">
    <cfRule type="cellIs" dxfId="193" priority="185" stopIfTrue="1" operator="equal">
      <formula>"Towel"</formula>
    </cfRule>
    <cfRule type="cellIs" dxfId="192" priority="186" stopIfTrue="1" operator="equal">
      <formula>"Napkin Hs"</formula>
    </cfRule>
  </conditionalFormatting>
  <conditionalFormatting sqref="C118">
    <cfRule type="cellIs" dxfId="191" priority="184" stopIfTrue="1" operator="equal">
      <formula>"Napkin Hs"</formula>
    </cfRule>
  </conditionalFormatting>
  <conditionalFormatting sqref="C118">
    <cfRule type="cellIs" dxfId="190" priority="181" stopIfTrue="1" operator="equal">
      <formula>"Towel"</formula>
    </cfRule>
    <cfRule type="cellIs" dxfId="189" priority="182" stopIfTrue="1" operator="equal">
      <formula>"Napkin Hs"</formula>
    </cfRule>
  </conditionalFormatting>
  <conditionalFormatting sqref="C118">
    <cfRule type="cellIs" dxfId="188" priority="183" stopIfTrue="1" operator="equal">
      <formula>"Towel"</formula>
    </cfRule>
  </conditionalFormatting>
  <conditionalFormatting sqref="B117:C117">
    <cfRule type="cellIs" dxfId="187" priority="179" stopIfTrue="1" operator="equal">
      <formula>"Towel"</formula>
    </cfRule>
    <cfRule type="cellIs" dxfId="186" priority="180" stopIfTrue="1" operator="equal">
      <formula>"Napkin Hs"</formula>
    </cfRule>
  </conditionalFormatting>
  <conditionalFormatting sqref="C117">
    <cfRule type="cellIs" dxfId="185" priority="178" stopIfTrue="1" operator="equal">
      <formula>"Napkin Hs"</formula>
    </cfRule>
  </conditionalFormatting>
  <conditionalFormatting sqref="C117">
    <cfRule type="cellIs" dxfId="184" priority="175" stopIfTrue="1" operator="equal">
      <formula>"Towel"</formula>
    </cfRule>
    <cfRule type="cellIs" dxfId="183" priority="176" stopIfTrue="1" operator="equal">
      <formula>"Napkin Hs"</formula>
    </cfRule>
  </conditionalFormatting>
  <conditionalFormatting sqref="C117">
    <cfRule type="cellIs" dxfId="182" priority="177" stopIfTrue="1" operator="equal">
      <formula>"Towel"</formula>
    </cfRule>
  </conditionalFormatting>
  <conditionalFormatting sqref="B124:C124">
    <cfRule type="cellIs" dxfId="181" priority="173" stopIfTrue="1" operator="equal">
      <formula>"Towel"</formula>
    </cfRule>
    <cfRule type="cellIs" dxfId="180" priority="174" stopIfTrue="1" operator="equal">
      <formula>"Napkin Hs"</formula>
    </cfRule>
  </conditionalFormatting>
  <conditionalFormatting sqref="C124">
    <cfRule type="cellIs" dxfId="179" priority="172" stopIfTrue="1" operator="equal">
      <formula>"Napkin Hs"</formula>
    </cfRule>
  </conditionalFormatting>
  <conditionalFormatting sqref="C124">
    <cfRule type="cellIs" dxfId="178" priority="169" stopIfTrue="1" operator="equal">
      <formula>"Towel"</formula>
    </cfRule>
    <cfRule type="cellIs" dxfId="177" priority="170" stopIfTrue="1" operator="equal">
      <formula>"Napkin Hs"</formula>
    </cfRule>
  </conditionalFormatting>
  <conditionalFormatting sqref="C124">
    <cfRule type="cellIs" dxfId="176" priority="171" stopIfTrue="1" operator="equal">
      <formula>"Towel"</formula>
    </cfRule>
  </conditionalFormatting>
  <conditionalFormatting sqref="B125:C125">
    <cfRule type="cellIs" dxfId="175" priority="167" stopIfTrue="1" operator="equal">
      <formula>"Towel"</formula>
    </cfRule>
    <cfRule type="cellIs" dxfId="174" priority="168" stopIfTrue="1" operator="equal">
      <formula>"Napkin Hs"</formula>
    </cfRule>
  </conditionalFormatting>
  <conditionalFormatting sqref="C125">
    <cfRule type="cellIs" dxfId="173" priority="163" stopIfTrue="1" operator="equal">
      <formula>"Towel"</formula>
    </cfRule>
    <cfRule type="cellIs" dxfId="172" priority="164" stopIfTrue="1" operator="equal">
      <formula>"Napkin Hs"</formula>
    </cfRule>
  </conditionalFormatting>
  <conditionalFormatting sqref="C125">
    <cfRule type="cellIs" dxfId="171" priority="166" stopIfTrue="1" operator="equal">
      <formula>"Napkin Hs"</formula>
    </cfRule>
  </conditionalFormatting>
  <conditionalFormatting sqref="C125">
    <cfRule type="cellIs" dxfId="170" priority="165" stopIfTrue="1" operator="equal">
      <formula>"Towel"</formula>
    </cfRule>
  </conditionalFormatting>
  <conditionalFormatting sqref="B123:C123">
    <cfRule type="cellIs" dxfId="169" priority="161" stopIfTrue="1" operator="equal">
      <formula>"Towel"</formula>
    </cfRule>
    <cfRule type="cellIs" dxfId="168" priority="162" stopIfTrue="1" operator="equal">
      <formula>"Napkin Hs"</formula>
    </cfRule>
  </conditionalFormatting>
  <conditionalFormatting sqref="C123">
    <cfRule type="cellIs" dxfId="167" priority="160" stopIfTrue="1" operator="equal">
      <formula>"Napkin Hs"</formula>
    </cfRule>
  </conditionalFormatting>
  <conditionalFormatting sqref="C123">
    <cfRule type="cellIs" dxfId="166" priority="157" stopIfTrue="1" operator="equal">
      <formula>"Towel"</formula>
    </cfRule>
    <cfRule type="cellIs" dxfId="165" priority="158" stopIfTrue="1" operator="equal">
      <formula>"Napkin Hs"</formula>
    </cfRule>
  </conditionalFormatting>
  <conditionalFormatting sqref="C123">
    <cfRule type="cellIs" dxfId="164" priority="159" stopIfTrue="1" operator="equal">
      <formula>"Towel"</formula>
    </cfRule>
  </conditionalFormatting>
  <conditionalFormatting sqref="B122:C122">
    <cfRule type="cellIs" dxfId="163" priority="155" stopIfTrue="1" operator="equal">
      <formula>"Towel"</formula>
    </cfRule>
    <cfRule type="cellIs" dxfId="162" priority="156" stopIfTrue="1" operator="equal">
      <formula>"Napkin Hs"</formula>
    </cfRule>
  </conditionalFormatting>
  <conditionalFormatting sqref="C122">
    <cfRule type="cellIs" dxfId="161" priority="154" stopIfTrue="1" operator="equal">
      <formula>"Napkin Hs"</formula>
    </cfRule>
  </conditionalFormatting>
  <conditionalFormatting sqref="C122">
    <cfRule type="cellIs" dxfId="160" priority="151" stopIfTrue="1" operator="equal">
      <formula>"Towel"</formula>
    </cfRule>
    <cfRule type="cellIs" dxfId="159" priority="152" stopIfTrue="1" operator="equal">
      <formula>"Napkin Hs"</formula>
    </cfRule>
  </conditionalFormatting>
  <conditionalFormatting sqref="C122">
    <cfRule type="cellIs" dxfId="158" priority="153" stopIfTrue="1" operator="equal">
      <formula>"Towel"</formula>
    </cfRule>
  </conditionalFormatting>
  <conditionalFormatting sqref="B129:C129">
    <cfRule type="cellIs" dxfId="157" priority="149" stopIfTrue="1" operator="equal">
      <formula>"Towel"</formula>
    </cfRule>
    <cfRule type="cellIs" dxfId="156" priority="150" stopIfTrue="1" operator="equal">
      <formula>"Napkin Hs"</formula>
    </cfRule>
  </conditionalFormatting>
  <conditionalFormatting sqref="C129">
    <cfRule type="cellIs" dxfId="155" priority="148" stopIfTrue="1" operator="equal">
      <formula>"Napkin Hs"</formula>
    </cfRule>
  </conditionalFormatting>
  <conditionalFormatting sqref="C129">
    <cfRule type="cellIs" dxfId="154" priority="145" stopIfTrue="1" operator="equal">
      <formula>"Towel"</formula>
    </cfRule>
    <cfRule type="cellIs" dxfId="153" priority="146" stopIfTrue="1" operator="equal">
      <formula>"Napkin Hs"</formula>
    </cfRule>
  </conditionalFormatting>
  <conditionalFormatting sqref="C129">
    <cfRule type="cellIs" dxfId="152" priority="147" stopIfTrue="1" operator="equal">
      <formula>"Towel"</formula>
    </cfRule>
  </conditionalFormatting>
  <conditionalFormatting sqref="B130:C130">
    <cfRule type="cellIs" dxfId="151" priority="143" stopIfTrue="1" operator="equal">
      <formula>"Towel"</formula>
    </cfRule>
    <cfRule type="cellIs" dxfId="150" priority="144" stopIfTrue="1" operator="equal">
      <formula>"Napkin Hs"</formula>
    </cfRule>
  </conditionalFormatting>
  <conditionalFormatting sqref="C130">
    <cfRule type="cellIs" dxfId="149" priority="139" stopIfTrue="1" operator="equal">
      <formula>"Towel"</formula>
    </cfRule>
    <cfRule type="cellIs" dxfId="148" priority="140" stopIfTrue="1" operator="equal">
      <formula>"Napkin Hs"</formula>
    </cfRule>
  </conditionalFormatting>
  <conditionalFormatting sqref="C130">
    <cfRule type="cellIs" dxfId="147" priority="142" stopIfTrue="1" operator="equal">
      <formula>"Napkin Hs"</formula>
    </cfRule>
  </conditionalFormatting>
  <conditionalFormatting sqref="C130">
    <cfRule type="cellIs" dxfId="146" priority="141" stopIfTrue="1" operator="equal">
      <formula>"Towel"</formula>
    </cfRule>
  </conditionalFormatting>
  <conditionalFormatting sqref="B128:C128">
    <cfRule type="cellIs" dxfId="145" priority="137" stopIfTrue="1" operator="equal">
      <formula>"Towel"</formula>
    </cfRule>
    <cfRule type="cellIs" dxfId="144" priority="138" stopIfTrue="1" operator="equal">
      <formula>"Napkin Hs"</formula>
    </cfRule>
  </conditionalFormatting>
  <conditionalFormatting sqref="C128">
    <cfRule type="cellIs" dxfId="143" priority="136" stopIfTrue="1" operator="equal">
      <formula>"Napkin Hs"</formula>
    </cfRule>
  </conditionalFormatting>
  <conditionalFormatting sqref="C128">
    <cfRule type="cellIs" dxfId="142" priority="133" stopIfTrue="1" operator="equal">
      <formula>"Towel"</formula>
    </cfRule>
    <cfRule type="cellIs" dxfId="141" priority="134" stopIfTrue="1" operator="equal">
      <formula>"Napkin Hs"</formula>
    </cfRule>
  </conditionalFormatting>
  <conditionalFormatting sqref="C128">
    <cfRule type="cellIs" dxfId="140" priority="135" stopIfTrue="1" operator="equal">
      <formula>"Towel"</formula>
    </cfRule>
  </conditionalFormatting>
  <conditionalFormatting sqref="B127:C127">
    <cfRule type="cellIs" dxfId="139" priority="131" stopIfTrue="1" operator="equal">
      <formula>"Towel"</formula>
    </cfRule>
    <cfRule type="cellIs" dxfId="138" priority="132" stopIfTrue="1" operator="equal">
      <formula>"Napkin Hs"</formula>
    </cfRule>
  </conditionalFormatting>
  <conditionalFormatting sqref="C127">
    <cfRule type="cellIs" dxfId="137" priority="130" stopIfTrue="1" operator="equal">
      <formula>"Napkin Hs"</formula>
    </cfRule>
  </conditionalFormatting>
  <conditionalFormatting sqref="C127">
    <cfRule type="cellIs" dxfId="136" priority="127" stopIfTrue="1" operator="equal">
      <formula>"Towel"</formula>
    </cfRule>
    <cfRule type="cellIs" dxfId="135" priority="128" stopIfTrue="1" operator="equal">
      <formula>"Napkin Hs"</formula>
    </cfRule>
  </conditionalFormatting>
  <conditionalFormatting sqref="C127">
    <cfRule type="cellIs" dxfId="134" priority="129" stopIfTrue="1" operator="equal">
      <formula>"Towel"</formula>
    </cfRule>
  </conditionalFormatting>
  <conditionalFormatting sqref="B134:C134">
    <cfRule type="cellIs" dxfId="133" priority="125" stopIfTrue="1" operator="equal">
      <formula>"Towel"</formula>
    </cfRule>
    <cfRule type="cellIs" dxfId="132" priority="126" stopIfTrue="1" operator="equal">
      <formula>"Napkin Hs"</formula>
    </cfRule>
  </conditionalFormatting>
  <conditionalFormatting sqref="C134">
    <cfRule type="cellIs" dxfId="131" priority="124" stopIfTrue="1" operator="equal">
      <formula>"Napkin Hs"</formula>
    </cfRule>
  </conditionalFormatting>
  <conditionalFormatting sqref="C134">
    <cfRule type="cellIs" dxfId="130" priority="121" stopIfTrue="1" operator="equal">
      <formula>"Towel"</formula>
    </cfRule>
    <cfRule type="cellIs" dxfId="129" priority="122" stopIfTrue="1" operator="equal">
      <formula>"Napkin Hs"</formula>
    </cfRule>
  </conditionalFormatting>
  <conditionalFormatting sqref="C134">
    <cfRule type="cellIs" dxfId="128" priority="123" stopIfTrue="1" operator="equal">
      <formula>"Towel"</formula>
    </cfRule>
  </conditionalFormatting>
  <conditionalFormatting sqref="B135:C135">
    <cfRule type="cellIs" dxfId="127" priority="119" stopIfTrue="1" operator="equal">
      <formula>"Towel"</formula>
    </cfRule>
    <cfRule type="cellIs" dxfId="126" priority="120" stopIfTrue="1" operator="equal">
      <formula>"Napkin Hs"</formula>
    </cfRule>
  </conditionalFormatting>
  <conditionalFormatting sqref="C135">
    <cfRule type="cellIs" dxfId="125" priority="115" stopIfTrue="1" operator="equal">
      <formula>"Towel"</formula>
    </cfRule>
    <cfRule type="cellIs" dxfId="124" priority="116" stopIfTrue="1" operator="equal">
      <formula>"Napkin Hs"</formula>
    </cfRule>
  </conditionalFormatting>
  <conditionalFormatting sqref="C135">
    <cfRule type="cellIs" dxfId="123" priority="118" stopIfTrue="1" operator="equal">
      <formula>"Napkin Hs"</formula>
    </cfRule>
  </conditionalFormatting>
  <conditionalFormatting sqref="C135">
    <cfRule type="cellIs" dxfId="122" priority="117" stopIfTrue="1" operator="equal">
      <formula>"Towel"</formula>
    </cfRule>
  </conditionalFormatting>
  <conditionalFormatting sqref="B132:C133">
    <cfRule type="cellIs" dxfId="121" priority="113" stopIfTrue="1" operator="equal">
      <formula>"Towel"</formula>
    </cfRule>
    <cfRule type="cellIs" dxfId="120" priority="114" stopIfTrue="1" operator="equal">
      <formula>"Napkin Hs"</formula>
    </cfRule>
  </conditionalFormatting>
  <conditionalFormatting sqref="C132:C133">
    <cfRule type="cellIs" dxfId="119" priority="112" stopIfTrue="1" operator="equal">
      <formula>"Napkin Hs"</formula>
    </cfRule>
  </conditionalFormatting>
  <conditionalFormatting sqref="C132:C133">
    <cfRule type="cellIs" dxfId="118" priority="109" stopIfTrue="1" operator="equal">
      <formula>"Towel"</formula>
    </cfRule>
    <cfRule type="cellIs" dxfId="117" priority="110" stopIfTrue="1" operator="equal">
      <formula>"Napkin Hs"</formula>
    </cfRule>
  </conditionalFormatting>
  <conditionalFormatting sqref="C132:C133">
    <cfRule type="cellIs" dxfId="116" priority="111" stopIfTrue="1" operator="equal">
      <formula>"Towel"</formula>
    </cfRule>
  </conditionalFormatting>
  <conditionalFormatting sqref="B139:C139">
    <cfRule type="cellIs" dxfId="115" priority="107" stopIfTrue="1" operator="equal">
      <formula>"Towel"</formula>
    </cfRule>
    <cfRule type="cellIs" dxfId="114" priority="108" stopIfTrue="1" operator="equal">
      <formula>"Napkin Hs"</formula>
    </cfRule>
  </conditionalFormatting>
  <conditionalFormatting sqref="C139">
    <cfRule type="cellIs" dxfId="113" priority="106" stopIfTrue="1" operator="equal">
      <formula>"Napkin Hs"</formula>
    </cfRule>
  </conditionalFormatting>
  <conditionalFormatting sqref="C139">
    <cfRule type="cellIs" dxfId="112" priority="103" stopIfTrue="1" operator="equal">
      <formula>"Towel"</formula>
    </cfRule>
    <cfRule type="cellIs" dxfId="111" priority="104" stopIfTrue="1" operator="equal">
      <formula>"Napkin Hs"</formula>
    </cfRule>
  </conditionalFormatting>
  <conditionalFormatting sqref="C139">
    <cfRule type="cellIs" dxfId="110" priority="105" stopIfTrue="1" operator="equal">
      <formula>"Towel"</formula>
    </cfRule>
  </conditionalFormatting>
  <conditionalFormatting sqref="B140:C140">
    <cfRule type="cellIs" dxfId="109" priority="101" stopIfTrue="1" operator="equal">
      <formula>"Towel"</formula>
    </cfRule>
    <cfRule type="cellIs" dxfId="108" priority="102" stopIfTrue="1" operator="equal">
      <formula>"Napkin Hs"</formula>
    </cfRule>
  </conditionalFormatting>
  <conditionalFormatting sqref="C140">
    <cfRule type="cellIs" dxfId="107" priority="97" stopIfTrue="1" operator="equal">
      <formula>"Towel"</formula>
    </cfRule>
    <cfRule type="cellIs" dxfId="106" priority="98" stopIfTrue="1" operator="equal">
      <formula>"Napkin Hs"</formula>
    </cfRule>
  </conditionalFormatting>
  <conditionalFormatting sqref="C140">
    <cfRule type="cellIs" dxfId="105" priority="100" stopIfTrue="1" operator="equal">
      <formula>"Napkin Hs"</formula>
    </cfRule>
  </conditionalFormatting>
  <conditionalFormatting sqref="C140">
    <cfRule type="cellIs" dxfId="104" priority="99" stopIfTrue="1" operator="equal">
      <formula>"Towel"</formula>
    </cfRule>
  </conditionalFormatting>
  <conditionalFormatting sqref="B138:C138">
    <cfRule type="cellIs" dxfId="103" priority="95" stopIfTrue="1" operator="equal">
      <formula>"Towel"</formula>
    </cfRule>
    <cfRule type="cellIs" dxfId="102" priority="96" stopIfTrue="1" operator="equal">
      <formula>"Napkin Hs"</formula>
    </cfRule>
  </conditionalFormatting>
  <conditionalFormatting sqref="C138">
    <cfRule type="cellIs" dxfId="101" priority="94" stopIfTrue="1" operator="equal">
      <formula>"Napkin Hs"</formula>
    </cfRule>
  </conditionalFormatting>
  <conditionalFormatting sqref="C138">
    <cfRule type="cellIs" dxfId="100" priority="91" stopIfTrue="1" operator="equal">
      <formula>"Towel"</formula>
    </cfRule>
    <cfRule type="cellIs" dxfId="99" priority="92" stopIfTrue="1" operator="equal">
      <formula>"Napkin Hs"</formula>
    </cfRule>
  </conditionalFormatting>
  <conditionalFormatting sqref="C138">
    <cfRule type="cellIs" dxfId="98" priority="93" stopIfTrue="1" operator="equal">
      <formula>"Towel"</formula>
    </cfRule>
  </conditionalFormatting>
  <conditionalFormatting sqref="B137:C137">
    <cfRule type="cellIs" dxfId="97" priority="89" stopIfTrue="1" operator="equal">
      <formula>"Towel"</formula>
    </cfRule>
    <cfRule type="cellIs" dxfId="96" priority="90" stopIfTrue="1" operator="equal">
      <formula>"Napkin Hs"</formula>
    </cfRule>
  </conditionalFormatting>
  <conditionalFormatting sqref="C137">
    <cfRule type="cellIs" dxfId="95" priority="88" stopIfTrue="1" operator="equal">
      <formula>"Napkin Hs"</formula>
    </cfRule>
  </conditionalFormatting>
  <conditionalFormatting sqref="C137">
    <cfRule type="cellIs" dxfId="94" priority="85" stopIfTrue="1" operator="equal">
      <formula>"Towel"</formula>
    </cfRule>
    <cfRule type="cellIs" dxfId="93" priority="86" stopIfTrue="1" operator="equal">
      <formula>"Napkin Hs"</formula>
    </cfRule>
  </conditionalFormatting>
  <conditionalFormatting sqref="C137">
    <cfRule type="cellIs" dxfId="92" priority="87" stopIfTrue="1" operator="equal">
      <formula>"Towel"</formula>
    </cfRule>
  </conditionalFormatting>
  <conditionalFormatting sqref="B144:C144">
    <cfRule type="cellIs" dxfId="91" priority="83" stopIfTrue="1" operator="equal">
      <formula>"Towel"</formula>
    </cfRule>
    <cfRule type="cellIs" dxfId="90" priority="84" stopIfTrue="1" operator="equal">
      <formula>"Napkin Hs"</formula>
    </cfRule>
  </conditionalFormatting>
  <conditionalFormatting sqref="C144">
    <cfRule type="cellIs" dxfId="89" priority="82" stopIfTrue="1" operator="equal">
      <formula>"Napkin Hs"</formula>
    </cfRule>
  </conditionalFormatting>
  <conditionalFormatting sqref="C144">
    <cfRule type="cellIs" dxfId="88" priority="79" stopIfTrue="1" operator="equal">
      <formula>"Towel"</formula>
    </cfRule>
    <cfRule type="cellIs" dxfId="87" priority="80" stopIfTrue="1" operator="equal">
      <formula>"Napkin Hs"</formula>
    </cfRule>
  </conditionalFormatting>
  <conditionalFormatting sqref="C144">
    <cfRule type="cellIs" dxfId="86" priority="81" stopIfTrue="1" operator="equal">
      <formula>"Towel"</formula>
    </cfRule>
  </conditionalFormatting>
  <conditionalFormatting sqref="B145:C145">
    <cfRule type="cellIs" dxfId="85" priority="77" stopIfTrue="1" operator="equal">
      <formula>"Towel"</formula>
    </cfRule>
    <cfRule type="cellIs" dxfId="84" priority="78" stopIfTrue="1" operator="equal">
      <formula>"Napkin Hs"</formula>
    </cfRule>
  </conditionalFormatting>
  <conditionalFormatting sqref="C145">
    <cfRule type="cellIs" dxfId="83" priority="73" stopIfTrue="1" operator="equal">
      <formula>"Towel"</formula>
    </cfRule>
    <cfRule type="cellIs" dxfId="82" priority="74" stopIfTrue="1" operator="equal">
      <formula>"Napkin Hs"</formula>
    </cfRule>
  </conditionalFormatting>
  <conditionalFormatting sqref="C145">
    <cfRule type="cellIs" dxfId="81" priority="76" stopIfTrue="1" operator="equal">
      <formula>"Napkin Hs"</formula>
    </cfRule>
  </conditionalFormatting>
  <conditionalFormatting sqref="C145">
    <cfRule type="cellIs" dxfId="80" priority="75" stopIfTrue="1" operator="equal">
      <formula>"Towel"</formula>
    </cfRule>
  </conditionalFormatting>
  <conditionalFormatting sqref="B143:C143">
    <cfRule type="cellIs" dxfId="79" priority="71" stopIfTrue="1" operator="equal">
      <formula>"Towel"</formula>
    </cfRule>
    <cfRule type="cellIs" dxfId="78" priority="72" stopIfTrue="1" operator="equal">
      <formula>"Napkin Hs"</formula>
    </cfRule>
  </conditionalFormatting>
  <conditionalFormatting sqref="C143">
    <cfRule type="cellIs" dxfId="77" priority="70" stopIfTrue="1" operator="equal">
      <formula>"Napkin Hs"</formula>
    </cfRule>
  </conditionalFormatting>
  <conditionalFormatting sqref="C143">
    <cfRule type="cellIs" dxfId="76" priority="67" stopIfTrue="1" operator="equal">
      <formula>"Towel"</formula>
    </cfRule>
    <cfRule type="cellIs" dxfId="75" priority="68" stopIfTrue="1" operator="equal">
      <formula>"Napkin Hs"</formula>
    </cfRule>
  </conditionalFormatting>
  <conditionalFormatting sqref="C143">
    <cfRule type="cellIs" dxfId="74" priority="69" stopIfTrue="1" operator="equal">
      <formula>"Towel"</formula>
    </cfRule>
  </conditionalFormatting>
  <conditionalFormatting sqref="B142:C142">
    <cfRule type="cellIs" dxfId="73" priority="65" stopIfTrue="1" operator="equal">
      <formula>"Towel"</formula>
    </cfRule>
    <cfRule type="cellIs" dxfId="72" priority="66" stopIfTrue="1" operator="equal">
      <formula>"Napkin Hs"</formula>
    </cfRule>
  </conditionalFormatting>
  <conditionalFormatting sqref="C142">
    <cfRule type="cellIs" dxfId="71" priority="64" stopIfTrue="1" operator="equal">
      <formula>"Napkin Hs"</formula>
    </cfRule>
  </conditionalFormatting>
  <conditionalFormatting sqref="C142">
    <cfRule type="cellIs" dxfId="70" priority="61" stopIfTrue="1" operator="equal">
      <formula>"Towel"</formula>
    </cfRule>
    <cfRule type="cellIs" dxfId="69" priority="62" stopIfTrue="1" operator="equal">
      <formula>"Napkin Hs"</formula>
    </cfRule>
  </conditionalFormatting>
  <conditionalFormatting sqref="C142">
    <cfRule type="cellIs" dxfId="68" priority="63" stopIfTrue="1" operator="equal">
      <formula>"Towel"</formula>
    </cfRule>
  </conditionalFormatting>
  <conditionalFormatting sqref="B149:C149">
    <cfRule type="cellIs" dxfId="67" priority="59" stopIfTrue="1" operator="equal">
      <formula>"Towel"</formula>
    </cfRule>
    <cfRule type="cellIs" dxfId="66" priority="60" stopIfTrue="1" operator="equal">
      <formula>"Napkin Hs"</formula>
    </cfRule>
  </conditionalFormatting>
  <conditionalFormatting sqref="C149">
    <cfRule type="cellIs" dxfId="65" priority="58" stopIfTrue="1" operator="equal">
      <formula>"Napkin Hs"</formula>
    </cfRule>
  </conditionalFormatting>
  <conditionalFormatting sqref="C149">
    <cfRule type="cellIs" dxfId="64" priority="55" stopIfTrue="1" operator="equal">
      <formula>"Towel"</formula>
    </cfRule>
    <cfRule type="cellIs" dxfId="63" priority="56" stopIfTrue="1" operator="equal">
      <formula>"Napkin Hs"</formula>
    </cfRule>
  </conditionalFormatting>
  <conditionalFormatting sqref="C149">
    <cfRule type="cellIs" dxfId="62" priority="57" stopIfTrue="1" operator="equal">
      <formula>"Towel"</formula>
    </cfRule>
  </conditionalFormatting>
  <conditionalFormatting sqref="B150:C150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50">
    <cfRule type="cellIs" dxfId="59" priority="49" stopIfTrue="1" operator="equal">
      <formula>"Towel"</formula>
    </cfRule>
    <cfRule type="cellIs" dxfId="58" priority="50" stopIfTrue="1" operator="equal">
      <formula>"Napkin Hs"</formula>
    </cfRule>
  </conditionalFormatting>
  <conditionalFormatting sqref="C150">
    <cfRule type="cellIs" dxfId="57" priority="52" stopIfTrue="1" operator="equal">
      <formula>"Napkin Hs"</formula>
    </cfRule>
  </conditionalFormatting>
  <conditionalFormatting sqref="C150">
    <cfRule type="cellIs" dxfId="56" priority="51" stopIfTrue="1" operator="equal">
      <formula>"Towel"</formula>
    </cfRule>
  </conditionalFormatting>
  <conditionalFormatting sqref="B147:C148">
    <cfRule type="cellIs" dxfId="55" priority="47" stopIfTrue="1" operator="equal">
      <formula>"Towel"</formula>
    </cfRule>
    <cfRule type="cellIs" dxfId="54" priority="48" stopIfTrue="1" operator="equal">
      <formula>"Napkin Hs"</formula>
    </cfRule>
  </conditionalFormatting>
  <conditionalFormatting sqref="C147:C148">
    <cfRule type="cellIs" dxfId="53" priority="46" stopIfTrue="1" operator="equal">
      <formula>"Napkin Hs"</formula>
    </cfRule>
  </conditionalFormatting>
  <conditionalFormatting sqref="C147:C148">
    <cfRule type="cellIs" dxfId="52" priority="43" stopIfTrue="1" operator="equal">
      <formula>"Towel"</formula>
    </cfRule>
    <cfRule type="cellIs" dxfId="51" priority="44" stopIfTrue="1" operator="equal">
      <formula>"Napkin Hs"</formula>
    </cfRule>
  </conditionalFormatting>
  <conditionalFormatting sqref="C147:C148">
    <cfRule type="cellIs" dxfId="50" priority="45" stopIfTrue="1" operator="equal">
      <formula>"Towel"</formula>
    </cfRule>
  </conditionalFormatting>
  <conditionalFormatting sqref="B154:C154">
    <cfRule type="cellIs" dxfId="49" priority="41" stopIfTrue="1" operator="equal">
      <formula>"Towel"</formula>
    </cfRule>
    <cfRule type="cellIs" dxfId="48" priority="42" stopIfTrue="1" operator="equal">
      <formula>"Napkin Hs"</formula>
    </cfRule>
  </conditionalFormatting>
  <conditionalFormatting sqref="C154">
    <cfRule type="cellIs" dxfId="47" priority="40" stopIfTrue="1" operator="equal">
      <formula>"Napkin Hs"</formula>
    </cfRule>
  </conditionalFormatting>
  <conditionalFormatting sqref="C154">
    <cfRule type="cellIs" dxfId="46" priority="37" stopIfTrue="1" operator="equal">
      <formula>"Towel"</formula>
    </cfRule>
    <cfRule type="cellIs" dxfId="45" priority="38" stopIfTrue="1" operator="equal">
      <formula>"Napkin Hs"</formula>
    </cfRule>
  </conditionalFormatting>
  <conditionalFormatting sqref="C154">
    <cfRule type="cellIs" dxfId="44" priority="39" stopIfTrue="1" operator="equal">
      <formula>"Towel"</formula>
    </cfRule>
  </conditionalFormatting>
  <conditionalFormatting sqref="B155:C155">
    <cfRule type="cellIs" dxfId="43" priority="35" stopIfTrue="1" operator="equal">
      <formula>"Towel"</formula>
    </cfRule>
    <cfRule type="cellIs" dxfId="42" priority="36" stopIfTrue="1" operator="equal">
      <formula>"Napkin Hs"</formula>
    </cfRule>
  </conditionalFormatting>
  <conditionalFormatting sqref="C155">
    <cfRule type="cellIs" dxfId="41" priority="31" stopIfTrue="1" operator="equal">
      <formula>"Towel"</formula>
    </cfRule>
    <cfRule type="cellIs" dxfId="40" priority="32" stopIfTrue="1" operator="equal">
      <formula>"Napkin Hs"</formula>
    </cfRule>
  </conditionalFormatting>
  <conditionalFormatting sqref="C155">
    <cfRule type="cellIs" dxfId="39" priority="34" stopIfTrue="1" operator="equal">
      <formula>"Napkin Hs"</formula>
    </cfRule>
  </conditionalFormatting>
  <conditionalFormatting sqref="C155">
    <cfRule type="cellIs" dxfId="38" priority="33" stopIfTrue="1" operator="equal">
      <formula>"Towel"</formula>
    </cfRule>
  </conditionalFormatting>
  <conditionalFormatting sqref="B152:C152">
    <cfRule type="cellIs" dxfId="37" priority="29" stopIfTrue="1" operator="equal">
      <formula>"Towel"</formula>
    </cfRule>
    <cfRule type="cellIs" dxfId="36" priority="30" stopIfTrue="1" operator="equal">
      <formula>"Napkin Hs"</formula>
    </cfRule>
  </conditionalFormatting>
  <conditionalFormatting sqref="C152">
    <cfRule type="cellIs" dxfId="35" priority="28" stopIfTrue="1" operator="equal">
      <formula>"Napkin Hs"</formula>
    </cfRule>
  </conditionalFormatting>
  <conditionalFormatting sqref="C152">
    <cfRule type="cellIs" dxfId="34" priority="25" stopIfTrue="1" operator="equal">
      <formula>"Towel"</formula>
    </cfRule>
    <cfRule type="cellIs" dxfId="33" priority="26" stopIfTrue="1" operator="equal">
      <formula>"Napkin Hs"</formula>
    </cfRule>
  </conditionalFormatting>
  <conditionalFormatting sqref="C152">
    <cfRule type="cellIs" dxfId="32" priority="27" stopIfTrue="1" operator="equal">
      <formula>"Towel"</formula>
    </cfRule>
  </conditionalFormatting>
  <conditionalFormatting sqref="B153:C153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153">
    <cfRule type="cellIs" dxfId="29" priority="22" stopIfTrue="1" operator="equal">
      <formula>"Napkin Hs"</formula>
    </cfRule>
  </conditionalFormatting>
  <conditionalFormatting sqref="C153">
    <cfRule type="cellIs" dxfId="28" priority="19" stopIfTrue="1" operator="equal">
      <formula>"Towel"</formula>
    </cfRule>
    <cfRule type="cellIs" dxfId="27" priority="20" stopIfTrue="1" operator="equal">
      <formula>"Napkin Hs"</formula>
    </cfRule>
  </conditionalFormatting>
  <conditionalFormatting sqref="C153">
    <cfRule type="cellIs" dxfId="26" priority="21" stopIfTrue="1" operator="equal">
      <formula>"Towel"</formula>
    </cfRule>
  </conditionalFormatting>
  <conditionalFormatting sqref="B160:C160">
    <cfRule type="cellIs" dxfId="25" priority="17" stopIfTrue="1" operator="equal">
      <formula>"Towel"</formula>
    </cfRule>
    <cfRule type="cellIs" dxfId="24" priority="18" stopIfTrue="1" operator="equal">
      <formula>"Napkin Hs"</formula>
    </cfRule>
  </conditionalFormatting>
  <conditionalFormatting sqref="C160">
    <cfRule type="cellIs" dxfId="23" priority="13" stopIfTrue="1" operator="equal">
      <formula>"Towel"</formula>
    </cfRule>
    <cfRule type="cellIs" dxfId="22" priority="14" stopIfTrue="1" operator="equal">
      <formula>"Napkin Hs"</formula>
    </cfRule>
  </conditionalFormatting>
  <conditionalFormatting sqref="C160">
    <cfRule type="cellIs" dxfId="21" priority="16" stopIfTrue="1" operator="equal">
      <formula>"Napkin Hs"</formula>
    </cfRule>
  </conditionalFormatting>
  <conditionalFormatting sqref="C160">
    <cfRule type="cellIs" dxfId="20" priority="15" stopIfTrue="1" operator="equal">
      <formula>"Towel"</formula>
    </cfRule>
  </conditionalFormatting>
  <conditionalFormatting sqref="B158:C159">
    <cfRule type="cellIs" dxfId="19" priority="11" stopIfTrue="1" operator="equal">
      <formula>"Towel"</formula>
    </cfRule>
    <cfRule type="cellIs" dxfId="18" priority="12" stopIfTrue="1" operator="equal">
      <formula>"Napkin Hs"</formula>
    </cfRule>
  </conditionalFormatting>
  <conditionalFormatting sqref="C158:C159">
    <cfRule type="cellIs" dxfId="17" priority="10" stopIfTrue="1" operator="equal">
      <formula>"Napkin Hs"</formula>
    </cfRule>
  </conditionalFormatting>
  <conditionalFormatting sqref="C158:C159">
    <cfRule type="cellIs" dxfId="16" priority="7" stopIfTrue="1" operator="equal">
      <formula>"Towel"</formula>
    </cfRule>
    <cfRule type="cellIs" dxfId="15" priority="8" stopIfTrue="1" operator="equal">
      <formula>"Napkin Hs"</formula>
    </cfRule>
  </conditionalFormatting>
  <conditionalFormatting sqref="C158:C159">
    <cfRule type="cellIs" dxfId="14" priority="9" stopIfTrue="1" operator="equal">
      <formula>"Towel"</formula>
    </cfRule>
  </conditionalFormatting>
  <conditionalFormatting sqref="B157:C157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157">
    <cfRule type="cellIs" dxfId="11" priority="4" stopIfTrue="1" operator="equal">
      <formula>"Napkin Hs"</formula>
    </cfRule>
  </conditionalFormatting>
  <conditionalFormatting sqref="C157">
    <cfRule type="cellIs" dxfId="10" priority="1" stopIfTrue="1" operator="equal">
      <formula>"Towel"</formula>
    </cfRule>
    <cfRule type="cellIs" dxfId="9" priority="2" stopIfTrue="1" operator="equal">
      <formula>"Napkin Hs"</formula>
    </cfRule>
  </conditionalFormatting>
  <conditionalFormatting sqref="C157">
    <cfRule type="cellIs" dxfId="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topLeftCell="KA13" workbookViewId="0">
      <selection activeCell="KR44" sqref="KR44"/>
    </sheetView>
  </sheetViews>
  <sheetFormatPr defaultColWidth="10.42578125" defaultRowHeight="12.75"/>
  <cols>
    <col min="1" max="1" width="8.140625" style="264" customWidth="1"/>
    <col min="2" max="2" width="13.5703125" style="264" customWidth="1"/>
    <col min="3" max="3" width="12.5703125" style="265" customWidth="1"/>
    <col min="4" max="4" width="11.140625" style="265" customWidth="1"/>
    <col min="5" max="5" width="11" style="266" customWidth="1"/>
    <col min="6" max="269" width="12.42578125" style="517" customWidth="1"/>
    <col min="270" max="272" width="9.28515625" style="517" customWidth="1"/>
    <col min="273" max="303" width="5.5703125" style="517" customWidth="1"/>
    <col min="304" max="304" width="8.7109375" style="517" bestFit="1" customWidth="1"/>
    <col min="305" max="305" width="7.7109375" style="517" customWidth="1"/>
    <col min="306" max="306" width="21" style="517" bestFit="1" customWidth="1"/>
    <col min="307" max="307" width="19.85546875" style="517" bestFit="1" customWidth="1"/>
    <col min="308" max="16384" width="10.42578125" style="264"/>
  </cols>
  <sheetData>
    <row r="1" spans="1:308" ht="15.75">
      <c r="A1" s="556"/>
      <c r="B1" s="261"/>
      <c r="C1" s="262"/>
      <c r="D1" s="262"/>
      <c r="E1" s="263"/>
    </row>
    <row r="2" spans="1:308" ht="15.75">
      <c r="A2" s="556"/>
    </row>
    <row r="3" spans="1:308" ht="15">
      <c r="A3" s="557"/>
    </row>
    <row r="4" spans="1:308" ht="15.75">
      <c r="A4" s="489" t="s">
        <v>291</v>
      </c>
    </row>
    <row r="5" spans="1:308" ht="13.5" thickBot="1">
      <c r="F5" s="714" t="s">
        <v>311</v>
      </c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  <c r="Y5" s="715"/>
      <c r="Z5" s="715"/>
      <c r="AA5" s="715"/>
      <c r="AB5" s="715"/>
      <c r="AC5" s="715"/>
      <c r="AD5" s="715"/>
      <c r="AE5" s="715"/>
      <c r="AF5" s="715"/>
      <c r="AG5" s="715"/>
      <c r="AH5" s="715"/>
      <c r="AI5" s="715"/>
      <c r="AJ5" s="715"/>
      <c r="AK5" s="715"/>
      <c r="AL5" s="715"/>
      <c r="AM5" s="715"/>
      <c r="AN5" s="715"/>
      <c r="AO5" s="715"/>
      <c r="AP5" s="715"/>
      <c r="AQ5" s="715"/>
      <c r="AR5" s="715"/>
      <c r="AS5" s="715"/>
      <c r="AT5" s="715"/>
      <c r="AU5" s="715"/>
      <c r="AV5" s="715"/>
      <c r="AW5" s="715"/>
      <c r="AX5" s="715"/>
      <c r="AY5" s="715"/>
      <c r="AZ5" s="715"/>
      <c r="BA5" s="715"/>
      <c r="BB5" s="715"/>
      <c r="BC5" s="715"/>
      <c r="BD5" s="715"/>
      <c r="BE5" s="715"/>
      <c r="BF5" s="715"/>
      <c r="BG5" s="715"/>
      <c r="BH5" s="715"/>
      <c r="BI5" s="715"/>
      <c r="BJ5" s="715"/>
      <c r="BK5" s="715"/>
      <c r="BL5" s="715"/>
      <c r="BM5" s="715"/>
      <c r="BN5" s="715"/>
      <c r="BO5" s="715"/>
      <c r="BP5" s="715"/>
      <c r="BQ5" s="715"/>
      <c r="BR5" s="715"/>
      <c r="BS5" s="715"/>
      <c r="BT5" s="715"/>
      <c r="BU5" s="715"/>
      <c r="BV5" s="715"/>
      <c r="BW5" s="715"/>
      <c r="BX5" s="715"/>
      <c r="BY5" s="715"/>
      <c r="BZ5" s="715"/>
      <c r="CA5" s="715"/>
      <c r="CB5" s="715"/>
      <c r="CC5" s="715"/>
      <c r="CD5" s="715"/>
      <c r="CE5" s="715"/>
      <c r="CF5" s="715"/>
      <c r="CG5" s="715"/>
      <c r="CH5" s="715"/>
      <c r="CI5" s="715"/>
      <c r="CJ5" s="715"/>
      <c r="CK5" s="715"/>
      <c r="CL5" s="715"/>
      <c r="CM5" s="715"/>
      <c r="CN5" s="715"/>
      <c r="CO5" s="715"/>
      <c r="CP5" s="715"/>
      <c r="CQ5" s="715"/>
      <c r="CR5" s="715"/>
      <c r="CS5" s="715"/>
      <c r="CT5" s="715"/>
      <c r="CU5" s="715"/>
      <c r="CV5" s="715"/>
      <c r="CW5" s="715"/>
      <c r="CX5" s="715"/>
      <c r="CY5" s="715"/>
      <c r="CZ5" s="715"/>
      <c r="DA5" s="715"/>
      <c r="DB5" s="715"/>
      <c r="DC5" s="715"/>
      <c r="DD5" s="715"/>
      <c r="DE5" s="715"/>
      <c r="DF5" s="715"/>
      <c r="DG5" s="715"/>
      <c r="DH5" s="715"/>
      <c r="DI5" s="715"/>
      <c r="DJ5" s="715"/>
      <c r="DK5" s="715"/>
      <c r="DL5" s="715"/>
      <c r="DM5" s="715"/>
      <c r="DN5" s="715"/>
      <c r="DO5" s="715"/>
      <c r="DP5" s="715"/>
      <c r="DQ5" s="715"/>
      <c r="DR5" s="715"/>
      <c r="DS5" s="715"/>
      <c r="DT5" s="715"/>
      <c r="DU5" s="715"/>
      <c r="DV5" s="715"/>
      <c r="DW5" s="715"/>
      <c r="DX5" s="715"/>
      <c r="DY5" s="715"/>
      <c r="DZ5" s="715"/>
      <c r="EA5" s="715"/>
      <c r="EB5" s="715"/>
      <c r="EC5" s="715"/>
      <c r="ED5" s="715"/>
      <c r="EE5" s="715"/>
      <c r="EF5" s="715"/>
      <c r="EG5" s="715"/>
      <c r="EH5" s="715"/>
      <c r="EI5" s="715"/>
      <c r="EJ5" s="715"/>
      <c r="EK5" s="715"/>
      <c r="EL5" s="715"/>
      <c r="EM5" s="715"/>
      <c r="EN5" s="715"/>
      <c r="EO5" s="715"/>
      <c r="EP5" s="715"/>
      <c r="EQ5" s="715"/>
      <c r="ER5" s="715"/>
      <c r="ES5" s="715"/>
      <c r="ET5" s="715"/>
      <c r="EU5" s="715"/>
      <c r="EV5" s="715"/>
      <c r="EW5" s="715"/>
      <c r="EX5" s="715"/>
      <c r="EY5" s="715"/>
      <c r="EZ5" s="715"/>
      <c r="FA5" s="715"/>
      <c r="FB5" s="715"/>
      <c r="FC5" s="715"/>
      <c r="FD5" s="715"/>
      <c r="FE5" s="715"/>
      <c r="FF5" s="715"/>
      <c r="FG5" s="715"/>
      <c r="FH5" s="715"/>
      <c r="FI5" s="715"/>
      <c r="FJ5" s="715"/>
      <c r="FK5" s="715"/>
      <c r="FL5" s="715"/>
      <c r="FM5" s="715"/>
      <c r="FN5" s="715"/>
      <c r="FO5" s="715"/>
      <c r="FP5" s="715"/>
      <c r="FQ5" s="715"/>
      <c r="FR5" s="715"/>
      <c r="FS5" s="715"/>
      <c r="FT5" s="715"/>
      <c r="FU5" s="715"/>
      <c r="FV5" s="715"/>
      <c r="FW5" s="715"/>
      <c r="FX5" s="715"/>
      <c r="FY5" s="715"/>
      <c r="FZ5" s="715"/>
      <c r="GA5" s="715"/>
      <c r="GB5" s="715"/>
      <c r="GC5" s="716"/>
      <c r="GD5" s="714" t="s">
        <v>312</v>
      </c>
      <c r="GE5" s="715"/>
      <c r="GF5" s="715"/>
      <c r="GG5" s="715"/>
      <c r="GH5" s="715"/>
      <c r="GI5" s="715"/>
      <c r="GJ5" s="715"/>
      <c r="GK5" s="715"/>
      <c r="GL5" s="715"/>
      <c r="GM5" s="715"/>
      <c r="GN5" s="715"/>
      <c r="GO5" s="715"/>
      <c r="GP5" s="715"/>
      <c r="GQ5" s="715"/>
      <c r="GR5" s="715"/>
      <c r="GS5" s="715"/>
      <c r="GT5" s="715"/>
      <c r="GU5" s="715"/>
      <c r="GV5" s="715"/>
      <c r="GW5" s="715"/>
      <c r="GX5" s="715"/>
      <c r="GY5" s="715"/>
      <c r="GZ5" s="715"/>
      <c r="HA5" s="715"/>
      <c r="HB5" s="715"/>
      <c r="HC5" s="715"/>
      <c r="HD5" s="715"/>
      <c r="HE5" s="715"/>
      <c r="HF5" s="715"/>
      <c r="HG5" s="715"/>
      <c r="HH5" s="715"/>
      <c r="HI5" s="715"/>
      <c r="HJ5" s="715"/>
      <c r="HK5" s="715"/>
      <c r="HL5" s="715"/>
      <c r="HM5" s="715"/>
      <c r="HN5" s="715"/>
      <c r="HO5" s="715"/>
      <c r="HP5" s="715"/>
      <c r="HQ5" s="715"/>
      <c r="HR5" s="715"/>
      <c r="HS5" s="715"/>
      <c r="HT5" s="715"/>
      <c r="HU5" s="715"/>
      <c r="HV5" s="715"/>
      <c r="HW5" s="715"/>
      <c r="HX5" s="715"/>
      <c r="HY5" s="715"/>
      <c r="HZ5" s="715"/>
      <c r="IA5" s="715"/>
      <c r="IB5" s="715"/>
      <c r="IC5" s="715"/>
      <c r="ID5" s="715"/>
      <c r="IE5" s="715"/>
      <c r="IF5" s="715"/>
      <c r="IG5" s="715"/>
      <c r="IH5" s="715"/>
      <c r="II5" s="715"/>
      <c r="IJ5" s="715"/>
      <c r="IK5" s="715"/>
      <c r="IL5" s="715"/>
      <c r="IM5" s="715"/>
      <c r="IN5" s="715"/>
      <c r="IO5" s="715"/>
      <c r="IP5" s="715"/>
      <c r="IQ5" s="715"/>
      <c r="IR5" s="715"/>
      <c r="IS5" s="715"/>
      <c r="IT5" s="715"/>
      <c r="IU5" s="715"/>
      <c r="IV5" s="715"/>
      <c r="IW5" s="715"/>
      <c r="IX5" s="715"/>
      <c r="IY5" s="715"/>
      <c r="IZ5" s="715"/>
      <c r="JA5" s="715"/>
      <c r="JB5" s="715"/>
      <c r="JC5" s="715"/>
      <c r="JD5" s="715"/>
      <c r="JE5" s="715"/>
      <c r="JF5" s="715"/>
      <c r="JG5" s="715"/>
      <c r="JH5" s="715"/>
      <c r="JI5" s="715"/>
      <c r="JJ5" s="715"/>
      <c r="JK5" s="715"/>
      <c r="JL5" s="715"/>
      <c r="JM5" s="715"/>
      <c r="JN5" s="715"/>
      <c r="JO5" s="715"/>
      <c r="JP5" s="715"/>
      <c r="JQ5" s="715"/>
      <c r="JR5" s="715"/>
      <c r="JS5" s="715"/>
      <c r="JT5" s="715"/>
      <c r="JU5" s="715"/>
      <c r="JV5" s="715"/>
      <c r="JW5" s="715"/>
      <c r="JX5" s="715"/>
      <c r="JY5" s="715"/>
      <c r="JZ5" s="715"/>
      <c r="KA5" s="715"/>
      <c r="KB5" s="715"/>
      <c r="KC5" s="715"/>
      <c r="KD5" s="715"/>
      <c r="KE5" s="715"/>
      <c r="KF5" s="715"/>
      <c r="KG5" s="715"/>
      <c r="KH5" s="715"/>
      <c r="KI5" s="715"/>
      <c r="KJ5" s="715"/>
      <c r="KK5" s="715"/>
      <c r="KL5" s="715"/>
      <c r="KM5" s="715"/>
      <c r="KN5" s="715"/>
      <c r="KO5" s="715"/>
      <c r="KP5" s="715"/>
      <c r="KQ5" s="715"/>
      <c r="KR5" s="715"/>
      <c r="KS5" s="716"/>
      <c r="KT5" s="717" t="s">
        <v>313</v>
      </c>
      <c r="KU5" s="717" t="s">
        <v>312</v>
      </c>
    </row>
    <row r="6" spans="1:308">
      <c r="A6" s="718" t="s">
        <v>28</v>
      </c>
      <c r="B6" s="721" t="s">
        <v>4</v>
      </c>
      <c r="C6" s="721" t="s">
        <v>5</v>
      </c>
      <c r="D6" s="724" t="s">
        <v>40</v>
      </c>
      <c r="E6" s="727" t="s">
        <v>38</v>
      </c>
      <c r="F6" s="704" t="s">
        <v>314</v>
      </c>
      <c r="G6" s="713"/>
      <c r="H6" s="705"/>
      <c r="I6" s="704" t="s">
        <v>315</v>
      </c>
      <c r="J6" s="713"/>
      <c r="K6" s="705"/>
      <c r="L6" s="704" t="s">
        <v>316</v>
      </c>
      <c r="M6" s="713"/>
      <c r="N6" s="705"/>
      <c r="O6" s="704" t="s">
        <v>317</v>
      </c>
      <c r="P6" s="713"/>
      <c r="Q6" s="705"/>
      <c r="R6" s="704" t="s">
        <v>318</v>
      </c>
      <c r="S6" s="713"/>
      <c r="T6" s="705"/>
      <c r="U6" s="704" t="s">
        <v>319</v>
      </c>
      <c r="V6" s="713"/>
      <c r="W6" s="705"/>
      <c r="X6" s="704" t="s">
        <v>320</v>
      </c>
      <c r="Y6" s="713"/>
      <c r="Z6" s="705"/>
      <c r="AA6" s="704" t="s">
        <v>321</v>
      </c>
      <c r="AB6" s="713"/>
      <c r="AC6" s="705"/>
      <c r="AD6" s="704" t="s">
        <v>322</v>
      </c>
      <c r="AE6" s="713"/>
      <c r="AF6" s="705"/>
      <c r="AG6" s="704" t="s">
        <v>323</v>
      </c>
      <c r="AH6" s="713"/>
      <c r="AI6" s="705"/>
      <c r="AJ6" s="704" t="s">
        <v>324</v>
      </c>
      <c r="AK6" s="713"/>
      <c r="AL6" s="705"/>
      <c r="AM6" s="704" t="s">
        <v>325</v>
      </c>
      <c r="AN6" s="713"/>
      <c r="AO6" s="705"/>
      <c r="AP6" s="704" t="s">
        <v>326</v>
      </c>
      <c r="AQ6" s="713"/>
      <c r="AR6" s="705"/>
      <c r="AS6" s="704" t="s">
        <v>327</v>
      </c>
      <c r="AT6" s="713"/>
      <c r="AU6" s="705"/>
      <c r="AV6" s="704" t="s">
        <v>328</v>
      </c>
      <c r="AW6" s="713"/>
      <c r="AX6" s="705"/>
      <c r="AY6" s="710" t="s">
        <v>329</v>
      </c>
      <c r="AZ6" s="711"/>
      <c r="BA6" s="711"/>
      <c r="BB6" s="710" t="s">
        <v>330</v>
      </c>
      <c r="BC6" s="711"/>
      <c r="BD6" s="712"/>
      <c r="BE6" s="710" t="s">
        <v>331</v>
      </c>
      <c r="BF6" s="711"/>
      <c r="BG6" s="711"/>
      <c r="BH6" s="710" t="s">
        <v>332</v>
      </c>
      <c r="BI6" s="711"/>
      <c r="BJ6" s="712"/>
      <c r="BK6" s="710" t="s">
        <v>333</v>
      </c>
      <c r="BL6" s="711"/>
      <c r="BM6" s="711"/>
      <c r="BN6" s="710" t="s">
        <v>334</v>
      </c>
      <c r="BO6" s="711"/>
      <c r="BP6" s="712"/>
      <c r="BQ6" s="710" t="s">
        <v>335</v>
      </c>
      <c r="BR6" s="711"/>
      <c r="BS6" s="711"/>
      <c r="BT6" s="710" t="s">
        <v>336</v>
      </c>
      <c r="BU6" s="711"/>
      <c r="BV6" s="712"/>
      <c r="BW6" s="710" t="s">
        <v>337</v>
      </c>
      <c r="BX6" s="711"/>
      <c r="BY6" s="711"/>
      <c r="BZ6" s="710" t="s">
        <v>338</v>
      </c>
      <c r="CA6" s="711"/>
      <c r="CB6" s="712"/>
      <c r="CC6" s="710" t="s">
        <v>339</v>
      </c>
      <c r="CD6" s="711"/>
      <c r="CE6" s="711"/>
      <c r="CF6" s="710" t="s">
        <v>340</v>
      </c>
      <c r="CG6" s="711"/>
      <c r="CH6" s="712"/>
      <c r="CI6" s="710" t="s">
        <v>341</v>
      </c>
      <c r="CJ6" s="711"/>
      <c r="CK6" s="711"/>
      <c r="CL6" s="710" t="s">
        <v>342</v>
      </c>
      <c r="CM6" s="711"/>
      <c r="CN6" s="712"/>
      <c r="CO6" s="710" t="s">
        <v>343</v>
      </c>
      <c r="CP6" s="711"/>
      <c r="CQ6" s="711"/>
      <c r="CR6" s="710" t="s">
        <v>344</v>
      </c>
      <c r="CS6" s="711"/>
      <c r="CT6" s="712"/>
      <c r="CU6" s="710" t="s">
        <v>226</v>
      </c>
      <c r="CV6" s="711"/>
      <c r="CW6" s="711"/>
      <c r="CX6" s="710" t="s">
        <v>345</v>
      </c>
      <c r="CY6" s="711"/>
      <c r="CZ6" s="712"/>
      <c r="DA6" s="710" t="s">
        <v>346</v>
      </c>
      <c r="DB6" s="711"/>
      <c r="DC6" s="711"/>
      <c r="DD6" s="710" t="s">
        <v>347</v>
      </c>
      <c r="DE6" s="711"/>
      <c r="DF6" s="712"/>
      <c r="DG6" s="710" t="s">
        <v>348</v>
      </c>
      <c r="DH6" s="711"/>
      <c r="DI6" s="711"/>
      <c r="DJ6" s="710" t="s">
        <v>349</v>
      </c>
      <c r="DK6" s="711"/>
      <c r="DL6" s="712"/>
      <c r="DM6" s="710" t="s">
        <v>350</v>
      </c>
      <c r="DN6" s="711"/>
      <c r="DO6" s="711"/>
      <c r="DP6" s="710" t="s">
        <v>351</v>
      </c>
      <c r="DQ6" s="711"/>
      <c r="DR6" s="712"/>
      <c r="DS6" s="710" t="s">
        <v>352</v>
      </c>
      <c r="DT6" s="711"/>
      <c r="DU6" s="711"/>
      <c r="DV6" s="710" t="s">
        <v>353</v>
      </c>
      <c r="DW6" s="711"/>
      <c r="DX6" s="712"/>
      <c r="DY6" s="710" t="s">
        <v>354</v>
      </c>
      <c r="DZ6" s="711"/>
      <c r="EA6" s="711"/>
      <c r="EB6" s="710" t="s">
        <v>384</v>
      </c>
      <c r="EC6" s="711"/>
      <c r="ED6" s="712"/>
      <c r="EE6" s="710" t="s">
        <v>416</v>
      </c>
      <c r="EF6" s="711"/>
      <c r="EG6" s="711"/>
      <c r="EH6" s="710" t="s">
        <v>417</v>
      </c>
      <c r="EI6" s="711"/>
      <c r="EJ6" s="712"/>
      <c r="EK6" s="710" t="s">
        <v>418</v>
      </c>
      <c r="EL6" s="711"/>
      <c r="EM6" s="711"/>
      <c r="EN6" s="710"/>
      <c r="EO6" s="711"/>
      <c r="EP6" s="712"/>
      <c r="EQ6" s="710"/>
      <c r="ER6" s="711"/>
      <c r="ES6" s="711"/>
      <c r="ET6" s="710"/>
      <c r="EU6" s="711"/>
      <c r="EV6" s="712"/>
      <c r="EW6" s="710"/>
      <c r="EX6" s="711"/>
      <c r="EY6" s="711"/>
      <c r="EZ6" s="710"/>
      <c r="FA6" s="711"/>
      <c r="FB6" s="712"/>
      <c r="FC6" s="710"/>
      <c r="FD6" s="711"/>
      <c r="FE6" s="711"/>
      <c r="FF6" s="710"/>
      <c r="FG6" s="711"/>
      <c r="FH6" s="712"/>
      <c r="FI6" s="710"/>
      <c r="FJ6" s="711"/>
      <c r="FK6" s="711"/>
      <c r="FL6" s="710"/>
      <c r="FM6" s="711"/>
      <c r="FN6" s="712"/>
      <c r="FO6" s="710"/>
      <c r="FP6" s="711"/>
      <c r="FQ6" s="711"/>
      <c r="FR6" s="710"/>
      <c r="FS6" s="711"/>
      <c r="FT6" s="712"/>
      <c r="FU6" s="710"/>
      <c r="FV6" s="711"/>
      <c r="FW6" s="711"/>
      <c r="FX6" s="710"/>
      <c r="FY6" s="711"/>
      <c r="FZ6" s="712"/>
      <c r="GA6" s="710"/>
      <c r="GB6" s="711"/>
      <c r="GC6" s="711"/>
      <c r="GD6" s="710" t="s">
        <v>355</v>
      </c>
      <c r="GE6" s="711"/>
      <c r="GF6" s="712"/>
      <c r="GG6" s="710" t="s">
        <v>356</v>
      </c>
      <c r="GH6" s="711"/>
      <c r="GI6" s="711"/>
      <c r="GJ6" s="710" t="s">
        <v>357</v>
      </c>
      <c r="GK6" s="711"/>
      <c r="GL6" s="712"/>
      <c r="GM6" s="710" t="s">
        <v>358</v>
      </c>
      <c r="GN6" s="711"/>
      <c r="GO6" s="711"/>
      <c r="GP6" s="710" t="s">
        <v>359</v>
      </c>
      <c r="GQ6" s="711"/>
      <c r="GR6" s="712"/>
      <c r="GS6" s="710" t="s">
        <v>360</v>
      </c>
      <c r="GT6" s="711"/>
      <c r="GU6" s="711"/>
      <c r="GV6" s="710" t="s">
        <v>361</v>
      </c>
      <c r="GW6" s="711"/>
      <c r="GX6" s="712"/>
      <c r="GY6" s="710" t="s">
        <v>362</v>
      </c>
      <c r="GZ6" s="711"/>
      <c r="HA6" s="711"/>
      <c r="HB6" s="710" t="s">
        <v>338</v>
      </c>
      <c r="HC6" s="711"/>
      <c r="HD6" s="712"/>
      <c r="HE6" s="710" t="s">
        <v>353</v>
      </c>
      <c r="HF6" s="711"/>
      <c r="HG6" s="711"/>
      <c r="HH6" s="710" t="s">
        <v>352</v>
      </c>
      <c r="HI6" s="711"/>
      <c r="HJ6" s="712"/>
      <c r="HK6" s="710" t="s">
        <v>334</v>
      </c>
      <c r="HL6" s="711"/>
      <c r="HM6" s="711"/>
      <c r="HN6" s="710" t="s">
        <v>363</v>
      </c>
      <c r="HO6" s="711"/>
      <c r="HP6" s="712"/>
      <c r="HQ6" s="710" t="s">
        <v>226</v>
      </c>
      <c r="HR6" s="711"/>
      <c r="HS6" s="711"/>
      <c r="HT6" s="710" t="s">
        <v>364</v>
      </c>
      <c r="HU6" s="711"/>
      <c r="HV6" s="712"/>
      <c r="HW6" s="710" t="s">
        <v>365</v>
      </c>
      <c r="HX6" s="711"/>
      <c r="HY6" s="711"/>
      <c r="HZ6" s="710" t="s">
        <v>366</v>
      </c>
      <c r="IA6" s="711"/>
      <c r="IB6" s="712"/>
      <c r="IC6" s="710" t="s">
        <v>367</v>
      </c>
      <c r="ID6" s="711"/>
      <c r="IE6" s="711"/>
      <c r="IF6" s="710" t="s">
        <v>368</v>
      </c>
      <c r="IG6" s="711"/>
      <c r="IH6" s="712"/>
      <c r="II6" s="706" t="s">
        <v>340</v>
      </c>
      <c r="IJ6" s="706"/>
      <c r="IK6" s="706"/>
      <c r="IL6" s="710" t="s">
        <v>343</v>
      </c>
      <c r="IM6" s="711"/>
      <c r="IN6" s="712"/>
      <c r="IO6" s="710" t="s">
        <v>344</v>
      </c>
      <c r="IP6" s="711"/>
      <c r="IQ6" s="711"/>
      <c r="IR6" s="710" t="s">
        <v>339</v>
      </c>
      <c r="IS6" s="711"/>
      <c r="IT6" s="712"/>
      <c r="IU6" s="710" t="s">
        <v>369</v>
      </c>
      <c r="IV6" s="711"/>
      <c r="IW6" s="711"/>
      <c r="IX6" s="710" t="s">
        <v>346</v>
      </c>
      <c r="IY6" s="711"/>
      <c r="IZ6" s="712"/>
      <c r="JA6" s="710" t="s">
        <v>370</v>
      </c>
      <c r="JB6" s="711"/>
      <c r="JC6" s="711"/>
      <c r="JD6" s="710" t="s">
        <v>371</v>
      </c>
      <c r="JE6" s="711"/>
      <c r="JF6" s="712"/>
      <c r="JG6" s="710" t="s">
        <v>372</v>
      </c>
      <c r="JH6" s="711"/>
      <c r="JI6" s="711"/>
      <c r="JJ6" s="710" t="s">
        <v>385</v>
      </c>
      <c r="JK6" s="711"/>
      <c r="JL6" s="712"/>
      <c r="JM6" s="710"/>
      <c r="JN6" s="711"/>
      <c r="JO6" s="711"/>
      <c r="JP6" s="710"/>
      <c r="JQ6" s="711"/>
      <c r="JR6" s="712"/>
      <c r="JS6" s="710"/>
      <c r="JT6" s="711"/>
      <c r="JU6" s="711"/>
      <c r="JV6" s="710"/>
      <c r="JW6" s="711"/>
      <c r="JX6" s="712"/>
      <c r="JY6" s="710"/>
      <c r="JZ6" s="711"/>
      <c r="KA6" s="711"/>
      <c r="KB6" s="710"/>
      <c r="KC6" s="711"/>
      <c r="KD6" s="712"/>
      <c r="KE6" s="710"/>
      <c r="KF6" s="711"/>
      <c r="KG6" s="711"/>
      <c r="KH6" s="710"/>
      <c r="KI6" s="711"/>
      <c r="KJ6" s="712"/>
      <c r="KK6" s="710"/>
      <c r="KL6" s="711"/>
      <c r="KM6" s="711"/>
      <c r="KN6" s="710"/>
      <c r="KO6" s="711"/>
      <c r="KP6" s="712"/>
      <c r="KQ6" s="706"/>
      <c r="KR6" s="706"/>
      <c r="KS6" s="706"/>
      <c r="KT6" s="717"/>
      <c r="KU6" s="717"/>
    </row>
    <row r="7" spans="1:308">
      <c r="A7" s="719"/>
      <c r="B7" s="722"/>
      <c r="C7" s="722"/>
      <c r="D7" s="725"/>
      <c r="E7" s="728"/>
      <c r="F7" s="704" t="s">
        <v>133</v>
      </c>
      <c r="G7" s="705"/>
      <c r="H7" s="518" t="s">
        <v>373</v>
      </c>
      <c r="I7" s="704" t="s">
        <v>133</v>
      </c>
      <c r="J7" s="705"/>
      <c r="K7" s="518" t="s">
        <v>373</v>
      </c>
      <c r="L7" s="704" t="s">
        <v>133</v>
      </c>
      <c r="M7" s="705"/>
      <c r="N7" s="518" t="s">
        <v>373</v>
      </c>
      <c r="O7" s="704" t="s">
        <v>133</v>
      </c>
      <c r="P7" s="705"/>
      <c r="Q7" s="518" t="s">
        <v>373</v>
      </c>
      <c r="R7" s="704" t="s">
        <v>133</v>
      </c>
      <c r="S7" s="705"/>
      <c r="T7" s="518" t="s">
        <v>373</v>
      </c>
      <c r="U7" s="704" t="s">
        <v>133</v>
      </c>
      <c r="V7" s="705"/>
      <c r="W7" s="518" t="s">
        <v>373</v>
      </c>
      <c r="X7" s="704" t="s">
        <v>133</v>
      </c>
      <c r="Y7" s="705"/>
      <c r="Z7" s="518" t="s">
        <v>373</v>
      </c>
      <c r="AA7" s="704" t="s">
        <v>133</v>
      </c>
      <c r="AB7" s="705"/>
      <c r="AC7" s="518" t="s">
        <v>373</v>
      </c>
      <c r="AD7" s="704" t="s">
        <v>133</v>
      </c>
      <c r="AE7" s="705"/>
      <c r="AF7" s="518" t="s">
        <v>373</v>
      </c>
      <c r="AG7" s="704" t="s">
        <v>133</v>
      </c>
      <c r="AH7" s="705"/>
      <c r="AI7" s="518" t="s">
        <v>373</v>
      </c>
      <c r="AJ7" s="704" t="s">
        <v>133</v>
      </c>
      <c r="AK7" s="705"/>
      <c r="AL7" s="518" t="s">
        <v>373</v>
      </c>
      <c r="AM7" s="704" t="s">
        <v>133</v>
      </c>
      <c r="AN7" s="705"/>
      <c r="AO7" s="518" t="s">
        <v>373</v>
      </c>
      <c r="AP7" s="704" t="s">
        <v>133</v>
      </c>
      <c r="AQ7" s="705"/>
      <c r="AR7" s="518" t="s">
        <v>373</v>
      </c>
      <c r="AS7" s="704" t="s">
        <v>133</v>
      </c>
      <c r="AT7" s="705"/>
      <c r="AU7" s="518" t="s">
        <v>373</v>
      </c>
      <c r="AV7" s="704" t="s">
        <v>133</v>
      </c>
      <c r="AW7" s="705"/>
      <c r="AX7" s="518" t="s">
        <v>373</v>
      </c>
      <c r="AY7" s="704" t="s">
        <v>133</v>
      </c>
      <c r="AZ7" s="705"/>
      <c r="BA7" s="518" t="s">
        <v>373</v>
      </c>
      <c r="BB7" s="704" t="s">
        <v>133</v>
      </c>
      <c r="BC7" s="705"/>
      <c r="BD7" s="518" t="s">
        <v>373</v>
      </c>
      <c r="BE7" s="704" t="s">
        <v>133</v>
      </c>
      <c r="BF7" s="705"/>
      <c r="BG7" s="518" t="s">
        <v>373</v>
      </c>
      <c r="BH7" s="704" t="s">
        <v>133</v>
      </c>
      <c r="BI7" s="705"/>
      <c r="BJ7" s="518" t="s">
        <v>373</v>
      </c>
      <c r="BK7" s="704" t="s">
        <v>133</v>
      </c>
      <c r="BL7" s="705"/>
      <c r="BM7" s="518" t="s">
        <v>373</v>
      </c>
      <c r="BN7" s="704" t="s">
        <v>133</v>
      </c>
      <c r="BO7" s="705"/>
      <c r="BP7" s="518" t="s">
        <v>373</v>
      </c>
      <c r="BQ7" s="704" t="s">
        <v>133</v>
      </c>
      <c r="BR7" s="705"/>
      <c r="BS7" s="518" t="s">
        <v>373</v>
      </c>
      <c r="BT7" s="704" t="s">
        <v>133</v>
      </c>
      <c r="BU7" s="705"/>
      <c r="BV7" s="518" t="s">
        <v>373</v>
      </c>
      <c r="BW7" s="704" t="s">
        <v>133</v>
      </c>
      <c r="BX7" s="705"/>
      <c r="BY7" s="518" t="s">
        <v>373</v>
      </c>
      <c r="BZ7" s="704" t="s">
        <v>133</v>
      </c>
      <c r="CA7" s="705"/>
      <c r="CB7" s="518" t="s">
        <v>373</v>
      </c>
      <c r="CC7" s="704" t="s">
        <v>133</v>
      </c>
      <c r="CD7" s="705"/>
      <c r="CE7" s="518" t="s">
        <v>373</v>
      </c>
      <c r="CF7" s="704" t="s">
        <v>133</v>
      </c>
      <c r="CG7" s="705"/>
      <c r="CH7" s="518" t="s">
        <v>373</v>
      </c>
      <c r="CI7" s="704" t="s">
        <v>133</v>
      </c>
      <c r="CJ7" s="705"/>
      <c r="CK7" s="518" t="s">
        <v>373</v>
      </c>
      <c r="CL7" s="704" t="s">
        <v>133</v>
      </c>
      <c r="CM7" s="705"/>
      <c r="CN7" s="518" t="s">
        <v>373</v>
      </c>
      <c r="CO7" s="704" t="s">
        <v>133</v>
      </c>
      <c r="CP7" s="705"/>
      <c r="CQ7" s="518" t="s">
        <v>373</v>
      </c>
      <c r="CR7" s="704" t="s">
        <v>133</v>
      </c>
      <c r="CS7" s="705"/>
      <c r="CT7" s="518" t="s">
        <v>373</v>
      </c>
      <c r="CU7" s="704" t="s">
        <v>133</v>
      </c>
      <c r="CV7" s="705"/>
      <c r="CW7" s="518" t="s">
        <v>373</v>
      </c>
      <c r="CX7" s="704" t="s">
        <v>133</v>
      </c>
      <c r="CY7" s="705"/>
      <c r="CZ7" s="518" t="s">
        <v>373</v>
      </c>
      <c r="DA7" s="704" t="s">
        <v>133</v>
      </c>
      <c r="DB7" s="705"/>
      <c r="DC7" s="518" t="s">
        <v>373</v>
      </c>
      <c r="DD7" s="704" t="s">
        <v>133</v>
      </c>
      <c r="DE7" s="705"/>
      <c r="DF7" s="518" t="s">
        <v>373</v>
      </c>
      <c r="DG7" s="704" t="s">
        <v>133</v>
      </c>
      <c r="DH7" s="705"/>
      <c r="DI7" s="518" t="s">
        <v>373</v>
      </c>
      <c r="DJ7" s="704" t="s">
        <v>133</v>
      </c>
      <c r="DK7" s="705"/>
      <c r="DL7" s="518" t="s">
        <v>373</v>
      </c>
      <c r="DM7" s="704" t="s">
        <v>133</v>
      </c>
      <c r="DN7" s="705"/>
      <c r="DO7" s="518" t="s">
        <v>373</v>
      </c>
      <c r="DP7" s="704" t="s">
        <v>133</v>
      </c>
      <c r="DQ7" s="705"/>
      <c r="DR7" s="518" t="s">
        <v>373</v>
      </c>
      <c r="DS7" s="704" t="s">
        <v>133</v>
      </c>
      <c r="DT7" s="705"/>
      <c r="DU7" s="518" t="s">
        <v>373</v>
      </c>
      <c r="DV7" s="704" t="s">
        <v>133</v>
      </c>
      <c r="DW7" s="705"/>
      <c r="DX7" s="518" t="s">
        <v>373</v>
      </c>
      <c r="DY7" s="704" t="s">
        <v>133</v>
      </c>
      <c r="DZ7" s="705"/>
      <c r="EA7" s="518" t="s">
        <v>373</v>
      </c>
      <c r="EB7" s="704" t="s">
        <v>133</v>
      </c>
      <c r="EC7" s="705"/>
      <c r="ED7" s="518" t="s">
        <v>373</v>
      </c>
      <c r="EE7" s="704" t="s">
        <v>133</v>
      </c>
      <c r="EF7" s="705"/>
      <c r="EG7" s="518" t="s">
        <v>373</v>
      </c>
      <c r="EH7" s="704" t="s">
        <v>133</v>
      </c>
      <c r="EI7" s="705"/>
      <c r="EJ7" s="518" t="s">
        <v>373</v>
      </c>
      <c r="EK7" s="704" t="s">
        <v>133</v>
      </c>
      <c r="EL7" s="705"/>
      <c r="EM7" s="518" t="s">
        <v>373</v>
      </c>
      <c r="EN7" s="704" t="s">
        <v>133</v>
      </c>
      <c r="EO7" s="705"/>
      <c r="EP7" s="518" t="s">
        <v>373</v>
      </c>
      <c r="EQ7" s="704" t="s">
        <v>133</v>
      </c>
      <c r="ER7" s="705"/>
      <c r="ES7" s="518" t="s">
        <v>373</v>
      </c>
      <c r="ET7" s="704" t="s">
        <v>133</v>
      </c>
      <c r="EU7" s="705"/>
      <c r="EV7" s="518" t="s">
        <v>373</v>
      </c>
      <c r="EW7" s="704" t="s">
        <v>133</v>
      </c>
      <c r="EX7" s="705"/>
      <c r="EY7" s="518" t="s">
        <v>373</v>
      </c>
      <c r="EZ7" s="704" t="s">
        <v>133</v>
      </c>
      <c r="FA7" s="705"/>
      <c r="FB7" s="518" t="s">
        <v>373</v>
      </c>
      <c r="FC7" s="704" t="s">
        <v>133</v>
      </c>
      <c r="FD7" s="705"/>
      <c r="FE7" s="518" t="s">
        <v>373</v>
      </c>
      <c r="FF7" s="704" t="s">
        <v>133</v>
      </c>
      <c r="FG7" s="705"/>
      <c r="FH7" s="518" t="s">
        <v>373</v>
      </c>
      <c r="FI7" s="704" t="s">
        <v>133</v>
      </c>
      <c r="FJ7" s="705"/>
      <c r="FK7" s="518" t="s">
        <v>373</v>
      </c>
      <c r="FL7" s="704" t="s">
        <v>133</v>
      </c>
      <c r="FM7" s="705"/>
      <c r="FN7" s="518" t="s">
        <v>373</v>
      </c>
      <c r="FO7" s="704" t="s">
        <v>133</v>
      </c>
      <c r="FP7" s="705"/>
      <c r="FQ7" s="518" t="s">
        <v>373</v>
      </c>
      <c r="FR7" s="704" t="s">
        <v>133</v>
      </c>
      <c r="FS7" s="705"/>
      <c r="FT7" s="518" t="s">
        <v>373</v>
      </c>
      <c r="FU7" s="704" t="s">
        <v>133</v>
      </c>
      <c r="FV7" s="705"/>
      <c r="FW7" s="518" t="s">
        <v>373</v>
      </c>
      <c r="FX7" s="704" t="s">
        <v>133</v>
      </c>
      <c r="FY7" s="705"/>
      <c r="FZ7" s="518" t="s">
        <v>373</v>
      </c>
      <c r="GA7" s="704" t="s">
        <v>133</v>
      </c>
      <c r="GB7" s="705"/>
      <c r="GC7" s="518" t="s">
        <v>373</v>
      </c>
      <c r="GD7" s="704" t="s">
        <v>133</v>
      </c>
      <c r="GE7" s="705"/>
      <c r="GF7" s="518" t="s">
        <v>373</v>
      </c>
      <c r="GG7" s="704" t="s">
        <v>133</v>
      </c>
      <c r="GH7" s="705"/>
      <c r="GI7" s="518" t="s">
        <v>373</v>
      </c>
      <c r="GJ7" s="704" t="s">
        <v>133</v>
      </c>
      <c r="GK7" s="705"/>
      <c r="GL7" s="518" t="s">
        <v>373</v>
      </c>
      <c r="GM7" s="704" t="s">
        <v>133</v>
      </c>
      <c r="GN7" s="705"/>
      <c r="GO7" s="518" t="s">
        <v>373</v>
      </c>
      <c r="GP7" s="704" t="s">
        <v>133</v>
      </c>
      <c r="GQ7" s="705"/>
      <c r="GR7" s="518" t="s">
        <v>373</v>
      </c>
      <c r="GS7" s="704" t="s">
        <v>133</v>
      </c>
      <c r="GT7" s="705"/>
      <c r="GU7" s="518" t="s">
        <v>373</v>
      </c>
      <c r="GV7" s="704" t="s">
        <v>133</v>
      </c>
      <c r="GW7" s="705"/>
      <c r="GX7" s="518" t="s">
        <v>373</v>
      </c>
      <c r="GY7" s="704" t="s">
        <v>133</v>
      </c>
      <c r="GZ7" s="705"/>
      <c r="HA7" s="518" t="s">
        <v>373</v>
      </c>
      <c r="HB7" s="704" t="s">
        <v>133</v>
      </c>
      <c r="HC7" s="705"/>
      <c r="HD7" s="518" t="s">
        <v>373</v>
      </c>
      <c r="HE7" s="704" t="s">
        <v>133</v>
      </c>
      <c r="HF7" s="705"/>
      <c r="HG7" s="518" t="s">
        <v>373</v>
      </c>
      <c r="HH7" s="704" t="s">
        <v>133</v>
      </c>
      <c r="HI7" s="705"/>
      <c r="HJ7" s="518" t="s">
        <v>373</v>
      </c>
      <c r="HK7" s="704" t="s">
        <v>133</v>
      </c>
      <c r="HL7" s="705"/>
      <c r="HM7" s="518" t="s">
        <v>373</v>
      </c>
      <c r="HN7" s="704" t="s">
        <v>133</v>
      </c>
      <c r="HO7" s="705"/>
      <c r="HP7" s="518" t="s">
        <v>373</v>
      </c>
      <c r="HQ7" s="704" t="s">
        <v>133</v>
      </c>
      <c r="HR7" s="705"/>
      <c r="HS7" s="518" t="s">
        <v>373</v>
      </c>
      <c r="HT7" s="704" t="s">
        <v>133</v>
      </c>
      <c r="HU7" s="705"/>
      <c r="HV7" s="518" t="s">
        <v>373</v>
      </c>
      <c r="HW7" s="704" t="s">
        <v>133</v>
      </c>
      <c r="HX7" s="705"/>
      <c r="HY7" s="518" t="s">
        <v>373</v>
      </c>
      <c r="HZ7" s="704" t="s">
        <v>133</v>
      </c>
      <c r="IA7" s="705"/>
      <c r="IB7" s="518" t="s">
        <v>373</v>
      </c>
      <c r="IC7" s="704" t="s">
        <v>133</v>
      </c>
      <c r="ID7" s="705"/>
      <c r="IE7" s="518" t="s">
        <v>373</v>
      </c>
      <c r="IF7" s="704" t="s">
        <v>133</v>
      </c>
      <c r="IG7" s="705"/>
      <c r="IH7" s="518" t="s">
        <v>373</v>
      </c>
      <c r="II7" s="706" t="s">
        <v>133</v>
      </c>
      <c r="IJ7" s="706"/>
      <c r="IK7" s="519" t="s">
        <v>373</v>
      </c>
      <c r="IL7" s="704" t="s">
        <v>133</v>
      </c>
      <c r="IM7" s="705"/>
      <c r="IN7" s="518" t="s">
        <v>373</v>
      </c>
      <c r="IO7" s="704" t="s">
        <v>133</v>
      </c>
      <c r="IP7" s="705"/>
      <c r="IQ7" s="518" t="s">
        <v>373</v>
      </c>
      <c r="IR7" s="704" t="s">
        <v>133</v>
      </c>
      <c r="IS7" s="705"/>
      <c r="IT7" s="518" t="s">
        <v>373</v>
      </c>
      <c r="IU7" s="704" t="s">
        <v>133</v>
      </c>
      <c r="IV7" s="705"/>
      <c r="IW7" s="518" t="s">
        <v>373</v>
      </c>
      <c r="IX7" s="704" t="s">
        <v>133</v>
      </c>
      <c r="IY7" s="705"/>
      <c r="IZ7" s="518" t="s">
        <v>373</v>
      </c>
      <c r="JA7" s="704" t="s">
        <v>133</v>
      </c>
      <c r="JB7" s="705"/>
      <c r="JC7" s="518" t="s">
        <v>373</v>
      </c>
      <c r="JD7" s="704" t="s">
        <v>133</v>
      </c>
      <c r="JE7" s="705"/>
      <c r="JF7" s="518" t="s">
        <v>373</v>
      </c>
      <c r="JG7" s="704" t="s">
        <v>133</v>
      </c>
      <c r="JH7" s="705"/>
      <c r="JI7" s="518" t="s">
        <v>373</v>
      </c>
      <c r="JJ7" s="704" t="s">
        <v>133</v>
      </c>
      <c r="JK7" s="705"/>
      <c r="JL7" s="518" t="s">
        <v>373</v>
      </c>
      <c r="JM7" s="704" t="s">
        <v>133</v>
      </c>
      <c r="JN7" s="705"/>
      <c r="JO7" s="518" t="s">
        <v>373</v>
      </c>
      <c r="JP7" s="704" t="s">
        <v>133</v>
      </c>
      <c r="JQ7" s="705"/>
      <c r="JR7" s="518" t="s">
        <v>373</v>
      </c>
      <c r="JS7" s="704" t="s">
        <v>133</v>
      </c>
      <c r="JT7" s="705"/>
      <c r="JU7" s="518" t="s">
        <v>373</v>
      </c>
      <c r="JV7" s="704" t="s">
        <v>133</v>
      </c>
      <c r="JW7" s="705"/>
      <c r="JX7" s="518" t="s">
        <v>373</v>
      </c>
      <c r="JY7" s="704" t="s">
        <v>133</v>
      </c>
      <c r="JZ7" s="705"/>
      <c r="KA7" s="518" t="s">
        <v>373</v>
      </c>
      <c r="KB7" s="704" t="s">
        <v>133</v>
      </c>
      <c r="KC7" s="705"/>
      <c r="KD7" s="518" t="s">
        <v>373</v>
      </c>
      <c r="KE7" s="704" t="s">
        <v>133</v>
      </c>
      <c r="KF7" s="705"/>
      <c r="KG7" s="518" t="s">
        <v>373</v>
      </c>
      <c r="KH7" s="704" t="s">
        <v>133</v>
      </c>
      <c r="KI7" s="705"/>
      <c r="KJ7" s="518" t="s">
        <v>373</v>
      </c>
      <c r="KK7" s="704" t="s">
        <v>133</v>
      </c>
      <c r="KL7" s="705"/>
      <c r="KM7" s="518" t="s">
        <v>373</v>
      </c>
      <c r="KN7" s="704" t="s">
        <v>133</v>
      </c>
      <c r="KO7" s="705"/>
      <c r="KP7" s="518" t="s">
        <v>373</v>
      </c>
      <c r="KQ7" s="706" t="s">
        <v>133</v>
      </c>
      <c r="KR7" s="706"/>
      <c r="KS7" s="519" t="s">
        <v>373</v>
      </c>
      <c r="KT7" s="717"/>
      <c r="KU7" s="717"/>
    </row>
    <row r="8" spans="1:308" ht="13.5" thickBot="1">
      <c r="A8" s="720"/>
      <c r="B8" s="723"/>
      <c r="C8" s="723"/>
      <c r="D8" s="726"/>
      <c r="E8" s="729"/>
      <c r="F8" s="533" t="s">
        <v>135</v>
      </c>
      <c r="G8" s="533" t="s">
        <v>39</v>
      </c>
      <c r="H8" s="534"/>
      <c r="I8" s="533" t="s">
        <v>135</v>
      </c>
      <c r="J8" s="533" t="s">
        <v>39</v>
      </c>
      <c r="K8" s="534"/>
      <c r="L8" s="533" t="s">
        <v>135</v>
      </c>
      <c r="M8" s="533" t="s">
        <v>39</v>
      </c>
      <c r="N8" s="534"/>
      <c r="O8" s="533" t="s">
        <v>135</v>
      </c>
      <c r="P8" s="533" t="s">
        <v>39</v>
      </c>
      <c r="Q8" s="534"/>
      <c r="R8" s="533" t="s">
        <v>135</v>
      </c>
      <c r="S8" s="533" t="s">
        <v>39</v>
      </c>
      <c r="T8" s="534"/>
      <c r="U8" s="533" t="s">
        <v>135</v>
      </c>
      <c r="V8" s="533" t="s">
        <v>39</v>
      </c>
      <c r="W8" s="534"/>
      <c r="X8" s="533" t="s">
        <v>135</v>
      </c>
      <c r="Y8" s="533" t="s">
        <v>39</v>
      </c>
      <c r="Z8" s="534"/>
      <c r="AA8" s="533" t="s">
        <v>135</v>
      </c>
      <c r="AB8" s="533" t="s">
        <v>39</v>
      </c>
      <c r="AC8" s="534"/>
      <c r="AD8" s="533" t="s">
        <v>135</v>
      </c>
      <c r="AE8" s="533" t="s">
        <v>39</v>
      </c>
      <c r="AF8" s="534"/>
      <c r="AG8" s="533" t="s">
        <v>135</v>
      </c>
      <c r="AH8" s="533" t="s">
        <v>39</v>
      </c>
      <c r="AI8" s="534"/>
      <c r="AJ8" s="533" t="s">
        <v>135</v>
      </c>
      <c r="AK8" s="533" t="s">
        <v>39</v>
      </c>
      <c r="AL8" s="534"/>
      <c r="AM8" s="533" t="s">
        <v>135</v>
      </c>
      <c r="AN8" s="533" t="s">
        <v>39</v>
      </c>
      <c r="AO8" s="534"/>
      <c r="AP8" s="533" t="s">
        <v>135</v>
      </c>
      <c r="AQ8" s="533" t="s">
        <v>39</v>
      </c>
      <c r="AR8" s="534"/>
      <c r="AS8" s="533" t="s">
        <v>135</v>
      </c>
      <c r="AT8" s="533" t="s">
        <v>39</v>
      </c>
      <c r="AU8" s="534"/>
      <c r="AV8" s="533" t="s">
        <v>135</v>
      </c>
      <c r="AW8" s="533" t="s">
        <v>39</v>
      </c>
      <c r="AX8" s="534"/>
      <c r="AY8" s="533" t="s">
        <v>135</v>
      </c>
      <c r="AZ8" s="533" t="s">
        <v>39</v>
      </c>
      <c r="BA8" s="534"/>
      <c r="BB8" s="533" t="s">
        <v>135</v>
      </c>
      <c r="BC8" s="533" t="s">
        <v>39</v>
      </c>
      <c r="BD8" s="534"/>
      <c r="BE8" s="533" t="s">
        <v>135</v>
      </c>
      <c r="BF8" s="533" t="s">
        <v>39</v>
      </c>
      <c r="BG8" s="534"/>
      <c r="BH8" s="533" t="s">
        <v>135</v>
      </c>
      <c r="BI8" s="533" t="s">
        <v>39</v>
      </c>
      <c r="BJ8" s="534"/>
      <c r="BK8" s="533" t="s">
        <v>135</v>
      </c>
      <c r="BL8" s="533" t="s">
        <v>39</v>
      </c>
      <c r="BM8" s="534"/>
      <c r="BN8" s="533" t="s">
        <v>135</v>
      </c>
      <c r="BO8" s="533" t="s">
        <v>39</v>
      </c>
      <c r="BP8" s="534"/>
      <c r="BQ8" s="533" t="s">
        <v>135</v>
      </c>
      <c r="BR8" s="533" t="s">
        <v>39</v>
      </c>
      <c r="BS8" s="534"/>
      <c r="BT8" s="533" t="s">
        <v>135</v>
      </c>
      <c r="BU8" s="533" t="s">
        <v>39</v>
      </c>
      <c r="BV8" s="534"/>
      <c r="BW8" s="533" t="s">
        <v>135</v>
      </c>
      <c r="BX8" s="533" t="s">
        <v>39</v>
      </c>
      <c r="BY8" s="534"/>
      <c r="BZ8" s="533" t="s">
        <v>135</v>
      </c>
      <c r="CA8" s="533" t="s">
        <v>39</v>
      </c>
      <c r="CB8" s="534"/>
      <c r="CC8" s="533" t="s">
        <v>135</v>
      </c>
      <c r="CD8" s="533" t="s">
        <v>39</v>
      </c>
      <c r="CE8" s="534"/>
      <c r="CF8" s="533" t="s">
        <v>135</v>
      </c>
      <c r="CG8" s="533" t="s">
        <v>39</v>
      </c>
      <c r="CH8" s="534"/>
      <c r="CI8" s="533" t="s">
        <v>135</v>
      </c>
      <c r="CJ8" s="533" t="s">
        <v>39</v>
      </c>
      <c r="CK8" s="534"/>
      <c r="CL8" s="533" t="s">
        <v>135</v>
      </c>
      <c r="CM8" s="533" t="s">
        <v>39</v>
      </c>
      <c r="CN8" s="534"/>
      <c r="CO8" s="533" t="s">
        <v>135</v>
      </c>
      <c r="CP8" s="533" t="s">
        <v>39</v>
      </c>
      <c r="CQ8" s="534"/>
      <c r="CR8" s="533" t="s">
        <v>135</v>
      </c>
      <c r="CS8" s="533" t="s">
        <v>39</v>
      </c>
      <c r="CT8" s="534"/>
      <c r="CU8" s="533" t="s">
        <v>135</v>
      </c>
      <c r="CV8" s="533" t="s">
        <v>39</v>
      </c>
      <c r="CW8" s="534"/>
      <c r="CX8" s="533" t="s">
        <v>135</v>
      </c>
      <c r="CY8" s="533" t="s">
        <v>39</v>
      </c>
      <c r="CZ8" s="534"/>
      <c r="DA8" s="533" t="s">
        <v>135</v>
      </c>
      <c r="DB8" s="533" t="s">
        <v>39</v>
      </c>
      <c r="DC8" s="534"/>
      <c r="DD8" s="533" t="s">
        <v>135</v>
      </c>
      <c r="DE8" s="533" t="s">
        <v>39</v>
      </c>
      <c r="DF8" s="534"/>
      <c r="DG8" s="533" t="s">
        <v>135</v>
      </c>
      <c r="DH8" s="533" t="s">
        <v>39</v>
      </c>
      <c r="DI8" s="534"/>
      <c r="DJ8" s="533" t="s">
        <v>135</v>
      </c>
      <c r="DK8" s="533" t="s">
        <v>39</v>
      </c>
      <c r="DL8" s="534"/>
      <c r="DM8" s="533" t="s">
        <v>135</v>
      </c>
      <c r="DN8" s="533" t="s">
        <v>39</v>
      </c>
      <c r="DO8" s="534"/>
      <c r="DP8" s="533" t="s">
        <v>135</v>
      </c>
      <c r="DQ8" s="533" t="s">
        <v>39</v>
      </c>
      <c r="DR8" s="534"/>
      <c r="DS8" s="533" t="s">
        <v>135</v>
      </c>
      <c r="DT8" s="533" t="s">
        <v>39</v>
      </c>
      <c r="DU8" s="534"/>
      <c r="DV8" s="533" t="s">
        <v>135</v>
      </c>
      <c r="DW8" s="533" t="s">
        <v>39</v>
      </c>
      <c r="DX8" s="534"/>
      <c r="DY8" s="533" t="s">
        <v>135</v>
      </c>
      <c r="DZ8" s="533" t="s">
        <v>39</v>
      </c>
      <c r="EA8" s="534"/>
      <c r="EB8" s="533" t="s">
        <v>135</v>
      </c>
      <c r="EC8" s="533" t="s">
        <v>39</v>
      </c>
      <c r="ED8" s="518"/>
      <c r="EE8" s="533" t="s">
        <v>135</v>
      </c>
      <c r="EF8" s="533" t="s">
        <v>39</v>
      </c>
      <c r="EG8" s="534"/>
      <c r="EH8" s="533" t="s">
        <v>135</v>
      </c>
      <c r="EI8" s="533" t="s">
        <v>39</v>
      </c>
      <c r="EJ8" s="534"/>
      <c r="EK8" s="533" t="s">
        <v>135</v>
      </c>
      <c r="EL8" s="533" t="s">
        <v>39</v>
      </c>
      <c r="EM8" s="534"/>
      <c r="EN8" s="533" t="s">
        <v>135</v>
      </c>
      <c r="EO8" s="533" t="s">
        <v>39</v>
      </c>
      <c r="EP8" s="534"/>
      <c r="EQ8" s="533" t="s">
        <v>135</v>
      </c>
      <c r="ER8" s="533" t="s">
        <v>39</v>
      </c>
      <c r="ES8" s="534"/>
      <c r="ET8" s="533" t="s">
        <v>135</v>
      </c>
      <c r="EU8" s="533" t="s">
        <v>39</v>
      </c>
      <c r="EV8" s="534"/>
      <c r="EW8" s="533" t="s">
        <v>135</v>
      </c>
      <c r="EX8" s="533" t="s">
        <v>39</v>
      </c>
      <c r="EY8" s="534"/>
      <c r="EZ8" s="533" t="s">
        <v>135</v>
      </c>
      <c r="FA8" s="533" t="s">
        <v>39</v>
      </c>
      <c r="FB8" s="534"/>
      <c r="FC8" s="533" t="s">
        <v>135</v>
      </c>
      <c r="FD8" s="533" t="s">
        <v>39</v>
      </c>
      <c r="FE8" s="534"/>
      <c r="FF8" s="533" t="s">
        <v>135</v>
      </c>
      <c r="FG8" s="533" t="s">
        <v>39</v>
      </c>
      <c r="FH8" s="534"/>
      <c r="FI8" s="533" t="s">
        <v>135</v>
      </c>
      <c r="FJ8" s="533" t="s">
        <v>39</v>
      </c>
      <c r="FK8" s="534"/>
      <c r="FL8" s="533" t="s">
        <v>135</v>
      </c>
      <c r="FM8" s="533" t="s">
        <v>39</v>
      </c>
      <c r="FN8" s="534"/>
      <c r="FO8" s="533" t="s">
        <v>135</v>
      </c>
      <c r="FP8" s="533" t="s">
        <v>39</v>
      </c>
      <c r="FQ8" s="534"/>
      <c r="FR8" s="533" t="s">
        <v>135</v>
      </c>
      <c r="FS8" s="533" t="s">
        <v>39</v>
      </c>
      <c r="FT8" s="534"/>
      <c r="FU8" s="533" t="s">
        <v>135</v>
      </c>
      <c r="FV8" s="533" t="s">
        <v>39</v>
      </c>
      <c r="FW8" s="534"/>
      <c r="FX8" s="533" t="s">
        <v>135</v>
      </c>
      <c r="FY8" s="533" t="s">
        <v>39</v>
      </c>
      <c r="FZ8" s="534"/>
      <c r="GA8" s="533" t="s">
        <v>135</v>
      </c>
      <c r="GB8" s="533" t="s">
        <v>39</v>
      </c>
      <c r="GC8" s="534"/>
      <c r="GD8" s="533" t="s">
        <v>135</v>
      </c>
      <c r="GE8" s="533" t="s">
        <v>39</v>
      </c>
      <c r="GF8" s="534"/>
      <c r="GG8" s="533" t="s">
        <v>135</v>
      </c>
      <c r="GH8" s="533" t="s">
        <v>39</v>
      </c>
      <c r="GI8" s="534"/>
      <c r="GJ8" s="533" t="s">
        <v>135</v>
      </c>
      <c r="GK8" s="533" t="s">
        <v>39</v>
      </c>
      <c r="GL8" s="534"/>
      <c r="GM8" s="533" t="s">
        <v>135</v>
      </c>
      <c r="GN8" s="533" t="s">
        <v>39</v>
      </c>
      <c r="GO8" s="534"/>
      <c r="GP8" s="533" t="s">
        <v>135</v>
      </c>
      <c r="GQ8" s="533" t="s">
        <v>39</v>
      </c>
      <c r="GR8" s="534"/>
      <c r="GS8" s="533" t="s">
        <v>135</v>
      </c>
      <c r="GT8" s="533" t="s">
        <v>39</v>
      </c>
      <c r="GU8" s="534"/>
      <c r="GV8" s="533" t="s">
        <v>135</v>
      </c>
      <c r="GW8" s="533" t="s">
        <v>39</v>
      </c>
      <c r="GX8" s="534"/>
      <c r="GY8" s="533" t="s">
        <v>135</v>
      </c>
      <c r="GZ8" s="533" t="s">
        <v>39</v>
      </c>
      <c r="HA8" s="534"/>
      <c r="HB8" s="533" t="s">
        <v>135</v>
      </c>
      <c r="HC8" s="533" t="s">
        <v>39</v>
      </c>
      <c r="HD8" s="534"/>
      <c r="HE8" s="533" t="s">
        <v>135</v>
      </c>
      <c r="HF8" s="533" t="s">
        <v>39</v>
      </c>
      <c r="HG8" s="534"/>
      <c r="HH8" s="533" t="s">
        <v>135</v>
      </c>
      <c r="HI8" s="533" t="s">
        <v>39</v>
      </c>
      <c r="HJ8" s="534"/>
      <c r="HK8" s="533" t="s">
        <v>135</v>
      </c>
      <c r="HL8" s="533" t="s">
        <v>39</v>
      </c>
      <c r="HM8" s="534"/>
      <c r="HN8" s="533" t="s">
        <v>135</v>
      </c>
      <c r="HO8" s="533" t="s">
        <v>39</v>
      </c>
      <c r="HP8" s="534"/>
      <c r="HQ8" s="533" t="s">
        <v>135</v>
      </c>
      <c r="HR8" s="533" t="s">
        <v>39</v>
      </c>
      <c r="HS8" s="534"/>
      <c r="HT8" s="533" t="s">
        <v>135</v>
      </c>
      <c r="HU8" s="533" t="s">
        <v>39</v>
      </c>
      <c r="HV8" s="534"/>
      <c r="HW8" s="533" t="s">
        <v>135</v>
      </c>
      <c r="HX8" s="533" t="s">
        <v>39</v>
      </c>
      <c r="HY8" s="534"/>
      <c r="HZ8" s="533" t="s">
        <v>135</v>
      </c>
      <c r="IA8" s="533" t="s">
        <v>39</v>
      </c>
      <c r="IB8" s="534"/>
      <c r="IC8" s="533" t="s">
        <v>135</v>
      </c>
      <c r="ID8" s="533" t="s">
        <v>39</v>
      </c>
      <c r="IE8" s="534"/>
      <c r="IF8" s="533" t="s">
        <v>135</v>
      </c>
      <c r="IG8" s="533" t="s">
        <v>39</v>
      </c>
      <c r="IH8" s="534"/>
      <c r="II8" s="533" t="s">
        <v>135</v>
      </c>
      <c r="IJ8" s="533" t="s">
        <v>39</v>
      </c>
      <c r="IK8" s="534"/>
      <c r="IL8" s="533" t="s">
        <v>135</v>
      </c>
      <c r="IM8" s="533" t="s">
        <v>39</v>
      </c>
      <c r="IN8" s="534"/>
      <c r="IO8" s="533" t="s">
        <v>135</v>
      </c>
      <c r="IP8" s="533" t="s">
        <v>39</v>
      </c>
      <c r="IQ8" s="534"/>
      <c r="IR8" s="533" t="s">
        <v>135</v>
      </c>
      <c r="IS8" s="533" t="s">
        <v>39</v>
      </c>
      <c r="IT8" s="534"/>
      <c r="IU8" s="533" t="s">
        <v>135</v>
      </c>
      <c r="IV8" s="533" t="s">
        <v>39</v>
      </c>
      <c r="IW8" s="534"/>
      <c r="IX8" s="533" t="s">
        <v>135</v>
      </c>
      <c r="IY8" s="533" t="s">
        <v>39</v>
      </c>
      <c r="IZ8" s="534"/>
      <c r="JA8" s="533" t="s">
        <v>135</v>
      </c>
      <c r="JB8" s="533" t="s">
        <v>39</v>
      </c>
      <c r="JC8" s="534"/>
      <c r="JD8" s="533" t="s">
        <v>135</v>
      </c>
      <c r="JE8" s="533" t="s">
        <v>39</v>
      </c>
      <c r="JF8" s="534"/>
      <c r="JG8" s="533" t="s">
        <v>135</v>
      </c>
      <c r="JH8" s="533" t="s">
        <v>39</v>
      </c>
      <c r="JI8" s="534"/>
      <c r="JJ8" s="533" t="s">
        <v>135</v>
      </c>
      <c r="JK8" s="533" t="s">
        <v>39</v>
      </c>
      <c r="JL8" s="534" t="s">
        <v>386</v>
      </c>
      <c r="JM8" s="533" t="s">
        <v>135</v>
      </c>
      <c r="JN8" s="533" t="s">
        <v>39</v>
      </c>
      <c r="JO8" s="534" t="s">
        <v>386</v>
      </c>
      <c r="JP8" s="533" t="s">
        <v>135</v>
      </c>
      <c r="JQ8" s="533" t="s">
        <v>39</v>
      </c>
      <c r="JR8" s="534" t="s">
        <v>386</v>
      </c>
      <c r="JS8" s="533" t="s">
        <v>135</v>
      </c>
      <c r="JT8" s="533" t="s">
        <v>39</v>
      </c>
      <c r="JU8" s="534" t="s">
        <v>386</v>
      </c>
      <c r="JV8" s="533" t="s">
        <v>135</v>
      </c>
      <c r="JW8" s="533" t="s">
        <v>39</v>
      </c>
      <c r="JX8" s="534" t="s">
        <v>386</v>
      </c>
      <c r="JY8" s="533" t="s">
        <v>135</v>
      </c>
      <c r="JZ8" s="533" t="s">
        <v>39</v>
      </c>
      <c r="KA8" s="534" t="s">
        <v>386</v>
      </c>
      <c r="KB8" s="533" t="s">
        <v>135</v>
      </c>
      <c r="KC8" s="533" t="s">
        <v>39</v>
      </c>
      <c r="KD8" s="534" t="s">
        <v>386</v>
      </c>
      <c r="KE8" s="533" t="s">
        <v>135</v>
      </c>
      <c r="KF8" s="533" t="s">
        <v>39</v>
      </c>
      <c r="KG8" s="534" t="s">
        <v>386</v>
      </c>
      <c r="KH8" s="533" t="s">
        <v>135</v>
      </c>
      <c r="KI8" s="533" t="s">
        <v>39</v>
      </c>
      <c r="KJ8" s="534" t="s">
        <v>386</v>
      </c>
      <c r="KK8" s="533" t="s">
        <v>135</v>
      </c>
      <c r="KL8" s="533" t="s">
        <v>39</v>
      </c>
      <c r="KM8" s="534" t="s">
        <v>386</v>
      </c>
      <c r="KN8" s="533" t="s">
        <v>135</v>
      </c>
      <c r="KO8" s="533" t="s">
        <v>39</v>
      </c>
      <c r="KP8" s="534" t="s">
        <v>386</v>
      </c>
      <c r="KQ8" s="533" t="s">
        <v>135</v>
      </c>
      <c r="KR8" s="533" t="s">
        <v>39</v>
      </c>
      <c r="KS8" s="534" t="s">
        <v>386</v>
      </c>
      <c r="KT8" s="717"/>
      <c r="KU8" s="717"/>
    </row>
    <row r="9" spans="1:308">
      <c r="A9" s="268">
        <f>+Report1!A9</f>
        <v>45870</v>
      </c>
      <c r="B9" s="269" t="str">
        <f>+Report1!B9</f>
        <v>Toilet</v>
      </c>
      <c r="C9" s="269">
        <f>+Report1!C9</f>
        <v>13</v>
      </c>
      <c r="D9" s="270">
        <f>+Report1!P9</f>
        <v>45.581000000000003</v>
      </c>
      <c r="E9" s="558">
        <f>+Report1!R9</f>
        <v>44.627000000000002</v>
      </c>
      <c r="F9" s="520"/>
      <c r="G9" s="521">
        <f t="shared" ref="G9:G39" si="0">+F9/$E9</f>
        <v>0</v>
      </c>
      <c r="H9" s="522">
        <f>+F9*$H$8</f>
        <v>0</v>
      </c>
      <c r="I9" s="520"/>
      <c r="J9" s="521">
        <f t="shared" ref="J9:J39" si="1">+I9/$E9</f>
        <v>0</v>
      </c>
      <c r="K9" s="522">
        <f>+I9*$H$8</f>
        <v>0</v>
      </c>
      <c r="L9" s="520"/>
      <c r="M9" s="521">
        <f t="shared" ref="M9:M39" si="2">+L9/$E9</f>
        <v>0</v>
      </c>
      <c r="N9" s="522">
        <f>+L9*$H$8</f>
        <v>0</v>
      </c>
      <c r="O9" s="520">
        <v>5.9999999999999929</v>
      </c>
      <c r="P9" s="521">
        <f t="shared" ref="P9:P39" si="3">+O9/$E9</f>
        <v>0.13444775584287522</v>
      </c>
      <c r="Q9" s="522">
        <f>+O9*$H$8</f>
        <v>0</v>
      </c>
      <c r="R9" s="520"/>
      <c r="S9" s="521">
        <f t="shared" ref="S9:S39" si="4">+R9/$E9</f>
        <v>0</v>
      </c>
      <c r="T9" s="522">
        <f>+R9*$H$8</f>
        <v>0</v>
      </c>
      <c r="U9" s="520">
        <v>8.9687499999999716</v>
      </c>
      <c r="V9" s="521">
        <f t="shared" ref="V9:V39" si="5">+U9/$E9</f>
        <v>0.20097138503596412</v>
      </c>
      <c r="W9" s="522">
        <f>+U9*$H$8</f>
        <v>0</v>
      </c>
      <c r="X9" s="520"/>
      <c r="Y9" s="521">
        <f t="shared" ref="Y9:Y39" si="6">+X9/$E9</f>
        <v>0</v>
      </c>
      <c r="Z9" s="522">
        <f>+X9*$H$8</f>
        <v>0</v>
      </c>
      <c r="AA9" s="520">
        <v>9.3749999999999858</v>
      </c>
      <c r="AB9" s="521">
        <f t="shared" ref="AB9:AB39" si="7">+AA9/$E9</f>
        <v>0.21007461850449247</v>
      </c>
      <c r="AC9" s="522">
        <f>+AA9*$H$8</f>
        <v>0</v>
      </c>
      <c r="AD9" s="520"/>
      <c r="AE9" s="521">
        <f t="shared" ref="AE9:AE39" si="8">+AD9/$E9</f>
        <v>0</v>
      </c>
      <c r="AF9" s="522">
        <f>+AD9*$H$8</f>
        <v>0</v>
      </c>
      <c r="AG9" s="520"/>
      <c r="AH9" s="521">
        <f t="shared" ref="AH9:AH39" si="9">+AG9/$E9</f>
        <v>0</v>
      </c>
      <c r="AI9" s="522">
        <f>+AG9*$H$8</f>
        <v>0</v>
      </c>
      <c r="AJ9" s="520"/>
      <c r="AK9" s="521">
        <f t="shared" ref="AK9:AK39" si="10">+AJ9/$E9</f>
        <v>0</v>
      </c>
      <c r="AL9" s="522">
        <f>+AJ9*$H$8</f>
        <v>0</v>
      </c>
      <c r="AM9" s="520"/>
      <c r="AN9" s="521">
        <f t="shared" ref="AN9:AN39" si="11">+AM9/$E9</f>
        <v>0</v>
      </c>
      <c r="AO9" s="522">
        <f>+AM9*$H$8</f>
        <v>0</v>
      </c>
      <c r="AP9" s="520">
        <v>34.177215189873436</v>
      </c>
      <c r="AQ9" s="521">
        <f t="shared" ref="AQ9:AQ39" si="12">+AP9/$E9</f>
        <v>0.76584164720625258</v>
      </c>
      <c r="AR9" s="522">
        <f>+AP9*$H$8</f>
        <v>0</v>
      </c>
      <c r="AS9" s="520"/>
      <c r="AT9" s="521">
        <f t="shared" ref="AT9:AT39" si="13">+AS9/$E9</f>
        <v>0</v>
      </c>
      <c r="AU9" s="522">
        <f>+AS9*$H$8</f>
        <v>0</v>
      </c>
      <c r="AV9" s="520"/>
      <c r="AW9" s="521">
        <f t="shared" ref="AW9:AW39" si="14">+AV9/$E9</f>
        <v>0</v>
      </c>
      <c r="AX9" s="522">
        <f>+AV9*$H$8</f>
        <v>0</v>
      </c>
      <c r="AY9" s="520">
        <v>60.666666666666686</v>
      </c>
      <c r="AZ9" s="521">
        <f t="shared" ref="AZ9:AZ39" si="15">+AY9/$E9</f>
        <v>1.3594161979668515</v>
      </c>
      <c r="BA9" s="522">
        <f>+AY9*$H$8</f>
        <v>0</v>
      </c>
      <c r="BB9" s="520"/>
      <c r="BC9" s="521">
        <f t="shared" ref="BC9:BC39" si="16">+BB9/$E9</f>
        <v>0</v>
      </c>
      <c r="BD9" s="522">
        <f>+BB9*$H$8</f>
        <v>0</v>
      </c>
      <c r="BE9" s="520"/>
      <c r="BF9" s="521">
        <f t="shared" ref="BF9:BF39" si="17">+BE9/$E9</f>
        <v>0</v>
      </c>
      <c r="BG9" s="522">
        <f>+BE9*$H$8</f>
        <v>0</v>
      </c>
      <c r="BH9" s="520"/>
      <c r="BI9" s="521">
        <f t="shared" ref="BI9:BI39" si="18">+BH9/$E9</f>
        <v>0</v>
      </c>
      <c r="BJ9" s="522">
        <f>+BH9*$H$8</f>
        <v>0</v>
      </c>
      <c r="BK9" s="520"/>
      <c r="BL9" s="521">
        <f t="shared" ref="BL9:BL39" si="19">+BK9/$E9</f>
        <v>0</v>
      </c>
      <c r="BM9" s="522">
        <f>+BK9*$H$8</f>
        <v>0</v>
      </c>
      <c r="BN9" s="520"/>
      <c r="BO9" s="521">
        <f t="shared" ref="BO9:BO39" si="20">+BN9/$E9</f>
        <v>0</v>
      </c>
      <c r="BP9" s="522">
        <f>+BN9*$H$8</f>
        <v>0</v>
      </c>
      <c r="BQ9" s="520"/>
      <c r="BR9" s="521">
        <f t="shared" ref="BR9:BR39" si="21">+BQ9/$E9</f>
        <v>0</v>
      </c>
      <c r="BS9" s="522">
        <f>+BQ9*$H$8</f>
        <v>0</v>
      </c>
      <c r="BT9" s="520"/>
      <c r="BU9" s="521">
        <f t="shared" ref="BU9:BU39" si="22">+BT9/$E9</f>
        <v>0</v>
      </c>
      <c r="BV9" s="522">
        <f>+BT9*$H$8</f>
        <v>0</v>
      </c>
      <c r="BW9" s="520"/>
      <c r="BX9" s="521">
        <f t="shared" ref="BX9:BX39" si="23">+BW9/$E9</f>
        <v>0</v>
      </c>
      <c r="BY9" s="522">
        <f>+BW9*$H$8</f>
        <v>0</v>
      </c>
      <c r="BZ9" s="520"/>
      <c r="CA9" s="521">
        <f t="shared" ref="CA9:CA39" si="24">+BZ9/$E9</f>
        <v>0</v>
      </c>
      <c r="CB9" s="522">
        <f>+BZ9*$H$8</f>
        <v>0</v>
      </c>
      <c r="CC9" s="520"/>
      <c r="CD9" s="521">
        <f t="shared" ref="CD9:CD39" si="25">+CC9/$E9</f>
        <v>0</v>
      </c>
      <c r="CE9" s="522">
        <f>+CC9*$H$8</f>
        <v>0</v>
      </c>
      <c r="CF9" s="520">
        <v>1.0000000000000027</v>
      </c>
      <c r="CG9" s="521">
        <f t="shared" ref="CG9:CG39" si="26">+CF9/$E9</f>
        <v>2.2407959307145956E-2</v>
      </c>
      <c r="CH9" s="522">
        <f>+CF9*$H$8</f>
        <v>0</v>
      </c>
      <c r="CI9" s="520"/>
      <c r="CJ9" s="521">
        <f t="shared" ref="CJ9:CJ39" si="27">+CI9/$E9</f>
        <v>0</v>
      </c>
      <c r="CK9" s="522">
        <f>+CI9*$H$8</f>
        <v>0</v>
      </c>
      <c r="CL9" s="520"/>
      <c r="CM9" s="521">
        <f t="shared" ref="CM9:CM39" si="28">+CL9/$E9</f>
        <v>0</v>
      </c>
      <c r="CN9" s="522">
        <f>+CL9*$H$8</f>
        <v>0</v>
      </c>
      <c r="CO9" s="520"/>
      <c r="CP9" s="521">
        <f t="shared" ref="CP9:CP39" si="29">+CO9/$E9</f>
        <v>0</v>
      </c>
      <c r="CQ9" s="522">
        <f>+CO9*$H$8</f>
        <v>0</v>
      </c>
      <c r="CR9" s="520"/>
      <c r="CS9" s="521">
        <f t="shared" ref="CS9:CS39" si="30">+CR9/$E9</f>
        <v>0</v>
      </c>
      <c r="CT9" s="522">
        <f>+CR9*$H$8</f>
        <v>0</v>
      </c>
      <c r="CU9" s="520"/>
      <c r="CV9" s="521">
        <f t="shared" ref="CV9:CV39" si="31">+CU9/$E9</f>
        <v>0</v>
      </c>
      <c r="CW9" s="522">
        <f>+CU9*$H$8</f>
        <v>0</v>
      </c>
      <c r="CX9" s="520"/>
      <c r="CY9" s="521">
        <f t="shared" ref="CY9:CY39" si="32">+CX9/$E9</f>
        <v>0</v>
      </c>
      <c r="CZ9" s="522">
        <f>+CX9*$H$8</f>
        <v>0</v>
      </c>
      <c r="DA9" s="520">
        <v>130.81395348837208</v>
      </c>
      <c r="DB9" s="521">
        <f t="shared" ref="DB9:DB39" si="33">+DA9/$E9</f>
        <v>2.9312737465743175</v>
      </c>
      <c r="DC9" s="522">
        <f>+DA9*$H$8</f>
        <v>0</v>
      </c>
      <c r="DD9" s="520"/>
      <c r="DE9" s="521">
        <f t="shared" ref="DE9:DE39" si="34">+DD9/$E9</f>
        <v>0</v>
      </c>
      <c r="DF9" s="522">
        <f>+DD9*$H$8</f>
        <v>0</v>
      </c>
      <c r="DG9" s="520"/>
      <c r="DH9" s="521">
        <f t="shared" ref="DH9:DH39" si="35">+DG9/$E9</f>
        <v>0</v>
      </c>
      <c r="DI9" s="522">
        <v>0</v>
      </c>
      <c r="DJ9" s="520"/>
      <c r="DK9" s="521">
        <f t="shared" ref="DK9:DK39" si="36">+DJ9/$E9</f>
        <v>0</v>
      </c>
      <c r="DL9" s="522">
        <f>+DJ9*$H$8</f>
        <v>0</v>
      </c>
      <c r="DM9" s="520"/>
      <c r="DN9" s="521">
        <f t="shared" ref="DN9:DN39" si="37">+DM9/$E9</f>
        <v>0</v>
      </c>
      <c r="DO9" s="522">
        <f>+DM9*$H$8</f>
        <v>0</v>
      </c>
      <c r="DP9" s="520"/>
      <c r="DQ9" s="521">
        <f t="shared" ref="DQ9:DQ39" si="38">+DP9/$E9</f>
        <v>0</v>
      </c>
      <c r="DR9" s="522">
        <f>+DP9*$H$8</f>
        <v>0</v>
      </c>
      <c r="DS9" s="520"/>
      <c r="DT9" s="521">
        <f t="shared" ref="DT9:DT39" si="39">+DS9/$E9</f>
        <v>0</v>
      </c>
      <c r="DU9" s="522">
        <f>+DS9*$H$8</f>
        <v>0</v>
      </c>
      <c r="DV9" s="520"/>
      <c r="DW9" s="521">
        <f t="shared" ref="DW9:DW39" si="40">+DV9/$E9</f>
        <v>0</v>
      </c>
      <c r="DX9" s="522">
        <f>+DV9*$H$8</f>
        <v>0</v>
      </c>
      <c r="DY9" s="520"/>
      <c r="DZ9" s="521">
        <f t="shared" ref="DZ9:DZ39" si="41">+DY9/$E9</f>
        <v>0</v>
      </c>
      <c r="EA9" s="522">
        <f>+DY9*$H$8</f>
        <v>0</v>
      </c>
      <c r="EB9" s="520"/>
      <c r="EC9" s="521">
        <f t="shared" ref="EC9:EC39" si="42">+EB9/$E9</f>
        <v>0</v>
      </c>
      <c r="ED9" s="522">
        <f>+EB9*$H$8</f>
        <v>0</v>
      </c>
      <c r="EE9" s="520">
        <v>10.901162790697583</v>
      </c>
      <c r="EF9" s="521">
        <f t="shared" ref="EF9:EF39" si="43">+EE9/$E9</f>
        <v>0.24427281221452446</v>
      </c>
      <c r="EG9" s="522">
        <f>+EE9*$H$8</f>
        <v>0</v>
      </c>
      <c r="EH9" s="520">
        <v>29.352941176470722</v>
      </c>
      <c r="EI9" s="521">
        <f t="shared" ref="EI9:EI39" si="44">+EH9/$E9</f>
        <v>0.65773951142740317</v>
      </c>
      <c r="EJ9" s="522">
        <f>+EH9*$H$8</f>
        <v>0</v>
      </c>
      <c r="EK9" s="520">
        <v>3</v>
      </c>
      <c r="EL9" s="521">
        <f t="shared" ref="EL9:EL39" si="45">+EK9/$E9</f>
        <v>6.7223877921437691E-2</v>
      </c>
      <c r="EM9" s="522">
        <f>+EK9*$H$8</f>
        <v>0</v>
      </c>
      <c r="EN9" s="520"/>
      <c r="EO9" s="521">
        <f t="shared" ref="EO9:EO39" si="46">+EN9/$E9</f>
        <v>0</v>
      </c>
      <c r="EP9" s="522">
        <f>+EN9*$H$8</f>
        <v>0</v>
      </c>
      <c r="EQ9" s="520"/>
      <c r="ER9" s="521">
        <f t="shared" ref="ER9:ER39" si="47">+EQ9/$E9</f>
        <v>0</v>
      </c>
      <c r="ES9" s="522">
        <f>+EQ9*$H$8</f>
        <v>0</v>
      </c>
      <c r="ET9" s="520"/>
      <c r="EU9" s="521">
        <f t="shared" ref="EU9:EU39" si="48">+ET9/$E9</f>
        <v>0</v>
      </c>
      <c r="EV9" s="522">
        <f>+ET9*$H$8</f>
        <v>0</v>
      </c>
      <c r="EW9" s="520"/>
      <c r="EX9" s="521">
        <f t="shared" ref="EX9:EX39" si="49">+EW9/$E9</f>
        <v>0</v>
      </c>
      <c r="EY9" s="522">
        <f>+EW9*$H$8</f>
        <v>0</v>
      </c>
      <c r="EZ9" s="520"/>
      <c r="FA9" s="521">
        <f t="shared" ref="FA9:FA39" si="50">+EZ9/$E9</f>
        <v>0</v>
      </c>
      <c r="FB9" s="522">
        <f>+EZ9*$H$8</f>
        <v>0</v>
      </c>
      <c r="FC9" s="520"/>
      <c r="FD9" s="521">
        <f t="shared" ref="FD9:FD39" si="51">+FC9/$E9</f>
        <v>0</v>
      </c>
      <c r="FE9" s="522">
        <f>+FC9*$H$8</f>
        <v>0</v>
      </c>
      <c r="FF9" s="520"/>
      <c r="FG9" s="521">
        <f t="shared" ref="FG9:FG39" si="52">+FF9/$E9</f>
        <v>0</v>
      </c>
      <c r="FH9" s="522">
        <f>+FF9*$H$8</f>
        <v>0</v>
      </c>
      <c r="FI9" s="520"/>
      <c r="FJ9" s="521">
        <f t="shared" ref="FJ9:FJ39" si="53">+FI9/$E9</f>
        <v>0</v>
      </c>
      <c r="FK9" s="522">
        <f>+FI9*$H$8</f>
        <v>0</v>
      </c>
      <c r="FL9" s="520"/>
      <c r="FM9" s="521">
        <f t="shared" ref="FM9:FM39" si="54">+FL9/$E9</f>
        <v>0</v>
      </c>
      <c r="FN9" s="522">
        <f>+FL9*$H$8</f>
        <v>0</v>
      </c>
      <c r="FO9" s="520"/>
      <c r="FP9" s="521">
        <f t="shared" ref="FP9:FP39" si="55">+FO9/$E9</f>
        <v>0</v>
      </c>
      <c r="FQ9" s="522">
        <f>+FO9*$H$8</f>
        <v>0</v>
      </c>
      <c r="FR9" s="520"/>
      <c r="FS9" s="521">
        <f t="shared" ref="FS9:FS39" si="56">+FR9/$E9</f>
        <v>0</v>
      </c>
      <c r="FT9" s="522">
        <f>+FR9*$H$8</f>
        <v>0</v>
      </c>
      <c r="FU9" s="520"/>
      <c r="FV9" s="521">
        <f t="shared" ref="FV9:FV39" si="57">+FU9/$E9</f>
        <v>0</v>
      </c>
      <c r="FW9" s="522">
        <f>+FU9*$H$8</f>
        <v>0</v>
      </c>
      <c r="FX9" s="520"/>
      <c r="FY9" s="521">
        <f t="shared" ref="FY9:FY39" si="58">+FX9/$E9</f>
        <v>0</v>
      </c>
      <c r="FZ9" s="522">
        <f>+FX9*$H$8</f>
        <v>0</v>
      </c>
      <c r="GA9" s="520"/>
      <c r="GB9" s="521">
        <f t="shared" ref="GB9:GB39" si="59">+GA9/$E9</f>
        <v>0</v>
      </c>
      <c r="GC9" s="522">
        <f>+GA9*$H$8</f>
        <v>0</v>
      </c>
      <c r="GD9" s="520"/>
      <c r="GE9" s="521">
        <f t="shared" ref="GE9:GE39" si="60">+GD9/$E9</f>
        <v>0</v>
      </c>
      <c r="GF9" s="522">
        <f>+GD9*$H$8</f>
        <v>0</v>
      </c>
      <c r="GG9" s="520"/>
      <c r="GH9" s="521">
        <f t="shared" ref="GH9:GH39" si="61">+GG9/$E9</f>
        <v>0</v>
      </c>
      <c r="GI9" s="522">
        <f>+GG9*$H$8</f>
        <v>0</v>
      </c>
      <c r="GJ9" s="520"/>
      <c r="GK9" s="521">
        <f t="shared" ref="GK9:GK39" si="62">+GJ9/$E9</f>
        <v>0</v>
      </c>
      <c r="GL9" s="522">
        <f>+GJ9*$H$8</f>
        <v>0</v>
      </c>
      <c r="GM9" s="520"/>
      <c r="GN9" s="521">
        <f t="shared" ref="GN9:GN39" si="63">+GM9/$E9</f>
        <v>0</v>
      </c>
      <c r="GO9" s="522">
        <f>+GM9*$H$8</f>
        <v>0</v>
      </c>
      <c r="GP9" s="520"/>
      <c r="GQ9" s="521">
        <f t="shared" ref="GQ9:GQ39" si="64">+GP9/$E9</f>
        <v>0</v>
      </c>
      <c r="GR9" s="522">
        <f>+GP9*$H$8</f>
        <v>0</v>
      </c>
      <c r="GS9" s="520"/>
      <c r="GT9" s="521">
        <f t="shared" ref="GT9:GT39" si="65">+GS9/$E9</f>
        <v>0</v>
      </c>
      <c r="GU9" s="522">
        <f>+GS9*$H$8</f>
        <v>0</v>
      </c>
      <c r="GV9" s="520"/>
      <c r="GW9" s="521">
        <f t="shared" ref="GW9:GW39" si="66">+GV9/$E9</f>
        <v>0</v>
      </c>
      <c r="GX9" s="522">
        <f>+GV9*$H$8</f>
        <v>0</v>
      </c>
      <c r="GY9" s="520"/>
      <c r="GZ9" s="521">
        <f t="shared" ref="GZ9:GZ39" si="67">+GY9/$E9</f>
        <v>0</v>
      </c>
      <c r="HA9" s="522">
        <f>+GY9*$H$8</f>
        <v>0</v>
      </c>
      <c r="HB9" s="520"/>
      <c r="HC9" s="521">
        <f t="shared" ref="HC9:HC39" si="68">+HB9/$E9</f>
        <v>0</v>
      </c>
      <c r="HD9" s="522">
        <f>+HB9*$H$8</f>
        <v>0</v>
      </c>
      <c r="HE9" s="520"/>
      <c r="HF9" s="521">
        <f t="shared" ref="HF9:HF39" si="69">+HE9/$E9</f>
        <v>0</v>
      </c>
      <c r="HG9" s="522">
        <f>+HE9*$H$8</f>
        <v>0</v>
      </c>
      <c r="HH9" s="520"/>
      <c r="HI9" s="521">
        <f t="shared" ref="HI9:HI39" si="70">+HH9/$E9</f>
        <v>0</v>
      </c>
      <c r="HJ9" s="522">
        <f>+HH9*$H$8</f>
        <v>0</v>
      </c>
      <c r="HK9" s="520"/>
      <c r="HL9" s="521">
        <f t="shared" ref="HL9:HL39" si="71">+HK9/$E9</f>
        <v>0</v>
      </c>
      <c r="HM9" s="522">
        <f>+HK9*$H$8</f>
        <v>0</v>
      </c>
      <c r="HN9" s="520"/>
      <c r="HO9" s="521">
        <f t="shared" ref="HO9:HO39" si="72">+HN9/$E9</f>
        <v>0</v>
      </c>
      <c r="HP9" s="522">
        <f>+HN9*$H$8</f>
        <v>0</v>
      </c>
      <c r="HQ9" s="520"/>
      <c r="HR9" s="521">
        <f t="shared" ref="HR9:HR39" si="73">+HQ9/$E9</f>
        <v>0</v>
      </c>
      <c r="HS9" s="522">
        <f>+HQ9*$H$8</f>
        <v>0</v>
      </c>
      <c r="HT9" s="520"/>
      <c r="HU9" s="521">
        <f t="shared" ref="HU9:HU39" si="74">+HT9/$E9</f>
        <v>0</v>
      </c>
      <c r="HV9" s="522">
        <f>+HT9*$H$8</f>
        <v>0</v>
      </c>
      <c r="HW9" s="520"/>
      <c r="HX9" s="521">
        <f t="shared" ref="HX9:HX39" si="75">+HW9/$E9</f>
        <v>0</v>
      </c>
      <c r="HY9" s="522">
        <f>+HW9*$H$8</f>
        <v>0</v>
      </c>
      <c r="HZ9" s="520"/>
      <c r="IA9" s="521">
        <f t="shared" ref="IA9:IA39" si="76">+HZ9/$E9</f>
        <v>0</v>
      </c>
      <c r="IB9" s="522">
        <f>+HZ9*$H$8</f>
        <v>0</v>
      </c>
      <c r="IC9" s="520"/>
      <c r="ID9" s="521">
        <f t="shared" ref="ID9:ID39" si="77">+IC9/$E9</f>
        <v>0</v>
      </c>
      <c r="IE9" s="522">
        <f>+IC9*$H$8</f>
        <v>0</v>
      </c>
      <c r="IF9" s="520"/>
      <c r="IG9" s="521">
        <f t="shared" ref="IG9:IG39" si="78">+IF9/$E9</f>
        <v>0</v>
      </c>
      <c r="IH9" s="522">
        <f>+IF9*$H$8</f>
        <v>0</v>
      </c>
      <c r="II9" s="520"/>
      <c r="IJ9" s="521">
        <f t="shared" ref="IJ9:IJ39" si="79">+II9/$E9</f>
        <v>0</v>
      </c>
      <c r="IK9" s="522">
        <f>+II9*$H$8</f>
        <v>0</v>
      </c>
      <c r="IL9" s="520"/>
      <c r="IM9" s="521">
        <f t="shared" ref="IM9:IM39" si="80">+IL9/$E9</f>
        <v>0</v>
      </c>
      <c r="IN9" s="522">
        <f>+IL9*$H$8</f>
        <v>0</v>
      </c>
      <c r="IO9" s="520"/>
      <c r="IP9" s="521">
        <f t="shared" ref="IP9:IP39" si="81">+IO9/$E9</f>
        <v>0</v>
      </c>
      <c r="IQ9" s="522">
        <f>+IO9*$H$8</f>
        <v>0</v>
      </c>
      <c r="IR9" s="520"/>
      <c r="IS9" s="521">
        <f t="shared" ref="IS9:IS39" si="82">+IR9/$E9</f>
        <v>0</v>
      </c>
      <c r="IT9" s="522">
        <f>+IR9*$H$8</f>
        <v>0</v>
      </c>
      <c r="IU9" s="520"/>
      <c r="IV9" s="521">
        <f t="shared" ref="IV9:IV39" si="83">+IU9/$E9</f>
        <v>0</v>
      </c>
      <c r="IW9" s="522">
        <f>+IU9*$H$8</f>
        <v>0</v>
      </c>
      <c r="IX9" s="520"/>
      <c r="IY9" s="521">
        <f t="shared" ref="IY9:IY39" si="84">+IX9/$E9</f>
        <v>0</v>
      </c>
      <c r="IZ9" s="522">
        <f>+IX9*$H$8</f>
        <v>0</v>
      </c>
      <c r="JA9" s="520"/>
      <c r="JB9" s="521">
        <f t="shared" ref="JB9:JB39" si="85">+JA9/$E9</f>
        <v>0</v>
      </c>
      <c r="JC9" s="522">
        <f>+JA9*$H$8</f>
        <v>0</v>
      </c>
      <c r="JD9" s="520"/>
      <c r="JE9" s="521">
        <f t="shared" ref="JE9:JE39" si="86">+JD9/$E9</f>
        <v>0</v>
      </c>
      <c r="JF9" s="522">
        <f>+JD9*$H$8</f>
        <v>0</v>
      </c>
      <c r="JG9" s="520"/>
      <c r="JH9" s="521">
        <f t="shared" ref="JH9:JH39" si="87">+JG9/$E9</f>
        <v>0</v>
      </c>
      <c r="JI9" s="522">
        <f>+JG9*$H$8</f>
        <v>0</v>
      </c>
      <c r="JJ9" s="520"/>
      <c r="JK9" s="522" t="str">
        <f t="shared" ref="JK9:JK39" si="88">IFERROR((JJ9/$L9),"0")</f>
        <v>0</v>
      </c>
      <c r="JL9" s="522" t="str">
        <f t="shared" ref="JL9:JL39" si="89">IFERROR(((JJ9*JL$8)/$L9),"0")</f>
        <v>0</v>
      </c>
      <c r="JM9" s="520"/>
      <c r="JN9" s="522" t="str">
        <f t="shared" ref="JN9:JN39" si="90">IFERROR((JM9/$L9),"0")</f>
        <v>0</v>
      </c>
      <c r="JO9" s="522" t="str">
        <f t="shared" ref="JO9:JO39" si="91">IFERROR(((JM9*JO$8)/$L9),"0")</f>
        <v>0</v>
      </c>
      <c r="JP9" s="520"/>
      <c r="JQ9" s="522" t="str">
        <f t="shared" ref="JQ9:JQ39" si="92">IFERROR((JP9/$L9),"0")</f>
        <v>0</v>
      </c>
      <c r="JR9" s="522" t="str">
        <f t="shared" ref="JR9:JR39" si="93">IFERROR(((JP9*JR$8)/$L9),"0")</f>
        <v>0</v>
      </c>
      <c r="JS9" s="520"/>
      <c r="JT9" s="522" t="str">
        <f t="shared" ref="JT9:JT39" si="94">IFERROR((JS9/$L9),"0")</f>
        <v>0</v>
      </c>
      <c r="JU9" s="522" t="str">
        <f t="shared" ref="JU9:JU39" si="95">IFERROR(((JS9*JU$8)/$L9),"0")</f>
        <v>0</v>
      </c>
      <c r="JV9" s="520"/>
      <c r="JW9" s="522" t="str">
        <f t="shared" ref="JW9:JW39" si="96">IFERROR((JV9/$L9),"0")</f>
        <v>0</v>
      </c>
      <c r="JX9" s="522" t="str">
        <f t="shared" ref="JX9:JX39" si="97">IFERROR(((JV9*JX$8)/$L9),"0")</f>
        <v>0</v>
      </c>
      <c r="JY9" s="520"/>
      <c r="JZ9" s="522" t="str">
        <f t="shared" ref="JZ9:JZ39" si="98">IFERROR((JY9/$L9),"0")</f>
        <v>0</v>
      </c>
      <c r="KA9" s="522" t="str">
        <f t="shared" ref="KA9:KA39" si="99">IFERROR(((JY9*KA$8)/$L9),"0")</f>
        <v>0</v>
      </c>
      <c r="KB9" s="520"/>
      <c r="KC9" s="522" t="str">
        <f t="shared" ref="KC9:KC39" si="100">IFERROR((KB9/$L9),"0")</f>
        <v>0</v>
      </c>
      <c r="KD9" s="522" t="str">
        <f t="shared" ref="KD9:KD39" si="101">IFERROR(((KB9*KD$8)/$L9),"0")</f>
        <v>0</v>
      </c>
      <c r="KE9" s="520"/>
      <c r="KF9" s="522" t="str">
        <f t="shared" ref="KF9:KF39" si="102">IFERROR((KE9/$L9),"0")</f>
        <v>0</v>
      </c>
      <c r="KG9" s="522" t="str">
        <f t="shared" ref="KG9:KG39" si="103">IFERROR(((KE9*KG$8)/$L9),"0")</f>
        <v>0</v>
      </c>
      <c r="KH9" s="520"/>
      <c r="KI9" s="522" t="str">
        <f t="shared" ref="KI9:KI39" si="104">IFERROR((KH9/$L9),"0")</f>
        <v>0</v>
      </c>
      <c r="KJ9" s="522" t="str">
        <f t="shared" ref="KJ9:KJ39" si="105">IFERROR(((KH9*KJ$8)/$L9),"0")</f>
        <v>0</v>
      </c>
      <c r="KK9" s="520"/>
      <c r="KL9" s="522" t="str">
        <f t="shared" ref="KL9:KL39" si="106">IFERROR((KK9/$L9),"0")</f>
        <v>0</v>
      </c>
      <c r="KM9" s="522" t="str">
        <f t="shared" ref="KM9:KM39" si="107">IFERROR(((KK9*KM$8)/$L9),"0")</f>
        <v>0</v>
      </c>
      <c r="KN9" s="520"/>
      <c r="KO9" s="522" t="str">
        <f t="shared" ref="KO9:KO39" si="108">IFERROR((KN9/$L9),"0")</f>
        <v>0</v>
      </c>
      <c r="KP9" s="522" t="str">
        <f t="shared" ref="KP9:KP39" si="109">IFERROR(((KN9*KP$8)/$L9),"0")</f>
        <v>0</v>
      </c>
      <c r="KQ9" s="520"/>
      <c r="KR9" s="522" t="str">
        <f t="shared" ref="KR9:KR39" si="110">IFERROR((KQ9/$L9),"0")</f>
        <v>0</v>
      </c>
      <c r="KS9" s="522" t="str">
        <f t="shared" ref="KS9:KS39" si="111">IFERROR(((KQ9*KS$8)/$L9),"0")</f>
        <v>0</v>
      </c>
      <c r="KT9" s="522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22">
        <f>GF9+GI9+GL9+GO9+GR9+GU9+GX9+HA9+HD9+HG9+HJ9+HM9+HP9+HS9+HV9+HY9+IB9+IE9+IH9+IK9+IN9+IQ9+IT9+IW9+IZ9+JC9+JF9+JI9+JL9+JO9+JR9+JU9+JX9++KA9+KD9+KG9+KJ9++KM9+KP9+KS9</f>
        <v>0</v>
      </c>
      <c r="KV9" s="267">
        <f>+F9+I9+L9+O9+R9+U9+X9+AA9+AD9+AG9+AJ9+AM9+AP9+AS9+AV9+AY9+BB9+BE9+BH9+BK9+BN9+BQ9+BT9+BW9+BZ9+CC9+CF9+CI9+CL9+CO9+CR9+CU9+CX9+DA9+DD9+DJ9+DM9+DP9+DS9+DV9+DY9+EB9+GG9+GJ9+GM9+GP9+GS9+HN9+II9+IR9+GV9+IU9++HT9+HW9+HZ9+IC9+JA9+JJ9+JM9+HB9+EE9+GD9+EH9+EK9</f>
        <v>294.25568931208045</v>
      </c>
    </row>
    <row r="10" spans="1:308">
      <c r="A10" s="268">
        <f>+A9+1</f>
        <v>45871</v>
      </c>
      <c r="B10" s="269" t="str">
        <f>+Report1!B10</f>
        <v>Toilet</v>
      </c>
      <c r="C10" s="269">
        <f>+Report1!C10</f>
        <v>13</v>
      </c>
      <c r="D10" s="270">
        <f>+Report1!P10</f>
        <v>47.427000000000007</v>
      </c>
      <c r="E10" s="558">
        <f>+Report1!R10</f>
        <v>45.750999999999998</v>
      </c>
      <c r="F10" s="520"/>
      <c r="G10" s="521">
        <f t="shared" si="0"/>
        <v>0</v>
      </c>
      <c r="H10" s="522">
        <f t="shared" ref="H10:H39" si="112">+F10*$H$8</f>
        <v>0</v>
      </c>
      <c r="I10" s="520"/>
      <c r="J10" s="521">
        <f t="shared" si="1"/>
        <v>0</v>
      </c>
      <c r="K10" s="522">
        <f t="shared" ref="K10:K39" si="113">+I10*$H$8</f>
        <v>0</v>
      </c>
      <c r="L10" s="520"/>
      <c r="M10" s="521">
        <f t="shared" si="2"/>
        <v>0</v>
      </c>
      <c r="N10" s="522">
        <f t="shared" ref="N10:N39" si="114">+L10*$H$8</f>
        <v>0</v>
      </c>
      <c r="O10" s="520">
        <v>7.4000000000000057</v>
      </c>
      <c r="P10" s="521">
        <f t="shared" si="3"/>
        <v>0.1617450984677932</v>
      </c>
      <c r="Q10" s="522">
        <f t="shared" ref="Q10:Q39" si="115">+O10*$H$8</f>
        <v>0</v>
      </c>
      <c r="R10" s="520"/>
      <c r="S10" s="521">
        <f t="shared" si="4"/>
        <v>0</v>
      </c>
      <c r="T10" s="522">
        <f t="shared" ref="T10:T39" si="116">+R10*$H$8</f>
        <v>0</v>
      </c>
      <c r="U10" s="520">
        <v>11.05540000000002</v>
      </c>
      <c r="V10" s="521">
        <f t="shared" si="5"/>
        <v>0.24164280562173548</v>
      </c>
      <c r="W10" s="522">
        <f t="shared" ref="W10:W39" si="117">+U10*$H$8</f>
        <v>0</v>
      </c>
      <c r="X10" s="520"/>
      <c r="Y10" s="521">
        <f t="shared" si="6"/>
        <v>0</v>
      </c>
      <c r="Z10" s="522">
        <f t="shared" ref="Z10:Z39" si="118">+X10*$H$8</f>
        <v>0</v>
      </c>
      <c r="AA10" s="520">
        <v>6.25</v>
      </c>
      <c r="AB10" s="521">
        <f t="shared" si="7"/>
        <v>0.13660903586806847</v>
      </c>
      <c r="AC10" s="522">
        <f t="shared" ref="AC10:AC39" si="119">+AA10*$H$8</f>
        <v>0</v>
      </c>
      <c r="AD10" s="520"/>
      <c r="AE10" s="521">
        <f t="shared" si="8"/>
        <v>0</v>
      </c>
      <c r="AF10" s="522">
        <f t="shared" ref="AF10:AF39" si="120">+AD10*$H$8</f>
        <v>0</v>
      </c>
      <c r="AG10" s="520"/>
      <c r="AH10" s="521">
        <f t="shared" si="9"/>
        <v>0</v>
      </c>
      <c r="AI10" s="522">
        <f t="shared" ref="AI10:AI39" si="121">+AG10*$H$8</f>
        <v>0</v>
      </c>
      <c r="AJ10" s="520"/>
      <c r="AK10" s="521">
        <f t="shared" si="10"/>
        <v>0</v>
      </c>
      <c r="AL10" s="522">
        <f t="shared" ref="AL10:AL39" si="122">+AJ10*$H$8</f>
        <v>0</v>
      </c>
      <c r="AM10" s="520"/>
      <c r="AN10" s="521">
        <f t="shared" si="11"/>
        <v>0</v>
      </c>
      <c r="AO10" s="522">
        <f t="shared" ref="AO10:AO39" si="123">+AM10*$H$8</f>
        <v>0</v>
      </c>
      <c r="AP10" s="520">
        <v>49.152575949367076</v>
      </c>
      <c r="AQ10" s="521">
        <f t="shared" si="12"/>
        <v>1.0743497617400075</v>
      </c>
      <c r="AR10" s="522">
        <f t="shared" ref="AR10:AR39" si="124">+AP10*$H$8</f>
        <v>0</v>
      </c>
      <c r="AS10" s="520"/>
      <c r="AT10" s="521">
        <f t="shared" si="13"/>
        <v>0</v>
      </c>
      <c r="AU10" s="522">
        <f t="shared" ref="AU10:AU39" si="125">+AS10*$H$8</f>
        <v>0</v>
      </c>
      <c r="AV10" s="520"/>
      <c r="AW10" s="521">
        <f t="shared" si="14"/>
        <v>0</v>
      </c>
      <c r="AX10" s="522">
        <f t="shared" ref="AX10:AX39" si="126">+AV10*$H$8</f>
        <v>0</v>
      </c>
      <c r="AY10" s="520">
        <v>63.274533333333295</v>
      </c>
      <c r="AZ10" s="521">
        <f t="shared" si="15"/>
        <v>1.3830196789869795</v>
      </c>
      <c r="BA10" s="522">
        <f t="shared" ref="BA10:BA39" si="127">+AY10*$H$8</f>
        <v>0</v>
      </c>
      <c r="BB10" s="520"/>
      <c r="BC10" s="521">
        <f t="shared" si="16"/>
        <v>0</v>
      </c>
      <c r="BD10" s="522">
        <f t="shared" ref="BD10:BD39" si="128">+BB10*$H$8</f>
        <v>0</v>
      </c>
      <c r="BE10" s="520"/>
      <c r="BF10" s="521">
        <f t="shared" si="17"/>
        <v>0</v>
      </c>
      <c r="BG10" s="522">
        <f t="shared" ref="BG10:BG39" si="129">+BE10*$H$8</f>
        <v>0</v>
      </c>
      <c r="BH10" s="520"/>
      <c r="BI10" s="521">
        <f t="shared" si="18"/>
        <v>0</v>
      </c>
      <c r="BJ10" s="522">
        <f t="shared" ref="BJ10:BJ39" si="130">+BH10*$H$8</f>
        <v>0</v>
      </c>
      <c r="BK10" s="520"/>
      <c r="BL10" s="521">
        <f t="shared" si="19"/>
        <v>0</v>
      </c>
      <c r="BM10" s="522">
        <f t="shared" ref="BM10:BM39" si="131">+BK10*$H$8</f>
        <v>0</v>
      </c>
      <c r="BN10" s="520"/>
      <c r="BO10" s="521">
        <f t="shared" si="20"/>
        <v>0</v>
      </c>
      <c r="BP10" s="522">
        <f t="shared" ref="BP10:BP39" si="132">+BN10*$H$8</f>
        <v>0</v>
      </c>
      <c r="BQ10" s="520"/>
      <c r="BR10" s="521">
        <f t="shared" si="21"/>
        <v>0</v>
      </c>
      <c r="BS10" s="522">
        <f t="shared" ref="BS10:BS39" si="133">+BQ10*$H$8</f>
        <v>0</v>
      </c>
      <c r="BT10" s="520"/>
      <c r="BU10" s="521">
        <f t="shared" si="22"/>
        <v>0</v>
      </c>
      <c r="BV10" s="522">
        <f t="shared" ref="BV10:BV39" si="134">+BT10*$H$8</f>
        <v>0</v>
      </c>
      <c r="BW10" s="520"/>
      <c r="BX10" s="521">
        <f t="shared" si="23"/>
        <v>0</v>
      </c>
      <c r="BY10" s="522">
        <f t="shared" ref="BY10:BY39" si="135">+BW10*$H$8</f>
        <v>0</v>
      </c>
      <c r="BZ10" s="520"/>
      <c r="CA10" s="521">
        <f t="shared" si="24"/>
        <v>0</v>
      </c>
      <c r="CB10" s="522">
        <f t="shared" ref="CB10:CB39" si="136">+BZ10*$H$8</f>
        <v>0</v>
      </c>
      <c r="CC10" s="520"/>
      <c r="CD10" s="521">
        <f t="shared" si="25"/>
        <v>0</v>
      </c>
      <c r="CE10" s="522">
        <f t="shared" ref="CE10:CE39" si="137">+CC10*$H$8</f>
        <v>0</v>
      </c>
      <c r="CF10" s="520">
        <v>0.99999999999999645</v>
      </c>
      <c r="CG10" s="521">
        <f t="shared" si="26"/>
        <v>2.1857445738890875E-2</v>
      </c>
      <c r="CH10" s="522">
        <f t="shared" ref="CH10:CH39" si="138">+CF10*$H$8</f>
        <v>0</v>
      </c>
      <c r="CI10" s="520"/>
      <c r="CJ10" s="521">
        <f t="shared" si="27"/>
        <v>0</v>
      </c>
      <c r="CK10" s="522">
        <f t="shared" ref="CK10:CK39" si="139">+CI10*$H$8</f>
        <v>0</v>
      </c>
      <c r="CL10" s="520"/>
      <c r="CM10" s="521">
        <f t="shared" si="28"/>
        <v>0</v>
      </c>
      <c r="CN10" s="522">
        <f t="shared" ref="CN10:CN39" si="140">+CL10*$H$8</f>
        <v>0</v>
      </c>
      <c r="CO10" s="520">
        <v>0.5</v>
      </c>
      <c r="CP10" s="521">
        <f t="shared" si="29"/>
        <v>1.0928722869445478E-2</v>
      </c>
      <c r="CQ10" s="522">
        <f t="shared" ref="CQ10:CQ39" si="141">+CO10*$H$8</f>
        <v>0</v>
      </c>
      <c r="CR10" s="520"/>
      <c r="CS10" s="521">
        <f t="shared" si="30"/>
        <v>0</v>
      </c>
      <c r="CT10" s="522">
        <f t="shared" ref="CT10:CT39" si="142">+CR10*$H$8</f>
        <v>0</v>
      </c>
      <c r="CU10" s="520"/>
      <c r="CV10" s="521">
        <f t="shared" si="31"/>
        <v>0</v>
      </c>
      <c r="CW10" s="522">
        <f t="shared" ref="CW10:CW39" si="143">+CU10*$H$8</f>
        <v>0</v>
      </c>
      <c r="CX10" s="520"/>
      <c r="CY10" s="521">
        <f t="shared" si="32"/>
        <v>0</v>
      </c>
      <c r="CZ10" s="522">
        <f t="shared" ref="CZ10:CZ39" si="144">+CX10*$H$8</f>
        <v>0</v>
      </c>
      <c r="DA10" s="520">
        <v>125.41627906976737</v>
      </c>
      <c r="DB10" s="521">
        <f t="shared" si="33"/>
        <v>2.7412795145410458</v>
      </c>
      <c r="DC10" s="522">
        <f t="shared" ref="DC10:DC39" si="145">+DA10*$H$8</f>
        <v>0</v>
      </c>
      <c r="DD10" s="520"/>
      <c r="DE10" s="521">
        <f t="shared" si="34"/>
        <v>0</v>
      </c>
      <c r="DF10" s="522">
        <f t="shared" ref="DF10:DF39" si="146">+DD10*$H$8</f>
        <v>0</v>
      </c>
      <c r="DG10" s="520"/>
      <c r="DH10" s="521">
        <f t="shared" si="35"/>
        <v>0</v>
      </c>
      <c r="DI10" s="522">
        <v>0</v>
      </c>
      <c r="DJ10" s="520"/>
      <c r="DK10" s="521">
        <f t="shared" si="36"/>
        <v>0</v>
      </c>
      <c r="DL10" s="522">
        <f t="shared" ref="DL10:DL39" si="147">+DJ10*$H$8</f>
        <v>0</v>
      </c>
      <c r="DM10" s="520"/>
      <c r="DN10" s="521">
        <f t="shared" si="37"/>
        <v>0</v>
      </c>
      <c r="DO10" s="522">
        <f t="shared" ref="DO10:DO39" si="148">+DM10*$H$8</f>
        <v>0</v>
      </c>
      <c r="DP10" s="520"/>
      <c r="DQ10" s="521">
        <f t="shared" si="38"/>
        <v>0</v>
      </c>
      <c r="DR10" s="522">
        <f t="shared" ref="DR10:DR39" si="149">+DP10*$H$8</f>
        <v>0</v>
      </c>
      <c r="DS10" s="520"/>
      <c r="DT10" s="521">
        <f t="shared" si="39"/>
        <v>0</v>
      </c>
      <c r="DU10" s="522">
        <f t="shared" ref="DU10:DU39" si="150">+DS10*$H$8</f>
        <v>0</v>
      </c>
      <c r="DV10" s="520"/>
      <c r="DW10" s="521">
        <f t="shared" si="40"/>
        <v>0</v>
      </c>
      <c r="DX10" s="522">
        <f t="shared" ref="DX10:DX39" si="151">+DV10*$H$8</f>
        <v>0</v>
      </c>
      <c r="DY10" s="520"/>
      <c r="DZ10" s="521">
        <f t="shared" si="41"/>
        <v>0</v>
      </c>
      <c r="EA10" s="522">
        <f t="shared" ref="EA10:EA39" si="152">+DY10*$H$8</f>
        <v>0</v>
      </c>
      <c r="EB10" s="520"/>
      <c r="EC10" s="521">
        <f t="shared" si="42"/>
        <v>0</v>
      </c>
      <c r="ED10" s="522">
        <f t="shared" ref="ED10:ED39" si="153">+EB10*$H$8</f>
        <v>0</v>
      </c>
      <c r="EE10" s="520">
        <v>10.901162790697668</v>
      </c>
      <c r="EF10" s="521">
        <f t="shared" si="43"/>
        <v>0.23827157418849138</v>
      </c>
      <c r="EG10" s="522">
        <f t="shared" ref="EG10:EG39" si="154">+EE10*$H$8</f>
        <v>0</v>
      </c>
      <c r="EH10" s="520">
        <v>50.660588235293972</v>
      </c>
      <c r="EI10" s="521">
        <f t="shared" si="44"/>
        <v>1.1073110584532355</v>
      </c>
      <c r="EJ10" s="522">
        <f t="shared" ref="EJ10:EJ39" si="155">+EH10*$H$8</f>
        <v>0</v>
      </c>
      <c r="EK10" s="520">
        <v>3.0000000000000013</v>
      </c>
      <c r="EL10" s="521">
        <f t="shared" si="45"/>
        <v>6.5572337216672896E-2</v>
      </c>
      <c r="EM10" s="522">
        <f t="shared" ref="EM10:EM39" si="156">+EK10*$H$8</f>
        <v>0</v>
      </c>
      <c r="EN10" s="520"/>
      <c r="EO10" s="521">
        <f t="shared" si="46"/>
        <v>0</v>
      </c>
      <c r="EP10" s="522">
        <f t="shared" ref="EP10:EP39" si="157">+EN10*$H$8</f>
        <v>0</v>
      </c>
      <c r="EQ10" s="520"/>
      <c r="ER10" s="521">
        <f t="shared" si="47"/>
        <v>0</v>
      </c>
      <c r="ES10" s="522">
        <f t="shared" ref="ES10:ES39" si="158">+EQ10*$H$8</f>
        <v>0</v>
      </c>
      <c r="ET10" s="520"/>
      <c r="EU10" s="521">
        <f t="shared" si="48"/>
        <v>0</v>
      </c>
      <c r="EV10" s="522">
        <f t="shared" ref="EV10:EV39" si="159">+ET10*$H$8</f>
        <v>0</v>
      </c>
      <c r="EW10" s="520"/>
      <c r="EX10" s="521">
        <f t="shared" si="49"/>
        <v>0</v>
      </c>
      <c r="EY10" s="522">
        <f t="shared" ref="EY10:EY39" si="160">+EW10*$H$8</f>
        <v>0</v>
      </c>
      <c r="EZ10" s="520"/>
      <c r="FA10" s="521">
        <f t="shared" si="50"/>
        <v>0</v>
      </c>
      <c r="FB10" s="522">
        <f t="shared" ref="FB10:FB39" si="161">+EZ10*$H$8</f>
        <v>0</v>
      </c>
      <c r="FC10" s="520"/>
      <c r="FD10" s="521">
        <f t="shared" si="51"/>
        <v>0</v>
      </c>
      <c r="FE10" s="522">
        <f t="shared" ref="FE10:FE39" si="162">+FC10*$H$8</f>
        <v>0</v>
      </c>
      <c r="FF10" s="520"/>
      <c r="FG10" s="521">
        <f t="shared" si="52"/>
        <v>0</v>
      </c>
      <c r="FH10" s="522">
        <f t="shared" ref="FH10:FH39" si="163">+FF10*$H$8</f>
        <v>0</v>
      </c>
      <c r="FI10" s="520"/>
      <c r="FJ10" s="521">
        <f t="shared" si="53"/>
        <v>0</v>
      </c>
      <c r="FK10" s="522">
        <f t="shared" ref="FK10:FK39" si="164">+FI10*$H$8</f>
        <v>0</v>
      </c>
      <c r="FL10" s="520"/>
      <c r="FM10" s="521">
        <f t="shared" si="54"/>
        <v>0</v>
      </c>
      <c r="FN10" s="522">
        <f t="shared" ref="FN10:FN39" si="165">+FL10*$H$8</f>
        <v>0</v>
      </c>
      <c r="FO10" s="520"/>
      <c r="FP10" s="521">
        <f t="shared" si="55"/>
        <v>0</v>
      </c>
      <c r="FQ10" s="522">
        <f t="shared" ref="FQ10:FQ39" si="166">+FO10*$H$8</f>
        <v>0</v>
      </c>
      <c r="FR10" s="520"/>
      <c r="FS10" s="521">
        <f t="shared" si="56"/>
        <v>0</v>
      </c>
      <c r="FT10" s="522">
        <f t="shared" ref="FT10:FT39" si="167">+FR10*$H$8</f>
        <v>0</v>
      </c>
      <c r="FU10" s="520"/>
      <c r="FV10" s="521">
        <f t="shared" si="57"/>
        <v>0</v>
      </c>
      <c r="FW10" s="522">
        <f t="shared" ref="FW10:FW39" si="168">+FU10*$H$8</f>
        <v>0</v>
      </c>
      <c r="FX10" s="520"/>
      <c r="FY10" s="521">
        <f t="shared" si="58"/>
        <v>0</v>
      </c>
      <c r="FZ10" s="522">
        <f t="shared" ref="FZ10:FZ39" si="169">+FX10*$H$8</f>
        <v>0</v>
      </c>
      <c r="GA10" s="520"/>
      <c r="GB10" s="521">
        <f t="shared" si="59"/>
        <v>0</v>
      </c>
      <c r="GC10" s="522">
        <f t="shared" ref="GC10:GC39" si="170">+GA10*$H$8</f>
        <v>0</v>
      </c>
      <c r="GD10" s="520"/>
      <c r="GE10" s="521">
        <f t="shared" si="60"/>
        <v>0</v>
      </c>
      <c r="GF10" s="522">
        <f t="shared" ref="GF10:GF39" si="171">+GD10*$H$8</f>
        <v>0</v>
      </c>
      <c r="GG10" s="520"/>
      <c r="GH10" s="521">
        <f t="shared" si="61"/>
        <v>0</v>
      </c>
      <c r="GI10" s="522">
        <f t="shared" ref="GI10:GI39" si="172">+GG10*$H$8</f>
        <v>0</v>
      </c>
      <c r="GJ10" s="520"/>
      <c r="GK10" s="521">
        <f t="shared" si="62"/>
        <v>0</v>
      </c>
      <c r="GL10" s="522">
        <f t="shared" ref="GL10:GL39" si="173">+GJ10*$H$8</f>
        <v>0</v>
      </c>
      <c r="GM10" s="520"/>
      <c r="GN10" s="521">
        <f t="shared" si="63"/>
        <v>0</v>
      </c>
      <c r="GO10" s="522">
        <f t="shared" ref="GO10:GO39" si="174">+GM10*$H$8</f>
        <v>0</v>
      </c>
      <c r="GP10" s="520"/>
      <c r="GQ10" s="521">
        <f t="shared" si="64"/>
        <v>0</v>
      </c>
      <c r="GR10" s="522">
        <f t="shared" ref="GR10:GR39" si="175">+GP10*$H$8</f>
        <v>0</v>
      </c>
      <c r="GS10" s="520"/>
      <c r="GT10" s="521">
        <f t="shared" si="65"/>
        <v>0</v>
      </c>
      <c r="GU10" s="522">
        <f t="shared" ref="GU10:GU39" si="176">+GS10*$H$8</f>
        <v>0</v>
      </c>
      <c r="GV10" s="520"/>
      <c r="GW10" s="521">
        <f t="shared" si="66"/>
        <v>0</v>
      </c>
      <c r="GX10" s="522">
        <f t="shared" ref="GX10:GX39" si="177">+GV10*$H$8</f>
        <v>0</v>
      </c>
      <c r="GY10" s="520"/>
      <c r="GZ10" s="521">
        <f t="shared" si="67"/>
        <v>0</v>
      </c>
      <c r="HA10" s="522">
        <f t="shared" ref="HA10:HA39" si="178">+GY10*$H$8</f>
        <v>0</v>
      </c>
      <c r="HB10" s="520"/>
      <c r="HC10" s="521">
        <f t="shared" si="68"/>
        <v>0</v>
      </c>
      <c r="HD10" s="522">
        <f t="shared" ref="HD10:HD39" si="179">+HB10*$H$8</f>
        <v>0</v>
      </c>
      <c r="HE10" s="520"/>
      <c r="HF10" s="521">
        <f t="shared" si="69"/>
        <v>0</v>
      </c>
      <c r="HG10" s="522">
        <f t="shared" ref="HG10:HG39" si="180">+HE10*$H$8</f>
        <v>0</v>
      </c>
      <c r="HH10" s="520"/>
      <c r="HI10" s="521">
        <f t="shared" si="70"/>
        <v>0</v>
      </c>
      <c r="HJ10" s="522">
        <f t="shared" ref="HJ10:HJ39" si="181">+HH10*$H$8</f>
        <v>0</v>
      </c>
      <c r="HK10" s="520"/>
      <c r="HL10" s="521">
        <f t="shared" si="71"/>
        <v>0</v>
      </c>
      <c r="HM10" s="522">
        <f t="shared" ref="HM10:HM39" si="182">+HK10*$H$8</f>
        <v>0</v>
      </c>
      <c r="HN10" s="520"/>
      <c r="HO10" s="521">
        <f t="shared" si="72"/>
        <v>0</v>
      </c>
      <c r="HP10" s="522">
        <f t="shared" ref="HP10:HP39" si="183">+HN10*$H$8</f>
        <v>0</v>
      </c>
      <c r="HQ10" s="520"/>
      <c r="HR10" s="521">
        <f t="shared" si="73"/>
        <v>0</v>
      </c>
      <c r="HS10" s="522">
        <f t="shared" ref="HS10:HS39" si="184">+HQ10*$H$8</f>
        <v>0</v>
      </c>
      <c r="HT10" s="520"/>
      <c r="HU10" s="521">
        <f t="shared" si="74"/>
        <v>0</v>
      </c>
      <c r="HV10" s="522">
        <f t="shared" ref="HV10:HV39" si="185">+HT10*$H$8</f>
        <v>0</v>
      </c>
      <c r="HW10" s="520"/>
      <c r="HX10" s="521">
        <f t="shared" si="75"/>
        <v>0</v>
      </c>
      <c r="HY10" s="522">
        <f t="shared" ref="HY10:HY39" si="186">+HW10*$H$8</f>
        <v>0</v>
      </c>
      <c r="HZ10" s="520"/>
      <c r="IA10" s="521">
        <f t="shared" si="76"/>
        <v>0</v>
      </c>
      <c r="IB10" s="522">
        <f t="shared" ref="IB10:IB39" si="187">+HZ10*$H$8</f>
        <v>0</v>
      </c>
      <c r="IC10" s="520"/>
      <c r="ID10" s="521">
        <f t="shared" si="77"/>
        <v>0</v>
      </c>
      <c r="IE10" s="522">
        <f t="shared" ref="IE10:IE39" si="188">+IC10*$H$8</f>
        <v>0</v>
      </c>
      <c r="IF10" s="520"/>
      <c r="IG10" s="521">
        <f t="shared" si="78"/>
        <v>0</v>
      </c>
      <c r="IH10" s="522">
        <f t="shared" ref="IH10:IH39" si="189">+IF10*$H$8</f>
        <v>0</v>
      </c>
      <c r="II10" s="520"/>
      <c r="IJ10" s="521">
        <f t="shared" si="79"/>
        <v>0</v>
      </c>
      <c r="IK10" s="522">
        <f t="shared" ref="IK10:IK39" si="190">+II10*$H$8</f>
        <v>0</v>
      </c>
      <c r="IL10" s="520"/>
      <c r="IM10" s="521">
        <f t="shared" si="80"/>
        <v>0</v>
      </c>
      <c r="IN10" s="522">
        <f t="shared" ref="IN10:IN39" si="191">+IL10*$H$8</f>
        <v>0</v>
      </c>
      <c r="IO10" s="520"/>
      <c r="IP10" s="521">
        <f t="shared" si="81"/>
        <v>0</v>
      </c>
      <c r="IQ10" s="522">
        <f t="shared" ref="IQ10:IQ39" si="192">+IO10*$H$8</f>
        <v>0</v>
      </c>
      <c r="IR10" s="520"/>
      <c r="IS10" s="521">
        <f t="shared" si="82"/>
        <v>0</v>
      </c>
      <c r="IT10" s="522">
        <f t="shared" ref="IT10:IT39" si="193">+IR10*$H$8</f>
        <v>0</v>
      </c>
      <c r="IU10" s="520"/>
      <c r="IV10" s="521">
        <f t="shared" si="83"/>
        <v>0</v>
      </c>
      <c r="IW10" s="522">
        <f t="shared" ref="IW10:IW39" si="194">+IU10*$H$8</f>
        <v>0</v>
      </c>
      <c r="IX10" s="520"/>
      <c r="IY10" s="521">
        <f t="shared" si="84"/>
        <v>0</v>
      </c>
      <c r="IZ10" s="522">
        <f t="shared" ref="IZ10:IZ39" si="195">+IX10*$H$8</f>
        <v>0</v>
      </c>
      <c r="JA10" s="520"/>
      <c r="JB10" s="521">
        <f t="shared" si="85"/>
        <v>0</v>
      </c>
      <c r="JC10" s="522">
        <f t="shared" ref="JC10:JC39" si="196">+JA10*$H$8</f>
        <v>0</v>
      </c>
      <c r="JD10" s="520"/>
      <c r="JE10" s="521">
        <f t="shared" si="86"/>
        <v>0</v>
      </c>
      <c r="JF10" s="522">
        <f t="shared" ref="JF10:JF39" si="197">+JD10*$H$8</f>
        <v>0</v>
      </c>
      <c r="JG10" s="520"/>
      <c r="JH10" s="521">
        <f t="shared" si="87"/>
        <v>0</v>
      </c>
      <c r="JI10" s="522">
        <f t="shared" ref="JI10:JI39" si="198">+JG10*$H$8</f>
        <v>0</v>
      </c>
      <c r="JJ10" s="520"/>
      <c r="JK10" s="522" t="str">
        <f t="shared" si="88"/>
        <v>0</v>
      </c>
      <c r="JL10" s="522" t="str">
        <f t="shared" si="89"/>
        <v>0</v>
      </c>
      <c r="JM10" s="520"/>
      <c r="JN10" s="522" t="str">
        <f t="shared" si="90"/>
        <v>0</v>
      </c>
      <c r="JO10" s="522" t="str">
        <f t="shared" si="91"/>
        <v>0</v>
      </c>
      <c r="JP10" s="520"/>
      <c r="JQ10" s="522" t="str">
        <f t="shared" si="92"/>
        <v>0</v>
      </c>
      <c r="JR10" s="522" t="str">
        <f t="shared" si="93"/>
        <v>0</v>
      </c>
      <c r="JS10" s="520"/>
      <c r="JT10" s="522" t="str">
        <f t="shared" si="94"/>
        <v>0</v>
      </c>
      <c r="JU10" s="522" t="str">
        <f t="shared" si="95"/>
        <v>0</v>
      </c>
      <c r="JV10" s="520"/>
      <c r="JW10" s="522" t="str">
        <f t="shared" si="96"/>
        <v>0</v>
      </c>
      <c r="JX10" s="522" t="str">
        <f t="shared" si="97"/>
        <v>0</v>
      </c>
      <c r="JY10" s="520"/>
      <c r="JZ10" s="522" t="str">
        <f t="shared" si="98"/>
        <v>0</v>
      </c>
      <c r="KA10" s="522" t="str">
        <f t="shared" si="99"/>
        <v>0</v>
      </c>
      <c r="KB10" s="520"/>
      <c r="KC10" s="522" t="str">
        <f t="shared" si="100"/>
        <v>0</v>
      </c>
      <c r="KD10" s="522" t="str">
        <f t="shared" si="101"/>
        <v>0</v>
      </c>
      <c r="KE10" s="520"/>
      <c r="KF10" s="522" t="str">
        <f t="shared" si="102"/>
        <v>0</v>
      </c>
      <c r="KG10" s="522" t="str">
        <f t="shared" si="103"/>
        <v>0</v>
      </c>
      <c r="KH10" s="520"/>
      <c r="KI10" s="522" t="str">
        <f t="shared" si="104"/>
        <v>0</v>
      </c>
      <c r="KJ10" s="522" t="str">
        <f t="shared" si="105"/>
        <v>0</v>
      </c>
      <c r="KK10" s="520"/>
      <c r="KL10" s="522" t="str">
        <f t="shared" si="106"/>
        <v>0</v>
      </c>
      <c r="KM10" s="522" t="str">
        <f t="shared" si="107"/>
        <v>0</v>
      </c>
      <c r="KN10" s="520"/>
      <c r="KO10" s="522" t="str">
        <f t="shared" si="108"/>
        <v>0</v>
      </c>
      <c r="KP10" s="522" t="str">
        <f t="shared" si="109"/>
        <v>0</v>
      </c>
      <c r="KQ10" s="520"/>
      <c r="KR10" s="522" t="str">
        <f t="shared" si="110"/>
        <v>0</v>
      </c>
      <c r="KS10" s="522" t="str">
        <f t="shared" si="111"/>
        <v>0</v>
      </c>
      <c r="KT10" s="522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22">
        <f>GF10+GI10+GL10+GO10+GR10+GU10+GX10+HA10+HD10+HG10+HJ10+HM10+HP10+HS10+HV10+HY10+IB10+IE10+IH10+IK10+IN10+IQ10+IT10+IW10+IZ10+JC10+JF10+JI10+JL10+JO10+JR10+JU10+JX10++KA10+KD10+KG10+KJ10++KM10+KP10+KS10</f>
        <v>0</v>
      </c>
      <c r="KV10" s="267">
        <f t="shared" ref="KV10:KV41" si="199">+F10+I10+L10+O10+R10+U10+X10+AA10+AD10+AG10+AJ10+AM10+AP10+AS10+AV10+AY10+BB10+BE10+BH10+BK10+BN10+BQ10+BT10+BW10+BZ10+CC10+CF10+CI10+CL10+CO10+CR10+CU10+CX10+DA10+DD10+DJ10+DM10+DP10+DS10+DV10+DY10+EB10+GG10+GJ10+GM10+GP10+GS10+HN10+II10+IR10+GV10+IU10++HT10+HW10+HZ10+IC10+JA10+JJ10+JM10+HB10+EE10+GD10+EH10+EK10</f>
        <v>328.61053937845941</v>
      </c>
    </row>
    <row r="11" spans="1:308">
      <c r="A11" s="268">
        <f t="shared" ref="A11:A39" si="200">+A10+1</f>
        <v>45872</v>
      </c>
      <c r="B11" s="269" t="str">
        <f>+Report1!B11</f>
        <v>Toilet</v>
      </c>
      <c r="C11" s="269">
        <f>+Report1!C11</f>
        <v>13</v>
      </c>
      <c r="D11" s="270">
        <f>+Report1!P11</f>
        <v>29.524000000000001</v>
      </c>
      <c r="E11" s="558">
        <f>+Report1!R11</f>
        <v>29.978999999999999</v>
      </c>
      <c r="F11" s="520"/>
      <c r="G11" s="521">
        <f t="shared" si="0"/>
        <v>0</v>
      </c>
      <c r="H11" s="522">
        <f t="shared" si="112"/>
        <v>0</v>
      </c>
      <c r="I11" s="520"/>
      <c r="J11" s="521">
        <f t="shared" si="1"/>
        <v>0</v>
      </c>
      <c r="K11" s="522">
        <f t="shared" si="113"/>
        <v>0</v>
      </c>
      <c r="L11" s="520"/>
      <c r="M11" s="521">
        <f t="shared" si="2"/>
        <v>0</v>
      </c>
      <c r="N11" s="522">
        <f t="shared" si="114"/>
        <v>0</v>
      </c>
      <c r="O11" s="520">
        <v>4.6051999999999964</v>
      </c>
      <c r="P11" s="521">
        <f t="shared" si="3"/>
        <v>0.15361419660428954</v>
      </c>
      <c r="Q11" s="522">
        <f t="shared" si="115"/>
        <v>0</v>
      </c>
      <c r="R11" s="520"/>
      <c r="S11" s="521">
        <f t="shared" si="4"/>
        <v>0</v>
      </c>
      <c r="T11" s="522">
        <f t="shared" si="116"/>
        <v>0</v>
      </c>
      <c r="U11" s="520">
        <v>6.8804000000000087</v>
      </c>
      <c r="V11" s="521">
        <f t="shared" si="5"/>
        <v>0.22950732179192132</v>
      </c>
      <c r="W11" s="522">
        <f t="shared" si="117"/>
        <v>0</v>
      </c>
      <c r="X11" s="520"/>
      <c r="Y11" s="521">
        <f t="shared" si="6"/>
        <v>0</v>
      </c>
      <c r="Z11" s="522">
        <f t="shared" si="118"/>
        <v>0</v>
      </c>
      <c r="AA11" s="520">
        <v>6.25</v>
      </c>
      <c r="AB11" s="521">
        <f t="shared" si="7"/>
        <v>0.20847926882150838</v>
      </c>
      <c r="AC11" s="522">
        <f t="shared" si="119"/>
        <v>0</v>
      </c>
      <c r="AD11" s="520"/>
      <c r="AE11" s="521">
        <f t="shared" si="8"/>
        <v>0</v>
      </c>
      <c r="AF11" s="522">
        <f t="shared" si="120"/>
        <v>0</v>
      </c>
      <c r="AG11" s="520"/>
      <c r="AH11" s="521">
        <f t="shared" si="9"/>
        <v>0</v>
      </c>
      <c r="AI11" s="522">
        <f t="shared" si="121"/>
        <v>0</v>
      </c>
      <c r="AJ11" s="520"/>
      <c r="AK11" s="521">
        <f t="shared" si="10"/>
        <v>0</v>
      </c>
      <c r="AL11" s="522">
        <f t="shared" si="122"/>
        <v>0</v>
      </c>
      <c r="AM11" s="520"/>
      <c r="AN11" s="521">
        <f t="shared" si="11"/>
        <v>0</v>
      </c>
      <c r="AO11" s="522">
        <f t="shared" si="123"/>
        <v>0</v>
      </c>
      <c r="AP11" s="520">
        <v>30.59129999999999</v>
      </c>
      <c r="AQ11" s="521">
        <f t="shared" si="12"/>
        <v>1.0204242970079052</v>
      </c>
      <c r="AR11" s="522">
        <f t="shared" si="124"/>
        <v>0</v>
      </c>
      <c r="AS11" s="520"/>
      <c r="AT11" s="521">
        <f t="shared" si="13"/>
        <v>0</v>
      </c>
      <c r="AU11" s="522">
        <f t="shared" si="125"/>
        <v>0</v>
      </c>
      <c r="AV11" s="520"/>
      <c r="AW11" s="521">
        <f t="shared" si="14"/>
        <v>0</v>
      </c>
      <c r="AX11" s="522">
        <f t="shared" si="126"/>
        <v>0</v>
      </c>
      <c r="AY11" s="520">
        <v>39.394400000000019</v>
      </c>
      <c r="AZ11" s="521">
        <f t="shared" si="15"/>
        <v>1.3140665132259255</v>
      </c>
      <c r="BA11" s="522">
        <f t="shared" si="127"/>
        <v>0</v>
      </c>
      <c r="BB11" s="520"/>
      <c r="BC11" s="521">
        <f t="shared" si="16"/>
        <v>0</v>
      </c>
      <c r="BD11" s="522">
        <f t="shared" si="128"/>
        <v>0</v>
      </c>
      <c r="BE11" s="520"/>
      <c r="BF11" s="521">
        <f t="shared" si="17"/>
        <v>0</v>
      </c>
      <c r="BG11" s="522">
        <f t="shared" si="129"/>
        <v>0</v>
      </c>
      <c r="BH11" s="520"/>
      <c r="BI11" s="521">
        <f t="shared" si="18"/>
        <v>0</v>
      </c>
      <c r="BJ11" s="522">
        <f t="shared" si="130"/>
        <v>0</v>
      </c>
      <c r="BK11" s="520"/>
      <c r="BL11" s="521">
        <f t="shared" si="19"/>
        <v>0</v>
      </c>
      <c r="BM11" s="522">
        <f t="shared" si="131"/>
        <v>0</v>
      </c>
      <c r="BN11" s="520"/>
      <c r="BO11" s="521">
        <f t="shared" si="20"/>
        <v>0</v>
      </c>
      <c r="BP11" s="522">
        <f t="shared" si="132"/>
        <v>0</v>
      </c>
      <c r="BQ11" s="520"/>
      <c r="BR11" s="521">
        <f t="shared" si="21"/>
        <v>0</v>
      </c>
      <c r="BS11" s="522">
        <f t="shared" si="133"/>
        <v>0</v>
      </c>
      <c r="BT11" s="520"/>
      <c r="BU11" s="521">
        <f t="shared" si="22"/>
        <v>0</v>
      </c>
      <c r="BV11" s="522">
        <f t="shared" si="134"/>
        <v>0</v>
      </c>
      <c r="BW11" s="520"/>
      <c r="BX11" s="521">
        <f t="shared" si="23"/>
        <v>0</v>
      </c>
      <c r="BY11" s="522">
        <f t="shared" si="135"/>
        <v>0</v>
      </c>
      <c r="BZ11" s="520"/>
      <c r="CA11" s="521">
        <f t="shared" si="24"/>
        <v>0</v>
      </c>
      <c r="CB11" s="522">
        <f t="shared" si="136"/>
        <v>0</v>
      </c>
      <c r="CC11" s="520"/>
      <c r="CD11" s="521">
        <f t="shared" si="25"/>
        <v>0</v>
      </c>
      <c r="CE11" s="522">
        <f t="shared" si="137"/>
        <v>0</v>
      </c>
      <c r="CF11" s="520">
        <v>0.7</v>
      </c>
      <c r="CG11" s="521">
        <f t="shared" si="26"/>
        <v>2.3349678108008937E-2</v>
      </c>
      <c r="CH11" s="522">
        <f t="shared" si="138"/>
        <v>0</v>
      </c>
      <c r="CI11" s="520"/>
      <c r="CJ11" s="521">
        <f t="shared" si="27"/>
        <v>0</v>
      </c>
      <c r="CK11" s="522">
        <f t="shared" si="139"/>
        <v>0</v>
      </c>
      <c r="CL11" s="520"/>
      <c r="CM11" s="521">
        <f t="shared" si="28"/>
        <v>0</v>
      </c>
      <c r="CN11" s="522">
        <f t="shared" si="140"/>
        <v>0</v>
      </c>
      <c r="CO11" s="520">
        <v>0.5</v>
      </c>
      <c r="CP11" s="521">
        <f t="shared" si="29"/>
        <v>1.6678341505720673E-2</v>
      </c>
      <c r="CQ11" s="522">
        <f t="shared" si="141"/>
        <v>0</v>
      </c>
      <c r="CR11" s="520"/>
      <c r="CS11" s="521">
        <f t="shared" si="30"/>
        <v>0</v>
      </c>
      <c r="CT11" s="522">
        <f t="shared" si="142"/>
        <v>0</v>
      </c>
      <c r="CU11" s="520"/>
      <c r="CV11" s="521">
        <f t="shared" si="31"/>
        <v>0</v>
      </c>
      <c r="CW11" s="522">
        <f t="shared" si="143"/>
        <v>0</v>
      </c>
      <c r="CX11" s="520"/>
      <c r="CY11" s="521">
        <f t="shared" si="32"/>
        <v>0</v>
      </c>
      <c r="CZ11" s="522">
        <f t="shared" si="144"/>
        <v>0</v>
      </c>
      <c r="DA11" s="520">
        <v>78.072000000000116</v>
      </c>
      <c r="DB11" s="521">
        <f t="shared" si="33"/>
        <v>2.6042229560692522</v>
      </c>
      <c r="DC11" s="522">
        <f t="shared" si="145"/>
        <v>0</v>
      </c>
      <c r="DD11" s="520"/>
      <c r="DE11" s="521">
        <f t="shared" si="34"/>
        <v>0</v>
      </c>
      <c r="DF11" s="522">
        <f t="shared" si="146"/>
        <v>0</v>
      </c>
      <c r="DG11" s="520"/>
      <c r="DH11" s="521">
        <f t="shared" si="35"/>
        <v>0</v>
      </c>
      <c r="DI11" s="522">
        <v>0</v>
      </c>
      <c r="DJ11" s="520"/>
      <c r="DK11" s="521">
        <f t="shared" si="36"/>
        <v>0</v>
      </c>
      <c r="DL11" s="522">
        <f t="shared" si="147"/>
        <v>0</v>
      </c>
      <c r="DM11" s="520"/>
      <c r="DN11" s="521">
        <f t="shared" si="37"/>
        <v>0</v>
      </c>
      <c r="DO11" s="522">
        <f t="shared" si="148"/>
        <v>0</v>
      </c>
      <c r="DP11" s="520"/>
      <c r="DQ11" s="521">
        <f t="shared" si="38"/>
        <v>0</v>
      </c>
      <c r="DR11" s="522">
        <f t="shared" si="149"/>
        <v>0</v>
      </c>
      <c r="DS11" s="520"/>
      <c r="DT11" s="521">
        <f t="shared" si="39"/>
        <v>0</v>
      </c>
      <c r="DU11" s="522">
        <f t="shared" si="150"/>
        <v>0</v>
      </c>
      <c r="DV11" s="520"/>
      <c r="DW11" s="521">
        <f t="shared" si="40"/>
        <v>0</v>
      </c>
      <c r="DX11" s="522">
        <f t="shared" si="151"/>
        <v>0</v>
      </c>
      <c r="DY11" s="520">
        <v>17.253012048192772</v>
      </c>
      <c r="DZ11" s="521">
        <f t="shared" si="41"/>
        <v>0.57550325388414469</v>
      </c>
      <c r="EA11" s="522">
        <f t="shared" si="152"/>
        <v>0</v>
      </c>
      <c r="EB11" s="520"/>
      <c r="EC11" s="521">
        <f t="shared" si="42"/>
        <v>0</v>
      </c>
      <c r="ED11" s="522">
        <f t="shared" si="153"/>
        <v>0</v>
      </c>
      <c r="EE11" s="520">
        <v>10.901162790697668</v>
      </c>
      <c r="EF11" s="521">
        <f t="shared" si="43"/>
        <v>0.36362663166542142</v>
      </c>
      <c r="EG11" s="522">
        <f t="shared" si="154"/>
        <v>0</v>
      </c>
      <c r="EH11" s="520">
        <v>31.529999999999973</v>
      </c>
      <c r="EI11" s="521">
        <f t="shared" si="44"/>
        <v>1.0517362153507446</v>
      </c>
      <c r="EJ11" s="522">
        <f t="shared" si="155"/>
        <v>0</v>
      </c>
      <c r="EK11" s="520">
        <v>2.6</v>
      </c>
      <c r="EL11" s="521">
        <f t="shared" si="45"/>
        <v>8.6727375829747488E-2</v>
      </c>
      <c r="EM11" s="522">
        <f t="shared" si="156"/>
        <v>0</v>
      </c>
      <c r="EN11" s="520"/>
      <c r="EO11" s="521">
        <f t="shared" si="46"/>
        <v>0</v>
      </c>
      <c r="EP11" s="522">
        <f t="shared" si="157"/>
        <v>0</v>
      </c>
      <c r="EQ11" s="520"/>
      <c r="ER11" s="521">
        <f t="shared" si="47"/>
        <v>0</v>
      </c>
      <c r="ES11" s="522">
        <f t="shared" si="158"/>
        <v>0</v>
      </c>
      <c r="ET11" s="520"/>
      <c r="EU11" s="521">
        <f t="shared" si="48"/>
        <v>0</v>
      </c>
      <c r="EV11" s="522">
        <f t="shared" si="159"/>
        <v>0</v>
      </c>
      <c r="EW11" s="520"/>
      <c r="EX11" s="521">
        <f t="shared" si="49"/>
        <v>0</v>
      </c>
      <c r="EY11" s="522">
        <f t="shared" si="160"/>
        <v>0</v>
      </c>
      <c r="EZ11" s="520"/>
      <c r="FA11" s="521">
        <f t="shared" si="50"/>
        <v>0</v>
      </c>
      <c r="FB11" s="522">
        <f t="shared" si="161"/>
        <v>0</v>
      </c>
      <c r="FC11" s="520"/>
      <c r="FD11" s="521">
        <f t="shared" si="51"/>
        <v>0</v>
      </c>
      <c r="FE11" s="522">
        <f t="shared" si="162"/>
        <v>0</v>
      </c>
      <c r="FF11" s="520"/>
      <c r="FG11" s="521">
        <f t="shared" si="52"/>
        <v>0</v>
      </c>
      <c r="FH11" s="522">
        <f t="shared" si="163"/>
        <v>0</v>
      </c>
      <c r="FI11" s="520"/>
      <c r="FJ11" s="521">
        <f t="shared" si="53"/>
        <v>0</v>
      </c>
      <c r="FK11" s="522">
        <f t="shared" si="164"/>
        <v>0</v>
      </c>
      <c r="FL11" s="520"/>
      <c r="FM11" s="521">
        <f t="shared" si="54"/>
        <v>0</v>
      </c>
      <c r="FN11" s="522">
        <f t="shared" si="165"/>
        <v>0</v>
      </c>
      <c r="FO11" s="520"/>
      <c r="FP11" s="521">
        <f t="shared" si="55"/>
        <v>0</v>
      </c>
      <c r="FQ11" s="522">
        <f t="shared" si="166"/>
        <v>0</v>
      </c>
      <c r="FR11" s="520"/>
      <c r="FS11" s="521">
        <f t="shared" si="56"/>
        <v>0</v>
      </c>
      <c r="FT11" s="522">
        <f t="shared" si="167"/>
        <v>0</v>
      </c>
      <c r="FU11" s="520"/>
      <c r="FV11" s="521">
        <f t="shared" si="57"/>
        <v>0</v>
      </c>
      <c r="FW11" s="522">
        <f t="shared" si="168"/>
        <v>0</v>
      </c>
      <c r="FX11" s="520"/>
      <c r="FY11" s="521">
        <f t="shared" si="58"/>
        <v>0</v>
      </c>
      <c r="FZ11" s="522">
        <f t="shared" si="169"/>
        <v>0</v>
      </c>
      <c r="GA11" s="520"/>
      <c r="GB11" s="521">
        <f t="shared" si="59"/>
        <v>0</v>
      </c>
      <c r="GC11" s="522">
        <f t="shared" si="170"/>
        <v>0</v>
      </c>
      <c r="GD11" s="520"/>
      <c r="GE11" s="521">
        <f t="shared" si="60"/>
        <v>0</v>
      </c>
      <c r="GF11" s="522">
        <f t="shared" si="171"/>
        <v>0</v>
      </c>
      <c r="GG11" s="520"/>
      <c r="GH11" s="521">
        <f t="shared" si="61"/>
        <v>0</v>
      </c>
      <c r="GI11" s="522">
        <f t="shared" si="172"/>
        <v>0</v>
      </c>
      <c r="GJ11" s="520"/>
      <c r="GK11" s="521">
        <f t="shared" si="62"/>
        <v>0</v>
      </c>
      <c r="GL11" s="522">
        <f t="shared" si="173"/>
        <v>0</v>
      </c>
      <c r="GM11" s="520"/>
      <c r="GN11" s="521">
        <f t="shared" si="63"/>
        <v>0</v>
      </c>
      <c r="GO11" s="522">
        <f t="shared" si="174"/>
        <v>0</v>
      </c>
      <c r="GP11" s="520"/>
      <c r="GQ11" s="521">
        <f t="shared" si="64"/>
        <v>0</v>
      </c>
      <c r="GR11" s="522">
        <f t="shared" si="175"/>
        <v>0</v>
      </c>
      <c r="GS11" s="520"/>
      <c r="GT11" s="521">
        <f t="shared" si="65"/>
        <v>0</v>
      </c>
      <c r="GU11" s="522">
        <f t="shared" si="176"/>
        <v>0</v>
      </c>
      <c r="GV11" s="520"/>
      <c r="GW11" s="521">
        <f t="shared" si="66"/>
        <v>0</v>
      </c>
      <c r="GX11" s="522">
        <f t="shared" si="177"/>
        <v>0</v>
      </c>
      <c r="GY11" s="520"/>
      <c r="GZ11" s="521">
        <f t="shared" si="67"/>
        <v>0</v>
      </c>
      <c r="HA11" s="522">
        <f t="shared" si="178"/>
        <v>0</v>
      </c>
      <c r="HB11" s="520"/>
      <c r="HC11" s="521">
        <f t="shared" si="68"/>
        <v>0</v>
      </c>
      <c r="HD11" s="522">
        <f t="shared" si="179"/>
        <v>0</v>
      </c>
      <c r="HE11" s="520"/>
      <c r="HF11" s="521">
        <f t="shared" si="69"/>
        <v>0</v>
      </c>
      <c r="HG11" s="522">
        <f t="shared" si="180"/>
        <v>0</v>
      </c>
      <c r="HH11" s="520"/>
      <c r="HI11" s="521">
        <f t="shared" si="70"/>
        <v>0</v>
      </c>
      <c r="HJ11" s="522">
        <f t="shared" si="181"/>
        <v>0</v>
      </c>
      <c r="HK11" s="520"/>
      <c r="HL11" s="521">
        <f t="shared" si="71"/>
        <v>0</v>
      </c>
      <c r="HM11" s="522">
        <f t="shared" si="182"/>
        <v>0</v>
      </c>
      <c r="HN11" s="520"/>
      <c r="HO11" s="521">
        <f t="shared" si="72"/>
        <v>0</v>
      </c>
      <c r="HP11" s="522">
        <f t="shared" si="183"/>
        <v>0</v>
      </c>
      <c r="HQ11" s="520"/>
      <c r="HR11" s="521">
        <f t="shared" si="73"/>
        <v>0</v>
      </c>
      <c r="HS11" s="522">
        <f t="shared" si="184"/>
        <v>0</v>
      </c>
      <c r="HT11" s="520"/>
      <c r="HU11" s="521">
        <f t="shared" si="74"/>
        <v>0</v>
      </c>
      <c r="HV11" s="522">
        <f t="shared" si="185"/>
        <v>0</v>
      </c>
      <c r="HW11" s="520"/>
      <c r="HX11" s="521">
        <f t="shared" si="75"/>
        <v>0</v>
      </c>
      <c r="HY11" s="522">
        <f t="shared" si="186"/>
        <v>0</v>
      </c>
      <c r="HZ11" s="520"/>
      <c r="IA11" s="521">
        <f t="shared" si="76"/>
        <v>0</v>
      </c>
      <c r="IB11" s="522">
        <f t="shared" si="187"/>
        <v>0</v>
      </c>
      <c r="IC11" s="520"/>
      <c r="ID11" s="521">
        <f t="shared" si="77"/>
        <v>0</v>
      </c>
      <c r="IE11" s="522">
        <f t="shared" si="188"/>
        <v>0</v>
      </c>
      <c r="IF11" s="520"/>
      <c r="IG11" s="521">
        <f t="shared" si="78"/>
        <v>0</v>
      </c>
      <c r="IH11" s="522">
        <f t="shared" si="189"/>
        <v>0</v>
      </c>
      <c r="II11" s="520"/>
      <c r="IJ11" s="521">
        <f t="shared" si="79"/>
        <v>0</v>
      </c>
      <c r="IK11" s="522">
        <f t="shared" si="190"/>
        <v>0</v>
      </c>
      <c r="IL11" s="520"/>
      <c r="IM11" s="521">
        <f t="shared" si="80"/>
        <v>0</v>
      </c>
      <c r="IN11" s="522">
        <f t="shared" si="191"/>
        <v>0</v>
      </c>
      <c r="IO11" s="520"/>
      <c r="IP11" s="521">
        <f t="shared" si="81"/>
        <v>0</v>
      </c>
      <c r="IQ11" s="522">
        <f t="shared" si="192"/>
        <v>0</v>
      </c>
      <c r="IR11" s="520"/>
      <c r="IS11" s="521">
        <f t="shared" si="82"/>
        <v>0</v>
      </c>
      <c r="IT11" s="522">
        <f t="shared" si="193"/>
        <v>0</v>
      </c>
      <c r="IU11" s="520"/>
      <c r="IV11" s="521">
        <f t="shared" si="83"/>
        <v>0</v>
      </c>
      <c r="IW11" s="522">
        <f t="shared" si="194"/>
        <v>0</v>
      </c>
      <c r="IX11" s="520"/>
      <c r="IY11" s="521">
        <f t="shared" si="84"/>
        <v>0</v>
      </c>
      <c r="IZ11" s="522">
        <f t="shared" si="195"/>
        <v>0</v>
      </c>
      <c r="JA11" s="520"/>
      <c r="JB11" s="521">
        <f t="shared" si="85"/>
        <v>0</v>
      </c>
      <c r="JC11" s="522">
        <f t="shared" si="196"/>
        <v>0</v>
      </c>
      <c r="JD11" s="520"/>
      <c r="JE11" s="521">
        <f t="shared" si="86"/>
        <v>0</v>
      </c>
      <c r="JF11" s="522">
        <f t="shared" si="197"/>
        <v>0</v>
      </c>
      <c r="JG11" s="520"/>
      <c r="JH11" s="521">
        <f t="shared" si="87"/>
        <v>0</v>
      </c>
      <c r="JI11" s="522">
        <f t="shared" si="198"/>
        <v>0</v>
      </c>
      <c r="JJ11" s="520"/>
      <c r="JK11" s="522" t="str">
        <f t="shared" si="88"/>
        <v>0</v>
      </c>
      <c r="JL11" s="522" t="str">
        <f t="shared" si="89"/>
        <v>0</v>
      </c>
      <c r="JM11" s="520"/>
      <c r="JN11" s="522" t="str">
        <f t="shared" si="90"/>
        <v>0</v>
      </c>
      <c r="JO11" s="522" t="str">
        <f t="shared" si="91"/>
        <v>0</v>
      </c>
      <c r="JP11" s="520"/>
      <c r="JQ11" s="522" t="str">
        <f t="shared" si="92"/>
        <v>0</v>
      </c>
      <c r="JR11" s="522" t="str">
        <f t="shared" si="93"/>
        <v>0</v>
      </c>
      <c r="JS11" s="520"/>
      <c r="JT11" s="522" t="str">
        <f t="shared" si="94"/>
        <v>0</v>
      </c>
      <c r="JU11" s="522" t="str">
        <f t="shared" si="95"/>
        <v>0</v>
      </c>
      <c r="JV11" s="520"/>
      <c r="JW11" s="522" t="str">
        <f t="shared" si="96"/>
        <v>0</v>
      </c>
      <c r="JX11" s="522" t="str">
        <f t="shared" si="97"/>
        <v>0</v>
      </c>
      <c r="JY11" s="520"/>
      <c r="JZ11" s="522" t="str">
        <f t="shared" si="98"/>
        <v>0</v>
      </c>
      <c r="KA11" s="522" t="str">
        <f t="shared" si="99"/>
        <v>0</v>
      </c>
      <c r="KB11" s="520"/>
      <c r="KC11" s="522" t="str">
        <f t="shared" si="100"/>
        <v>0</v>
      </c>
      <c r="KD11" s="522" t="str">
        <f t="shared" si="101"/>
        <v>0</v>
      </c>
      <c r="KE11" s="520"/>
      <c r="KF11" s="522" t="str">
        <f t="shared" si="102"/>
        <v>0</v>
      </c>
      <c r="KG11" s="522" t="str">
        <f t="shared" si="103"/>
        <v>0</v>
      </c>
      <c r="KH11" s="520"/>
      <c r="KI11" s="522" t="str">
        <f t="shared" si="104"/>
        <v>0</v>
      </c>
      <c r="KJ11" s="522" t="str">
        <f t="shared" si="105"/>
        <v>0</v>
      </c>
      <c r="KK11" s="520"/>
      <c r="KL11" s="522" t="str">
        <f t="shared" si="106"/>
        <v>0</v>
      </c>
      <c r="KM11" s="522" t="str">
        <f t="shared" si="107"/>
        <v>0</v>
      </c>
      <c r="KN11" s="520"/>
      <c r="KO11" s="522" t="str">
        <f t="shared" si="108"/>
        <v>0</v>
      </c>
      <c r="KP11" s="522" t="str">
        <f t="shared" si="109"/>
        <v>0</v>
      </c>
      <c r="KQ11" s="520"/>
      <c r="KR11" s="522" t="str">
        <f t="shared" si="110"/>
        <v>0</v>
      </c>
      <c r="KS11" s="522" t="str">
        <f t="shared" si="111"/>
        <v>0</v>
      </c>
      <c r="KT11" s="522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22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67">
        <f t="shared" si="199"/>
        <v>229.27747483889056</v>
      </c>
    </row>
    <row r="12" spans="1:308">
      <c r="A12" s="268">
        <f t="shared" si="200"/>
        <v>45873</v>
      </c>
      <c r="B12" s="269" t="str">
        <f>+Report1!B12</f>
        <v>Toilet</v>
      </c>
      <c r="C12" s="269">
        <f>+Report1!C12</f>
        <v>13</v>
      </c>
      <c r="D12" s="270">
        <f>+Report1!P12</f>
        <v>45.208999999999996</v>
      </c>
      <c r="E12" s="558">
        <f>+Report1!R12</f>
        <v>44.225000000000001</v>
      </c>
      <c r="F12" s="520"/>
      <c r="G12" s="521">
        <f t="shared" si="0"/>
        <v>0</v>
      </c>
      <c r="H12" s="522">
        <f t="shared" si="112"/>
        <v>0</v>
      </c>
      <c r="I12" s="520"/>
      <c r="J12" s="521">
        <f t="shared" si="1"/>
        <v>0</v>
      </c>
      <c r="K12" s="522">
        <f t="shared" si="113"/>
        <v>0</v>
      </c>
      <c r="L12" s="520"/>
      <c r="M12" s="521">
        <f t="shared" si="2"/>
        <v>0</v>
      </c>
      <c r="N12" s="522">
        <f t="shared" si="114"/>
        <v>0</v>
      </c>
      <c r="O12" s="520">
        <v>5.9947999999999979</v>
      </c>
      <c r="P12" s="521">
        <f t="shared" si="3"/>
        <v>0.13555228942905592</v>
      </c>
      <c r="Q12" s="522">
        <f t="shared" si="115"/>
        <v>0</v>
      </c>
      <c r="R12" s="520"/>
      <c r="S12" s="521">
        <f t="shared" si="4"/>
        <v>0</v>
      </c>
      <c r="T12" s="522">
        <f t="shared" si="116"/>
        <v>0</v>
      </c>
      <c r="U12" s="520">
        <v>8.9704499999999996</v>
      </c>
      <c r="V12" s="521">
        <f t="shared" si="5"/>
        <v>0.2028366308648954</v>
      </c>
      <c r="W12" s="522">
        <f t="shared" si="117"/>
        <v>0</v>
      </c>
      <c r="X12" s="520"/>
      <c r="Y12" s="521">
        <f t="shared" si="6"/>
        <v>0</v>
      </c>
      <c r="Z12" s="522">
        <f t="shared" si="118"/>
        <v>0</v>
      </c>
      <c r="AA12" s="520">
        <v>6.25</v>
      </c>
      <c r="AB12" s="521">
        <f t="shared" si="7"/>
        <v>0.14132278123233466</v>
      </c>
      <c r="AC12" s="522">
        <f t="shared" si="119"/>
        <v>0</v>
      </c>
      <c r="AD12" s="520"/>
      <c r="AE12" s="521">
        <f t="shared" si="8"/>
        <v>0</v>
      </c>
      <c r="AF12" s="522">
        <f t="shared" si="120"/>
        <v>0</v>
      </c>
      <c r="AG12" s="520"/>
      <c r="AH12" s="521">
        <f t="shared" si="9"/>
        <v>0</v>
      </c>
      <c r="AI12" s="522">
        <f t="shared" si="121"/>
        <v>0</v>
      </c>
      <c r="AJ12" s="520"/>
      <c r="AK12" s="521">
        <f t="shared" si="10"/>
        <v>0</v>
      </c>
      <c r="AL12" s="522">
        <f t="shared" si="122"/>
        <v>0</v>
      </c>
      <c r="AM12" s="520"/>
      <c r="AN12" s="521">
        <f t="shared" si="11"/>
        <v>0</v>
      </c>
      <c r="AO12" s="522">
        <f t="shared" si="123"/>
        <v>0</v>
      </c>
      <c r="AP12" s="520">
        <v>39.876377215189905</v>
      </c>
      <c r="AQ12" s="521">
        <f t="shared" si="12"/>
        <v>0.90167048536325389</v>
      </c>
      <c r="AR12" s="522">
        <f t="shared" si="124"/>
        <v>0</v>
      </c>
      <c r="AS12" s="520"/>
      <c r="AT12" s="521">
        <f t="shared" si="13"/>
        <v>0</v>
      </c>
      <c r="AU12" s="522">
        <f t="shared" si="125"/>
        <v>0</v>
      </c>
      <c r="AV12" s="520"/>
      <c r="AW12" s="521">
        <f t="shared" si="14"/>
        <v>0</v>
      </c>
      <c r="AX12" s="522">
        <f t="shared" si="126"/>
        <v>0</v>
      </c>
      <c r="AY12" s="520">
        <v>60.664400000000001</v>
      </c>
      <c r="AZ12" s="521">
        <f t="shared" si="15"/>
        <v>1.3717218767665347</v>
      </c>
      <c r="BA12" s="522">
        <f t="shared" si="127"/>
        <v>0</v>
      </c>
      <c r="BB12" s="520"/>
      <c r="BC12" s="521">
        <f t="shared" si="16"/>
        <v>0</v>
      </c>
      <c r="BD12" s="522">
        <f t="shared" si="128"/>
        <v>0</v>
      </c>
      <c r="BE12" s="520"/>
      <c r="BF12" s="521">
        <f t="shared" si="17"/>
        <v>0</v>
      </c>
      <c r="BG12" s="522">
        <f t="shared" si="129"/>
        <v>0</v>
      </c>
      <c r="BH12" s="520"/>
      <c r="BI12" s="521">
        <f t="shared" si="18"/>
        <v>0</v>
      </c>
      <c r="BJ12" s="522">
        <f t="shared" si="130"/>
        <v>0</v>
      </c>
      <c r="BK12" s="520"/>
      <c r="BL12" s="521">
        <f t="shared" si="19"/>
        <v>0</v>
      </c>
      <c r="BM12" s="522">
        <f t="shared" si="131"/>
        <v>0</v>
      </c>
      <c r="BN12" s="520"/>
      <c r="BO12" s="521">
        <f t="shared" si="20"/>
        <v>0</v>
      </c>
      <c r="BP12" s="522">
        <f t="shared" si="132"/>
        <v>0</v>
      </c>
      <c r="BQ12" s="520"/>
      <c r="BR12" s="521">
        <f t="shared" si="21"/>
        <v>0</v>
      </c>
      <c r="BS12" s="522">
        <f t="shared" si="133"/>
        <v>0</v>
      </c>
      <c r="BT12" s="520"/>
      <c r="BU12" s="521">
        <f t="shared" si="22"/>
        <v>0</v>
      </c>
      <c r="BV12" s="522">
        <f t="shared" si="134"/>
        <v>0</v>
      </c>
      <c r="BW12" s="520"/>
      <c r="BX12" s="521">
        <f t="shared" si="23"/>
        <v>0</v>
      </c>
      <c r="BY12" s="522">
        <f t="shared" si="135"/>
        <v>0</v>
      </c>
      <c r="BZ12" s="520"/>
      <c r="CA12" s="521">
        <f t="shared" si="24"/>
        <v>0</v>
      </c>
      <c r="CB12" s="522">
        <f t="shared" si="136"/>
        <v>0</v>
      </c>
      <c r="CC12" s="520"/>
      <c r="CD12" s="521">
        <f t="shared" si="25"/>
        <v>0</v>
      </c>
      <c r="CE12" s="522">
        <f t="shared" si="137"/>
        <v>0</v>
      </c>
      <c r="CF12" s="520">
        <v>0.99999999999999556</v>
      </c>
      <c r="CG12" s="521">
        <f t="shared" si="26"/>
        <v>2.2611644997173445E-2</v>
      </c>
      <c r="CH12" s="522">
        <f t="shared" si="138"/>
        <v>0</v>
      </c>
      <c r="CI12" s="520"/>
      <c r="CJ12" s="521">
        <f t="shared" si="27"/>
        <v>0</v>
      </c>
      <c r="CK12" s="522">
        <f t="shared" si="139"/>
        <v>0</v>
      </c>
      <c r="CL12" s="520"/>
      <c r="CM12" s="521">
        <f t="shared" si="28"/>
        <v>0</v>
      </c>
      <c r="CN12" s="522">
        <f t="shared" si="140"/>
        <v>0</v>
      </c>
      <c r="CO12" s="520"/>
      <c r="CP12" s="521">
        <f t="shared" si="29"/>
        <v>0</v>
      </c>
      <c r="CQ12" s="522">
        <f t="shared" si="141"/>
        <v>0</v>
      </c>
      <c r="CR12" s="520"/>
      <c r="CS12" s="521">
        <f t="shared" si="30"/>
        <v>0</v>
      </c>
      <c r="CT12" s="522">
        <f t="shared" si="142"/>
        <v>0</v>
      </c>
      <c r="CU12" s="520"/>
      <c r="CV12" s="521">
        <f t="shared" si="31"/>
        <v>0</v>
      </c>
      <c r="CW12" s="522">
        <f t="shared" si="143"/>
        <v>0</v>
      </c>
      <c r="CX12" s="520"/>
      <c r="CY12" s="521">
        <f t="shared" si="32"/>
        <v>0</v>
      </c>
      <c r="CZ12" s="522">
        <f t="shared" si="144"/>
        <v>0</v>
      </c>
      <c r="DA12" s="520">
        <v>101.74427906976734</v>
      </c>
      <c r="DB12" s="521">
        <f t="shared" si="33"/>
        <v>2.3006055188189336</v>
      </c>
      <c r="DC12" s="522">
        <f t="shared" si="145"/>
        <v>0</v>
      </c>
      <c r="DD12" s="520"/>
      <c r="DE12" s="521">
        <f t="shared" si="34"/>
        <v>0</v>
      </c>
      <c r="DF12" s="522">
        <f t="shared" si="146"/>
        <v>0</v>
      </c>
      <c r="DG12" s="520"/>
      <c r="DH12" s="521">
        <f t="shared" si="35"/>
        <v>0</v>
      </c>
      <c r="DI12" s="522">
        <v>0</v>
      </c>
      <c r="DJ12" s="520"/>
      <c r="DK12" s="521">
        <f t="shared" si="36"/>
        <v>0</v>
      </c>
      <c r="DL12" s="522">
        <f t="shared" si="147"/>
        <v>0</v>
      </c>
      <c r="DM12" s="520"/>
      <c r="DN12" s="521">
        <f t="shared" si="37"/>
        <v>0</v>
      </c>
      <c r="DO12" s="522">
        <f t="shared" si="148"/>
        <v>0</v>
      </c>
      <c r="DP12" s="520"/>
      <c r="DQ12" s="521">
        <f t="shared" si="38"/>
        <v>0</v>
      </c>
      <c r="DR12" s="522">
        <f t="shared" si="149"/>
        <v>0</v>
      </c>
      <c r="DS12" s="520"/>
      <c r="DT12" s="521">
        <f t="shared" si="39"/>
        <v>0</v>
      </c>
      <c r="DU12" s="522">
        <f t="shared" si="150"/>
        <v>0</v>
      </c>
      <c r="DV12" s="520"/>
      <c r="DW12" s="521">
        <f t="shared" si="40"/>
        <v>0</v>
      </c>
      <c r="DX12" s="522">
        <f t="shared" si="151"/>
        <v>0</v>
      </c>
      <c r="DY12" s="520"/>
      <c r="DZ12" s="521">
        <f t="shared" si="41"/>
        <v>0</v>
      </c>
      <c r="EA12" s="522">
        <f t="shared" si="152"/>
        <v>0</v>
      </c>
      <c r="EB12" s="520"/>
      <c r="EC12" s="521">
        <f t="shared" si="42"/>
        <v>0</v>
      </c>
      <c r="ED12" s="522">
        <f t="shared" si="153"/>
        <v>0</v>
      </c>
      <c r="EE12" s="520">
        <v>10.901162790697754</v>
      </c>
      <c r="EF12" s="521">
        <f t="shared" si="43"/>
        <v>0.24649322307965524</v>
      </c>
      <c r="EG12" s="522">
        <f t="shared" si="154"/>
        <v>0</v>
      </c>
      <c r="EH12" s="520">
        <v>46.962352941176505</v>
      </c>
      <c r="EI12" s="521">
        <f t="shared" si="44"/>
        <v>1.0618960529378521</v>
      </c>
      <c r="EJ12" s="522">
        <f t="shared" si="155"/>
        <v>0</v>
      </c>
      <c r="EK12" s="520">
        <v>3</v>
      </c>
      <c r="EL12" s="521">
        <f t="shared" si="45"/>
        <v>6.7834934991520629E-2</v>
      </c>
      <c r="EM12" s="522">
        <f t="shared" si="156"/>
        <v>0</v>
      </c>
      <c r="EN12" s="520"/>
      <c r="EO12" s="521">
        <f t="shared" si="46"/>
        <v>0</v>
      </c>
      <c r="EP12" s="522">
        <f t="shared" si="157"/>
        <v>0</v>
      </c>
      <c r="EQ12" s="520"/>
      <c r="ER12" s="521">
        <f t="shared" si="47"/>
        <v>0</v>
      </c>
      <c r="ES12" s="522">
        <f t="shared" si="158"/>
        <v>0</v>
      </c>
      <c r="ET12" s="520"/>
      <c r="EU12" s="521">
        <f t="shared" si="48"/>
        <v>0</v>
      </c>
      <c r="EV12" s="522">
        <f t="shared" si="159"/>
        <v>0</v>
      </c>
      <c r="EW12" s="520"/>
      <c r="EX12" s="521">
        <f t="shared" si="49"/>
        <v>0</v>
      </c>
      <c r="EY12" s="522">
        <f t="shared" si="160"/>
        <v>0</v>
      </c>
      <c r="EZ12" s="520"/>
      <c r="FA12" s="521">
        <f t="shared" si="50"/>
        <v>0</v>
      </c>
      <c r="FB12" s="522">
        <f t="shared" si="161"/>
        <v>0</v>
      </c>
      <c r="FC12" s="520"/>
      <c r="FD12" s="521">
        <f t="shared" si="51"/>
        <v>0</v>
      </c>
      <c r="FE12" s="522">
        <f t="shared" si="162"/>
        <v>0</v>
      </c>
      <c r="FF12" s="520"/>
      <c r="FG12" s="521">
        <f t="shared" si="52"/>
        <v>0</v>
      </c>
      <c r="FH12" s="522">
        <f t="shared" si="163"/>
        <v>0</v>
      </c>
      <c r="FI12" s="520"/>
      <c r="FJ12" s="521">
        <f t="shared" si="53"/>
        <v>0</v>
      </c>
      <c r="FK12" s="522">
        <f t="shared" si="164"/>
        <v>0</v>
      </c>
      <c r="FL12" s="520"/>
      <c r="FM12" s="521">
        <f t="shared" si="54"/>
        <v>0</v>
      </c>
      <c r="FN12" s="522">
        <f t="shared" si="165"/>
        <v>0</v>
      </c>
      <c r="FO12" s="520"/>
      <c r="FP12" s="521">
        <f t="shared" si="55"/>
        <v>0</v>
      </c>
      <c r="FQ12" s="522">
        <f t="shared" si="166"/>
        <v>0</v>
      </c>
      <c r="FR12" s="520"/>
      <c r="FS12" s="521">
        <f t="shared" si="56"/>
        <v>0</v>
      </c>
      <c r="FT12" s="522">
        <f t="shared" si="167"/>
        <v>0</v>
      </c>
      <c r="FU12" s="520"/>
      <c r="FV12" s="521">
        <f t="shared" si="57"/>
        <v>0</v>
      </c>
      <c r="FW12" s="522">
        <f t="shared" si="168"/>
        <v>0</v>
      </c>
      <c r="FX12" s="520"/>
      <c r="FY12" s="521">
        <f t="shared" si="58"/>
        <v>0</v>
      </c>
      <c r="FZ12" s="522">
        <f t="shared" si="169"/>
        <v>0</v>
      </c>
      <c r="GA12" s="520"/>
      <c r="GB12" s="521">
        <f t="shared" si="59"/>
        <v>0</v>
      </c>
      <c r="GC12" s="522">
        <f t="shared" si="170"/>
        <v>0</v>
      </c>
      <c r="GD12" s="520"/>
      <c r="GE12" s="521">
        <f t="shared" si="60"/>
        <v>0</v>
      </c>
      <c r="GF12" s="522">
        <f t="shared" si="171"/>
        <v>0</v>
      </c>
      <c r="GG12" s="520"/>
      <c r="GH12" s="521">
        <f t="shared" si="61"/>
        <v>0</v>
      </c>
      <c r="GI12" s="522">
        <f t="shared" si="172"/>
        <v>0</v>
      </c>
      <c r="GJ12" s="520"/>
      <c r="GK12" s="521">
        <f t="shared" si="62"/>
        <v>0</v>
      </c>
      <c r="GL12" s="522">
        <f t="shared" si="173"/>
        <v>0</v>
      </c>
      <c r="GM12" s="520"/>
      <c r="GN12" s="521">
        <f t="shared" si="63"/>
        <v>0</v>
      </c>
      <c r="GO12" s="522">
        <f t="shared" si="174"/>
        <v>0</v>
      </c>
      <c r="GP12" s="520"/>
      <c r="GQ12" s="521">
        <f t="shared" si="64"/>
        <v>0</v>
      </c>
      <c r="GR12" s="522">
        <f t="shared" si="175"/>
        <v>0</v>
      </c>
      <c r="GS12" s="520"/>
      <c r="GT12" s="521">
        <f t="shared" si="65"/>
        <v>0</v>
      </c>
      <c r="GU12" s="522">
        <f t="shared" si="176"/>
        <v>0</v>
      </c>
      <c r="GV12" s="520"/>
      <c r="GW12" s="521">
        <f t="shared" si="66"/>
        <v>0</v>
      </c>
      <c r="GX12" s="522">
        <f t="shared" si="177"/>
        <v>0</v>
      </c>
      <c r="GY12" s="520"/>
      <c r="GZ12" s="521">
        <f t="shared" si="67"/>
        <v>0</v>
      </c>
      <c r="HA12" s="522">
        <f t="shared" si="178"/>
        <v>0</v>
      </c>
      <c r="HB12" s="520"/>
      <c r="HC12" s="521">
        <f t="shared" si="68"/>
        <v>0</v>
      </c>
      <c r="HD12" s="522">
        <f t="shared" si="179"/>
        <v>0</v>
      </c>
      <c r="HE12" s="520"/>
      <c r="HF12" s="521">
        <f t="shared" si="69"/>
        <v>0</v>
      </c>
      <c r="HG12" s="522">
        <f t="shared" si="180"/>
        <v>0</v>
      </c>
      <c r="HH12" s="520"/>
      <c r="HI12" s="521">
        <f t="shared" si="70"/>
        <v>0</v>
      </c>
      <c r="HJ12" s="522">
        <f t="shared" si="181"/>
        <v>0</v>
      </c>
      <c r="HK12" s="520"/>
      <c r="HL12" s="521">
        <f t="shared" si="71"/>
        <v>0</v>
      </c>
      <c r="HM12" s="522">
        <f t="shared" si="182"/>
        <v>0</v>
      </c>
      <c r="HN12" s="520"/>
      <c r="HO12" s="521">
        <f t="shared" si="72"/>
        <v>0</v>
      </c>
      <c r="HP12" s="522">
        <f t="shared" si="183"/>
        <v>0</v>
      </c>
      <c r="HQ12" s="520"/>
      <c r="HR12" s="521">
        <f t="shared" si="73"/>
        <v>0</v>
      </c>
      <c r="HS12" s="522">
        <f t="shared" si="184"/>
        <v>0</v>
      </c>
      <c r="HT12" s="520"/>
      <c r="HU12" s="521">
        <f t="shared" si="74"/>
        <v>0</v>
      </c>
      <c r="HV12" s="522">
        <f t="shared" si="185"/>
        <v>0</v>
      </c>
      <c r="HW12" s="520"/>
      <c r="HX12" s="521">
        <f t="shared" si="75"/>
        <v>0</v>
      </c>
      <c r="HY12" s="522">
        <f t="shared" si="186"/>
        <v>0</v>
      </c>
      <c r="HZ12" s="520"/>
      <c r="IA12" s="521">
        <f t="shared" si="76"/>
        <v>0</v>
      </c>
      <c r="IB12" s="522">
        <f t="shared" si="187"/>
        <v>0</v>
      </c>
      <c r="IC12" s="520"/>
      <c r="ID12" s="521">
        <f t="shared" si="77"/>
        <v>0</v>
      </c>
      <c r="IE12" s="522">
        <f t="shared" si="188"/>
        <v>0</v>
      </c>
      <c r="IF12" s="520"/>
      <c r="IG12" s="521">
        <f t="shared" si="78"/>
        <v>0</v>
      </c>
      <c r="IH12" s="522">
        <f t="shared" si="189"/>
        <v>0</v>
      </c>
      <c r="II12" s="520"/>
      <c r="IJ12" s="521">
        <f t="shared" si="79"/>
        <v>0</v>
      </c>
      <c r="IK12" s="522">
        <f t="shared" si="190"/>
        <v>0</v>
      </c>
      <c r="IL12" s="520"/>
      <c r="IM12" s="521">
        <f t="shared" si="80"/>
        <v>0</v>
      </c>
      <c r="IN12" s="522">
        <f t="shared" si="191"/>
        <v>0</v>
      </c>
      <c r="IO12" s="520"/>
      <c r="IP12" s="521">
        <f t="shared" si="81"/>
        <v>0</v>
      </c>
      <c r="IQ12" s="522">
        <f t="shared" si="192"/>
        <v>0</v>
      </c>
      <c r="IR12" s="520"/>
      <c r="IS12" s="521">
        <f t="shared" si="82"/>
        <v>0</v>
      </c>
      <c r="IT12" s="522">
        <f t="shared" si="193"/>
        <v>0</v>
      </c>
      <c r="IU12" s="520"/>
      <c r="IV12" s="521">
        <f t="shared" si="83"/>
        <v>0</v>
      </c>
      <c r="IW12" s="522">
        <f t="shared" si="194"/>
        <v>0</v>
      </c>
      <c r="IX12" s="520"/>
      <c r="IY12" s="521">
        <f t="shared" si="84"/>
        <v>0</v>
      </c>
      <c r="IZ12" s="522">
        <f t="shared" si="195"/>
        <v>0</v>
      </c>
      <c r="JA12" s="520"/>
      <c r="JB12" s="521">
        <f t="shared" si="85"/>
        <v>0</v>
      </c>
      <c r="JC12" s="522">
        <f t="shared" si="196"/>
        <v>0</v>
      </c>
      <c r="JD12" s="520"/>
      <c r="JE12" s="521">
        <f t="shared" si="86"/>
        <v>0</v>
      </c>
      <c r="JF12" s="522">
        <f t="shared" si="197"/>
        <v>0</v>
      </c>
      <c r="JG12" s="520"/>
      <c r="JH12" s="521">
        <f t="shared" si="87"/>
        <v>0</v>
      </c>
      <c r="JI12" s="522">
        <f t="shared" si="198"/>
        <v>0</v>
      </c>
      <c r="JJ12" s="520"/>
      <c r="JK12" s="522" t="str">
        <f t="shared" si="88"/>
        <v>0</v>
      </c>
      <c r="JL12" s="522" t="str">
        <f t="shared" si="89"/>
        <v>0</v>
      </c>
      <c r="JM12" s="520"/>
      <c r="JN12" s="522" t="str">
        <f t="shared" si="90"/>
        <v>0</v>
      </c>
      <c r="JO12" s="522" t="str">
        <f t="shared" si="91"/>
        <v>0</v>
      </c>
      <c r="JP12" s="520"/>
      <c r="JQ12" s="522" t="str">
        <f t="shared" si="92"/>
        <v>0</v>
      </c>
      <c r="JR12" s="522" t="str">
        <f t="shared" si="93"/>
        <v>0</v>
      </c>
      <c r="JS12" s="520"/>
      <c r="JT12" s="522" t="str">
        <f t="shared" si="94"/>
        <v>0</v>
      </c>
      <c r="JU12" s="522" t="str">
        <f t="shared" si="95"/>
        <v>0</v>
      </c>
      <c r="JV12" s="520"/>
      <c r="JW12" s="522" t="str">
        <f t="shared" si="96"/>
        <v>0</v>
      </c>
      <c r="JX12" s="522" t="str">
        <f t="shared" si="97"/>
        <v>0</v>
      </c>
      <c r="JY12" s="520"/>
      <c r="JZ12" s="522" t="str">
        <f t="shared" si="98"/>
        <v>0</v>
      </c>
      <c r="KA12" s="522" t="str">
        <f t="shared" si="99"/>
        <v>0</v>
      </c>
      <c r="KB12" s="520"/>
      <c r="KC12" s="522" t="str">
        <f t="shared" si="100"/>
        <v>0</v>
      </c>
      <c r="KD12" s="522" t="str">
        <f t="shared" si="101"/>
        <v>0</v>
      </c>
      <c r="KE12" s="520"/>
      <c r="KF12" s="522" t="str">
        <f t="shared" si="102"/>
        <v>0</v>
      </c>
      <c r="KG12" s="522" t="str">
        <f t="shared" si="103"/>
        <v>0</v>
      </c>
      <c r="KH12" s="520"/>
      <c r="KI12" s="522" t="str">
        <f t="shared" si="104"/>
        <v>0</v>
      </c>
      <c r="KJ12" s="522" t="str">
        <f t="shared" si="105"/>
        <v>0</v>
      </c>
      <c r="KK12" s="520"/>
      <c r="KL12" s="522" t="str">
        <f t="shared" si="106"/>
        <v>0</v>
      </c>
      <c r="KM12" s="522" t="str">
        <f t="shared" si="107"/>
        <v>0</v>
      </c>
      <c r="KN12" s="520"/>
      <c r="KO12" s="522" t="str">
        <f t="shared" si="108"/>
        <v>0</v>
      </c>
      <c r="KP12" s="522" t="str">
        <f t="shared" si="109"/>
        <v>0</v>
      </c>
      <c r="KQ12" s="520"/>
      <c r="KR12" s="522" t="str">
        <f t="shared" si="110"/>
        <v>0</v>
      </c>
      <c r="KS12" s="522" t="str">
        <f t="shared" si="111"/>
        <v>0</v>
      </c>
      <c r="KT12" s="522">
        <f t="shared" si="201"/>
        <v>0</v>
      </c>
      <c r="KU12" s="522">
        <f t="shared" si="202"/>
        <v>0</v>
      </c>
      <c r="KV12" s="267">
        <f t="shared" si="199"/>
        <v>285.36382201683148</v>
      </c>
    </row>
    <row r="13" spans="1:308">
      <c r="A13" s="268">
        <f t="shared" si="200"/>
        <v>45874</v>
      </c>
      <c r="B13" s="269" t="str">
        <f>+Report1!B13</f>
        <v>Toilet</v>
      </c>
      <c r="C13" s="269">
        <f>+Report1!C13</f>
        <v>13</v>
      </c>
      <c r="D13" s="270">
        <f>+Report1!P13</f>
        <v>46.027999999999999</v>
      </c>
      <c r="E13" s="558">
        <f>+Report1!R13</f>
        <v>42.78</v>
      </c>
      <c r="F13" s="520"/>
      <c r="G13" s="521">
        <f t="shared" si="0"/>
        <v>0</v>
      </c>
      <c r="H13" s="522">
        <f t="shared" si="112"/>
        <v>0</v>
      </c>
      <c r="I13" s="520"/>
      <c r="J13" s="521">
        <f t="shared" si="1"/>
        <v>0</v>
      </c>
      <c r="K13" s="522">
        <f t="shared" si="113"/>
        <v>0</v>
      </c>
      <c r="L13" s="520"/>
      <c r="M13" s="521">
        <f t="shared" si="2"/>
        <v>0</v>
      </c>
      <c r="N13" s="522">
        <f t="shared" si="114"/>
        <v>0</v>
      </c>
      <c r="O13" s="520">
        <v>6</v>
      </c>
      <c r="P13" s="521">
        <f t="shared" si="3"/>
        <v>0.14025245441795231</v>
      </c>
      <c r="Q13" s="522">
        <f t="shared" si="115"/>
        <v>0</v>
      </c>
      <c r="R13" s="520"/>
      <c r="S13" s="521">
        <f t="shared" si="4"/>
        <v>0</v>
      </c>
      <c r="T13" s="522">
        <f t="shared" si="116"/>
        <v>0</v>
      </c>
      <c r="U13" s="520">
        <v>8.96875</v>
      </c>
      <c r="V13" s="521">
        <f t="shared" si="5"/>
        <v>0.20964820009350163</v>
      </c>
      <c r="W13" s="522">
        <f t="shared" si="117"/>
        <v>0</v>
      </c>
      <c r="X13" s="520"/>
      <c r="Y13" s="521">
        <f t="shared" si="6"/>
        <v>0</v>
      </c>
      <c r="Z13" s="522">
        <f t="shared" si="118"/>
        <v>0</v>
      </c>
      <c r="AA13" s="520">
        <v>7.8125</v>
      </c>
      <c r="AB13" s="521">
        <f t="shared" si="7"/>
        <v>0.18262038335670874</v>
      </c>
      <c r="AC13" s="522">
        <f t="shared" si="119"/>
        <v>0</v>
      </c>
      <c r="AD13" s="520"/>
      <c r="AE13" s="521">
        <f t="shared" si="8"/>
        <v>0</v>
      </c>
      <c r="AF13" s="522">
        <f t="shared" si="120"/>
        <v>0</v>
      </c>
      <c r="AG13" s="520"/>
      <c r="AH13" s="521">
        <f t="shared" si="9"/>
        <v>0</v>
      </c>
      <c r="AI13" s="522">
        <f t="shared" si="121"/>
        <v>0</v>
      </c>
      <c r="AJ13" s="520"/>
      <c r="AK13" s="521">
        <f t="shared" si="10"/>
        <v>0</v>
      </c>
      <c r="AL13" s="522">
        <f t="shared" si="122"/>
        <v>0</v>
      </c>
      <c r="AM13" s="520"/>
      <c r="AN13" s="521">
        <f t="shared" si="11"/>
        <v>0</v>
      </c>
      <c r="AO13" s="522">
        <f t="shared" si="123"/>
        <v>0</v>
      </c>
      <c r="AP13" s="520">
        <v>34.17721518987338</v>
      </c>
      <c r="AQ13" s="521">
        <f t="shared" si="12"/>
        <v>0.79890638592504393</v>
      </c>
      <c r="AR13" s="522">
        <f t="shared" si="124"/>
        <v>0</v>
      </c>
      <c r="AS13" s="520"/>
      <c r="AT13" s="521">
        <f t="shared" si="13"/>
        <v>0</v>
      </c>
      <c r="AU13" s="522">
        <f t="shared" si="125"/>
        <v>0</v>
      </c>
      <c r="AV13" s="520"/>
      <c r="AW13" s="521">
        <f t="shared" si="14"/>
        <v>0</v>
      </c>
      <c r="AX13" s="522">
        <f t="shared" si="126"/>
        <v>0</v>
      </c>
      <c r="AY13" s="520">
        <v>58.333333333333343</v>
      </c>
      <c r="AZ13" s="521">
        <f t="shared" si="15"/>
        <v>1.3635655290634254</v>
      </c>
      <c r="BA13" s="522">
        <f t="shared" si="127"/>
        <v>0</v>
      </c>
      <c r="BB13" s="520"/>
      <c r="BC13" s="521">
        <f t="shared" si="16"/>
        <v>0</v>
      </c>
      <c r="BD13" s="522">
        <f t="shared" si="128"/>
        <v>0</v>
      </c>
      <c r="BE13" s="520"/>
      <c r="BF13" s="521">
        <f t="shared" si="17"/>
        <v>0</v>
      </c>
      <c r="BG13" s="522">
        <f t="shared" si="129"/>
        <v>0</v>
      </c>
      <c r="BH13" s="520"/>
      <c r="BI13" s="521">
        <f t="shared" si="18"/>
        <v>0</v>
      </c>
      <c r="BJ13" s="522">
        <f t="shared" si="130"/>
        <v>0</v>
      </c>
      <c r="BK13" s="520"/>
      <c r="BL13" s="521">
        <f t="shared" si="19"/>
        <v>0</v>
      </c>
      <c r="BM13" s="522">
        <f t="shared" si="131"/>
        <v>0</v>
      </c>
      <c r="BN13" s="520"/>
      <c r="BO13" s="521">
        <f t="shared" si="20"/>
        <v>0</v>
      </c>
      <c r="BP13" s="522">
        <f t="shared" si="132"/>
        <v>0</v>
      </c>
      <c r="BQ13" s="520"/>
      <c r="BR13" s="521">
        <f t="shared" si="21"/>
        <v>0</v>
      </c>
      <c r="BS13" s="522">
        <f t="shared" si="133"/>
        <v>0</v>
      </c>
      <c r="BT13" s="520"/>
      <c r="BU13" s="521">
        <f t="shared" si="22"/>
        <v>0</v>
      </c>
      <c r="BV13" s="522">
        <f t="shared" si="134"/>
        <v>0</v>
      </c>
      <c r="BW13" s="520"/>
      <c r="BX13" s="521">
        <f t="shared" si="23"/>
        <v>0</v>
      </c>
      <c r="BY13" s="522">
        <f t="shared" si="135"/>
        <v>0</v>
      </c>
      <c r="BZ13" s="520"/>
      <c r="CA13" s="521">
        <f t="shared" si="24"/>
        <v>0</v>
      </c>
      <c r="CB13" s="522">
        <f t="shared" si="136"/>
        <v>0</v>
      </c>
      <c r="CC13" s="520"/>
      <c r="CD13" s="521">
        <f t="shared" si="25"/>
        <v>0</v>
      </c>
      <c r="CE13" s="522">
        <f t="shared" si="137"/>
        <v>0</v>
      </c>
      <c r="CF13" s="520">
        <v>1.0000000000000027</v>
      </c>
      <c r="CG13" s="521">
        <f t="shared" si="26"/>
        <v>2.3375409069658782E-2</v>
      </c>
      <c r="CH13" s="522">
        <f t="shared" si="138"/>
        <v>0</v>
      </c>
      <c r="CI13" s="520"/>
      <c r="CJ13" s="521">
        <f t="shared" si="27"/>
        <v>0</v>
      </c>
      <c r="CK13" s="522">
        <f t="shared" si="139"/>
        <v>0</v>
      </c>
      <c r="CL13" s="520"/>
      <c r="CM13" s="521">
        <f t="shared" si="28"/>
        <v>0</v>
      </c>
      <c r="CN13" s="522">
        <f t="shared" si="140"/>
        <v>0</v>
      </c>
      <c r="CO13" s="520"/>
      <c r="CP13" s="521">
        <f t="shared" si="29"/>
        <v>0</v>
      </c>
      <c r="CQ13" s="522">
        <f t="shared" si="141"/>
        <v>0</v>
      </c>
      <c r="CR13" s="520"/>
      <c r="CS13" s="521">
        <f t="shared" si="30"/>
        <v>0</v>
      </c>
      <c r="CT13" s="522">
        <f t="shared" si="142"/>
        <v>0</v>
      </c>
      <c r="CU13" s="520"/>
      <c r="CV13" s="521">
        <f t="shared" si="31"/>
        <v>0</v>
      </c>
      <c r="CW13" s="522">
        <f t="shared" si="143"/>
        <v>0</v>
      </c>
      <c r="CX13" s="520"/>
      <c r="CY13" s="521">
        <f t="shared" si="32"/>
        <v>0</v>
      </c>
      <c r="CZ13" s="522">
        <f t="shared" si="144"/>
        <v>0</v>
      </c>
      <c r="DA13" s="520">
        <v>159.88372093023258</v>
      </c>
      <c r="DB13" s="521">
        <f t="shared" si="33"/>
        <v>3.7373473803233423</v>
      </c>
      <c r="DC13" s="522">
        <f t="shared" si="145"/>
        <v>0</v>
      </c>
      <c r="DD13" s="520"/>
      <c r="DE13" s="521">
        <f t="shared" si="34"/>
        <v>0</v>
      </c>
      <c r="DF13" s="522">
        <f t="shared" si="146"/>
        <v>0</v>
      </c>
      <c r="DG13" s="520"/>
      <c r="DH13" s="521">
        <f t="shared" si="35"/>
        <v>0</v>
      </c>
      <c r="DI13" s="522">
        <v>0</v>
      </c>
      <c r="DJ13" s="520"/>
      <c r="DK13" s="521">
        <f t="shared" si="36"/>
        <v>0</v>
      </c>
      <c r="DL13" s="522">
        <f t="shared" si="147"/>
        <v>0</v>
      </c>
      <c r="DM13" s="520"/>
      <c r="DN13" s="521">
        <f t="shared" si="37"/>
        <v>0</v>
      </c>
      <c r="DO13" s="522">
        <f t="shared" si="148"/>
        <v>0</v>
      </c>
      <c r="DP13" s="520"/>
      <c r="DQ13" s="521">
        <f t="shared" si="38"/>
        <v>0</v>
      </c>
      <c r="DR13" s="522">
        <f t="shared" si="149"/>
        <v>0</v>
      </c>
      <c r="DS13" s="520"/>
      <c r="DT13" s="521">
        <f t="shared" si="39"/>
        <v>0</v>
      </c>
      <c r="DU13" s="522">
        <f t="shared" si="150"/>
        <v>0</v>
      </c>
      <c r="DV13" s="520"/>
      <c r="DW13" s="521">
        <f t="shared" si="40"/>
        <v>0</v>
      </c>
      <c r="DX13" s="522">
        <f t="shared" si="151"/>
        <v>0</v>
      </c>
      <c r="DY13" s="520"/>
      <c r="DZ13" s="521">
        <f t="shared" si="41"/>
        <v>0</v>
      </c>
      <c r="EA13" s="522">
        <f t="shared" si="152"/>
        <v>0</v>
      </c>
      <c r="EB13" s="520"/>
      <c r="EC13" s="521">
        <f t="shared" si="42"/>
        <v>0</v>
      </c>
      <c r="ED13" s="522">
        <f t="shared" si="153"/>
        <v>0</v>
      </c>
      <c r="EE13" s="520">
        <v>14.534883720930225</v>
      </c>
      <c r="EF13" s="521">
        <f t="shared" si="43"/>
        <v>0.33975885275666723</v>
      </c>
      <c r="EG13" s="522">
        <f t="shared" si="154"/>
        <v>0</v>
      </c>
      <c r="EH13" s="520">
        <v>58.705882352941217</v>
      </c>
      <c r="EI13" s="521">
        <f t="shared" si="44"/>
        <v>1.3722740147952599</v>
      </c>
      <c r="EJ13" s="522">
        <f t="shared" si="155"/>
        <v>0</v>
      </c>
      <c r="EK13" s="520">
        <v>3</v>
      </c>
      <c r="EL13" s="521">
        <f t="shared" si="45"/>
        <v>7.0126227208976155E-2</v>
      </c>
      <c r="EM13" s="522">
        <f t="shared" si="156"/>
        <v>0</v>
      </c>
      <c r="EN13" s="520"/>
      <c r="EO13" s="521">
        <f t="shared" si="46"/>
        <v>0</v>
      </c>
      <c r="EP13" s="522">
        <f t="shared" si="157"/>
        <v>0</v>
      </c>
      <c r="EQ13" s="520"/>
      <c r="ER13" s="521">
        <f t="shared" si="47"/>
        <v>0</v>
      </c>
      <c r="ES13" s="522">
        <f t="shared" si="158"/>
        <v>0</v>
      </c>
      <c r="ET13" s="520"/>
      <c r="EU13" s="521">
        <f t="shared" si="48"/>
        <v>0</v>
      </c>
      <c r="EV13" s="522">
        <f t="shared" si="159"/>
        <v>0</v>
      </c>
      <c r="EW13" s="520"/>
      <c r="EX13" s="521">
        <f t="shared" si="49"/>
        <v>0</v>
      </c>
      <c r="EY13" s="522">
        <f t="shared" si="160"/>
        <v>0</v>
      </c>
      <c r="EZ13" s="520"/>
      <c r="FA13" s="521">
        <f t="shared" si="50"/>
        <v>0</v>
      </c>
      <c r="FB13" s="522">
        <f t="shared" si="161"/>
        <v>0</v>
      </c>
      <c r="FC13" s="520"/>
      <c r="FD13" s="521">
        <f t="shared" si="51"/>
        <v>0</v>
      </c>
      <c r="FE13" s="522">
        <f t="shared" si="162"/>
        <v>0</v>
      </c>
      <c r="FF13" s="520"/>
      <c r="FG13" s="521">
        <f t="shared" si="52"/>
        <v>0</v>
      </c>
      <c r="FH13" s="522">
        <f t="shared" si="163"/>
        <v>0</v>
      </c>
      <c r="FI13" s="520"/>
      <c r="FJ13" s="521">
        <f t="shared" si="53"/>
        <v>0</v>
      </c>
      <c r="FK13" s="522">
        <f t="shared" si="164"/>
        <v>0</v>
      </c>
      <c r="FL13" s="520"/>
      <c r="FM13" s="521">
        <f t="shared" si="54"/>
        <v>0</v>
      </c>
      <c r="FN13" s="522">
        <f t="shared" si="165"/>
        <v>0</v>
      </c>
      <c r="FO13" s="520"/>
      <c r="FP13" s="521">
        <f t="shared" si="55"/>
        <v>0</v>
      </c>
      <c r="FQ13" s="522">
        <f t="shared" si="166"/>
        <v>0</v>
      </c>
      <c r="FR13" s="520"/>
      <c r="FS13" s="521">
        <f t="shared" si="56"/>
        <v>0</v>
      </c>
      <c r="FT13" s="522">
        <f t="shared" si="167"/>
        <v>0</v>
      </c>
      <c r="FU13" s="520"/>
      <c r="FV13" s="521">
        <f t="shared" si="57"/>
        <v>0</v>
      </c>
      <c r="FW13" s="522">
        <f t="shared" si="168"/>
        <v>0</v>
      </c>
      <c r="FX13" s="520"/>
      <c r="FY13" s="521">
        <f t="shared" si="58"/>
        <v>0</v>
      </c>
      <c r="FZ13" s="522">
        <f t="shared" si="169"/>
        <v>0</v>
      </c>
      <c r="GA13" s="520"/>
      <c r="GB13" s="521">
        <f t="shared" si="59"/>
        <v>0</v>
      </c>
      <c r="GC13" s="522">
        <f t="shared" si="170"/>
        <v>0</v>
      </c>
      <c r="GD13" s="520"/>
      <c r="GE13" s="521">
        <f t="shared" si="60"/>
        <v>0</v>
      </c>
      <c r="GF13" s="522">
        <f t="shared" si="171"/>
        <v>0</v>
      </c>
      <c r="GG13" s="520"/>
      <c r="GH13" s="521">
        <f t="shared" si="61"/>
        <v>0</v>
      </c>
      <c r="GI13" s="522">
        <f t="shared" si="172"/>
        <v>0</v>
      </c>
      <c r="GJ13" s="520"/>
      <c r="GK13" s="521">
        <f t="shared" si="62"/>
        <v>0</v>
      </c>
      <c r="GL13" s="522">
        <f t="shared" si="173"/>
        <v>0</v>
      </c>
      <c r="GM13" s="520"/>
      <c r="GN13" s="521">
        <f t="shared" si="63"/>
        <v>0</v>
      </c>
      <c r="GO13" s="522">
        <f t="shared" si="174"/>
        <v>0</v>
      </c>
      <c r="GP13" s="520"/>
      <c r="GQ13" s="521">
        <f t="shared" si="64"/>
        <v>0</v>
      </c>
      <c r="GR13" s="522">
        <f t="shared" si="175"/>
        <v>0</v>
      </c>
      <c r="GS13" s="520"/>
      <c r="GT13" s="521">
        <f t="shared" si="65"/>
        <v>0</v>
      </c>
      <c r="GU13" s="522">
        <f t="shared" si="176"/>
        <v>0</v>
      </c>
      <c r="GV13" s="520"/>
      <c r="GW13" s="521">
        <f t="shared" si="66"/>
        <v>0</v>
      </c>
      <c r="GX13" s="522">
        <f t="shared" si="177"/>
        <v>0</v>
      </c>
      <c r="GY13" s="520"/>
      <c r="GZ13" s="521">
        <f t="shared" si="67"/>
        <v>0</v>
      </c>
      <c r="HA13" s="522">
        <f t="shared" si="178"/>
        <v>0</v>
      </c>
      <c r="HB13" s="520"/>
      <c r="HC13" s="521">
        <f t="shared" si="68"/>
        <v>0</v>
      </c>
      <c r="HD13" s="522">
        <f t="shared" si="179"/>
        <v>0</v>
      </c>
      <c r="HE13" s="520"/>
      <c r="HF13" s="521">
        <f t="shared" si="69"/>
        <v>0</v>
      </c>
      <c r="HG13" s="522">
        <f t="shared" si="180"/>
        <v>0</v>
      </c>
      <c r="HH13" s="520"/>
      <c r="HI13" s="521">
        <f t="shared" si="70"/>
        <v>0</v>
      </c>
      <c r="HJ13" s="522">
        <f t="shared" si="181"/>
        <v>0</v>
      </c>
      <c r="HK13" s="520"/>
      <c r="HL13" s="521">
        <f t="shared" si="71"/>
        <v>0</v>
      </c>
      <c r="HM13" s="522">
        <f t="shared" si="182"/>
        <v>0</v>
      </c>
      <c r="HN13" s="520"/>
      <c r="HO13" s="521">
        <f t="shared" si="72"/>
        <v>0</v>
      </c>
      <c r="HP13" s="522">
        <f t="shared" si="183"/>
        <v>0</v>
      </c>
      <c r="HQ13" s="520"/>
      <c r="HR13" s="521">
        <f t="shared" si="73"/>
        <v>0</v>
      </c>
      <c r="HS13" s="522">
        <f t="shared" si="184"/>
        <v>0</v>
      </c>
      <c r="HT13" s="520"/>
      <c r="HU13" s="521">
        <f t="shared" si="74"/>
        <v>0</v>
      </c>
      <c r="HV13" s="522">
        <f t="shared" si="185"/>
        <v>0</v>
      </c>
      <c r="HW13" s="520"/>
      <c r="HX13" s="521">
        <f t="shared" si="75"/>
        <v>0</v>
      </c>
      <c r="HY13" s="522">
        <f t="shared" si="186"/>
        <v>0</v>
      </c>
      <c r="HZ13" s="520"/>
      <c r="IA13" s="521">
        <f t="shared" si="76"/>
        <v>0</v>
      </c>
      <c r="IB13" s="522">
        <f t="shared" si="187"/>
        <v>0</v>
      </c>
      <c r="IC13" s="520"/>
      <c r="ID13" s="521">
        <f t="shared" si="77"/>
        <v>0</v>
      </c>
      <c r="IE13" s="522">
        <f t="shared" si="188"/>
        <v>0</v>
      </c>
      <c r="IF13" s="520"/>
      <c r="IG13" s="521">
        <f t="shared" si="78"/>
        <v>0</v>
      </c>
      <c r="IH13" s="522">
        <f t="shared" si="189"/>
        <v>0</v>
      </c>
      <c r="II13" s="520"/>
      <c r="IJ13" s="521">
        <f t="shared" si="79"/>
        <v>0</v>
      </c>
      <c r="IK13" s="522">
        <f t="shared" si="190"/>
        <v>0</v>
      </c>
      <c r="IL13" s="520"/>
      <c r="IM13" s="521">
        <f t="shared" si="80"/>
        <v>0</v>
      </c>
      <c r="IN13" s="522">
        <f t="shared" si="191"/>
        <v>0</v>
      </c>
      <c r="IO13" s="520"/>
      <c r="IP13" s="521">
        <f t="shared" si="81"/>
        <v>0</v>
      </c>
      <c r="IQ13" s="522">
        <f t="shared" si="192"/>
        <v>0</v>
      </c>
      <c r="IR13" s="520"/>
      <c r="IS13" s="521">
        <f t="shared" si="82"/>
        <v>0</v>
      </c>
      <c r="IT13" s="522">
        <f t="shared" si="193"/>
        <v>0</v>
      </c>
      <c r="IU13" s="520"/>
      <c r="IV13" s="521">
        <f t="shared" si="83"/>
        <v>0</v>
      </c>
      <c r="IW13" s="522">
        <f t="shared" si="194"/>
        <v>0</v>
      </c>
      <c r="IX13" s="520"/>
      <c r="IY13" s="521">
        <f t="shared" si="84"/>
        <v>0</v>
      </c>
      <c r="IZ13" s="522">
        <f t="shared" si="195"/>
        <v>0</v>
      </c>
      <c r="JA13" s="520"/>
      <c r="JB13" s="521">
        <f t="shared" si="85"/>
        <v>0</v>
      </c>
      <c r="JC13" s="522">
        <f t="shared" si="196"/>
        <v>0</v>
      </c>
      <c r="JD13" s="520"/>
      <c r="JE13" s="521">
        <f t="shared" si="86"/>
        <v>0</v>
      </c>
      <c r="JF13" s="522">
        <f t="shared" si="197"/>
        <v>0</v>
      </c>
      <c r="JG13" s="520"/>
      <c r="JH13" s="521">
        <f t="shared" si="87"/>
        <v>0</v>
      </c>
      <c r="JI13" s="522">
        <f t="shared" si="198"/>
        <v>0</v>
      </c>
      <c r="JJ13" s="520"/>
      <c r="JK13" s="522" t="str">
        <f t="shared" si="88"/>
        <v>0</v>
      </c>
      <c r="JL13" s="522" t="str">
        <f t="shared" si="89"/>
        <v>0</v>
      </c>
      <c r="JM13" s="520"/>
      <c r="JN13" s="522" t="str">
        <f t="shared" si="90"/>
        <v>0</v>
      </c>
      <c r="JO13" s="522" t="str">
        <f t="shared" si="91"/>
        <v>0</v>
      </c>
      <c r="JP13" s="520"/>
      <c r="JQ13" s="522" t="str">
        <f t="shared" si="92"/>
        <v>0</v>
      </c>
      <c r="JR13" s="522" t="str">
        <f t="shared" si="93"/>
        <v>0</v>
      </c>
      <c r="JS13" s="520"/>
      <c r="JT13" s="522" t="str">
        <f t="shared" si="94"/>
        <v>0</v>
      </c>
      <c r="JU13" s="522" t="str">
        <f t="shared" si="95"/>
        <v>0</v>
      </c>
      <c r="JV13" s="520"/>
      <c r="JW13" s="522" t="str">
        <f t="shared" si="96"/>
        <v>0</v>
      </c>
      <c r="JX13" s="522" t="str">
        <f t="shared" si="97"/>
        <v>0</v>
      </c>
      <c r="JY13" s="520"/>
      <c r="JZ13" s="522" t="str">
        <f t="shared" si="98"/>
        <v>0</v>
      </c>
      <c r="KA13" s="522" t="str">
        <f t="shared" si="99"/>
        <v>0</v>
      </c>
      <c r="KB13" s="520"/>
      <c r="KC13" s="522" t="str">
        <f t="shared" si="100"/>
        <v>0</v>
      </c>
      <c r="KD13" s="522" t="str">
        <f t="shared" si="101"/>
        <v>0</v>
      </c>
      <c r="KE13" s="520"/>
      <c r="KF13" s="522" t="str">
        <f t="shared" si="102"/>
        <v>0</v>
      </c>
      <c r="KG13" s="522" t="str">
        <f t="shared" si="103"/>
        <v>0</v>
      </c>
      <c r="KH13" s="520"/>
      <c r="KI13" s="522" t="str">
        <f t="shared" si="104"/>
        <v>0</v>
      </c>
      <c r="KJ13" s="522" t="str">
        <f t="shared" si="105"/>
        <v>0</v>
      </c>
      <c r="KK13" s="520"/>
      <c r="KL13" s="522" t="str">
        <f t="shared" si="106"/>
        <v>0</v>
      </c>
      <c r="KM13" s="522" t="str">
        <f t="shared" si="107"/>
        <v>0</v>
      </c>
      <c r="KN13" s="520"/>
      <c r="KO13" s="522" t="str">
        <f t="shared" si="108"/>
        <v>0</v>
      </c>
      <c r="KP13" s="522" t="str">
        <f t="shared" si="109"/>
        <v>0</v>
      </c>
      <c r="KQ13" s="520"/>
      <c r="KR13" s="522" t="str">
        <f t="shared" si="110"/>
        <v>0</v>
      </c>
      <c r="KS13" s="522" t="str">
        <f t="shared" si="111"/>
        <v>0</v>
      </c>
      <c r="KT13" s="522">
        <f t="shared" si="201"/>
        <v>0</v>
      </c>
      <c r="KU13" s="522">
        <f t="shared" si="202"/>
        <v>0</v>
      </c>
      <c r="KV13" s="267">
        <f t="shared" si="199"/>
        <v>352.41628552731072</v>
      </c>
    </row>
    <row r="14" spans="1:308">
      <c r="A14" s="268">
        <f t="shared" si="200"/>
        <v>45875</v>
      </c>
      <c r="B14" s="269" t="str">
        <f>+Report1!B14</f>
        <v>Toilet</v>
      </c>
      <c r="C14" s="269" t="str">
        <f>+Report1!C14</f>
        <v>13/15,5</v>
      </c>
      <c r="D14" s="270">
        <f>+Report1!P14</f>
        <v>45.620000000000005</v>
      </c>
      <c r="E14" s="558">
        <f>+Report1!R14</f>
        <v>42.75</v>
      </c>
      <c r="F14" s="520"/>
      <c r="G14" s="521">
        <f t="shared" si="0"/>
        <v>0</v>
      </c>
      <c r="H14" s="522">
        <f t="shared" si="112"/>
        <v>0</v>
      </c>
      <c r="I14" s="520"/>
      <c r="J14" s="521">
        <f t="shared" si="1"/>
        <v>0</v>
      </c>
      <c r="K14" s="522">
        <f t="shared" si="113"/>
        <v>0</v>
      </c>
      <c r="L14" s="520"/>
      <c r="M14" s="521">
        <f t="shared" si="2"/>
        <v>0</v>
      </c>
      <c r="N14" s="522">
        <f t="shared" si="114"/>
        <v>0</v>
      </c>
      <c r="O14" s="520">
        <v>6</v>
      </c>
      <c r="P14" s="521">
        <f t="shared" si="3"/>
        <v>0.14035087719298245</v>
      </c>
      <c r="Q14" s="522">
        <f t="shared" si="115"/>
        <v>0</v>
      </c>
      <c r="R14" s="520"/>
      <c r="S14" s="521">
        <f t="shared" si="4"/>
        <v>0</v>
      </c>
      <c r="T14" s="522">
        <f t="shared" si="116"/>
        <v>0</v>
      </c>
      <c r="U14" s="520">
        <v>8.9687499999999716</v>
      </c>
      <c r="V14" s="521">
        <f t="shared" si="5"/>
        <v>0.20979532163742623</v>
      </c>
      <c r="W14" s="522">
        <f t="shared" si="117"/>
        <v>0</v>
      </c>
      <c r="X14" s="520"/>
      <c r="Y14" s="521">
        <f t="shared" si="6"/>
        <v>0</v>
      </c>
      <c r="Z14" s="522">
        <f t="shared" si="118"/>
        <v>0</v>
      </c>
      <c r="AA14" s="520">
        <v>9.375</v>
      </c>
      <c r="AB14" s="521">
        <f t="shared" si="7"/>
        <v>0.21929824561403508</v>
      </c>
      <c r="AC14" s="522">
        <f t="shared" si="119"/>
        <v>0</v>
      </c>
      <c r="AD14" s="520"/>
      <c r="AE14" s="521">
        <f t="shared" si="8"/>
        <v>0</v>
      </c>
      <c r="AF14" s="522">
        <f t="shared" si="120"/>
        <v>0</v>
      </c>
      <c r="AG14" s="520"/>
      <c r="AH14" s="521">
        <f t="shared" si="9"/>
        <v>0</v>
      </c>
      <c r="AI14" s="522">
        <f t="shared" si="121"/>
        <v>0</v>
      </c>
      <c r="AJ14" s="520"/>
      <c r="AK14" s="521">
        <f t="shared" si="10"/>
        <v>0</v>
      </c>
      <c r="AL14" s="522">
        <f t="shared" si="122"/>
        <v>0</v>
      </c>
      <c r="AM14" s="520"/>
      <c r="AN14" s="521">
        <f t="shared" si="11"/>
        <v>0</v>
      </c>
      <c r="AO14" s="522">
        <f t="shared" si="123"/>
        <v>0</v>
      </c>
      <c r="AP14" s="520">
        <v>42.721518987341767</v>
      </c>
      <c r="AQ14" s="521">
        <f t="shared" si="12"/>
        <v>0.99933377748167873</v>
      </c>
      <c r="AR14" s="522">
        <f t="shared" si="124"/>
        <v>0</v>
      </c>
      <c r="AS14" s="520"/>
      <c r="AT14" s="521">
        <f t="shared" si="13"/>
        <v>0</v>
      </c>
      <c r="AU14" s="522">
        <f t="shared" si="125"/>
        <v>0</v>
      </c>
      <c r="AV14" s="520"/>
      <c r="AW14" s="521">
        <f t="shared" si="14"/>
        <v>0</v>
      </c>
      <c r="AX14" s="522">
        <f t="shared" si="126"/>
        <v>0</v>
      </c>
      <c r="AY14" s="520">
        <v>58.333333333333343</v>
      </c>
      <c r="AZ14" s="521">
        <f t="shared" si="15"/>
        <v>1.3645224171539962</v>
      </c>
      <c r="BA14" s="522">
        <f t="shared" si="127"/>
        <v>0</v>
      </c>
      <c r="BB14" s="520"/>
      <c r="BC14" s="521">
        <f t="shared" si="16"/>
        <v>0</v>
      </c>
      <c r="BD14" s="522">
        <f t="shared" si="128"/>
        <v>0</v>
      </c>
      <c r="BE14" s="520"/>
      <c r="BF14" s="521">
        <f t="shared" si="17"/>
        <v>0</v>
      </c>
      <c r="BG14" s="522">
        <f t="shared" si="129"/>
        <v>0</v>
      </c>
      <c r="BH14" s="520"/>
      <c r="BI14" s="521">
        <f t="shared" si="18"/>
        <v>0</v>
      </c>
      <c r="BJ14" s="522">
        <f t="shared" si="130"/>
        <v>0</v>
      </c>
      <c r="BK14" s="520"/>
      <c r="BL14" s="521">
        <f t="shared" si="19"/>
        <v>0</v>
      </c>
      <c r="BM14" s="522">
        <f t="shared" si="131"/>
        <v>0</v>
      </c>
      <c r="BN14" s="520"/>
      <c r="BO14" s="521">
        <f t="shared" si="20"/>
        <v>0</v>
      </c>
      <c r="BP14" s="522">
        <f t="shared" si="132"/>
        <v>0</v>
      </c>
      <c r="BQ14" s="520"/>
      <c r="BR14" s="521">
        <f t="shared" si="21"/>
        <v>0</v>
      </c>
      <c r="BS14" s="522">
        <f t="shared" si="133"/>
        <v>0</v>
      </c>
      <c r="BT14" s="520"/>
      <c r="BU14" s="521">
        <f t="shared" si="22"/>
        <v>0</v>
      </c>
      <c r="BV14" s="522">
        <f t="shared" si="134"/>
        <v>0</v>
      </c>
      <c r="BW14" s="520"/>
      <c r="BX14" s="521">
        <f t="shared" si="23"/>
        <v>0</v>
      </c>
      <c r="BY14" s="522">
        <f t="shared" si="135"/>
        <v>0</v>
      </c>
      <c r="BZ14" s="520"/>
      <c r="CA14" s="521">
        <f t="shared" si="24"/>
        <v>0</v>
      </c>
      <c r="CB14" s="522">
        <f t="shared" si="136"/>
        <v>0</v>
      </c>
      <c r="CC14" s="520"/>
      <c r="CD14" s="521">
        <f t="shared" si="25"/>
        <v>0</v>
      </c>
      <c r="CE14" s="522">
        <f t="shared" si="137"/>
        <v>0</v>
      </c>
      <c r="CF14" s="520">
        <v>0.99999999999999911</v>
      </c>
      <c r="CG14" s="521">
        <f t="shared" si="26"/>
        <v>2.3391812865497054E-2</v>
      </c>
      <c r="CH14" s="522">
        <f t="shared" si="138"/>
        <v>0</v>
      </c>
      <c r="CI14" s="520"/>
      <c r="CJ14" s="521">
        <f t="shared" si="27"/>
        <v>0</v>
      </c>
      <c r="CK14" s="522">
        <f t="shared" si="139"/>
        <v>0</v>
      </c>
      <c r="CL14" s="520"/>
      <c r="CM14" s="521">
        <f t="shared" si="28"/>
        <v>0</v>
      </c>
      <c r="CN14" s="522">
        <f t="shared" si="140"/>
        <v>0</v>
      </c>
      <c r="CO14" s="520"/>
      <c r="CP14" s="521">
        <f t="shared" si="29"/>
        <v>0</v>
      </c>
      <c r="CQ14" s="522">
        <f t="shared" si="141"/>
        <v>0</v>
      </c>
      <c r="CR14" s="520"/>
      <c r="CS14" s="521">
        <f t="shared" si="30"/>
        <v>0</v>
      </c>
      <c r="CT14" s="522">
        <f t="shared" si="142"/>
        <v>0</v>
      </c>
      <c r="CU14" s="520"/>
      <c r="CV14" s="521">
        <f t="shared" si="31"/>
        <v>0</v>
      </c>
      <c r="CW14" s="522">
        <f t="shared" si="143"/>
        <v>0</v>
      </c>
      <c r="CX14" s="520"/>
      <c r="CY14" s="521">
        <f t="shared" si="32"/>
        <v>0</v>
      </c>
      <c r="CZ14" s="522">
        <f t="shared" si="144"/>
        <v>0</v>
      </c>
      <c r="DA14" s="520">
        <v>145.34883720930225</v>
      </c>
      <c r="DB14" s="521">
        <f t="shared" si="33"/>
        <v>3.3999728002175966</v>
      </c>
      <c r="DC14" s="522">
        <f t="shared" si="145"/>
        <v>0</v>
      </c>
      <c r="DD14" s="520"/>
      <c r="DE14" s="521">
        <f t="shared" si="34"/>
        <v>0</v>
      </c>
      <c r="DF14" s="522">
        <f t="shared" si="146"/>
        <v>0</v>
      </c>
      <c r="DG14" s="520"/>
      <c r="DH14" s="521">
        <f t="shared" si="35"/>
        <v>0</v>
      </c>
      <c r="DI14" s="522">
        <f t="shared" ref="DI14:DI39" si="203">+DG14*$H$8</f>
        <v>0</v>
      </c>
      <c r="DJ14" s="520"/>
      <c r="DK14" s="521">
        <f t="shared" si="36"/>
        <v>0</v>
      </c>
      <c r="DL14" s="522">
        <f t="shared" si="147"/>
        <v>0</v>
      </c>
      <c r="DM14" s="520"/>
      <c r="DN14" s="521">
        <f t="shared" si="37"/>
        <v>0</v>
      </c>
      <c r="DO14" s="522">
        <f t="shared" si="148"/>
        <v>0</v>
      </c>
      <c r="DP14" s="520"/>
      <c r="DQ14" s="521">
        <f t="shared" si="38"/>
        <v>0</v>
      </c>
      <c r="DR14" s="522">
        <f t="shared" si="149"/>
        <v>0</v>
      </c>
      <c r="DS14" s="520"/>
      <c r="DT14" s="521">
        <f t="shared" si="39"/>
        <v>0</v>
      </c>
      <c r="DU14" s="522">
        <f t="shared" si="150"/>
        <v>0</v>
      </c>
      <c r="DV14" s="520"/>
      <c r="DW14" s="521">
        <f t="shared" si="40"/>
        <v>0</v>
      </c>
      <c r="DX14" s="522">
        <f t="shared" si="151"/>
        <v>0</v>
      </c>
      <c r="DY14" s="520"/>
      <c r="DZ14" s="521">
        <f t="shared" si="41"/>
        <v>0</v>
      </c>
      <c r="EA14" s="522">
        <f t="shared" si="152"/>
        <v>0</v>
      </c>
      <c r="EB14" s="520"/>
      <c r="EC14" s="521">
        <f t="shared" si="42"/>
        <v>0</v>
      </c>
      <c r="ED14" s="522">
        <f t="shared" si="153"/>
        <v>0</v>
      </c>
      <c r="EE14" s="520">
        <v>14.534883720930225</v>
      </c>
      <c r="EF14" s="521">
        <f t="shared" si="43"/>
        <v>0.33999728002175966</v>
      </c>
      <c r="EG14" s="522">
        <f t="shared" si="154"/>
        <v>0</v>
      </c>
      <c r="EH14" s="520">
        <v>23.482352941176487</v>
      </c>
      <c r="EI14" s="521">
        <f t="shared" si="44"/>
        <v>0.54929480564155519</v>
      </c>
      <c r="EJ14" s="522">
        <f t="shared" si="155"/>
        <v>0</v>
      </c>
      <c r="EK14" s="520">
        <v>3</v>
      </c>
      <c r="EL14" s="521">
        <f t="shared" si="45"/>
        <v>7.0175438596491224E-2</v>
      </c>
      <c r="EM14" s="522">
        <f t="shared" si="156"/>
        <v>0</v>
      </c>
      <c r="EN14" s="520"/>
      <c r="EO14" s="521">
        <f t="shared" si="46"/>
        <v>0</v>
      </c>
      <c r="EP14" s="522">
        <f t="shared" si="157"/>
        <v>0</v>
      </c>
      <c r="EQ14" s="520"/>
      <c r="ER14" s="521">
        <f t="shared" si="47"/>
        <v>0</v>
      </c>
      <c r="ES14" s="522">
        <f t="shared" si="158"/>
        <v>0</v>
      </c>
      <c r="ET14" s="520"/>
      <c r="EU14" s="521">
        <f t="shared" si="48"/>
        <v>0</v>
      </c>
      <c r="EV14" s="522">
        <f t="shared" si="159"/>
        <v>0</v>
      </c>
      <c r="EW14" s="520"/>
      <c r="EX14" s="521">
        <f t="shared" si="49"/>
        <v>0</v>
      </c>
      <c r="EY14" s="522">
        <f t="shared" si="160"/>
        <v>0</v>
      </c>
      <c r="EZ14" s="520"/>
      <c r="FA14" s="521">
        <f t="shared" si="50"/>
        <v>0</v>
      </c>
      <c r="FB14" s="522">
        <f t="shared" si="161"/>
        <v>0</v>
      </c>
      <c r="FC14" s="520"/>
      <c r="FD14" s="521">
        <f t="shared" si="51"/>
        <v>0</v>
      </c>
      <c r="FE14" s="522">
        <f t="shared" si="162"/>
        <v>0</v>
      </c>
      <c r="FF14" s="520"/>
      <c r="FG14" s="521">
        <f t="shared" si="52"/>
        <v>0</v>
      </c>
      <c r="FH14" s="522">
        <f t="shared" si="163"/>
        <v>0</v>
      </c>
      <c r="FI14" s="520"/>
      <c r="FJ14" s="521">
        <f t="shared" si="53"/>
        <v>0</v>
      </c>
      <c r="FK14" s="522">
        <f t="shared" si="164"/>
        <v>0</v>
      </c>
      <c r="FL14" s="520"/>
      <c r="FM14" s="521">
        <f t="shared" si="54"/>
        <v>0</v>
      </c>
      <c r="FN14" s="522">
        <f t="shared" si="165"/>
        <v>0</v>
      </c>
      <c r="FO14" s="520"/>
      <c r="FP14" s="521">
        <f t="shared" si="55"/>
        <v>0</v>
      </c>
      <c r="FQ14" s="522">
        <f t="shared" si="166"/>
        <v>0</v>
      </c>
      <c r="FR14" s="520"/>
      <c r="FS14" s="521">
        <f t="shared" si="56"/>
        <v>0</v>
      </c>
      <c r="FT14" s="522">
        <f t="shared" si="167"/>
        <v>0</v>
      </c>
      <c r="FU14" s="520"/>
      <c r="FV14" s="521">
        <f t="shared" si="57"/>
        <v>0</v>
      </c>
      <c r="FW14" s="522">
        <f t="shared" si="168"/>
        <v>0</v>
      </c>
      <c r="FX14" s="520"/>
      <c r="FY14" s="521">
        <f t="shared" si="58"/>
        <v>0</v>
      </c>
      <c r="FZ14" s="522">
        <f t="shared" si="169"/>
        <v>0</v>
      </c>
      <c r="GA14" s="520"/>
      <c r="GB14" s="521">
        <f t="shared" si="59"/>
        <v>0</v>
      </c>
      <c r="GC14" s="522">
        <f t="shared" si="170"/>
        <v>0</v>
      </c>
      <c r="GD14" s="520"/>
      <c r="GE14" s="521">
        <f t="shared" si="60"/>
        <v>0</v>
      </c>
      <c r="GF14" s="522">
        <f t="shared" si="171"/>
        <v>0</v>
      </c>
      <c r="GG14" s="520"/>
      <c r="GH14" s="521">
        <f t="shared" si="61"/>
        <v>0</v>
      </c>
      <c r="GI14" s="522">
        <f t="shared" si="172"/>
        <v>0</v>
      </c>
      <c r="GJ14" s="520"/>
      <c r="GK14" s="521">
        <f t="shared" si="62"/>
        <v>0</v>
      </c>
      <c r="GL14" s="522">
        <f t="shared" si="173"/>
        <v>0</v>
      </c>
      <c r="GM14" s="520"/>
      <c r="GN14" s="521">
        <f t="shared" si="63"/>
        <v>0</v>
      </c>
      <c r="GO14" s="522">
        <f t="shared" si="174"/>
        <v>0</v>
      </c>
      <c r="GP14" s="520"/>
      <c r="GQ14" s="521">
        <f t="shared" si="64"/>
        <v>0</v>
      </c>
      <c r="GR14" s="522">
        <f t="shared" si="175"/>
        <v>0</v>
      </c>
      <c r="GS14" s="520"/>
      <c r="GT14" s="521">
        <f t="shared" si="65"/>
        <v>0</v>
      </c>
      <c r="GU14" s="522">
        <f t="shared" si="176"/>
        <v>0</v>
      </c>
      <c r="GV14" s="520"/>
      <c r="GW14" s="521">
        <f t="shared" si="66"/>
        <v>0</v>
      </c>
      <c r="GX14" s="522">
        <f t="shared" si="177"/>
        <v>0</v>
      </c>
      <c r="GY14" s="520"/>
      <c r="GZ14" s="521">
        <f t="shared" si="67"/>
        <v>0</v>
      </c>
      <c r="HA14" s="522">
        <f t="shared" si="178"/>
        <v>0</v>
      </c>
      <c r="HB14" s="520"/>
      <c r="HC14" s="521">
        <f t="shared" si="68"/>
        <v>0</v>
      </c>
      <c r="HD14" s="522">
        <f t="shared" si="179"/>
        <v>0</v>
      </c>
      <c r="HE14" s="520"/>
      <c r="HF14" s="521">
        <f t="shared" si="69"/>
        <v>0</v>
      </c>
      <c r="HG14" s="522">
        <f t="shared" si="180"/>
        <v>0</v>
      </c>
      <c r="HH14" s="520"/>
      <c r="HI14" s="521">
        <f t="shared" si="70"/>
        <v>0</v>
      </c>
      <c r="HJ14" s="522">
        <f t="shared" si="181"/>
        <v>0</v>
      </c>
      <c r="HK14" s="520"/>
      <c r="HL14" s="521">
        <f t="shared" si="71"/>
        <v>0</v>
      </c>
      <c r="HM14" s="522">
        <f t="shared" si="182"/>
        <v>0</v>
      </c>
      <c r="HN14" s="520"/>
      <c r="HO14" s="521">
        <f t="shared" si="72"/>
        <v>0</v>
      </c>
      <c r="HP14" s="522">
        <f t="shared" si="183"/>
        <v>0</v>
      </c>
      <c r="HQ14" s="520"/>
      <c r="HR14" s="521">
        <f t="shared" si="73"/>
        <v>0</v>
      </c>
      <c r="HS14" s="522">
        <f t="shared" si="184"/>
        <v>0</v>
      </c>
      <c r="HT14" s="520"/>
      <c r="HU14" s="521">
        <f t="shared" si="74"/>
        <v>0</v>
      </c>
      <c r="HV14" s="522">
        <f t="shared" si="185"/>
        <v>0</v>
      </c>
      <c r="HW14" s="520"/>
      <c r="HX14" s="521">
        <f t="shared" si="75"/>
        <v>0</v>
      </c>
      <c r="HY14" s="522">
        <f t="shared" si="186"/>
        <v>0</v>
      </c>
      <c r="HZ14" s="520"/>
      <c r="IA14" s="521">
        <f t="shared" si="76"/>
        <v>0</v>
      </c>
      <c r="IB14" s="522">
        <f t="shared" si="187"/>
        <v>0</v>
      </c>
      <c r="IC14" s="520"/>
      <c r="ID14" s="521">
        <f t="shared" si="77"/>
        <v>0</v>
      </c>
      <c r="IE14" s="522">
        <f t="shared" si="188"/>
        <v>0</v>
      </c>
      <c r="IF14" s="520"/>
      <c r="IG14" s="521">
        <f t="shared" si="78"/>
        <v>0</v>
      </c>
      <c r="IH14" s="522">
        <f t="shared" si="189"/>
        <v>0</v>
      </c>
      <c r="II14" s="520"/>
      <c r="IJ14" s="521">
        <f t="shared" si="79"/>
        <v>0</v>
      </c>
      <c r="IK14" s="522">
        <f t="shared" si="190"/>
        <v>0</v>
      </c>
      <c r="IL14" s="520"/>
      <c r="IM14" s="521">
        <f t="shared" si="80"/>
        <v>0</v>
      </c>
      <c r="IN14" s="522">
        <f t="shared" si="191"/>
        <v>0</v>
      </c>
      <c r="IO14" s="520"/>
      <c r="IP14" s="521">
        <f t="shared" si="81"/>
        <v>0</v>
      </c>
      <c r="IQ14" s="522">
        <f t="shared" si="192"/>
        <v>0</v>
      </c>
      <c r="IR14" s="520"/>
      <c r="IS14" s="521">
        <f t="shared" si="82"/>
        <v>0</v>
      </c>
      <c r="IT14" s="522">
        <f t="shared" si="193"/>
        <v>0</v>
      </c>
      <c r="IU14" s="520"/>
      <c r="IV14" s="521">
        <f t="shared" si="83"/>
        <v>0</v>
      </c>
      <c r="IW14" s="522">
        <f t="shared" si="194"/>
        <v>0</v>
      </c>
      <c r="IX14" s="520"/>
      <c r="IY14" s="521">
        <f t="shared" si="84"/>
        <v>0</v>
      </c>
      <c r="IZ14" s="522">
        <f t="shared" si="195"/>
        <v>0</v>
      </c>
      <c r="JA14" s="520"/>
      <c r="JB14" s="521">
        <f t="shared" si="85"/>
        <v>0</v>
      </c>
      <c r="JC14" s="522">
        <f t="shared" si="196"/>
        <v>0</v>
      </c>
      <c r="JD14" s="520"/>
      <c r="JE14" s="521">
        <f t="shared" si="86"/>
        <v>0</v>
      </c>
      <c r="JF14" s="522">
        <f t="shared" si="197"/>
        <v>0</v>
      </c>
      <c r="JG14" s="520"/>
      <c r="JH14" s="521">
        <f t="shared" si="87"/>
        <v>0</v>
      </c>
      <c r="JI14" s="522">
        <f t="shared" si="198"/>
        <v>0</v>
      </c>
      <c r="JJ14" s="520"/>
      <c r="JK14" s="522" t="str">
        <f t="shared" si="88"/>
        <v>0</v>
      </c>
      <c r="JL14" s="522" t="str">
        <f t="shared" si="89"/>
        <v>0</v>
      </c>
      <c r="JM14" s="520"/>
      <c r="JN14" s="522" t="str">
        <f t="shared" si="90"/>
        <v>0</v>
      </c>
      <c r="JO14" s="522" t="str">
        <f t="shared" si="91"/>
        <v>0</v>
      </c>
      <c r="JP14" s="520"/>
      <c r="JQ14" s="522" t="str">
        <f t="shared" si="92"/>
        <v>0</v>
      </c>
      <c r="JR14" s="522" t="str">
        <f t="shared" si="93"/>
        <v>0</v>
      </c>
      <c r="JS14" s="520"/>
      <c r="JT14" s="522" t="str">
        <f t="shared" si="94"/>
        <v>0</v>
      </c>
      <c r="JU14" s="522" t="str">
        <f t="shared" si="95"/>
        <v>0</v>
      </c>
      <c r="JV14" s="520"/>
      <c r="JW14" s="522" t="str">
        <f t="shared" si="96"/>
        <v>0</v>
      </c>
      <c r="JX14" s="522" t="str">
        <f t="shared" si="97"/>
        <v>0</v>
      </c>
      <c r="JY14" s="520"/>
      <c r="JZ14" s="522" t="str">
        <f t="shared" si="98"/>
        <v>0</v>
      </c>
      <c r="KA14" s="522" t="str">
        <f t="shared" si="99"/>
        <v>0</v>
      </c>
      <c r="KB14" s="520"/>
      <c r="KC14" s="522" t="str">
        <f t="shared" si="100"/>
        <v>0</v>
      </c>
      <c r="KD14" s="522" t="str">
        <f t="shared" si="101"/>
        <v>0</v>
      </c>
      <c r="KE14" s="520"/>
      <c r="KF14" s="522" t="str">
        <f t="shared" si="102"/>
        <v>0</v>
      </c>
      <c r="KG14" s="522" t="str">
        <f t="shared" si="103"/>
        <v>0</v>
      </c>
      <c r="KH14" s="520"/>
      <c r="KI14" s="522" t="str">
        <f t="shared" si="104"/>
        <v>0</v>
      </c>
      <c r="KJ14" s="522" t="str">
        <f t="shared" si="105"/>
        <v>0</v>
      </c>
      <c r="KK14" s="520"/>
      <c r="KL14" s="522" t="str">
        <f t="shared" si="106"/>
        <v>0</v>
      </c>
      <c r="KM14" s="522" t="str">
        <f t="shared" si="107"/>
        <v>0</v>
      </c>
      <c r="KN14" s="520"/>
      <c r="KO14" s="522" t="str">
        <f t="shared" si="108"/>
        <v>0</v>
      </c>
      <c r="KP14" s="522" t="str">
        <f t="shared" si="109"/>
        <v>0</v>
      </c>
      <c r="KQ14" s="520"/>
      <c r="KR14" s="522" t="str">
        <f t="shared" si="110"/>
        <v>0</v>
      </c>
      <c r="KS14" s="522" t="str">
        <f t="shared" si="111"/>
        <v>0</v>
      </c>
      <c r="KT14" s="522">
        <f t="shared" si="201"/>
        <v>0</v>
      </c>
      <c r="KU14" s="522">
        <f t="shared" si="202"/>
        <v>0</v>
      </c>
      <c r="KV14" s="267">
        <f t="shared" si="199"/>
        <v>312.76467619208404</v>
      </c>
    </row>
    <row r="15" spans="1:308">
      <c r="A15" s="268">
        <f t="shared" si="200"/>
        <v>45876</v>
      </c>
      <c r="B15" s="269" t="str">
        <f>+Report1!B15</f>
        <v>Toilet</v>
      </c>
      <c r="C15" s="269" t="str">
        <f>+Report1!C15</f>
        <v>15,5</v>
      </c>
      <c r="D15" s="270">
        <f>+Report1!P15</f>
        <v>49.533999999999999</v>
      </c>
      <c r="E15" s="558">
        <f>+Report1!R15</f>
        <v>48.999000000000002</v>
      </c>
      <c r="F15" s="520"/>
      <c r="G15" s="521">
        <f t="shared" si="0"/>
        <v>0</v>
      </c>
      <c r="H15" s="522">
        <f t="shared" si="112"/>
        <v>0</v>
      </c>
      <c r="I15" s="520"/>
      <c r="J15" s="521">
        <f t="shared" si="1"/>
        <v>0</v>
      </c>
      <c r="K15" s="522">
        <f t="shared" si="113"/>
        <v>0</v>
      </c>
      <c r="L15" s="520"/>
      <c r="M15" s="521">
        <f t="shared" si="2"/>
        <v>0</v>
      </c>
      <c r="N15" s="522">
        <f t="shared" si="114"/>
        <v>0</v>
      </c>
      <c r="O15" s="520">
        <v>6.0000000000000284</v>
      </c>
      <c r="P15" s="521">
        <f t="shared" si="3"/>
        <v>0.12245147860160469</v>
      </c>
      <c r="Q15" s="522">
        <f t="shared" si="115"/>
        <v>0</v>
      </c>
      <c r="R15" s="520"/>
      <c r="S15" s="521">
        <f t="shared" si="4"/>
        <v>0</v>
      </c>
      <c r="T15" s="522">
        <f t="shared" si="116"/>
        <v>0</v>
      </c>
      <c r="U15" s="520">
        <v>8.9687500000000284</v>
      </c>
      <c r="V15" s="521">
        <f t="shared" si="5"/>
        <v>0.18303944978469006</v>
      </c>
      <c r="W15" s="522">
        <f t="shared" si="117"/>
        <v>0</v>
      </c>
      <c r="X15" s="520"/>
      <c r="Y15" s="521">
        <f t="shared" si="6"/>
        <v>0</v>
      </c>
      <c r="Z15" s="522">
        <f t="shared" si="118"/>
        <v>0</v>
      </c>
      <c r="AA15" s="520">
        <v>6.2500000000000071</v>
      </c>
      <c r="AB15" s="521">
        <f t="shared" si="7"/>
        <v>0.12755362354333777</v>
      </c>
      <c r="AC15" s="522">
        <f t="shared" si="119"/>
        <v>0</v>
      </c>
      <c r="AD15" s="520"/>
      <c r="AE15" s="521">
        <f t="shared" si="8"/>
        <v>0</v>
      </c>
      <c r="AF15" s="522">
        <f t="shared" si="120"/>
        <v>0</v>
      </c>
      <c r="AG15" s="520"/>
      <c r="AH15" s="521">
        <f t="shared" si="9"/>
        <v>0</v>
      </c>
      <c r="AI15" s="522">
        <f t="shared" si="121"/>
        <v>0</v>
      </c>
      <c r="AJ15" s="520">
        <v>5.875</v>
      </c>
      <c r="AK15" s="521">
        <f t="shared" si="10"/>
        <v>0.11990040613073735</v>
      </c>
      <c r="AL15" s="522">
        <f t="shared" si="122"/>
        <v>0</v>
      </c>
      <c r="AM15" s="520"/>
      <c r="AN15" s="521">
        <f t="shared" si="11"/>
        <v>0</v>
      </c>
      <c r="AO15" s="522">
        <f t="shared" si="123"/>
        <v>0</v>
      </c>
      <c r="AP15" s="520">
        <v>42.721518987341824</v>
      </c>
      <c r="AQ15" s="521">
        <f t="shared" si="12"/>
        <v>0.87188552801775188</v>
      </c>
      <c r="AR15" s="522">
        <f t="shared" si="124"/>
        <v>0</v>
      </c>
      <c r="AS15" s="520"/>
      <c r="AT15" s="521">
        <f t="shared" si="13"/>
        <v>0</v>
      </c>
      <c r="AU15" s="522">
        <f t="shared" si="125"/>
        <v>0</v>
      </c>
      <c r="AV15" s="520"/>
      <c r="AW15" s="521">
        <f t="shared" si="14"/>
        <v>0</v>
      </c>
      <c r="AX15" s="522">
        <f t="shared" si="126"/>
        <v>0</v>
      </c>
      <c r="AY15" s="520">
        <v>60.666666666666629</v>
      </c>
      <c r="AZ15" s="521">
        <f t="shared" si="15"/>
        <v>1.238120505860663</v>
      </c>
      <c r="BA15" s="522">
        <f t="shared" si="127"/>
        <v>0</v>
      </c>
      <c r="BB15" s="520"/>
      <c r="BC15" s="521">
        <f t="shared" si="16"/>
        <v>0</v>
      </c>
      <c r="BD15" s="522">
        <f t="shared" si="128"/>
        <v>0</v>
      </c>
      <c r="BE15" s="520"/>
      <c r="BF15" s="521">
        <f t="shared" si="17"/>
        <v>0</v>
      </c>
      <c r="BG15" s="522">
        <f t="shared" si="129"/>
        <v>0</v>
      </c>
      <c r="BH15" s="520"/>
      <c r="BI15" s="521">
        <f t="shared" si="18"/>
        <v>0</v>
      </c>
      <c r="BJ15" s="522">
        <f t="shared" si="130"/>
        <v>0</v>
      </c>
      <c r="BK15" s="520"/>
      <c r="BL15" s="521">
        <f t="shared" si="19"/>
        <v>0</v>
      </c>
      <c r="BM15" s="522">
        <f t="shared" si="131"/>
        <v>0</v>
      </c>
      <c r="BN15" s="520"/>
      <c r="BO15" s="521">
        <f t="shared" si="20"/>
        <v>0</v>
      </c>
      <c r="BP15" s="522">
        <f t="shared" si="132"/>
        <v>0</v>
      </c>
      <c r="BQ15" s="520"/>
      <c r="BR15" s="521">
        <f t="shared" si="21"/>
        <v>0</v>
      </c>
      <c r="BS15" s="522">
        <f t="shared" si="133"/>
        <v>0</v>
      </c>
      <c r="BT15" s="520"/>
      <c r="BU15" s="521">
        <f t="shared" si="22"/>
        <v>0</v>
      </c>
      <c r="BV15" s="522">
        <f t="shared" si="134"/>
        <v>0</v>
      </c>
      <c r="BW15" s="520"/>
      <c r="BX15" s="521">
        <f t="shared" si="23"/>
        <v>0</v>
      </c>
      <c r="BY15" s="522">
        <f t="shared" si="135"/>
        <v>0</v>
      </c>
      <c r="BZ15" s="520"/>
      <c r="CA15" s="521">
        <f t="shared" si="24"/>
        <v>0</v>
      </c>
      <c r="CB15" s="522">
        <f t="shared" si="136"/>
        <v>0</v>
      </c>
      <c r="CC15" s="520"/>
      <c r="CD15" s="521">
        <f t="shared" si="25"/>
        <v>0</v>
      </c>
      <c r="CE15" s="522">
        <f t="shared" si="137"/>
        <v>0</v>
      </c>
      <c r="CF15" s="520">
        <v>1.0000000000000027</v>
      </c>
      <c r="CG15" s="521">
        <f t="shared" si="26"/>
        <v>2.0408579766934071E-2</v>
      </c>
      <c r="CH15" s="522">
        <f t="shared" si="138"/>
        <v>0</v>
      </c>
      <c r="CI15" s="520"/>
      <c r="CJ15" s="521">
        <f t="shared" si="27"/>
        <v>0</v>
      </c>
      <c r="CK15" s="522">
        <f t="shared" si="139"/>
        <v>0</v>
      </c>
      <c r="CL15" s="520"/>
      <c r="CM15" s="521">
        <f t="shared" si="28"/>
        <v>0</v>
      </c>
      <c r="CN15" s="522">
        <f t="shared" si="140"/>
        <v>0</v>
      </c>
      <c r="CO15" s="520"/>
      <c r="CP15" s="521">
        <f t="shared" si="29"/>
        <v>0</v>
      </c>
      <c r="CQ15" s="522">
        <f t="shared" si="141"/>
        <v>0</v>
      </c>
      <c r="CR15" s="520"/>
      <c r="CS15" s="521">
        <f t="shared" si="30"/>
        <v>0</v>
      </c>
      <c r="CT15" s="522">
        <f t="shared" si="142"/>
        <v>0</v>
      </c>
      <c r="CU15" s="520"/>
      <c r="CV15" s="521">
        <f t="shared" si="31"/>
        <v>0</v>
      </c>
      <c r="CW15" s="522">
        <f t="shared" si="143"/>
        <v>0</v>
      </c>
      <c r="CX15" s="520"/>
      <c r="CY15" s="521">
        <f t="shared" si="32"/>
        <v>0</v>
      </c>
      <c r="CZ15" s="522">
        <f t="shared" si="144"/>
        <v>0</v>
      </c>
      <c r="DA15" s="520">
        <v>145.34883720930247</v>
      </c>
      <c r="DB15" s="521">
        <f t="shared" si="33"/>
        <v>2.9663633382171568</v>
      </c>
      <c r="DC15" s="522">
        <f t="shared" si="145"/>
        <v>0</v>
      </c>
      <c r="DD15" s="520"/>
      <c r="DE15" s="521">
        <f t="shared" si="34"/>
        <v>0</v>
      </c>
      <c r="DF15" s="522">
        <f t="shared" si="146"/>
        <v>0</v>
      </c>
      <c r="DG15" s="520"/>
      <c r="DH15" s="521">
        <f t="shared" si="35"/>
        <v>0</v>
      </c>
      <c r="DI15" s="522">
        <f t="shared" si="203"/>
        <v>0</v>
      </c>
      <c r="DJ15" s="520"/>
      <c r="DK15" s="521">
        <f t="shared" si="36"/>
        <v>0</v>
      </c>
      <c r="DL15" s="522">
        <f t="shared" si="147"/>
        <v>0</v>
      </c>
      <c r="DM15" s="520"/>
      <c r="DN15" s="521">
        <f t="shared" si="37"/>
        <v>0</v>
      </c>
      <c r="DO15" s="522">
        <f t="shared" si="148"/>
        <v>0</v>
      </c>
      <c r="DP15" s="520"/>
      <c r="DQ15" s="521">
        <f t="shared" si="38"/>
        <v>0</v>
      </c>
      <c r="DR15" s="522">
        <f t="shared" si="149"/>
        <v>0</v>
      </c>
      <c r="DS15" s="520"/>
      <c r="DT15" s="521">
        <f t="shared" si="39"/>
        <v>0</v>
      </c>
      <c r="DU15" s="522">
        <f t="shared" si="150"/>
        <v>0</v>
      </c>
      <c r="DV15" s="520"/>
      <c r="DW15" s="521">
        <f t="shared" si="40"/>
        <v>0</v>
      </c>
      <c r="DX15" s="522">
        <f t="shared" si="151"/>
        <v>0</v>
      </c>
      <c r="DY15" s="520"/>
      <c r="DZ15" s="521">
        <f t="shared" si="41"/>
        <v>0</v>
      </c>
      <c r="EA15" s="522">
        <f t="shared" si="152"/>
        <v>0</v>
      </c>
      <c r="EB15" s="520"/>
      <c r="EC15" s="521">
        <f t="shared" si="42"/>
        <v>0</v>
      </c>
      <c r="ED15" s="522">
        <f t="shared" si="153"/>
        <v>0</v>
      </c>
      <c r="EE15" s="520">
        <v>14.534883720930225</v>
      </c>
      <c r="EF15" s="521">
        <f t="shared" si="43"/>
        <v>0.29663633382171523</v>
      </c>
      <c r="EG15" s="522">
        <f t="shared" si="154"/>
        <v>0</v>
      </c>
      <c r="EH15" s="520">
        <v>46.964705882352973</v>
      </c>
      <c r="EI15" s="521">
        <f t="shared" si="44"/>
        <v>0.95848294623059593</v>
      </c>
      <c r="EJ15" s="522">
        <f t="shared" si="155"/>
        <v>0</v>
      </c>
      <c r="EK15" s="520">
        <v>3</v>
      </c>
      <c r="EL15" s="521">
        <f t="shared" si="45"/>
        <v>6.1225739300802051E-2</v>
      </c>
      <c r="EM15" s="522">
        <f t="shared" si="156"/>
        <v>0</v>
      </c>
      <c r="EN15" s="520"/>
      <c r="EO15" s="521">
        <f t="shared" si="46"/>
        <v>0</v>
      </c>
      <c r="EP15" s="522">
        <f t="shared" si="157"/>
        <v>0</v>
      </c>
      <c r="EQ15" s="520"/>
      <c r="ER15" s="521">
        <f t="shared" si="47"/>
        <v>0</v>
      </c>
      <c r="ES15" s="522">
        <f t="shared" si="158"/>
        <v>0</v>
      </c>
      <c r="ET15" s="520"/>
      <c r="EU15" s="521">
        <f t="shared" si="48"/>
        <v>0</v>
      </c>
      <c r="EV15" s="522">
        <f t="shared" si="159"/>
        <v>0</v>
      </c>
      <c r="EW15" s="520"/>
      <c r="EX15" s="521">
        <f t="shared" si="49"/>
        <v>0</v>
      </c>
      <c r="EY15" s="522">
        <f t="shared" si="160"/>
        <v>0</v>
      </c>
      <c r="EZ15" s="520"/>
      <c r="FA15" s="521">
        <f t="shared" si="50"/>
        <v>0</v>
      </c>
      <c r="FB15" s="522">
        <f t="shared" si="161"/>
        <v>0</v>
      </c>
      <c r="FC15" s="520"/>
      <c r="FD15" s="521">
        <f t="shared" si="51"/>
        <v>0</v>
      </c>
      <c r="FE15" s="522">
        <f t="shared" si="162"/>
        <v>0</v>
      </c>
      <c r="FF15" s="520"/>
      <c r="FG15" s="521">
        <f t="shared" si="52"/>
        <v>0</v>
      </c>
      <c r="FH15" s="522">
        <f t="shared" si="163"/>
        <v>0</v>
      </c>
      <c r="FI15" s="520"/>
      <c r="FJ15" s="521">
        <f t="shared" si="53"/>
        <v>0</v>
      </c>
      <c r="FK15" s="522">
        <f t="shared" si="164"/>
        <v>0</v>
      </c>
      <c r="FL15" s="520"/>
      <c r="FM15" s="521">
        <f t="shared" si="54"/>
        <v>0</v>
      </c>
      <c r="FN15" s="522">
        <f t="shared" si="165"/>
        <v>0</v>
      </c>
      <c r="FO15" s="520"/>
      <c r="FP15" s="521">
        <f t="shared" si="55"/>
        <v>0</v>
      </c>
      <c r="FQ15" s="522">
        <f t="shared" si="166"/>
        <v>0</v>
      </c>
      <c r="FR15" s="520"/>
      <c r="FS15" s="521">
        <f t="shared" si="56"/>
        <v>0</v>
      </c>
      <c r="FT15" s="522">
        <f t="shared" si="167"/>
        <v>0</v>
      </c>
      <c r="FU15" s="520"/>
      <c r="FV15" s="521">
        <f t="shared" si="57"/>
        <v>0</v>
      </c>
      <c r="FW15" s="522">
        <f t="shared" si="168"/>
        <v>0</v>
      </c>
      <c r="FX15" s="520"/>
      <c r="FY15" s="521">
        <f t="shared" si="58"/>
        <v>0</v>
      </c>
      <c r="FZ15" s="522">
        <f t="shared" si="169"/>
        <v>0</v>
      </c>
      <c r="GA15" s="520"/>
      <c r="GB15" s="521">
        <f t="shared" si="59"/>
        <v>0</v>
      </c>
      <c r="GC15" s="522">
        <f t="shared" si="170"/>
        <v>0</v>
      </c>
      <c r="GD15" s="520"/>
      <c r="GE15" s="521">
        <f t="shared" si="60"/>
        <v>0</v>
      </c>
      <c r="GF15" s="522">
        <f t="shared" si="171"/>
        <v>0</v>
      </c>
      <c r="GG15" s="520"/>
      <c r="GH15" s="521">
        <f t="shared" si="61"/>
        <v>0</v>
      </c>
      <c r="GI15" s="522">
        <f t="shared" si="172"/>
        <v>0</v>
      </c>
      <c r="GJ15" s="520"/>
      <c r="GK15" s="521">
        <f t="shared" si="62"/>
        <v>0</v>
      </c>
      <c r="GL15" s="522">
        <f t="shared" si="173"/>
        <v>0</v>
      </c>
      <c r="GM15" s="520"/>
      <c r="GN15" s="521">
        <f t="shared" si="63"/>
        <v>0</v>
      </c>
      <c r="GO15" s="522">
        <f t="shared" si="174"/>
        <v>0</v>
      </c>
      <c r="GP15" s="520"/>
      <c r="GQ15" s="521">
        <f t="shared" si="64"/>
        <v>0</v>
      </c>
      <c r="GR15" s="522">
        <f t="shared" si="175"/>
        <v>0</v>
      </c>
      <c r="GS15" s="520"/>
      <c r="GT15" s="521">
        <f t="shared" si="65"/>
        <v>0</v>
      </c>
      <c r="GU15" s="522">
        <f t="shared" si="176"/>
        <v>0</v>
      </c>
      <c r="GV15" s="520"/>
      <c r="GW15" s="521">
        <f t="shared" si="66"/>
        <v>0</v>
      </c>
      <c r="GX15" s="522">
        <f t="shared" si="177"/>
        <v>0</v>
      </c>
      <c r="GY15" s="520"/>
      <c r="GZ15" s="521">
        <f t="shared" si="67"/>
        <v>0</v>
      </c>
      <c r="HA15" s="522">
        <f t="shared" si="178"/>
        <v>0</v>
      </c>
      <c r="HB15" s="520"/>
      <c r="HC15" s="521">
        <f t="shared" si="68"/>
        <v>0</v>
      </c>
      <c r="HD15" s="522">
        <f t="shared" si="179"/>
        <v>0</v>
      </c>
      <c r="HE15" s="520"/>
      <c r="HF15" s="521">
        <f t="shared" si="69"/>
        <v>0</v>
      </c>
      <c r="HG15" s="522">
        <f t="shared" si="180"/>
        <v>0</v>
      </c>
      <c r="HH15" s="520"/>
      <c r="HI15" s="521">
        <f t="shared" si="70"/>
        <v>0</v>
      </c>
      <c r="HJ15" s="522">
        <f t="shared" si="181"/>
        <v>0</v>
      </c>
      <c r="HK15" s="520"/>
      <c r="HL15" s="521">
        <f t="shared" si="71"/>
        <v>0</v>
      </c>
      <c r="HM15" s="522">
        <f t="shared" si="182"/>
        <v>0</v>
      </c>
      <c r="HN15" s="520"/>
      <c r="HO15" s="521">
        <f t="shared" si="72"/>
        <v>0</v>
      </c>
      <c r="HP15" s="522">
        <f t="shared" si="183"/>
        <v>0</v>
      </c>
      <c r="HQ15" s="520"/>
      <c r="HR15" s="521">
        <f t="shared" si="73"/>
        <v>0</v>
      </c>
      <c r="HS15" s="522">
        <f t="shared" si="184"/>
        <v>0</v>
      </c>
      <c r="HT15" s="520"/>
      <c r="HU15" s="521">
        <f t="shared" si="74"/>
        <v>0</v>
      </c>
      <c r="HV15" s="522">
        <f t="shared" si="185"/>
        <v>0</v>
      </c>
      <c r="HW15" s="520"/>
      <c r="HX15" s="521">
        <f t="shared" si="75"/>
        <v>0</v>
      </c>
      <c r="HY15" s="522">
        <f t="shared" si="186"/>
        <v>0</v>
      </c>
      <c r="HZ15" s="520"/>
      <c r="IA15" s="521">
        <f t="shared" si="76"/>
        <v>0</v>
      </c>
      <c r="IB15" s="522">
        <f t="shared" si="187"/>
        <v>0</v>
      </c>
      <c r="IC15" s="520"/>
      <c r="ID15" s="521">
        <f t="shared" si="77"/>
        <v>0</v>
      </c>
      <c r="IE15" s="522">
        <f t="shared" si="188"/>
        <v>0</v>
      </c>
      <c r="IF15" s="520"/>
      <c r="IG15" s="521">
        <f t="shared" si="78"/>
        <v>0</v>
      </c>
      <c r="IH15" s="522">
        <f t="shared" si="189"/>
        <v>0</v>
      </c>
      <c r="II15" s="520"/>
      <c r="IJ15" s="521">
        <f t="shared" si="79"/>
        <v>0</v>
      </c>
      <c r="IK15" s="522">
        <f t="shared" si="190"/>
        <v>0</v>
      </c>
      <c r="IL15" s="520"/>
      <c r="IM15" s="521">
        <f t="shared" si="80"/>
        <v>0</v>
      </c>
      <c r="IN15" s="522">
        <f t="shared" si="191"/>
        <v>0</v>
      </c>
      <c r="IO15" s="520"/>
      <c r="IP15" s="521">
        <f t="shared" si="81"/>
        <v>0</v>
      </c>
      <c r="IQ15" s="522">
        <f t="shared" si="192"/>
        <v>0</v>
      </c>
      <c r="IR15" s="520"/>
      <c r="IS15" s="521">
        <f t="shared" si="82"/>
        <v>0</v>
      </c>
      <c r="IT15" s="522">
        <f t="shared" si="193"/>
        <v>0</v>
      </c>
      <c r="IU15" s="520"/>
      <c r="IV15" s="521">
        <f t="shared" si="83"/>
        <v>0</v>
      </c>
      <c r="IW15" s="522">
        <f t="shared" si="194"/>
        <v>0</v>
      </c>
      <c r="IX15" s="520"/>
      <c r="IY15" s="521">
        <f t="shared" si="84"/>
        <v>0</v>
      </c>
      <c r="IZ15" s="522">
        <f t="shared" si="195"/>
        <v>0</v>
      </c>
      <c r="JA15" s="520"/>
      <c r="JB15" s="521">
        <f t="shared" si="85"/>
        <v>0</v>
      </c>
      <c r="JC15" s="522">
        <f t="shared" si="196"/>
        <v>0</v>
      </c>
      <c r="JD15" s="520"/>
      <c r="JE15" s="521">
        <f t="shared" si="86"/>
        <v>0</v>
      </c>
      <c r="JF15" s="522">
        <f t="shared" si="197"/>
        <v>0</v>
      </c>
      <c r="JG15" s="520"/>
      <c r="JH15" s="521">
        <f t="shared" si="87"/>
        <v>0</v>
      </c>
      <c r="JI15" s="522">
        <f t="shared" si="198"/>
        <v>0</v>
      </c>
      <c r="JJ15" s="520"/>
      <c r="JK15" s="522" t="str">
        <f t="shared" si="88"/>
        <v>0</v>
      </c>
      <c r="JL15" s="522" t="str">
        <f t="shared" si="89"/>
        <v>0</v>
      </c>
      <c r="JM15" s="520"/>
      <c r="JN15" s="522" t="str">
        <f t="shared" si="90"/>
        <v>0</v>
      </c>
      <c r="JO15" s="522" t="str">
        <f t="shared" si="91"/>
        <v>0</v>
      </c>
      <c r="JP15" s="520"/>
      <c r="JQ15" s="522" t="str">
        <f t="shared" si="92"/>
        <v>0</v>
      </c>
      <c r="JR15" s="522" t="str">
        <f t="shared" si="93"/>
        <v>0</v>
      </c>
      <c r="JS15" s="520"/>
      <c r="JT15" s="522" t="str">
        <f t="shared" si="94"/>
        <v>0</v>
      </c>
      <c r="JU15" s="522" t="str">
        <f t="shared" si="95"/>
        <v>0</v>
      </c>
      <c r="JV15" s="520"/>
      <c r="JW15" s="522" t="str">
        <f t="shared" si="96"/>
        <v>0</v>
      </c>
      <c r="JX15" s="522" t="str">
        <f t="shared" si="97"/>
        <v>0</v>
      </c>
      <c r="JY15" s="520"/>
      <c r="JZ15" s="522" t="str">
        <f t="shared" si="98"/>
        <v>0</v>
      </c>
      <c r="KA15" s="522" t="str">
        <f t="shared" si="99"/>
        <v>0</v>
      </c>
      <c r="KB15" s="520"/>
      <c r="KC15" s="522" t="str">
        <f t="shared" si="100"/>
        <v>0</v>
      </c>
      <c r="KD15" s="522" t="str">
        <f t="shared" si="101"/>
        <v>0</v>
      </c>
      <c r="KE15" s="520"/>
      <c r="KF15" s="522" t="str">
        <f t="shared" si="102"/>
        <v>0</v>
      </c>
      <c r="KG15" s="522" t="str">
        <f t="shared" si="103"/>
        <v>0</v>
      </c>
      <c r="KH15" s="520"/>
      <c r="KI15" s="522" t="str">
        <f t="shared" si="104"/>
        <v>0</v>
      </c>
      <c r="KJ15" s="522" t="str">
        <f t="shared" si="105"/>
        <v>0</v>
      </c>
      <c r="KK15" s="520"/>
      <c r="KL15" s="522" t="str">
        <f t="shared" si="106"/>
        <v>0</v>
      </c>
      <c r="KM15" s="522" t="str">
        <f t="shared" si="107"/>
        <v>0</v>
      </c>
      <c r="KN15" s="520"/>
      <c r="KO15" s="522" t="str">
        <f t="shared" si="108"/>
        <v>0</v>
      </c>
      <c r="KP15" s="522" t="str">
        <f t="shared" si="109"/>
        <v>0</v>
      </c>
      <c r="KQ15" s="520"/>
      <c r="KR15" s="522" t="str">
        <f t="shared" si="110"/>
        <v>0</v>
      </c>
      <c r="KS15" s="522" t="str">
        <f t="shared" si="111"/>
        <v>0</v>
      </c>
      <c r="KT15" s="522">
        <f t="shared" si="201"/>
        <v>0</v>
      </c>
      <c r="KU15" s="522">
        <f t="shared" si="202"/>
        <v>0</v>
      </c>
      <c r="KV15" s="267">
        <f t="shared" si="199"/>
        <v>341.33036246659418</v>
      </c>
    </row>
    <row r="16" spans="1:308">
      <c r="A16" s="268">
        <f t="shared" si="200"/>
        <v>45877</v>
      </c>
      <c r="B16" s="269" t="str">
        <f>+Report1!B16</f>
        <v>Toilet/Facial</v>
      </c>
      <c r="C16" s="269" t="str">
        <f>+Report1!C16</f>
        <v>15,5/19/15</v>
      </c>
      <c r="D16" s="270">
        <f>+Report1!P16</f>
        <v>48.856999999999999</v>
      </c>
      <c r="E16" s="558">
        <f>+Report1!R16</f>
        <v>43.768999999999998</v>
      </c>
      <c r="F16" s="520"/>
      <c r="G16" s="521">
        <f t="shared" si="0"/>
        <v>0</v>
      </c>
      <c r="H16" s="522">
        <f t="shared" si="112"/>
        <v>0</v>
      </c>
      <c r="I16" s="520">
        <v>11.627906976744043</v>
      </c>
      <c r="J16" s="521">
        <f t="shared" si="1"/>
        <v>0.26566535622801624</v>
      </c>
      <c r="K16" s="522">
        <f t="shared" si="113"/>
        <v>0</v>
      </c>
      <c r="L16" s="520"/>
      <c r="M16" s="521">
        <f t="shared" si="2"/>
        <v>0</v>
      </c>
      <c r="N16" s="522">
        <f t="shared" si="114"/>
        <v>0</v>
      </c>
      <c r="O16" s="520">
        <v>5.9999999999999716</v>
      </c>
      <c r="P16" s="521">
        <f t="shared" si="3"/>
        <v>0.13708332381365743</v>
      </c>
      <c r="Q16" s="522">
        <f t="shared" si="115"/>
        <v>0</v>
      </c>
      <c r="R16" s="520"/>
      <c r="S16" s="521">
        <f t="shared" si="4"/>
        <v>0</v>
      </c>
      <c r="T16" s="522">
        <f t="shared" si="116"/>
        <v>0</v>
      </c>
      <c r="U16" s="520">
        <v>8.9687499999999716</v>
      </c>
      <c r="V16" s="521">
        <f t="shared" si="5"/>
        <v>0.20491101007562365</v>
      </c>
      <c r="W16" s="522">
        <f t="shared" si="117"/>
        <v>0</v>
      </c>
      <c r="X16" s="520"/>
      <c r="Y16" s="521">
        <f t="shared" si="6"/>
        <v>0</v>
      </c>
      <c r="Z16" s="522">
        <f t="shared" si="118"/>
        <v>0</v>
      </c>
      <c r="AA16" s="520">
        <v>9.3749999999999929</v>
      </c>
      <c r="AB16" s="521">
        <f t="shared" si="7"/>
        <v>0.21419269345884057</v>
      </c>
      <c r="AC16" s="522">
        <f t="shared" si="119"/>
        <v>0</v>
      </c>
      <c r="AD16" s="520"/>
      <c r="AE16" s="521">
        <f t="shared" si="8"/>
        <v>0</v>
      </c>
      <c r="AF16" s="522">
        <f t="shared" si="120"/>
        <v>0</v>
      </c>
      <c r="AG16" s="520"/>
      <c r="AH16" s="521">
        <f t="shared" si="9"/>
        <v>0</v>
      </c>
      <c r="AI16" s="522">
        <f t="shared" si="121"/>
        <v>0</v>
      </c>
      <c r="AJ16" s="520">
        <v>8.8124999999999716</v>
      </c>
      <c r="AK16" s="521">
        <f t="shared" si="10"/>
        <v>0.20134113185130964</v>
      </c>
      <c r="AL16" s="522">
        <f t="shared" si="122"/>
        <v>0</v>
      </c>
      <c r="AM16" s="520"/>
      <c r="AN16" s="521">
        <f t="shared" si="11"/>
        <v>0</v>
      </c>
      <c r="AO16" s="522">
        <f t="shared" si="123"/>
        <v>0</v>
      </c>
      <c r="AP16" s="520">
        <v>42.721518987341767</v>
      </c>
      <c r="AQ16" s="521">
        <f t="shared" si="12"/>
        <v>0.9760679701921855</v>
      </c>
      <c r="AR16" s="522">
        <f t="shared" si="124"/>
        <v>0</v>
      </c>
      <c r="AS16" s="520"/>
      <c r="AT16" s="521">
        <f t="shared" si="13"/>
        <v>0</v>
      </c>
      <c r="AU16" s="522">
        <f t="shared" si="125"/>
        <v>0</v>
      </c>
      <c r="AV16" s="520"/>
      <c r="AW16" s="521">
        <f t="shared" si="14"/>
        <v>0</v>
      </c>
      <c r="AX16" s="522">
        <f t="shared" si="126"/>
        <v>0</v>
      </c>
      <c r="AY16" s="520">
        <v>53.666666666666629</v>
      </c>
      <c r="AZ16" s="521">
        <f t="shared" si="15"/>
        <v>1.2261341741110519</v>
      </c>
      <c r="BA16" s="522">
        <f t="shared" si="127"/>
        <v>0</v>
      </c>
      <c r="BB16" s="520"/>
      <c r="BC16" s="521">
        <f t="shared" si="16"/>
        <v>0</v>
      </c>
      <c r="BD16" s="522">
        <f t="shared" si="128"/>
        <v>0</v>
      </c>
      <c r="BE16" s="520"/>
      <c r="BF16" s="521">
        <f t="shared" si="17"/>
        <v>0</v>
      </c>
      <c r="BG16" s="522">
        <f t="shared" si="129"/>
        <v>0</v>
      </c>
      <c r="BH16" s="520"/>
      <c r="BI16" s="521">
        <f t="shared" si="18"/>
        <v>0</v>
      </c>
      <c r="BJ16" s="522">
        <f t="shared" si="130"/>
        <v>0</v>
      </c>
      <c r="BK16" s="520"/>
      <c r="BL16" s="521">
        <f t="shared" si="19"/>
        <v>0</v>
      </c>
      <c r="BM16" s="522">
        <f t="shared" si="131"/>
        <v>0</v>
      </c>
      <c r="BN16" s="520"/>
      <c r="BO16" s="521">
        <f t="shared" si="20"/>
        <v>0</v>
      </c>
      <c r="BP16" s="522">
        <f t="shared" si="132"/>
        <v>0</v>
      </c>
      <c r="BQ16" s="520">
        <v>7.5949367088608142</v>
      </c>
      <c r="BR16" s="521">
        <f t="shared" si="21"/>
        <v>0.17352319470083424</v>
      </c>
      <c r="BS16" s="522">
        <f t="shared" si="133"/>
        <v>0</v>
      </c>
      <c r="BT16" s="520"/>
      <c r="BU16" s="521">
        <f t="shared" si="22"/>
        <v>0</v>
      </c>
      <c r="BV16" s="522">
        <f t="shared" si="134"/>
        <v>0</v>
      </c>
      <c r="BW16" s="520"/>
      <c r="BX16" s="521">
        <f t="shared" si="23"/>
        <v>0</v>
      </c>
      <c r="BY16" s="522">
        <f t="shared" si="135"/>
        <v>0</v>
      </c>
      <c r="BZ16" s="520"/>
      <c r="CA16" s="521">
        <f t="shared" si="24"/>
        <v>0</v>
      </c>
      <c r="CB16" s="522">
        <f t="shared" si="136"/>
        <v>0</v>
      </c>
      <c r="CC16" s="520"/>
      <c r="CD16" s="521">
        <f t="shared" si="25"/>
        <v>0</v>
      </c>
      <c r="CE16" s="522">
        <f t="shared" si="137"/>
        <v>0</v>
      </c>
      <c r="CF16" s="520">
        <v>0.90000000000000069</v>
      </c>
      <c r="CG16" s="521">
        <f t="shared" si="26"/>
        <v>2.0562498572048726E-2</v>
      </c>
      <c r="CH16" s="522">
        <f t="shared" si="138"/>
        <v>0</v>
      </c>
      <c r="CI16" s="520"/>
      <c r="CJ16" s="521">
        <f t="shared" si="27"/>
        <v>0</v>
      </c>
      <c r="CK16" s="522">
        <f t="shared" si="139"/>
        <v>0</v>
      </c>
      <c r="CL16" s="520"/>
      <c r="CM16" s="521">
        <f t="shared" si="28"/>
        <v>0</v>
      </c>
      <c r="CN16" s="522">
        <f t="shared" si="140"/>
        <v>0</v>
      </c>
      <c r="CO16" s="520"/>
      <c r="CP16" s="521">
        <f t="shared" si="29"/>
        <v>0</v>
      </c>
      <c r="CQ16" s="522">
        <f t="shared" si="141"/>
        <v>0</v>
      </c>
      <c r="CR16" s="520"/>
      <c r="CS16" s="521">
        <f t="shared" si="30"/>
        <v>0</v>
      </c>
      <c r="CT16" s="522">
        <f t="shared" si="142"/>
        <v>0</v>
      </c>
      <c r="CU16" s="520"/>
      <c r="CV16" s="521">
        <f t="shared" si="31"/>
        <v>0</v>
      </c>
      <c r="CW16" s="522">
        <f t="shared" si="143"/>
        <v>0</v>
      </c>
      <c r="CX16" s="520"/>
      <c r="CY16" s="521">
        <f t="shared" si="32"/>
        <v>0</v>
      </c>
      <c r="CZ16" s="522">
        <f t="shared" si="144"/>
        <v>0</v>
      </c>
      <c r="DA16" s="520">
        <v>87.209302325581234</v>
      </c>
      <c r="DB16" s="521">
        <f t="shared" si="33"/>
        <v>1.9924901717101426</v>
      </c>
      <c r="DC16" s="522">
        <f t="shared" si="145"/>
        <v>0</v>
      </c>
      <c r="DD16" s="520"/>
      <c r="DE16" s="521">
        <f t="shared" si="34"/>
        <v>0</v>
      </c>
      <c r="DF16" s="522">
        <f t="shared" si="146"/>
        <v>0</v>
      </c>
      <c r="DG16" s="520"/>
      <c r="DH16" s="521">
        <f t="shared" si="35"/>
        <v>0</v>
      </c>
      <c r="DI16" s="522">
        <f t="shared" si="203"/>
        <v>0</v>
      </c>
      <c r="DJ16" s="520"/>
      <c r="DK16" s="521">
        <f t="shared" si="36"/>
        <v>0</v>
      </c>
      <c r="DL16" s="522">
        <f t="shared" si="147"/>
        <v>0</v>
      </c>
      <c r="DM16" s="520"/>
      <c r="DN16" s="521">
        <f t="shared" si="37"/>
        <v>0</v>
      </c>
      <c r="DO16" s="522">
        <f t="shared" si="148"/>
        <v>0</v>
      </c>
      <c r="DP16" s="520"/>
      <c r="DQ16" s="521">
        <f t="shared" si="38"/>
        <v>0</v>
      </c>
      <c r="DR16" s="522">
        <f t="shared" si="149"/>
        <v>0</v>
      </c>
      <c r="DS16" s="520"/>
      <c r="DT16" s="521">
        <f t="shared" si="39"/>
        <v>0</v>
      </c>
      <c r="DU16" s="522">
        <f t="shared" si="150"/>
        <v>0</v>
      </c>
      <c r="DV16" s="520"/>
      <c r="DW16" s="521">
        <f t="shared" si="40"/>
        <v>0</v>
      </c>
      <c r="DX16" s="522">
        <f t="shared" si="151"/>
        <v>0</v>
      </c>
      <c r="DY16" s="520"/>
      <c r="DZ16" s="521">
        <f t="shared" si="41"/>
        <v>0</v>
      </c>
      <c r="EA16" s="522">
        <f t="shared" si="152"/>
        <v>0</v>
      </c>
      <c r="EB16" s="520"/>
      <c r="EC16" s="521">
        <f t="shared" si="42"/>
        <v>0</v>
      </c>
      <c r="ED16" s="522">
        <f t="shared" si="153"/>
        <v>0</v>
      </c>
      <c r="EE16" s="520">
        <v>14.534883720930225</v>
      </c>
      <c r="EF16" s="521">
        <f t="shared" si="43"/>
        <v>0.33208169528502424</v>
      </c>
      <c r="EG16" s="522">
        <f t="shared" si="154"/>
        <v>0</v>
      </c>
      <c r="EH16" s="520">
        <v>46.96470588235286</v>
      </c>
      <c r="EI16" s="521">
        <f t="shared" si="44"/>
        <v>1.0730129973806315</v>
      </c>
      <c r="EJ16" s="522">
        <f t="shared" si="155"/>
        <v>0</v>
      </c>
      <c r="EK16" s="520">
        <v>3.0999999999999996</v>
      </c>
      <c r="EL16" s="521">
        <f t="shared" si="45"/>
        <v>7.0826383970389997E-2</v>
      </c>
      <c r="EM16" s="522">
        <f t="shared" si="156"/>
        <v>0</v>
      </c>
      <c r="EN16" s="520"/>
      <c r="EO16" s="521">
        <f t="shared" si="46"/>
        <v>0</v>
      </c>
      <c r="EP16" s="522">
        <f t="shared" si="157"/>
        <v>0</v>
      </c>
      <c r="EQ16" s="520"/>
      <c r="ER16" s="521">
        <f t="shared" si="47"/>
        <v>0</v>
      </c>
      <c r="ES16" s="522">
        <f t="shared" si="158"/>
        <v>0</v>
      </c>
      <c r="ET16" s="520"/>
      <c r="EU16" s="521">
        <f t="shared" si="48"/>
        <v>0</v>
      </c>
      <c r="EV16" s="522">
        <f t="shared" si="159"/>
        <v>0</v>
      </c>
      <c r="EW16" s="520"/>
      <c r="EX16" s="521">
        <f t="shared" si="49"/>
        <v>0</v>
      </c>
      <c r="EY16" s="522">
        <f t="shared" si="160"/>
        <v>0</v>
      </c>
      <c r="EZ16" s="520"/>
      <c r="FA16" s="521">
        <f t="shared" si="50"/>
        <v>0</v>
      </c>
      <c r="FB16" s="522">
        <f t="shared" si="161"/>
        <v>0</v>
      </c>
      <c r="FC16" s="520"/>
      <c r="FD16" s="521">
        <f t="shared" si="51"/>
        <v>0</v>
      </c>
      <c r="FE16" s="522">
        <f t="shared" si="162"/>
        <v>0</v>
      </c>
      <c r="FF16" s="520"/>
      <c r="FG16" s="521">
        <f t="shared" si="52"/>
        <v>0</v>
      </c>
      <c r="FH16" s="522">
        <f t="shared" si="163"/>
        <v>0</v>
      </c>
      <c r="FI16" s="520"/>
      <c r="FJ16" s="521">
        <f t="shared" si="53"/>
        <v>0</v>
      </c>
      <c r="FK16" s="522">
        <f t="shared" si="164"/>
        <v>0</v>
      </c>
      <c r="FL16" s="520"/>
      <c r="FM16" s="521">
        <f t="shared" si="54"/>
        <v>0</v>
      </c>
      <c r="FN16" s="522">
        <f t="shared" si="165"/>
        <v>0</v>
      </c>
      <c r="FO16" s="520"/>
      <c r="FP16" s="521">
        <f t="shared" si="55"/>
        <v>0</v>
      </c>
      <c r="FQ16" s="522">
        <f t="shared" si="166"/>
        <v>0</v>
      </c>
      <c r="FR16" s="520"/>
      <c r="FS16" s="521">
        <f t="shared" si="56"/>
        <v>0</v>
      </c>
      <c r="FT16" s="522">
        <f t="shared" si="167"/>
        <v>0</v>
      </c>
      <c r="FU16" s="520"/>
      <c r="FV16" s="521">
        <f t="shared" si="57"/>
        <v>0</v>
      </c>
      <c r="FW16" s="522">
        <f t="shared" si="168"/>
        <v>0</v>
      </c>
      <c r="FX16" s="520"/>
      <c r="FY16" s="521">
        <f t="shared" si="58"/>
        <v>0</v>
      </c>
      <c r="FZ16" s="522">
        <f t="shared" si="169"/>
        <v>0</v>
      </c>
      <c r="GA16" s="520"/>
      <c r="GB16" s="521">
        <f t="shared" si="59"/>
        <v>0</v>
      </c>
      <c r="GC16" s="522">
        <f t="shared" si="170"/>
        <v>0</v>
      </c>
      <c r="GD16" s="520"/>
      <c r="GE16" s="521">
        <f t="shared" si="60"/>
        <v>0</v>
      </c>
      <c r="GF16" s="522">
        <f t="shared" si="171"/>
        <v>0</v>
      </c>
      <c r="GG16" s="520"/>
      <c r="GH16" s="521">
        <f t="shared" si="61"/>
        <v>0</v>
      </c>
      <c r="GI16" s="522">
        <f t="shared" si="172"/>
        <v>0</v>
      </c>
      <c r="GJ16" s="520"/>
      <c r="GK16" s="521">
        <f t="shared" si="62"/>
        <v>0</v>
      </c>
      <c r="GL16" s="522">
        <f t="shared" si="173"/>
        <v>0</v>
      </c>
      <c r="GM16" s="520"/>
      <c r="GN16" s="521">
        <f t="shared" si="63"/>
        <v>0</v>
      </c>
      <c r="GO16" s="522">
        <f t="shared" si="174"/>
        <v>0</v>
      </c>
      <c r="GP16" s="520"/>
      <c r="GQ16" s="521">
        <f t="shared" si="64"/>
        <v>0</v>
      </c>
      <c r="GR16" s="522">
        <f t="shared" si="175"/>
        <v>0</v>
      </c>
      <c r="GS16" s="520"/>
      <c r="GT16" s="521">
        <f t="shared" si="65"/>
        <v>0</v>
      </c>
      <c r="GU16" s="522">
        <f t="shared" si="176"/>
        <v>0</v>
      </c>
      <c r="GV16" s="520"/>
      <c r="GW16" s="521">
        <f t="shared" si="66"/>
        <v>0</v>
      </c>
      <c r="GX16" s="522">
        <f t="shared" si="177"/>
        <v>0</v>
      </c>
      <c r="GY16" s="520"/>
      <c r="GZ16" s="521">
        <f t="shared" si="67"/>
        <v>0</v>
      </c>
      <c r="HA16" s="522">
        <f t="shared" si="178"/>
        <v>0</v>
      </c>
      <c r="HB16" s="520"/>
      <c r="HC16" s="521">
        <f t="shared" si="68"/>
        <v>0</v>
      </c>
      <c r="HD16" s="522">
        <f t="shared" si="179"/>
        <v>0</v>
      </c>
      <c r="HE16" s="520"/>
      <c r="HF16" s="521">
        <f t="shared" si="69"/>
        <v>0</v>
      </c>
      <c r="HG16" s="522">
        <f t="shared" si="180"/>
        <v>0</v>
      </c>
      <c r="HH16" s="520"/>
      <c r="HI16" s="521">
        <f t="shared" si="70"/>
        <v>0</v>
      </c>
      <c r="HJ16" s="522">
        <f t="shared" si="181"/>
        <v>0</v>
      </c>
      <c r="HK16" s="520"/>
      <c r="HL16" s="521">
        <f t="shared" si="71"/>
        <v>0</v>
      </c>
      <c r="HM16" s="522">
        <f t="shared" si="182"/>
        <v>0</v>
      </c>
      <c r="HN16" s="520"/>
      <c r="HO16" s="521">
        <f t="shared" si="72"/>
        <v>0</v>
      </c>
      <c r="HP16" s="522">
        <f t="shared" si="183"/>
        <v>0</v>
      </c>
      <c r="HQ16" s="520"/>
      <c r="HR16" s="521">
        <f t="shared" si="73"/>
        <v>0</v>
      </c>
      <c r="HS16" s="522">
        <f t="shared" si="184"/>
        <v>0</v>
      </c>
      <c r="HT16" s="520"/>
      <c r="HU16" s="521">
        <f t="shared" si="74"/>
        <v>0</v>
      </c>
      <c r="HV16" s="522">
        <f t="shared" si="185"/>
        <v>0</v>
      </c>
      <c r="HW16" s="520"/>
      <c r="HX16" s="521">
        <f t="shared" si="75"/>
        <v>0</v>
      </c>
      <c r="HY16" s="522">
        <f t="shared" si="186"/>
        <v>0</v>
      </c>
      <c r="HZ16" s="520"/>
      <c r="IA16" s="521">
        <f t="shared" si="76"/>
        <v>0</v>
      </c>
      <c r="IB16" s="522">
        <f t="shared" si="187"/>
        <v>0</v>
      </c>
      <c r="IC16" s="520"/>
      <c r="ID16" s="521">
        <f t="shared" si="77"/>
        <v>0</v>
      </c>
      <c r="IE16" s="522">
        <f t="shared" si="188"/>
        <v>0</v>
      </c>
      <c r="IF16" s="520"/>
      <c r="IG16" s="521">
        <f t="shared" si="78"/>
        <v>0</v>
      </c>
      <c r="IH16" s="522">
        <f t="shared" si="189"/>
        <v>0</v>
      </c>
      <c r="II16" s="520"/>
      <c r="IJ16" s="521">
        <f t="shared" si="79"/>
        <v>0</v>
      </c>
      <c r="IK16" s="522">
        <f t="shared" si="190"/>
        <v>0</v>
      </c>
      <c r="IL16" s="520"/>
      <c r="IM16" s="521">
        <f t="shared" si="80"/>
        <v>0</v>
      </c>
      <c r="IN16" s="522">
        <f t="shared" si="191"/>
        <v>0</v>
      </c>
      <c r="IO16" s="520"/>
      <c r="IP16" s="521">
        <f t="shared" si="81"/>
        <v>0</v>
      </c>
      <c r="IQ16" s="522">
        <f t="shared" si="192"/>
        <v>0</v>
      </c>
      <c r="IR16" s="520"/>
      <c r="IS16" s="521">
        <f t="shared" si="82"/>
        <v>0</v>
      </c>
      <c r="IT16" s="522">
        <f t="shared" si="193"/>
        <v>0</v>
      </c>
      <c r="IU16" s="520"/>
      <c r="IV16" s="521">
        <f t="shared" si="83"/>
        <v>0</v>
      </c>
      <c r="IW16" s="522">
        <f t="shared" si="194"/>
        <v>0</v>
      </c>
      <c r="IX16" s="520"/>
      <c r="IY16" s="521">
        <f t="shared" si="84"/>
        <v>0</v>
      </c>
      <c r="IZ16" s="522">
        <f t="shared" si="195"/>
        <v>0</v>
      </c>
      <c r="JA16" s="520"/>
      <c r="JB16" s="521">
        <f t="shared" si="85"/>
        <v>0</v>
      </c>
      <c r="JC16" s="522">
        <f t="shared" si="196"/>
        <v>0</v>
      </c>
      <c r="JD16" s="520"/>
      <c r="JE16" s="521">
        <f t="shared" si="86"/>
        <v>0</v>
      </c>
      <c r="JF16" s="522">
        <f t="shared" si="197"/>
        <v>0</v>
      </c>
      <c r="JG16" s="520"/>
      <c r="JH16" s="521">
        <f t="shared" si="87"/>
        <v>0</v>
      </c>
      <c r="JI16" s="522">
        <f t="shared" si="198"/>
        <v>0</v>
      </c>
      <c r="JJ16" s="520"/>
      <c r="JK16" s="522" t="str">
        <f t="shared" si="88"/>
        <v>0</v>
      </c>
      <c r="JL16" s="522" t="str">
        <f t="shared" si="89"/>
        <v>0</v>
      </c>
      <c r="JM16" s="520"/>
      <c r="JN16" s="522" t="str">
        <f t="shared" si="90"/>
        <v>0</v>
      </c>
      <c r="JO16" s="522" t="str">
        <f t="shared" si="91"/>
        <v>0</v>
      </c>
      <c r="JP16" s="520"/>
      <c r="JQ16" s="522" t="str">
        <f t="shared" si="92"/>
        <v>0</v>
      </c>
      <c r="JR16" s="522" t="str">
        <f t="shared" si="93"/>
        <v>0</v>
      </c>
      <c r="JS16" s="520"/>
      <c r="JT16" s="522" t="str">
        <f t="shared" si="94"/>
        <v>0</v>
      </c>
      <c r="JU16" s="522" t="str">
        <f t="shared" si="95"/>
        <v>0</v>
      </c>
      <c r="JV16" s="520"/>
      <c r="JW16" s="522" t="str">
        <f t="shared" si="96"/>
        <v>0</v>
      </c>
      <c r="JX16" s="522" t="str">
        <f t="shared" si="97"/>
        <v>0</v>
      </c>
      <c r="JY16" s="520"/>
      <c r="JZ16" s="522" t="str">
        <f t="shared" si="98"/>
        <v>0</v>
      </c>
      <c r="KA16" s="522" t="str">
        <f t="shared" si="99"/>
        <v>0</v>
      </c>
      <c r="KB16" s="520"/>
      <c r="KC16" s="522" t="str">
        <f t="shared" si="100"/>
        <v>0</v>
      </c>
      <c r="KD16" s="522" t="str">
        <f t="shared" si="101"/>
        <v>0</v>
      </c>
      <c r="KE16" s="520"/>
      <c r="KF16" s="522" t="str">
        <f t="shared" si="102"/>
        <v>0</v>
      </c>
      <c r="KG16" s="522" t="str">
        <f t="shared" si="103"/>
        <v>0</v>
      </c>
      <c r="KH16" s="520"/>
      <c r="KI16" s="522" t="str">
        <f t="shared" si="104"/>
        <v>0</v>
      </c>
      <c r="KJ16" s="522" t="str">
        <f t="shared" si="105"/>
        <v>0</v>
      </c>
      <c r="KK16" s="520"/>
      <c r="KL16" s="522" t="str">
        <f t="shared" si="106"/>
        <v>0</v>
      </c>
      <c r="KM16" s="522" t="str">
        <f t="shared" si="107"/>
        <v>0</v>
      </c>
      <c r="KN16" s="520"/>
      <c r="KO16" s="522" t="str">
        <f t="shared" si="108"/>
        <v>0</v>
      </c>
      <c r="KP16" s="522" t="str">
        <f t="shared" si="109"/>
        <v>0</v>
      </c>
      <c r="KQ16" s="520"/>
      <c r="KR16" s="522" t="str">
        <f t="shared" si="110"/>
        <v>0</v>
      </c>
      <c r="KS16" s="522" t="str">
        <f t="shared" si="111"/>
        <v>0</v>
      </c>
      <c r="KT16" s="522">
        <f t="shared" si="201"/>
        <v>0</v>
      </c>
      <c r="KU16" s="522">
        <f t="shared" si="202"/>
        <v>0</v>
      </c>
      <c r="KV16" s="267">
        <f t="shared" si="199"/>
        <v>301.47617126847751</v>
      </c>
    </row>
    <row r="17" spans="1:309">
      <c r="A17" s="268">
        <f t="shared" si="200"/>
        <v>45878</v>
      </c>
      <c r="B17" s="269" t="str">
        <f>+Report1!B17</f>
        <v>Facial</v>
      </c>
      <c r="C17" s="269" t="str">
        <f>+Report1!C17</f>
        <v>15/13,5/13/12</v>
      </c>
      <c r="D17" s="270">
        <f>+Report1!P17</f>
        <v>42.048000000000002</v>
      </c>
      <c r="E17" s="558">
        <f>+Report1!R17</f>
        <v>44.734000000000002</v>
      </c>
      <c r="F17" s="520"/>
      <c r="G17" s="521">
        <f t="shared" si="0"/>
        <v>0</v>
      </c>
      <c r="H17" s="522">
        <f t="shared" si="112"/>
        <v>0</v>
      </c>
      <c r="I17" s="520">
        <v>215.11627906976753</v>
      </c>
      <c r="J17" s="521">
        <f t="shared" si="1"/>
        <v>4.8087870315591612</v>
      </c>
      <c r="K17" s="522">
        <f t="shared" si="113"/>
        <v>0</v>
      </c>
      <c r="L17" s="520"/>
      <c r="M17" s="521">
        <f t="shared" si="2"/>
        <v>0</v>
      </c>
      <c r="N17" s="522">
        <f t="shared" si="114"/>
        <v>0</v>
      </c>
      <c r="O17" s="520">
        <v>6.0000000000000142</v>
      </c>
      <c r="P17" s="521">
        <f t="shared" si="3"/>
        <v>0.1341261680153801</v>
      </c>
      <c r="Q17" s="522">
        <f t="shared" si="115"/>
        <v>0</v>
      </c>
      <c r="R17" s="520"/>
      <c r="S17" s="521">
        <f t="shared" si="4"/>
        <v>0</v>
      </c>
      <c r="T17" s="522">
        <f t="shared" si="116"/>
        <v>0</v>
      </c>
      <c r="U17" s="520">
        <v>8.9687500000000142</v>
      </c>
      <c r="V17" s="521">
        <f t="shared" si="5"/>
        <v>0.20049067823132324</v>
      </c>
      <c r="W17" s="522">
        <f t="shared" si="117"/>
        <v>0</v>
      </c>
      <c r="X17" s="520"/>
      <c r="Y17" s="521">
        <f t="shared" si="6"/>
        <v>0</v>
      </c>
      <c r="Z17" s="522">
        <f t="shared" si="118"/>
        <v>0</v>
      </c>
      <c r="AA17" s="520">
        <v>7.8125</v>
      </c>
      <c r="AB17" s="521">
        <f t="shared" si="7"/>
        <v>0.17464344793669245</v>
      </c>
      <c r="AC17" s="522">
        <f t="shared" si="119"/>
        <v>0</v>
      </c>
      <c r="AD17" s="520"/>
      <c r="AE17" s="521">
        <f t="shared" si="8"/>
        <v>0</v>
      </c>
      <c r="AF17" s="522">
        <f t="shared" si="120"/>
        <v>0</v>
      </c>
      <c r="AG17" s="520"/>
      <c r="AH17" s="521">
        <f t="shared" si="9"/>
        <v>0</v>
      </c>
      <c r="AI17" s="522">
        <f t="shared" si="121"/>
        <v>0</v>
      </c>
      <c r="AJ17" s="520">
        <v>11.75</v>
      </c>
      <c r="AK17" s="521">
        <f t="shared" si="10"/>
        <v>0.26266374569678541</v>
      </c>
      <c r="AL17" s="522">
        <f t="shared" si="122"/>
        <v>0</v>
      </c>
      <c r="AM17" s="520"/>
      <c r="AN17" s="521">
        <f t="shared" si="11"/>
        <v>0</v>
      </c>
      <c r="AO17" s="522">
        <f t="shared" si="123"/>
        <v>0</v>
      </c>
      <c r="AP17" s="520">
        <v>42.721518987341753</v>
      </c>
      <c r="AQ17" s="521">
        <f t="shared" si="12"/>
        <v>0.95501227226140639</v>
      </c>
      <c r="AR17" s="522">
        <f t="shared" si="124"/>
        <v>0</v>
      </c>
      <c r="AS17" s="520"/>
      <c r="AT17" s="521">
        <f t="shared" si="13"/>
        <v>0</v>
      </c>
      <c r="AU17" s="522">
        <f t="shared" si="125"/>
        <v>0</v>
      </c>
      <c r="AV17" s="520"/>
      <c r="AW17" s="521">
        <f t="shared" si="14"/>
        <v>0</v>
      </c>
      <c r="AX17" s="522">
        <f t="shared" si="126"/>
        <v>0</v>
      </c>
      <c r="AY17" s="520">
        <v>52.5</v>
      </c>
      <c r="AZ17" s="521">
        <f t="shared" si="15"/>
        <v>1.1736039701345733</v>
      </c>
      <c r="BA17" s="522">
        <f t="shared" si="127"/>
        <v>0</v>
      </c>
      <c r="BB17" s="520"/>
      <c r="BC17" s="521">
        <f t="shared" si="16"/>
        <v>0</v>
      </c>
      <c r="BD17" s="522">
        <f t="shared" si="128"/>
        <v>0</v>
      </c>
      <c r="BE17" s="520"/>
      <c r="BF17" s="521">
        <f t="shared" si="17"/>
        <v>0</v>
      </c>
      <c r="BG17" s="522">
        <f t="shared" si="129"/>
        <v>0</v>
      </c>
      <c r="BH17" s="520"/>
      <c r="BI17" s="521">
        <f t="shared" si="18"/>
        <v>0</v>
      </c>
      <c r="BJ17" s="522">
        <f t="shared" si="130"/>
        <v>0</v>
      </c>
      <c r="BK17" s="520"/>
      <c r="BL17" s="521">
        <f t="shared" si="19"/>
        <v>0</v>
      </c>
      <c r="BM17" s="522">
        <f t="shared" si="131"/>
        <v>0</v>
      </c>
      <c r="BN17" s="520"/>
      <c r="BO17" s="521">
        <f t="shared" si="20"/>
        <v>0</v>
      </c>
      <c r="BP17" s="522">
        <f t="shared" si="132"/>
        <v>0</v>
      </c>
      <c r="BQ17" s="520">
        <v>81.012658227848078</v>
      </c>
      <c r="BR17" s="521">
        <f t="shared" si="21"/>
        <v>1.8109862348068153</v>
      </c>
      <c r="BS17" s="522">
        <f t="shared" si="133"/>
        <v>0</v>
      </c>
      <c r="BT17" s="520"/>
      <c r="BU17" s="521">
        <f t="shared" si="22"/>
        <v>0</v>
      </c>
      <c r="BV17" s="522">
        <f t="shared" si="134"/>
        <v>0</v>
      </c>
      <c r="BW17" s="520"/>
      <c r="BX17" s="521">
        <f t="shared" si="23"/>
        <v>0</v>
      </c>
      <c r="BY17" s="522">
        <f t="shared" si="135"/>
        <v>0</v>
      </c>
      <c r="BZ17" s="520"/>
      <c r="CA17" s="521">
        <f t="shared" si="24"/>
        <v>0</v>
      </c>
      <c r="CB17" s="522">
        <f t="shared" si="136"/>
        <v>0</v>
      </c>
      <c r="CC17" s="520"/>
      <c r="CD17" s="521">
        <f t="shared" si="25"/>
        <v>0</v>
      </c>
      <c r="CE17" s="522">
        <f t="shared" si="137"/>
        <v>0</v>
      </c>
      <c r="CF17" s="520">
        <v>0.60000000000000053</v>
      </c>
      <c r="CG17" s="521">
        <f t="shared" si="26"/>
        <v>1.3412616801537991E-2</v>
      </c>
      <c r="CH17" s="522">
        <f t="shared" si="138"/>
        <v>0</v>
      </c>
      <c r="CI17" s="520"/>
      <c r="CJ17" s="521">
        <f t="shared" si="27"/>
        <v>0</v>
      </c>
      <c r="CK17" s="522">
        <f t="shared" si="139"/>
        <v>0</v>
      </c>
      <c r="CL17" s="520"/>
      <c r="CM17" s="521">
        <f t="shared" si="28"/>
        <v>0</v>
      </c>
      <c r="CN17" s="522">
        <f t="shared" si="140"/>
        <v>0</v>
      </c>
      <c r="CO17" s="520"/>
      <c r="CP17" s="521">
        <f t="shared" si="29"/>
        <v>0</v>
      </c>
      <c r="CQ17" s="522">
        <f t="shared" si="141"/>
        <v>0</v>
      </c>
      <c r="CR17" s="520">
        <v>0.5</v>
      </c>
      <c r="CS17" s="521">
        <f t="shared" si="30"/>
        <v>1.1177180667948317E-2</v>
      </c>
      <c r="CT17" s="522">
        <f t="shared" si="142"/>
        <v>0</v>
      </c>
      <c r="CU17" s="520"/>
      <c r="CV17" s="521">
        <f t="shared" si="31"/>
        <v>0</v>
      </c>
      <c r="CW17" s="522">
        <f t="shared" si="143"/>
        <v>0</v>
      </c>
      <c r="CX17" s="520"/>
      <c r="CY17" s="521">
        <f t="shared" si="32"/>
        <v>0</v>
      </c>
      <c r="CZ17" s="522">
        <f t="shared" si="144"/>
        <v>0</v>
      </c>
      <c r="DA17" s="520"/>
      <c r="DB17" s="521">
        <f t="shared" si="33"/>
        <v>0</v>
      </c>
      <c r="DC17" s="522">
        <f t="shared" si="145"/>
        <v>0</v>
      </c>
      <c r="DD17" s="520"/>
      <c r="DE17" s="521">
        <f t="shared" si="34"/>
        <v>0</v>
      </c>
      <c r="DF17" s="522">
        <f t="shared" si="146"/>
        <v>0</v>
      </c>
      <c r="DG17" s="520"/>
      <c r="DH17" s="521">
        <f t="shared" si="35"/>
        <v>0</v>
      </c>
      <c r="DI17" s="522">
        <f t="shared" si="203"/>
        <v>0</v>
      </c>
      <c r="DJ17" s="520"/>
      <c r="DK17" s="521">
        <f t="shared" si="36"/>
        <v>0</v>
      </c>
      <c r="DL17" s="522">
        <f t="shared" si="147"/>
        <v>0</v>
      </c>
      <c r="DM17" s="520"/>
      <c r="DN17" s="521">
        <f t="shared" si="37"/>
        <v>0</v>
      </c>
      <c r="DO17" s="522">
        <f t="shared" si="148"/>
        <v>0</v>
      </c>
      <c r="DP17" s="520"/>
      <c r="DQ17" s="521">
        <f t="shared" si="38"/>
        <v>0</v>
      </c>
      <c r="DR17" s="522">
        <f t="shared" si="149"/>
        <v>0</v>
      </c>
      <c r="DS17" s="520"/>
      <c r="DT17" s="521">
        <f t="shared" si="39"/>
        <v>0</v>
      </c>
      <c r="DU17" s="522">
        <f t="shared" si="150"/>
        <v>0</v>
      </c>
      <c r="DV17" s="520"/>
      <c r="DW17" s="521">
        <f t="shared" si="40"/>
        <v>0</v>
      </c>
      <c r="DX17" s="522">
        <f t="shared" si="151"/>
        <v>0</v>
      </c>
      <c r="DY17" s="520"/>
      <c r="DZ17" s="521">
        <f t="shared" si="41"/>
        <v>0</v>
      </c>
      <c r="EA17" s="522">
        <f t="shared" si="152"/>
        <v>0</v>
      </c>
      <c r="EB17" s="520"/>
      <c r="EC17" s="521">
        <f t="shared" si="42"/>
        <v>0</v>
      </c>
      <c r="ED17" s="522">
        <f t="shared" si="153"/>
        <v>0</v>
      </c>
      <c r="EE17" s="520">
        <v>14.534883720930239</v>
      </c>
      <c r="EF17" s="521">
        <f t="shared" si="43"/>
        <v>0.3249180426729163</v>
      </c>
      <c r="EG17" s="522">
        <f t="shared" si="154"/>
        <v>0</v>
      </c>
      <c r="EH17" s="520">
        <v>58.705882352941217</v>
      </c>
      <c r="EI17" s="521">
        <f t="shared" si="44"/>
        <v>1.3123325066602856</v>
      </c>
      <c r="EJ17" s="522">
        <f t="shared" si="155"/>
        <v>0</v>
      </c>
      <c r="EK17" s="520">
        <v>2.9999999999999929</v>
      </c>
      <c r="EL17" s="521">
        <f t="shared" si="45"/>
        <v>6.7063084007689733E-2</v>
      </c>
      <c r="EM17" s="522">
        <f t="shared" si="156"/>
        <v>0</v>
      </c>
      <c r="EN17" s="520"/>
      <c r="EO17" s="521">
        <f t="shared" si="46"/>
        <v>0</v>
      </c>
      <c r="EP17" s="522">
        <f t="shared" si="157"/>
        <v>0</v>
      </c>
      <c r="EQ17" s="520"/>
      <c r="ER17" s="521">
        <f t="shared" si="47"/>
        <v>0</v>
      </c>
      <c r="ES17" s="522">
        <f t="shared" si="158"/>
        <v>0</v>
      </c>
      <c r="ET17" s="520"/>
      <c r="EU17" s="521">
        <f t="shared" si="48"/>
        <v>0</v>
      </c>
      <c r="EV17" s="522">
        <f t="shared" si="159"/>
        <v>0</v>
      </c>
      <c r="EW17" s="520"/>
      <c r="EX17" s="521">
        <f t="shared" si="49"/>
        <v>0</v>
      </c>
      <c r="EY17" s="522">
        <f t="shared" si="160"/>
        <v>0</v>
      </c>
      <c r="EZ17" s="520"/>
      <c r="FA17" s="521">
        <f t="shared" si="50"/>
        <v>0</v>
      </c>
      <c r="FB17" s="522">
        <f t="shared" si="161"/>
        <v>0</v>
      </c>
      <c r="FC17" s="520"/>
      <c r="FD17" s="521">
        <f t="shared" si="51"/>
        <v>0</v>
      </c>
      <c r="FE17" s="522">
        <f t="shared" si="162"/>
        <v>0</v>
      </c>
      <c r="FF17" s="520"/>
      <c r="FG17" s="521">
        <f t="shared" si="52"/>
        <v>0</v>
      </c>
      <c r="FH17" s="522">
        <f t="shared" si="163"/>
        <v>0</v>
      </c>
      <c r="FI17" s="520"/>
      <c r="FJ17" s="521">
        <f t="shared" si="53"/>
        <v>0</v>
      </c>
      <c r="FK17" s="522">
        <f t="shared" si="164"/>
        <v>0</v>
      </c>
      <c r="FL17" s="520"/>
      <c r="FM17" s="521">
        <f t="shared" si="54"/>
        <v>0</v>
      </c>
      <c r="FN17" s="522">
        <f t="shared" si="165"/>
        <v>0</v>
      </c>
      <c r="FO17" s="520"/>
      <c r="FP17" s="521">
        <f t="shared" si="55"/>
        <v>0</v>
      </c>
      <c r="FQ17" s="522">
        <f t="shared" si="166"/>
        <v>0</v>
      </c>
      <c r="FR17" s="520"/>
      <c r="FS17" s="521">
        <f t="shared" si="56"/>
        <v>0</v>
      </c>
      <c r="FT17" s="522">
        <f t="shared" si="167"/>
        <v>0</v>
      </c>
      <c r="FU17" s="520"/>
      <c r="FV17" s="521">
        <f t="shared" si="57"/>
        <v>0</v>
      </c>
      <c r="FW17" s="522">
        <f t="shared" si="168"/>
        <v>0</v>
      </c>
      <c r="FX17" s="520"/>
      <c r="FY17" s="521">
        <f t="shared" si="58"/>
        <v>0</v>
      </c>
      <c r="FZ17" s="522">
        <f t="shared" si="169"/>
        <v>0</v>
      </c>
      <c r="GA17" s="520"/>
      <c r="GB17" s="521">
        <f t="shared" si="59"/>
        <v>0</v>
      </c>
      <c r="GC17" s="522">
        <f t="shared" si="170"/>
        <v>0</v>
      </c>
      <c r="GD17" s="520"/>
      <c r="GE17" s="521">
        <f t="shared" si="60"/>
        <v>0</v>
      </c>
      <c r="GF17" s="522">
        <f t="shared" si="171"/>
        <v>0</v>
      </c>
      <c r="GG17" s="520"/>
      <c r="GH17" s="521">
        <f t="shared" si="61"/>
        <v>0</v>
      </c>
      <c r="GI17" s="522">
        <f t="shared" si="172"/>
        <v>0</v>
      </c>
      <c r="GJ17" s="520"/>
      <c r="GK17" s="521">
        <f t="shared" si="62"/>
        <v>0</v>
      </c>
      <c r="GL17" s="522">
        <f t="shared" si="173"/>
        <v>0</v>
      </c>
      <c r="GM17" s="520"/>
      <c r="GN17" s="521">
        <f t="shared" si="63"/>
        <v>0</v>
      </c>
      <c r="GO17" s="522">
        <f t="shared" si="174"/>
        <v>0</v>
      </c>
      <c r="GP17" s="520"/>
      <c r="GQ17" s="521">
        <f t="shared" si="64"/>
        <v>0</v>
      </c>
      <c r="GR17" s="522">
        <f t="shared" si="175"/>
        <v>0</v>
      </c>
      <c r="GS17" s="520"/>
      <c r="GT17" s="521">
        <f t="shared" si="65"/>
        <v>0</v>
      </c>
      <c r="GU17" s="522">
        <f t="shared" si="176"/>
        <v>0</v>
      </c>
      <c r="GV17" s="520"/>
      <c r="GW17" s="521">
        <f t="shared" si="66"/>
        <v>0</v>
      </c>
      <c r="GX17" s="522">
        <f t="shared" si="177"/>
        <v>0</v>
      </c>
      <c r="GY17" s="520"/>
      <c r="GZ17" s="521">
        <f t="shared" si="67"/>
        <v>0</v>
      </c>
      <c r="HA17" s="522">
        <f t="shared" si="178"/>
        <v>0</v>
      </c>
      <c r="HB17" s="520"/>
      <c r="HC17" s="521">
        <f t="shared" si="68"/>
        <v>0</v>
      </c>
      <c r="HD17" s="522">
        <f t="shared" si="179"/>
        <v>0</v>
      </c>
      <c r="HE17" s="520"/>
      <c r="HF17" s="521">
        <f t="shared" si="69"/>
        <v>0</v>
      </c>
      <c r="HG17" s="522">
        <f t="shared" si="180"/>
        <v>0</v>
      </c>
      <c r="HH17" s="520"/>
      <c r="HI17" s="521">
        <f t="shared" si="70"/>
        <v>0</v>
      </c>
      <c r="HJ17" s="522">
        <f t="shared" si="181"/>
        <v>0</v>
      </c>
      <c r="HK17" s="520"/>
      <c r="HL17" s="521">
        <f t="shared" si="71"/>
        <v>0</v>
      </c>
      <c r="HM17" s="522">
        <f t="shared" si="182"/>
        <v>0</v>
      </c>
      <c r="HN17" s="520"/>
      <c r="HO17" s="521">
        <f t="shared" si="72"/>
        <v>0</v>
      </c>
      <c r="HP17" s="522">
        <f t="shared" si="183"/>
        <v>0</v>
      </c>
      <c r="HQ17" s="520"/>
      <c r="HR17" s="521">
        <f t="shared" si="73"/>
        <v>0</v>
      </c>
      <c r="HS17" s="522">
        <f t="shared" si="184"/>
        <v>0</v>
      </c>
      <c r="HT17" s="520"/>
      <c r="HU17" s="521">
        <f t="shared" si="74"/>
        <v>0</v>
      </c>
      <c r="HV17" s="522">
        <f t="shared" si="185"/>
        <v>0</v>
      </c>
      <c r="HW17" s="520"/>
      <c r="HX17" s="521">
        <f t="shared" si="75"/>
        <v>0</v>
      </c>
      <c r="HY17" s="522">
        <f t="shared" si="186"/>
        <v>0</v>
      </c>
      <c r="HZ17" s="520"/>
      <c r="IA17" s="521">
        <f t="shared" si="76"/>
        <v>0</v>
      </c>
      <c r="IB17" s="522">
        <f t="shared" si="187"/>
        <v>0</v>
      </c>
      <c r="IC17" s="520"/>
      <c r="ID17" s="521">
        <f t="shared" si="77"/>
        <v>0</v>
      </c>
      <c r="IE17" s="522">
        <f t="shared" si="188"/>
        <v>0</v>
      </c>
      <c r="IF17" s="520"/>
      <c r="IG17" s="521">
        <f t="shared" si="78"/>
        <v>0</v>
      </c>
      <c r="IH17" s="522">
        <f t="shared" si="189"/>
        <v>0</v>
      </c>
      <c r="II17" s="520"/>
      <c r="IJ17" s="521">
        <f t="shared" si="79"/>
        <v>0</v>
      </c>
      <c r="IK17" s="522">
        <f t="shared" si="190"/>
        <v>0</v>
      </c>
      <c r="IL17" s="520"/>
      <c r="IM17" s="521">
        <f t="shared" si="80"/>
        <v>0</v>
      </c>
      <c r="IN17" s="522">
        <f t="shared" si="191"/>
        <v>0</v>
      </c>
      <c r="IO17" s="520"/>
      <c r="IP17" s="521">
        <f t="shared" si="81"/>
        <v>0</v>
      </c>
      <c r="IQ17" s="522">
        <f t="shared" si="192"/>
        <v>0</v>
      </c>
      <c r="IR17" s="520"/>
      <c r="IS17" s="521">
        <f t="shared" si="82"/>
        <v>0</v>
      </c>
      <c r="IT17" s="522">
        <f t="shared" si="193"/>
        <v>0</v>
      </c>
      <c r="IU17" s="520"/>
      <c r="IV17" s="521">
        <f t="shared" si="83"/>
        <v>0</v>
      </c>
      <c r="IW17" s="522">
        <f t="shared" si="194"/>
        <v>0</v>
      </c>
      <c r="IX17" s="520"/>
      <c r="IY17" s="521">
        <f t="shared" si="84"/>
        <v>0</v>
      </c>
      <c r="IZ17" s="522">
        <f t="shared" si="195"/>
        <v>0</v>
      </c>
      <c r="JA17" s="520"/>
      <c r="JB17" s="521">
        <f t="shared" si="85"/>
        <v>0</v>
      </c>
      <c r="JC17" s="522">
        <f t="shared" si="196"/>
        <v>0</v>
      </c>
      <c r="JD17" s="520"/>
      <c r="JE17" s="521">
        <f t="shared" si="86"/>
        <v>0</v>
      </c>
      <c r="JF17" s="522">
        <f t="shared" si="197"/>
        <v>0</v>
      </c>
      <c r="JG17" s="520"/>
      <c r="JH17" s="521">
        <f t="shared" si="87"/>
        <v>0</v>
      </c>
      <c r="JI17" s="522">
        <f t="shared" si="198"/>
        <v>0</v>
      </c>
      <c r="JJ17" s="520"/>
      <c r="JK17" s="522" t="str">
        <f t="shared" si="88"/>
        <v>0</v>
      </c>
      <c r="JL17" s="522" t="str">
        <f t="shared" si="89"/>
        <v>0</v>
      </c>
      <c r="JM17" s="520"/>
      <c r="JN17" s="522" t="str">
        <f t="shared" si="90"/>
        <v>0</v>
      </c>
      <c r="JO17" s="522" t="str">
        <f t="shared" si="91"/>
        <v>0</v>
      </c>
      <c r="JP17" s="520"/>
      <c r="JQ17" s="522" t="str">
        <f t="shared" si="92"/>
        <v>0</v>
      </c>
      <c r="JR17" s="522" t="str">
        <f t="shared" si="93"/>
        <v>0</v>
      </c>
      <c r="JS17" s="520"/>
      <c r="JT17" s="522" t="str">
        <f t="shared" si="94"/>
        <v>0</v>
      </c>
      <c r="JU17" s="522" t="str">
        <f t="shared" si="95"/>
        <v>0</v>
      </c>
      <c r="JV17" s="520"/>
      <c r="JW17" s="522" t="str">
        <f t="shared" si="96"/>
        <v>0</v>
      </c>
      <c r="JX17" s="522" t="str">
        <f t="shared" si="97"/>
        <v>0</v>
      </c>
      <c r="JY17" s="520"/>
      <c r="JZ17" s="522" t="str">
        <f t="shared" si="98"/>
        <v>0</v>
      </c>
      <c r="KA17" s="522" t="str">
        <f t="shared" si="99"/>
        <v>0</v>
      </c>
      <c r="KB17" s="520"/>
      <c r="KC17" s="522" t="str">
        <f t="shared" si="100"/>
        <v>0</v>
      </c>
      <c r="KD17" s="522" t="str">
        <f t="shared" si="101"/>
        <v>0</v>
      </c>
      <c r="KE17" s="520"/>
      <c r="KF17" s="522" t="str">
        <f t="shared" si="102"/>
        <v>0</v>
      </c>
      <c r="KG17" s="522" t="str">
        <f t="shared" si="103"/>
        <v>0</v>
      </c>
      <c r="KH17" s="520"/>
      <c r="KI17" s="522" t="str">
        <f t="shared" si="104"/>
        <v>0</v>
      </c>
      <c r="KJ17" s="522" t="str">
        <f t="shared" si="105"/>
        <v>0</v>
      </c>
      <c r="KK17" s="520"/>
      <c r="KL17" s="522" t="str">
        <f t="shared" si="106"/>
        <v>0</v>
      </c>
      <c r="KM17" s="522" t="str">
        <f t="shared" si="107"/>
        <v>0</v>
      </c>
      <c r="KN17" s="520"/>
      <c r="KO17" s="522" t="str">
        <f t="shared" si="108"/>
        <v>0</v>
      </c>
      <c r="KP17" s="522" t="str">
        <f t="shared" si="109"/>
        <v>0</v>
      </c>
      <c r="KQ17" s="520"/>
      <c r="KR17" s="522" t="str">
        <f t="shared" si="110"/>
        <v>0</v>
      </c>
      <c r="KS17" s="522" t="str">
        <f t="shared" si="111"/>
        <v>0</v>
      </c>
      <c r="KT17" s="522">
        <f t="shared" si="201"/>
        <v>0</v>
      </c>
      <c r="KU17" s="522">
        <f t="shared" si="202"/>
        <v>0</v>
      </c>
      <c r="KV17" s="267">
        <f t="shared" si="199"/>
        <v>503.22247235882884</v>
      </c>
    </row>
    <row r="18" spans="1:309">
      <c r="A18" s="268">
        <f t="shared" si="200"/>
        <v>45879</v>
      </c>
      <c r="B18" s="269" t="str">
        <f>+Report1!B18</f>
        <v>Facial</v>
      </c>
      <c r="C18" s="269" t="str">
        <f>+Report1!C18</f>
        <v>12</v>
      </c>
      <c r="D18" s="270">
        <f>+Report1!P18</f>
        <v>41.216999999999999</v>
      </c>
      <c r="E18" s="558">
        <f>+Report1!R18</f>
        <v>38.950000000000003</v>
      </c>
      <c r="F18" s="520"/>
      <c r="G18" s="521">
        <f t="shared" si="0"/>
        <v>0</v>
      </c>
      <c r="H18" s="522">
        <f t="shared" si="112"/>
        <v>0</v>
      </c>
      <c r="I18" s="520">
        <v>215.11627906976753</v>
      </c>
      <c r="J18" s="521">
        <f t="shared" si="1"/>
        <v>5.5228826462071252</v>
      </c>
      <c r="K18" s="522">
        <f t="shared" si="113"/>
        <v>0</v>
      </c>
      <c r="L18" s="520"/>
      <c r="M18" s="521">
        <f t="shared" si="2"/>
        <v>0</v>
      </c>
      <c r="N18" s="522">
        <f t="shared" si="114"/>
        <v>0</v>
      </c>
      <c r="O18" s="520">
        <v>6.0000000000000142</v>
      </c>
      <c r="P18" s="521">
        <f t="shared" si="3"/>
        <v>0.15404364569961523</v>
      </c>
      <c r="Q18" s="522">
        <f t="shared" si="115"/>
        <v>0</v>
      </c>
      <c r="R18" s="520"/>
      <c r="S18" s="521">
        <f t="shared" si="4"/>
        <v>0</v>
      </c>
      <c r="T18" s="522">
        <f t="shared" si="116"/>
        <v>0</v>
      </c>
      <c r="U18" s="520">
        <v>8.9687500000000142</v>
      </c>
      <c r="V18" s="521">
        <f t="shared" si="5"/>
        <v>0.2302631578947372</v>
      </c>
      <c r="W18" s="522">
        <f t="shared" si="117"/>
        <v>0</v>
      </c>
      <c r="X18" s="520"/>
      <c r="Y18" s="521">
        <f t="shared" si="6"/>
        <v>0</v>
      </c>
      <c r="Z18" s="522">
        <f t="shared" si="118"/>
        <v>0</v>
      </c>
      <c r="AA18" s="520">
        <v>7.8125</v>
      </c>
      <c r="AB18" s="521">
        <f t="shared" si="7"/>
        <v>0.20057766367137353</v>
      </c>
      <c r="AC18" s="522">
        <f t="shared" si="119"/>
        <v>0</v>
      </c>
      <c r="AD18" s="520"/>
      <c r="AE18" s="521">
        <f t="shared" si="8"/>
        <v>0</v>
      </c>
      <c r="AF18" s="522">
        <f t="shared" si="120"/>
        <v>0</v>
      </c>
      <c r="AG18" s="520"/>
      <c r="AH18" s="521">
        <f t="shared" si="9"/>
        <v>0</v>
      </c>
      <c r="AI18" s="522">
        <f t="shared" si="121"/>
        <v>0</v>
      </c>
      <c r="AJ18" s="520">
        <v>11.75</v>
      </c>
      <c r="AK18" s="521">
        <f t="shared" si="10"/>
        <v>0.30166880616174579</v>
      </c>
      <c r="AL18" s="522">
        <f t="shared" si="122"/>
        <v>0</v>
      </c>
      <c r="AM18" s="520"/>
      <c r="AN18" s="521">
        <f t="shared" si="11"/>
        <v>0</v>
      </c>
      <c r="AO18" s="522">
        <f t="shared" si="123"/>
        <v>0</v>
      </c>
      <c r="AP18" s="520">
        <v>42.721518987341753</v>
      </c>
      <c r="AQ18" s="521">
        <f t="shared" si="12"/>
        <v>1.0968297557725739</v>
      </c>
      <c r="AR18" s="522">
        <f t="shared" si="124"/>
        <v>0</v>
      </c>
      <c r="AS18" s="520"/>
      <c r="AT18" s="521">
        <f t="shared" si="13"/>
        <v>0</v>
      </c>
      <c r="AU18" s="522">
        <f t="shared" si="125"/>
        <v>0</v>
      </c>
      <c r="AV18" s="520"/>
      <c r="AW18" s="521">
        <f t="shared" si="14"/>
        <v>0</v>
      </c>
      <c r="AX18" s="522">
        <f t="shared" si="126"/>
        <v>0</v>
      </c>
      <c r="AY18" s="520">
        <v>52.5</v>
      </c>
      <c r="AZ18" s="521">
        <f t="shared" si="15"/>
        <v>1.3478818998716302</v>
      </c>
      <c r="BA18" s="522">
        <f t="shared" si="127"/>
        <v>0</v>
      </c>
      <c r="BB18" s="520"/>
      <c r="BC18" s="521">
        <f t="shared" si="16"/>
        <v>0</v>
      </c>
      <c r="BD18" s="522">
        <f t="shared" si="128"/>
        <v>0</v>
      </c>
      <c r="BE18" s="520"/>
      <c r="BF18" s="521">
        <f t="shared" si="17"/>
        <v>0</v>
      </c>
      <c r="BG18" s="522">
        <f t="shared" si="129"/>
        <v>0</v>
      </c>
      <c r="BH18" s="520"/>
      <c r="BI18" s="521">
        <f t="shared" si="18"/>
        <v>0</v>
      </c>
      <c r="BJ18" s="522">
        <f t="shared" si="130"/>
        <v>0</v>
      </c>
      <c r="BK18" s="520"/>
      <c r="BL18" s="521">
        <f t="shared" si="19"/>
        <v>0</v>
      </c>
      <c r="BM18" s="522">
        <f t="shared" si="131"/>
        <v>0</v>
      </c>
      <c r="BN18" s="520"/>
      <c r="BO18" s="521">
        <f t="shared" si="20"/>
        <v>0</v>
      </c>
      <c r="BP18" s="522">
        <f t="shared" si="132"/>
        <v>0</v>
      </c>
      <c r="BQ18" s="520">
        <v>25.316455696202524</v>
      </c>
      <c r="BR18" s="521">
        <f t="shared" si="21"/>
        <v>0.64997318860596975</v>
      </c>
      <c r="BS18" s="522">
        <f t="shared" si="133"/>
        <v>0</v>
      </c>
      <c r="BT18" s="520"/>
      <c r="BU18" s="521">
        <f t="shared" si="22"/>
        <v>0</v>
      </c>
      <c r="BV18" s="522">
        <f t="shared" si="134"/>
        <v>0</v>
      </c>
      <c r="BW18" s="520"/>
      <c r="BX18" s="521">
        <f t="shared" si="23"/>
        <v>0</v>
      </c>
      <c r="BY18" s="522">
        <f t="shared" si="135"/>
        <v>0</v>
      </c>
      <c r="BZ18" s="520"/>
      <c r="CA18" s="521">
        <f t="shared" si="24"/>
        <v>0</v>
      </c>
      <c r="CB18" s="522">
        <f t="shared" si="136"/>
        <v>0</v>
      </c>
      <c r="CC18" s="520"/>
      <c r="CD18" s="521">
        <f t="shared" si="25"/>
        <v>0</v>
      </c>
      <c r="CE18" s="522">
        <f t="shared" si="137"/>
        <v>0</v>
      </c>
      <c r="CF18" s="520">
        <v>0.60000000000000053</v>
      </c>
      <c r="CG18" s="521">
        <f t="shared" si="26"/>
        <v>1.5404364569961502E-2</v>
      </c>
      <c r="CH18" s="522">
        <f t="shared" si="138"/>
        <v>0</v>
      </c>
      <c r="CI18" s="520"/>
      <c r="CJ18" s="521">
        <f t="shared" si="27"/>
        <v>0</v>
      </c>
      <c r="CK18" s="522">
        <f t="shared" si="139"/>
        <v>0</v>
      </c>
      <c r="CL18" s="520"/>
      <c r="CM18" s="521">
        <f t="shared" si="28"/>
        <v>0</v>
      </c>
      <c r="CN18" s="522">
        <f t="shared" si="140"/>
        <v>0</v>
      </c>
      <c r="CO18" s="520"/>
      <c r="CP18" s="521">
        <f t="shared" si="29"/>
        <v>0</v>
      </c>
      <c r="CQ18" s="522">
        <f t="shared" si="141"/>
        <v>0</v>
      </c>
      <c r="CR18" s="520">
        <v>0.5</v>
      </c>
      <c r="CS18" s="521">
        <f t="shared" si="30"/>
        <v>1.2836970474967907E-2</v>
      </c>
      <c r="CT18" s="522">
        <f t="shared" si="142"/>
        <v>0</v>
      </c>
      <c r="CU18" s="520"/>
      <c r="CV18" s="521">
        <f t="shared" si="31"/>
        <v>0</v>
      </c>
      <c r="CW18" s="522">
        <f t="shared" si="143"/>
        <v>0</v>
      </c>
      <c r="CX18" s="520"/>
      <c r="CY18" s="521">
        <f t="shared" si="32"/>
        <v>0</v>
      </c>
      <c r="CZ18" s="522">
        <f t="shared" si="144"/>
        <v>0</v>
      </c>
      <c r="DA18" s="520"/>
      <c r="DB18" s="521">
        <f t="shared" si="33"/>
        <v>0</v>
      </c>
      <c r="DC18" s="522">
        <f t="shared" si="145"/>
        <v>0</v>
      </c>
      <c r="DD18" s="520"/>
      <c r="DE18" s="521">
        <f t="shared" si="34"/>
        <v>0</v>
      </c>
      <c r="DF18" s="522">
        <f t="shared" si="146"/>
        <v>0</v>
      </c>
      <c r="DG18" s="520"/>
      <c r="DH18" s="521">
        <f t="shared" si="35"/>
        <v>0</v>
      </c>
      <c r="DI18" s="522">
        <f t="shared" si="203"/>
        <v>0</v>
      </c>
      <c r="DJ18" s="520"/>
      <c r="DK18" s="521">
        <f t="shared" si="36"/>
        <v>0</v>
      </c>
      <c r="DL18" s="522">
        <f t="shared" si="147"/>
        <v>0</v>
      </c>
      <c r="DM18" s="520"/>
      <c r="DN18" s="521">
        <f t="shared" si="37"/>
        <v>0</v>
      </c>
      <c r="DO18" s="522">
        <f t="shared" si="148"/>
        <v>0</v>
      </c>
      <c r="DP18" s="520"/>
      <c r="DQ18" s="521">
        <f t="shared" si="38"/>
        <v>0</v>
      </c>
      <c r="DR18" s="522">
        <f t="shared" si="149"/>
        <v>0</v>
      </c>
      <c r="DS18" s="520"/>
      <c r="DT18" s="521">
        <f t="shared" si="39"/>
        <v>0</v>
      </c>
      <c r="DU18" s="522">
        <f t="shared" si="150"/>
        <v>0</v>
      </c>
      <c r="DV18" s="520"/>
      <c r="DW18" s="521">
        <f t="shared" si="40"/>
        <v>0</v>
      </c>
      <c r="DX18" s="522">
        <f t="shared" si="151"/>
        <v>0</v>
      </c>
      <c r="DY18" s="520"/>
      <c r="DZ18" s="521">
        <f t="shared" si="41"/>
        <v>0</v>
      </c>
      <c r="EA18" s="522">
        <f t="shared" si="152"/>
        <v>0</v>
      </c>
      <c r="EB18" s="520"/>
      <c r="EC18" s="521">
        <f t="shared" si="42"/>
        <v>0</v>
      </c>
      <c r="ED18" s="522">
        <f t="shared" si="153"/>
        <v>0</v>
      </c>
      <c r="EE18" s="520">
        <v>14.534883720930239</v>
      </c>
      <c r="EF18" s="521">
        <f t="shared" si="43"/>
        <v>0.37316774636534628</v>
      </c>
      <c r="EG18" s="522">
        <f t="shared" si="154"/>
        <v>0</v>
      </c>
      <c r="EH18" s="520">
        <v>58.705882352941217</v>
      </c>
      <c r="EI18" s="521">
        <f t="shared" si="44"/>
        <v>1.5072113569432917</v>
      </c>
      <c r="EJ18" s="522">
        <f t="shared" si="155"/>
        <v>0</v>
      </c>
      <c r="EK18" s="520">
        <v>4</v>
      </c>
      <c r="EL18" s="521">
        <f t="shared" si="45"/>
        <v>0.10269576379974325</v>
      </c>
      <c r="EM18" s="522">
        <f t="shared" si="156"/>
        <v>0</v>
      </c>
      <c r="EN18" s="520"/>
      <c r="EO18" s="521">
        <f t="shared" si="46"/>
        <v>0</v>
      </c>
      <c r="EP18" s="522">
        <f t="shared" si="157"/>
        <v>0</v>
      </c>
      <c r="EQ18" s="520"/>
      <c r="ER18" s="521">
        <f t="shared" si="47"/>
        <v>0</v>
      </c>
      <c r="ES18" s="522">
        <f t="shared" si="158"/>
        <v>0</v>
      </c>
      <c r="ET18" s="520"/>
      <c r="EU18" s="521">
        <f t="shared" si="48"/>
        <v>0</v>
      </c>
      <c r="EV18" s="522">
        <f t="shared" si="159"/>
        <v>0</v>
      </c>
      <c r="EW18" s="520"/>
      <c r="EX18" s="521">
        <f t="shared" si="49"/>
        <v>0</v>
      </c>
      <c r="EY18" s="522">
        <f t="shared" si="160"/>
        <v>0</v>
      </c>
      <c r="EZ18" s="520"/>
      <c r="FA18" s="521">
        <f t="shared" si="50"/>
        <v>0</v>
      </c>
      <c r="FB18" s="522">
        <f t="shared" si="161"/>
        <v>0</v>
      </c>
      <c r="FC18" s="520"/>
      <c r="FD18" s="521">
        <f t="shared" si="51"/>
        <v>0</v>
      </c>
      <c r="FE18" s="522">
        <f t="shared" si="162"/>
        <v>0</v>
      </c>
      <c r="FF18" s="520"/>
      <c r="FG18" s="521">
        <f t="shared" si="52"/>
        <v>0</v>
      </c>
      <c r="FH18" s="522">
        <f t="shared" si="163"/>
        <v>0</v>
      </c>
      <c r="FI18" s="520"/>
      <c r="FJ18" s="521">
        <f t="shared" si="53"/>
        <v>0</v>
      </c>
      <c r="FK18" s="522">
        <f t="shared" si="164"/>
        <v>0</v>
      </c>
      <c r="FL18" s="520"/>
      <c r="FM18" s="521">
        <f t="shared" si="54"/>
        <v>0</v>
      </c>
      <c r="FN18" s="522">
        <f t="shared" si="165"/>
        <v>0</v>
      </c>
      <c r="FO18" s="520"/>
      <c r="FP18" s="521">
        <f t="shared" si="55"/>
        <v>0</v>
      </c>
      <c r="FQ18" s="522">
        <f t="shared" si="166"/>
        <v>0</v>
      </c>
      <c r="FR18" s="520"/>
      <c r="FS18" s="521">
        <f t="shared" si="56"/>
        <v>0</v>
      </c>
      <c r="FT18" s="522">
        <f t="shared" si="167"/>
        <v>0</v>
      </c>
      <c r="FU18" s="520"/>
      <c r="FV18" s="521">
        <f t="shared" si="57"/>
        <v>0</v>
      </c>
      <c r="FW18" s="522">
        <f t="shared" si="168"/>
        <v>0</v>
      </c>
      <c r="FX18" s="520"/>
      <c r="FY18" s="521">
        <f t="shared" si="58"/>
        <v>0</v>
      </c>
      <c r="FZ18" s="522">
        <f t="shared" si="169"/>
        <v>0</v>
      </c>
      <c r="GA18" s="520"/>
      <c r="GB18" s="521">
        <f t="shared" si="59"/>
        <v>0</v>
      </c>
      <c r="GC18" s="522">
        <f t="shared" si="170"/>
        <v>0</v>
      </c>
      <c r="GD18" s="520"/>
      <c r="GE18" s="521">
        <f t="shared" si="60"/>
        <v>0</v>
      </c>
      <c r="GF18" s="522">
        <f t="shared" si="171"/>
        <v>0</v>
      </c>
      <c r="GG18" s="520"/>
      <c r="GH18" s="521">
        <f t="shared" si="61"/>
        <v>0</v>
      </c>
      <c r="GI18" s="522">
        <f t="shared" si="172"/>
        <v>0</v>
      </c>
      <c r="GJ18" s="520"/>
      <c r="GK18" s="521">
        <f t="shared" si="62"/>
        <v>0</v>
      </c>
      <c r="GL18" s="522">
        <f t="shared" si="173"/>
        <v>0</v>
      </c>
      <c r="GM18" s="520"/>
      <c r="GN18" s="521">
        <f t="shared" si="63"/>
        <v>0</v>
      </c>
      <c r="GO18" s="522">
        <f t="shared" si="174"/>
        <v>0</v>
      </c>
      <c r="GP18" s="520"/>
      <c r="GQ18" s="521">
        <f t="shared" si="64"/>
        <v>0</v>
      </c>
      <c r="GR18" s="522">
        <f t="shared" si="175"/>
        <v>0</v>
      </c>
      <c r="GS18" s="520"/>
      <c r="GT18" s="521">
        <f t="shared" si="65"/>
        <v>0</v>
      </c>
      <c r="GU18" s="522">
        <f t="shared" si="176"/>
        <v>0</v>
      </c>
      <c r="GV18" s="520"/>
      <c r="GW18" s="521">
        <f t="shared" si="66"/>
        <v>0</v>
      </c>
      <c r="GX18" s="522">
        <f t="shared" si="177"/>
        <v>0</v>
      </c>
      <c r="GY18" s="520"/>
      <c r="GZ18" s="521">
        <f t="shared" si="67"/>
        <v>0</v>
      </c>
      <c r="HA18" s="522">
        <f t="shared" si="178"/>
        <v>0</v>
      </c>
      <c r="HB18" s="520"/>
      <c r="HC18" s="521">
        <f t="shared" si="68"/>
        <v>0</v>
      </c>
      <c r="HD18" s="522">
        <f t="shared" si="179"/>
        <v>0</v>
      </c>
      <c r="HE18" s="520"/>
      <c r="HF18" s="521">
        <f t="shared" si="69"/>
        <v>0</v>
      </c>
      <c r="HG18" s="522">
        <f t="shared" si="180"/>
        <v>0</v>
      </c>
      <c r="HH18" s="520"/>
      <c r="HI18" s="521">
        <f t="shared" si="70"/>
        <v>0</v>
      </c>
      <c r="HJ18" s="522">
        <f t="shared" si="181"/>
        <v>0</v>
      </c>
      <c r="HK18" s="520"/>
      <c r="HL18" s="521">
        <f t="shared" si="71"/>
        <v>0</v>
      </c>
      <c r="HM18" s="522">
        <f t="shared" si="182"/>
        <v>0</v>
      </c>
      <c r="HN18" s="520"/>
      <c r="HO18" s="521">
        <f t="shared" si="72"/>
        <v>0</v>
      </c>
      <c r="HP18" s="522">
        <f t="shared" si="183"/>
        <v>0</v>
      </c>
      <c r="HQ18" s="520"/>
      <c r="HR18" s="521">
        <f t="shared" si="73"/>
        <v>0</v>
      </c>
      <c r="HS18" s="522">
        <f t="shared" si="184"/>
        <v>0</v>
      </c>
      <c r="HT18" s="520"/>
      <c r="HU18" s="521">
        <f t="shared" si="74"/>
        <v>0</v>
      </c>
      <c r="HV18" s="522">
        <f t="shared" si="185"/>
        <v>0</v>
      </c>
      <c r="HW18" s="520"/>
      <c r="HX18" s="521">
        <f t="shared" si="75"/>
        <v>0</v>
      </c>
      <c r="HY18" s="522">
        <f t="shared" si="186"/>
        <v>0</v>
      </c>
      <c r="HZ18" s="520"/>
      <c r="IA18" s="521">
        <f t="shared" si="76"/>
        <v>0</v>
      </c>
      <c r="IB18" s="522">
        <f t="shared" si="187"/>
        <v>0</v>
      </c>
      <c r="IC18" s="520"/>
      <c r="ID18" s="521">
        <f t="shared" si="77"/>
        <v>0</v>
      </c>
      <c r="IE18" s="522">
        <f t="shared" si="188"/>
        <v>0</v>
      </c>
      <c r="IF18" s="520"/>
      <c r="IG18" s="521">
        <f t="shared" si="78"/>
        <v>0</v>
      </c>
      <c r="IH18" s="522">
        <f t="shared" si="189"/>
        <v>0</v>
      </c>
      <c r="II18" s="520"/>
      <c r="IJ18" s="521">
        <f t="shared" si="79"/>
        <v>0</v>
      </c>
      <c r="IK18" s="522">
        <f t="shared" si="190"/>
        <v>0</v>
      </c>
      <c r="IL18" s="520"/>
      <c r="IM18" s="521">
        <f t="shared" si="80"/>
        <v>0</v>
      </c>
      <c r="IN18" s="522">
        <f t="shared" si="191"/>
        <v>0</v>
      </c>
      <c r="IO18" s="520"/>
      <c r="IP18" s="521">
        <f t="shared" si="81"/>
        <v>0</v>
      </c>
      <c r="IQ18" s="522">
        <f t="shared" si="192"/>
        <v>0</v>
      </c>
      <c r="IR18" s="520"/>
      <c r="IS18" s="521">
        <f t="shared" si="82"/>
        <v>0</v>
      </c>
      <c r="IT18" s="522">
        <f t="shared" si="193"/>
        <v>0</v>
      </c>
      <c r="IU18" s="520"/>
      <c r="IV18" s="521">
        <f t="shared" si="83"/>
        <v>0</v>
      </c>
      <c r="IW18" s="522">
        <f t="shared" si="194"/>
        <v>0</v>
      </c>
      <c r="IX18" s="520"/>
      <c r="IY18" s="521">
        <f t="shared" si="84"/>
        <v>0</v>
      </c>
      <c r="IZ18" s="522">
        <f t="shared" si="195"/>
        <v>0</v>
      </c>
      <c r="JA18" s="520"/>
      <c r="JB18" s="521">
        <f t="shared" si="85"/>
        <v>0</v>
      </c>
      <c r="JC18" s="522">
        <f t="shared" si="196"/>
        <v>0</v>
      </c>
      <c r="JD18" s="520"/>
      <c r="JE18" s="521">
        <f t="shared" si="86"/>
        <v>0</v>
      </c>
      <c r="JF18" s="522">
        <f t="shared" si="197"/>
        <v>0</v>
      </c>
      <c r="JG18" s="520"/>
      <c r="JH18" s="521">
        <f t="shared" si="87"/>
        <v>0</v>
      </c>
      <c r="JI18" s="522">
        <f t="shared" si="198"/>
        <v>0</v>
      </c>
      <c r="JJ18" s="520"/>
      <c r="JK18" s="522" t="str">
        <f t="shared" si="88"/>
        <v>0</v>
      </c>
      <c r="JL18" s="522" t="str">
        <f t="shared" si="89"/>
        <v>0</v>
      </c>
      <c r="JM18" s="520"/>
      <c r="JN18" s="522" t="str">
        <f t="shared" si="90"/>
        <v>0</v>
      </c>
      <c r="JO18" s="522" t="str">
        <f t="shared" si="91"/>
        <v>0</v>
      </c>
      <c r="JP18" s="520"/>
      <c r="JQ18" s="522" t="str">
        <f t="shared" si="92"/>
        <v>0</v>
      </c>
      <c r="JR18" s="522" t="str">
        <f t="shared" si="93"/>
        <v>0</v>
      </c>
      <c r="JS18" s="520"/>
      <c r="JT18" s="522" t="str">
        <f t="shared" si="94"/>
        <v>0</v>
      </c>
      <c r="JU18" s="522" t="str">
        <f t="shared" si="95"/>
        <v>0</v>
      </c>
      <c r="JV18" s="520"/>
      <c r="JW18" s="522" t="str">
        <f t="shared" si="96"/>
        <v>0</v>
      </c>
      <c r="JX18" s="522" t="str">
        <f t="shared" si="97"/>
        <v>0</v>
      </c>
      <c r="JY18" s="520"/>
      <c r="JZ18" s="522" t="str">
        <f t="shared" si="98"/>
        <v>0</v>
      </c>
      <c r="KA18" s="522" t="str">
        <f t="shared" si="99"/>
        <v>0</v>
      </c>
      <c r="KB18" s="520"/>
      <c r="KC18" s="522" t="str">
        <f t="shared" si="100"/>
        <v>0</v>
      </c>
      <c r="KD18" s="522" t="str">
        <f t="shared" si="101"/>
        <v>0</v>
      </c>
      <c r="KE18" s="520"/>
      <c r="KF18" s="522" t="str">
        <f t="shared" si="102"/>
        <v>0</v>
      </c>
      <c r="KG18" s="522" t="str">
        <f t="shared" si="103"/>
        <v>0</v>
      </c>
      <c r="KH18" s="520"/>
      <c r="KI18" s="522" t="str">
        <f t="shared" si="104"/>
        <v>0</v>
      </c>
      <c r="KJ18" s="522" t="str">
        <f t="shared" si="105"/>
        <v>0</v>
      </c>
      <c r="KK18" s="520"/>
      <c r="KL18" s="522" t="str">
        <f t="shared" si="106"/>
        <v>0</v>
      </c>
      <c r="KM18" s="522" t="str">
        <f t="shared" si="107"/>
        <v>0</v>
      </c>
      <c r="KN18" s="520"/>
      <c r="KO18" s="522" t="str">
        <f t="shared" si="108"/>
        <v>0</v>
      </c>
      <c r="KP18" s="522" t="str">
        <f t="shared" si="109"/>
        <v>0</v>
      </c>
      <c r="KQ18" s="520"/>
      <c r="KR18" s="522" t="str">
        <f t="shared" si="110"/>
        <v>0</v>
      </c>
      <c r="KS18" s="522" t="str">
        <f t="shared" si="111"/>
        <v>0</v>
      </c>
      <c r="KT18" s="522">
        <f t="shared" si="201"/>
        <v>0</v>
      </c>
      <c r="KU18" s="522">
        <f t="shared" si="202"/>
        <v>0</v>
      </c>
      <c r="KV18" s="267">
        <f t="shared" si="199"/>
        <v>448.52626982718328</v>
      </c>
    </row>
    <row r="19" spans="1:309">
      <c r="A19" s="268">
        <f t="shared" si="200"/>
        <v>45880</v>
      </c>
      <c r="B19" s="269" t="str">
        <f>+Report1!B19</f>
        <v>Facial</v>
      </c>
      <c r="C19" s="269" t="str">
        <f>+Report1!C19</f>
        <v>12/13</v>
      </c>
      <c r="D19" s="270">
        <f>+Report1!P19</f>
        <v>39.256</v>
      </c>
      <c r="E19" s="558">
        <f>+Report1!R19</f>
        <v>40.588999999999999</v>
      </c>
      <c r="F19" s="520"/>
      <c r="G19" s="521">
        <f t="shared" si="0"/>
        <v>0</v>
      </c>
      <c r="H19" s="522">
        <f t="shared" si="112"/>
        <v>0</v>
      </c>
      <c r="I19" s="520">
        <v>232.55813953488359</v>
      </c>
      <c r="J19" s="521">
        <f t="shared" si="1"/>
        <v>5.7295853441790534</v>
      </c>
      <c r="K19" s="522">
        <f t="shared" si="113"/>
        <v>0</v>
      </c>
      <c r="L19" s="520"/>
      <c r="M19" s="521">
        <f t="shared" si="2"/>
        <v>0</v>
      </c>
      <c r="N19" s="522">
        <f t="shared" si="114"/>
        <v>0</v>
      </c>
      <c r="O19" s="520">
        <v>5.9999999999999716</v>
      </c>
      <c r="P19" s="521">
        <f t="shared" si="3"/>
        <v>0.14782330187981896</v>
      </c>
      <c r="Q19" s="522">
        <f t="shared" si="115"/>
        <v>0</v>
      </c>
      <c r="R19" s="520"/>
      <c r="S19" s="521">
        <f t="shared" si="4"/>
        <v>0</v>
      </c>
      <c r="T19" s="522">
        <f t="shared" si="116"/>
        <v>0</v>
      </c>
      <c r="U19" s="520">
        <v>8.96875</v>
      </c>
      <c r="V19" s="521">
        <f t="shared" si="5"/>
        <v>0.22096503978910542</v>
      </c>
      <c r="W19" s="522">
        <f t="shared" si="117"/>
        <v>0</v>
      </c>
      <c r="X19" s="520"/>
      <c r="Y19" s="521">
        <f t="shared" si="6"/>
        <v>0</v>
      </c>
      <c r="Z19" s="522">
        <f t="shared" si="118"/>
        <v>0</v>
      </c>
      <c r="AA19" s="520">
        <v>7.8125</v>
      </c>
      <c r="AB19" s="521">
        <f t="shared" si="7"/>
        <v>0.19247825765601517</v>
      </c>
      <c r="AC19" s="522">
        <f t="shared" si="119"/>
        <v>0</v>
      </c>
      <c r="AD19" s="520"/>
      <c r="AE19" s="521">
        <f t="shared" si="8"/>
        <v>0</v>
      </c>
      <c r="AF19" s="522">
        <f t="shared" si="120"/>
        <v>0</v>
      </c>
      <c r="AG19" s="520"/>
      <c r="AH19" s="521">
        <f t="shared" si="9"/>
        <v>0</v>
      </c>
      <c r="AI19" s="522">
        <f t="shared" si="121"/>
        <v>0</v>
      </c>
      <c r="AJ19" s="520"/>
      <c r="AK19" s="521">
        <f t="shared" si="10"/>
        <v>0</v>
      </c>
      <c r="AL19" s="522">
        <f t="shared" si="122"/>
        <v>0</v>
      </c>
      <c r="AM19" s="520"/>
      <c r="AN19" s="521">
        <f t="shared" si="11"/>
        <v>0</v>
      </c>
      <c r="AO19" s="522">
        <f t="shared" si="123"/>
        <v>0</v>
      </c>
      <c r="AP19" s="520">
        <v>42.721518987341796</v>
      </c>
      <c r="AQ19" s="521">
        <f t="shared" si="12"/>
        <v>1.0525393330050457</v>
      </c>
      <c r="AR19" s="522">
        <f t="shared" si="124"/>
        <v>0</v>
      </c>
      <c r="AS19" s="520"/>
      <c r="AT19" s="521">
        <f t="shared" si="13"/>
        <v>0</v>
      </c>
      <c r="AU19" s="522">
        <f t="shared" si="125"/>
        <v>0</v>
      </c>
      <c r="AV19" s="520"/>
      <c r="AW19" s="521">
        <f t="shared" si="14"/>
        <v>0</v>
      </c>
      <c r="AX19" s="522">
        <f t="shared" si="126"/>
        <v>0</v>
      </c>
      <c r="AY19" s="520">
        <v>53.666666666666657</v>
      </c>
      <c r="AZ19" s="521">
        <f t="shared" si="15"/>
        <v>1.3221973112583867</v>
      </c>
      <c r="BA19" s="522">
        <f t="shared" si="127"/>
        <v>0</v>
      </c>
      <c r="BB19" s="520"/>
      <c r="BC19" s="521">
        <f t="shared" si="16"/>
        <v>0</v>
      </c>
      <c r="BD19" s="522">
        <f t="shared" si="128"/>
        <v>0</v>
      </c>
      <c r="BE19" s="520"/>
      <c r="BF19" s="521">
        <f t="shared" si="17"/>
        <v>0</v>
      </c>
      <c r="BG19" s="522">
        <f t="shared" si="129"/>
        <v>0</v>
      </c>
      <c r="BH19" s="520"/>
      <c r="BI19" s="521">
        <f t="shared" si="18"/>
        <v>0</v>
      </c>
      <c r="BJ19" s="522">
        <f t="shared" si="130"/>
        <v>0</v>
      </c>
      <c r="BK19" s="520"/>
      <c r="BL19" s="521">
        <f t="shared" si="19"/>
        <v>0</v>
      </c>
      <c r="BM19" s="522">
        <f t="shared" si="131"/>
        <v>0</v>
      </c>
      <c r="BN19" s="520"/>
      <c r="BO19" s="521">
        <f t="shared" si="20"/>
        <v>0</v>
      </c>
      <c r="BP19" s="522">
        <f t="shared" si="132"/>
        <v>0</v>
      </c>
      <c r="BQ19" s="520">
        <v>40.506329113924039</v>
      </c>
      <c r="BR19" s="521">
        <f t="shared" si="21"/>
        <v>0.9979632194418202</v>
      </c>
      <c r="BS19" s="522">
        <f t="shared" si="133"/>
        <v>0</v>
      </c>
      <c r="BT19" s="520"/>
      <c r="BU19" s="521">
        <f t="shared" si="22"/>
        <v>0</v>
      </c>
      <c r="BV19" s="522">
        <f t="shared" si="134"/>
        <v>0</v>
      </c>
      <c r="BW19" s="520"/>
      <c r="BX19" s="521">
        <f t="shared" si="23"/>
        <v>0</v>
      </c>
      <c r="BY19" s="522">
        <f t="shared" si="135"/>
        <v>0</v>
      </c>
      <c r="BZ19" s="520"/>
      <c r="CA19" s="521">
        <f t="shared" si="24"/>
        <v>0</v>
      </c>
      <c r="CB19" s="522">
        <f t="shared" si="136"/>
        <v>0</v>
      </c>
      <c r="CC19" s="520"/>
      <c r="CD19" s="521">
        <f t="shared" si="25"/>
        <v>0</v>
      </c>
      <c r="CE19" s="522">
        <f t="shared" si="137"/>
        <v>0</v>
      </c>
      <c r="CF19" s="520">
        <v>0.59999999999999931</v>
      </c>
      <c r="CG19" s="521">
        <f t="shared" si="26"/>
        <v>1.4782330187981949E-2</v>
      </c>
      <c r="CH19" s="522">
        <f t="shared" si="138"/>
        <v>0</v>
      </c>
      <c r="CI19" s="520"/>
      <c r="CJ19" s="521">
        <f t="shared" si="27"/>
        <v>0</v>
      </c>
      <c r="CK19" s="522">
        <f t="shared" si="139"/>
        <v>0</v>
      </c>
      <c r="CL19" s="520"/>
      <c r="CM19" s="521">
        <f t="shared" si="28"/>
        <v>0</v>
      </c>
      <c r="CN19" s="522">
        <f t="shared" si="140"/>
        <v>0</v>
      </c>
      <c r="CO19" s="520"/>
      <c r="CP19" s="521">
        <f t="shared" si="29"/>
        <v>0</v>
      </c>
      <c r="CQ19" s="522">
        <f t="shared" si="141"/>
        <v>0</v>
      </c>
      <c r="CR19" s="520"/>
      <c r="CS19" s="521">
        <f t="shared" si="30"/>
        <v>0</v>
      </c>
      <c r="CT19" s="522">
        <f t="shared" si="142"/>
        <v>0</v>
      </c>
      <c r="CU19" s="520"/>
      <c r="CV19" s="521">
        <f t="shared" si="31"/>
        <v>0</v>
      </c>
      <c r="CW19" s="522">
        <f t="shared" si="143"/>
        <v>0</v>
      </c>
      <c r="CX19" s="520"/>
      <c r="CY19" s="521">
        <f t="shared" si="32"/>
        <v>0</v>
      </c>
      <c r="CZ19" s="522">
        <f t="shared" si="144"/>
        <v>0</v>
      </c>
      <c r="DA19" s="520"/>
      <c r="DB19" s="521">
        <f t="shared" si="33"/>
        <v>0</v>
      </c>
      <c r="DC19" s="522">
        <f t="shared" si="145"/>
        <v>0</v>
      </c>
      <c r="DD19" s="520"/>
      <c r="DE19" s="521">
        <f t="shared" si="34"/>
        <v>0</v>
      </c>
      <c r="DF19" s="522">
        <f t="shared" si="146"/>
        <v>0</v>
      </c>
      <c r="DG19" s="520"/>
      <c r="DH19" s="521">
        <f t="shared" si="35"/>
        <v>0</v>
      </c>
      <c r="DI19" s="522">
        <f t="shared" si="203"/>
        <v>0</v>
      </c>
      <c r="DJ19" s="520"/>
      <c r="DK19" s="521">
        <f t="shared" si="36"/>
        <v>0</v>
      </c>
      <c r="DL19" s="522">
        <f t="shared" si="147"/>
        <v>0</v>
      </c>
      <c r="DM19" s="520"/>
      <c r="DN19" s="521">
        <f t="shared" si="37"/>
        <v>0</v>
      </c>
      <c r="DO19" s="522">
        <f t="shared" si="148"/>
        <v>0</v>
      </c>
      <c r="DP19" s="520"/>
      <c r="DQ19" s="521">
        <f t="shared" si="38"/>
        <v>0</v>
      </c>
      <c r="DR19" s="522">
        <f t="shared" si="149"/>
        <v>0</v>
      </c>
      <c r="DS19" s="520"/>
      <c r="DT19" s="521">
        <f t="shared" si="39"/>
        <v>0</v>
      </c>
      <c r="DU19" s="522">
        <f t="shared" si="150"/>
        <v>0</v>
      </c>
      <c r="DV19" s="520"/>
      <c r="DW19" s="521">
        <f t="shared" si="40"/>
        <v>0</v>
      </c>
      <c r="DX19" s="522">
        <f t="shared" si="151"/>
        <v>0</v>
      </c>
      <c r="DY19" s="520"/>
      <c r="DZ19" s="521">
        <f t="shared" si="41"/>
        <v>0</v>
      </c>
      <c r="EA19" s="522">
        <f t="shared" si="152"/>
        <v>0</v>
      </c>
      <c r="EB19" s="520"/>
      <c r="EC19" s="521">
        <f t="shared" si="42"/>
        <v>0</v>
      </c>
      <c r="ED19" s="522">
        <f t="shared" si="153"/>
        <v>0</v>
      </c>
      <c r="EE19" s="520">
        <v>14.534883720930253</v>
      </c>
      <c r="EF19" s="521">
        <f t="shared" si="43"/>
        <v>0.35809908401119156</v>
      </c>
      <c r="EG19" s="522">
        <f t="shared" si="154"/>
        <v>0</v>
      </c>
      <c r="EH19" s="520">
        <v>46.96470588235286</v>
      </c>
      <c r="EI19" s="521">
        <f t="shared" si="44"/>
        <v>1.1570796492239981</v>
      </c>
      <c r="EJ19" s="522">
        <f t="shared" si="155"/>
        <v>0</v>
      </c>
      <c r="EK19" s="520">
        <v>4.0000000000000044</v>
      </c>
      <c r="EL19" s="521">
        <f t="shared" si="45"/>
        <v>9.8548867919879879E-2</v>
      </c>
      <c r="EM19" s="522">
        <f t="shared" si="156"/>
        <v>0</v>
      </c>
      <c r="EN19" s="520"/>
      <c r="EO19" s="521">
        <f t="shared" si="46"/>
        <v>0</v>
      </c>
      <c r="EP19" s="522">
        <f t="shared" si="157"/>
        <v>0</v>
      </c>
      <c r="EQ19" s="520"/>
      <c r="ER19" s="521">
        <f t="shared" si="47"/>
        <v>0</v>
      </c>
      <c r="ES19" s="522">
        <f t="shared" si="158"/>
        <v>0</v>
      </c>
      <c r="ET19" s="520"/>
      <c r="EU19" s="521">
        <f t="shared" si="48"/>
        <v>0</v>
      </c>
      <c r="EV19" s="522">
        <f t="shared" si="159"/>
        <v>0</v>
      </c>
      <c r="EW19" s="520"/>
      <c r="EX19" s="521">
        <f t="shared" si="49"/>
        <v>0</v>
      </c>
      <c r="EY19" s="522">
        <f t="shared" si="160"/>
        <v>0</v>
      </c>
      <c r="EZ19" s="520"/>
      <c r="FA19" s="521">
        <f t="shared" si="50"/>
        <v>0</v>
      </c>
      <c r="FB19" s="522">
        <f t="shared" si="161"/>
        <v>0</v>
      </c>
      <c r="FC19" s="520"/>
      <c r="FD19" s="521">
        <f t="shared" si="51"/>
        <v>0</v>
      </c>
      <c r="FE19" s="522">
        <f t="shared" si="162"/>
        <v>0</v>
      </c>
      <c r="FF19" s="520"/>
      <c r="FG19" s="521">
        <f t="shared" si="52"/>
        <v>0</v>
      </c>
      <c r="FH19" s="522">
        <f t="shared" si="163"/>
        <v>0</v>
      </c>
      <c r="FI19" s="520"/>
      <c r="FJ19" s="521">
        <f t="shared" si="53"/>
        <v>0</v>
      </c>
      <c r="FK19" s="522">
        <f t="shared" si="164"/>
        <v>0</v>
      </c>
      <c r="FL19" s="520"/>
      <c r="FM19" s="521">
        <f t="shared" si="54"/>
        <v>0</v>
      </c>
      <c r="FN19" s="522">
        <f t="shared" si="165"/>
        <v>0</v>
      </c>
      <c r="FO19" s="520"/>
      <c r="FP19" s="521">
        <f t="shared" si="55"/>
        <v>0</v>
      </c>
      <c r="FQ19" s="522">
        <f t="shared" si="166"/>
        <v>0</v>
      </c>
      <c r="FR19" s="520"/>
      <c r="FS19" s="521">
        <f t="shared" si="56"/>
        <v>0</v>
      </c>
      <c r="FT19" s="522">
        <f t="shared" si="167"/>
        <v>0</v>
      </c>
      <c r="FU19" s="520"/>
      <c r="FV19" s="521">
        <f t="shared" si="57"/>
        <v>0</v>
      </c>
      <c r="FW19" s="522">
        <f t="shared" si="168"/>
        <v>0</v>
      </c>
      <c r="FX19" s="520"/>
      <c r="FY19" s="521">
        <f t="shared" si="58"/>
        <v>0</v>
      </c>
      <c r="FZ19" s="522">
        <f t="shared" si="169"/>
        <v>0</v>
      </c>
      <c r="GA19" s="520"/>
      <c r="GB19" s="521">
        <f t="shared" si="59"/>
        <v>0</v>
      </c>
      <c r="GC19" s="522">
        <f t="shared" si="170"/>
        <v>0</v>
      </c>
      <c r="GD19" s="520"/>
      <c r="GE19" s="521">
        <f t="shared" si="60"/>
        <v>0</v>
      </c>
      <c r="GF19" s="522">
        <f t="shared" si="171"/>
        <v>0</v>
      </c>
      <c r="GG19" s="520"/>
      <c r="GH19" s="521">
        <f t="shared" si="61"/>
        <v>0</v>
      </c>
      <c r="GI19" s="522">
        <f t="shared" si="172"/>
        <v>0</v>
      </c>
      <c r="GJ19" s="520"/>
      <c r="GK19" s="521">
        <f t="shared" si="62"/>
        <v>0</v>
      </c>
      <c r="GL19" s="522">
        <f t="shared" si="173"/>
        <v>0</v>
      </c>
      <c r="GM19" s="520"/>
      <c r="GN19" s="521">
        <f t="shared" si="63"/>
        <v>0</v>
      </c>
      <c r="GO19" s="522">
        <f t="shared" si="174"/>
        <v>0</v>
      </c>
      <c r="GP19" s="520"/>
      <c r="GQ19" s="521">
        <f t="shared" si="64"/>
        <v>0</v>
      </c>
      <c r="GR19" s="522">
        <f t="shared" si="175"/>
        <v>0</v>
      </c>
      <c r="GS19" s="520"/>
      <c r="GT19" s="521">
        <f t="shared" si="65"/>
        <v>0</v>
      </c>
      <c r="GU19" s="522">
        <f t="shared" si="176"/>
        <v>0</v>
      </c>
      <c r="GV19" s="520"/>
      <c r="GW19" s="521">
        <f t="shared" si="66"/>
        <v>0</v>
      </c>
      <c r="GX19" s="522">
        <f t="shared" si="177"/>
        <v>0</v>
      </c>
      <c r="GY19" s="520"/>
      <c r="GZ19" s="521">
        <f t="shared" si="67"/>
        <v>0</v>
      </c>
      <c r="HA19" s="522">
        <f t="shared" si="178"/>
        <v>0</v>
      </c>
      <c r="HB19" s="520"/>
      <c r="HC19" s="521">
        <f t="shared" si="68"/>
        <v>0</v>
      </c>
      <c r="HD19" s="522">
        <f t="shared" si="179"/>
        <v>0</v>
      </c>
      <c r="HE19" s="520"/>
      <c r="HF19" s="521">
        <f t="shared" si="69"/>
        <v>0</v>
      </c>
      <c r="HG19" s="522">
        <f t="shared" si="180"/>
        <v>0</v>
      </c>
      <c r="HH19" s="520"/>
      <c r="HI19" s="521">
        <f t="shared" si="70"/>
        <v>0</v>
      </c>
      <c r="HJ19" s="522">
        <f t="shared" si="181"/>
        <v>0</v>
      </c>
      <c r="HK19" s="520"/>
      <c r="HL19" s="521">
        <f t="shared" si="71"/>
        <v>0</v>
      </c>
      <c r="HM19" s="522">
        <f t="shared" si="182"/>
        <v>0</v>
      </c>
      <c r="HN19" s="520"/>
      <c r="HO19" s="521">
        <f t="shared" si="72"/>
        <v>0</v>
      </c>
      <c r="HP19" s="522">
        <f t="shared" si="183"/>
        <v>0</v>
      </c>
      <c r="HQ19" s="520"/>
      <c r="HR19" s="521">
        <f t="shared" si="73"/>
        <v>0</v>
      </c>
      <c r="HS19" s="522">
        <f t="shared" si="184"/>
        <v>0</v>
      </c>
      <c r="HT19" s="520"/>
      <c r="HU19" s="521">
        <f t="shared" si="74"/>
        <v>0</v>
      </c>
      <c r="HV19" s="522">
        <f t="shared" si="185"/>
        <v>0</v>
      </c>
      <c r="HW19" s="520"/>
      <c r="HX19" s="521">
        <f t="shared" si="75"/>
        <v>0</v>
      </c>
      <c r="HY19" s="522">
        <f t="shared" si="186"/>
        <v>0</v>
      </c>
      <c r="HZ19" s="520"/>
      <c r="IA19" s="521">
        <f t="shared" si="76"/>
        <v>0</v>
      </c>
      <c r="IB19" s="522">
        <f t="shared" si="187"/>
        <v>0</v>
      </c>
      <c r="IC19" s="520"/>
      <c r="ID19" s="521">
        <f t="shared" si="77"/>
        <v>0</v>
      </c>
      <c r="IE19" s="522">
        <f t="shared" si="188"/>
        <v>0</v>
      </c>
      <c r="IF19" s="520"/>
      <c r="IG19" s="521">
        <f t="shared" si="78"/>
        <v>0</v>
      </c>
      <c r="IH19" s="522">
        <f t="shared" si="189"/>
        <v>0</v>
      </c>
      <c r="II19" s="520"/>
      <c r="IJ19" s="521">
        <f t="shared" si="79"/>
        <v>0</v>
      </c>
      <c r="IK19" s="522">
        <f t="shared" si="190"/>
        <v>0</v>
      </c>
      <c r="IL19" s="520"/>
      <c r="IM19" s="521">
        <f t="shared" si="80"/>
        <v>0</v>
      </c>
      <c r="IN19" s="522">
        <f t="shared" si="191"/>
        <v>0</v>
      </c>
      <c r="IO19" s="520"/>
      <c r="IP19" s="521">
        <f t="shared" si="81"/>
        <v>0</v>
      </c>
      <c r="IQ19" s="522">
        <f t="shared" si="192"/>
        <v>0</v>
      </c>
      <c r="IR19" s="520"/>
      <c r="IS19" s="521">
        <f t="shared" si="82"/>
        <v>0</v>
      </c>
      <c r="IT19" s="522">
        <f t="shared" si="193"/>
        <v>0</v>
      </c>
      <c r="IU19" s="520"/>
      <c r="IV19" s="521">
        <f t="shared" si="83"/>
        <v>0</v>
      </c>
      <c r="IW19" s="522">
        <f t="shared" si="194"/>
        <v>0</v>
      </c>
      <c r="IX19" s="520"/>
      <c r="IY19" s="521">
        <f t="shared" si="84"/>
        <v>0</v>
      </c>
      <c r="IZ19" s="522">
        <f t="shared" si="195"/>
        <v>0</v>
      </c>
      <c r="JA19" s="520"/>
      <c r="JB19" s="521">
        <f t="shared" si="85"/>
        <v>0</v>
      </c>
      <c r="JC19" s="522">
        <f t="shared" si="196"/>
        <v>0</v>
      </c>
      <c r="JD19" s="520"/>
      <c r="JE19" s="521">
        <f t="shared" si="86"/>
        <v>0</v>
      </c>
      <c r="JF19" s="522">
        <f t="shared" si="197"/>
        <v>0</v>
      </c>
      <c r="JG19" s="520"/>
      <c r="JH19" s="521">
        <f t="shared" si="87"/>
        <v>0</v>
      </c>
      <c r="JI19" s="522">
        <f t="shared" si="198"/>
        <v>0</v>
      </c>
      <c r="JJ19" s="520"/>
      <c r="JK19" s="522" t="str">
        <f t="shared" si="88"/>
        <v>0</v>
      </c>
      <c r="JL19" s="522" t="str">
        <f t="shared" si="89"/>
        <v>0</v>
      </c>
      <c r="JM19" s="520"/>
      <c r="JN19" s="522" t="str">
        <f t="shared" si="90"/>
        <v>0</v>
      </c>
      <c r="JO19" s="522" t="str">
        <f t="shared" si="91"/>
        <v>0</v>
      </c>
      <c r="JP19" s="520"/>
      <c r="JQ19" s="522" t="str">
        <f t="shared" si="92"/>
        <v>0</v>
      </c>
      <c r="JR19" s="522" t="str">
        <f t="shared" si="93"/>
        <v>0</v>
      </c>
      <c r="JS19" s="520"/>
      <c r="JT19" s="522" t="str">
        <f t="shared" si="94"/>
        <v>0</v>
      </c>
      <c r="JU19" s="522" t="str">
        <f t="shared" si="95"/>
        <v>0</v>
      </c>
      <c r="JV19" s="520"/>
      <c r="JW19" s="522" t="str">
        <f t="shared" si="96"/>
        <v>0</v>
      </c>
      <c r="JX19" s="522" t="str">
        <f t="shared" si="97"/>
        <v>0</v>
      </c>
      <c r="JY19" s="520"/>
      <c r="JZ19" s="522" t="str">
        <f t="shared" si="98"/>
        <v>0</v>
      </c>
      <c r="KA19" s="522" t="str">
        <f t="shared" si="99"/>
        <v>0</v>
      </c>
      <c r="KB19" s="520"/>
      <c r="KC19" s="522" t="str">
        <f t="shared" si="100"/>
        <v>0</v>
      </c>
      <c r="KD19" s="522" t="str">
        <f t="shared" si="101"/>
        <v>0</v>
      </c>
      <c r="KE19" s="520"/>
      <c r="KF19" s="522" t="str">
        <f t="shared" si="102"/>
        <v>0</v>
      </c>
      <c r="KG19" s="522" t="str">
        <f t="shared" si="103"/>
        <v>0</v>
      </c>
      <c r="KH19" s="520"/>
      <c r="KI19" s="522" t="str">
        <f t="shared" si="104"/>
        <v>0</v>
      </c>
      <c r="KJ19" s="522" t="str">
        <f t="shared" si="105"/>
        <v>0</v>
      </c>
      <c r="KK19" s="520"/>
      <c r="KL19" s="522" t="str">
        <f t="shared" si="106"/>
        <v>0</v>
      </c>
      <c r="KM19" s="522" t="str">
        <f t="shared" si="107"/>
        <v>0</v>
      </c>
      <c r="KN19" s="520"/>
      <c r="KO19" s="522" t="str">
        <f t="shared" si="108"/>
        <v>0</v>
      </c>
      <c r="KP19" s="522" t="str">
        <f t="shared" si="109"/>
        <v>0</v>
      </c>
      <c r="KQ19" s="520"/>
      <c r="KR19" s="522" t="str">
        <f t="shared" si="110"/>
        <v>0</v>
      </c>
      <c r="KS19" s="522" t="str">
        <f t="shared" si="111"/>
        <v>0</v>
      </c>
      <c r="KT19" s="522">
        <f t="shared" si="201"/>
        <v>0</v>
      </c>
      <c r="KU19" s="522">
        <f t="shared" si="202"/>
        <v>0</v>
      </c>
      <c r="KV19" s="267">
        <f t="shared" si="199"/>
        <v>458.33349390609919</v>
      </c>
    </row>
    <row r="20" spans="1:309">
      <c r="A20" s="268">
        <f t="shared" si="200"/>
        <v>45881</v>
      </c>
      <c r="B20" s="269" t="str">
        <f>+Report1!B20</f>
        <v>Facial</v>
      </c>
      <c r="C20" s="269" t="str">
        <f>+Report1!C20</f>
        <v>13/12</v>
      </c>
      <c r="D20" s="270">
        <f>+Report1!P20</f>
        <v>43.347999999999999</v>
      </c>
      <c r="E20" s="558">
        <f>+Report1!R20</f>
        <v>41.244999999999997</v>
      </c>
      <c r="F20" s="520"/>
      <c r="G20" s="521">
        <f t="shared" si="0"/>
        <v>0</v>
      </c>
      <c r="H20" s="522">
        <f t="shared" si="112"/>
        <v>0</v>
      </c>
      <c r="I20" s="520">
        <v>220.93023255813955</v>
      </c>
      <c r="J20" s="521">
        <f t="shared" si="1"/>
        <v>5.3565337024642883</v>
      </c>
      <c r="K20" s="522">
        <f t="shared" si="113"/>
        <v>0</v>
      </c>
      <c r="L20" s="520"/>
      <c r="M20" s="521">
        <f t="shared" si="2"/>
        <v>0</v>
      </c>
      <c r="N20" s="522">
        <f t="shared" si="114"/>
        <v>0</v>
      </c>
      <c r="O20" s="520">
        <v>6</v>
      </c>
      <c r="P20" s="521">
        <f t="shared" si="3"/>
        <v>0.14547217844587224</v>
      </c>
      <c r="Q20" s="522">
        <f t="shared" si="115"/>
        <v>0</v>
      </c>
      <c r="R20" s="520"/>
      <c r="S20" s="521">
        <f t="shared" si="4"/>
        <v>0</v>
      </c>
      <c r="T20" s="522">
        <f t="shared" si="116"/>
        <v>0</v>
      </c>
      <c r="U20" s="520">
        <v>8.9687499999999858</v>
      </c>
      <c r="V20" s="521">
        <f t="shared" si="5"/>
        <v>0.21745060007273576</v>
      </c>
      <c r="W20" s="522">
        <f t="shared" si="117"/>
        <v>0</v>
      </c>
      <c r="X20" s="520"/>
      <c r="Y20" s="521">
        <f t="shared" si="6"/>
        <v>0</v>
      </c>
      <c r="Z20" s="522">
        <f t="shared" si="118"/>
        <v>0</v>
      </c>
      <c r="AA20" s="520">
        <v>9.375</v>
      </c>
      <c r="AB20" s="521">
        <f t="shared" si="7"/>
        <v>0.22730027882167536</v>
      </c>
      <c r="AC20" s="522">
        <f t="shared" si="119"/>
        <v>0</v>
      </c>
      <c r="AD20" s="520"/>
      <c r="AE20" s="521">
        <f t="shared" si="8"/>
        <v>0</v>
      </c>
      <c r="AF20" s="522">
        <f t="shared" si="120"/>
        <v>0</v>
      </c>
      <c r="AG20" s="520"/>
      <c r="AH20" s="521">
        <f t="shared" si="9"/>
        <v>0</v>
      </c>
      <c r="AI20" s="522">
        <f t="shared" si="121"/>
        <v>0</v>
      </c>
      <c r="AJ20" s="520"/>
      <c r="AK20" s="521">
        <f t="shared" si="10"/>
        <v>0</v>
      </c>
      <c r="AL20" s="522">
        <f t="shared" si="122"/>
        <v>0</v>
      </c>
      <c r="AM20" s="520"/>
      <c r="AN20" s="521">
        <f t="shared" si="11"/>
        <v>0</v>
      </c>
      <c r="AO20" s="522">
        <f t="shared" si="123"/>
        <v>0</v>
      </c>
      <c r="AP20" s="520">
        <v>48.417721518987321</v>
      </c>
      <c r="AQ20" s="521">
        <f t="shared" si="12"/>
        <v>1.1739052374587786</v>
      </c>
      <c r="AR20" s="522">
        <f t="shared" si="124"/>
        <v>0</v>
      </c>
      <c r="AS20" s="520"/>
      <c r="AT20" s="521">
        <f t="shared" si="13"/>
        <v>0</v>
      </c>
      <c r="AU20" s="522">
        <f t="shared" si="125"/>
        <v>0</v>
      </c>
      <c r="AV20" s="520"/>
      <c r="AW20" s="521">
        <f t="shared" si="14"/>
        <v>0</v>
      </c>
      <c r="AX20" s="522">
        <f t="shared" si="126"/>
        <v>0</v>
      </c>
      <c r="AY20" s="520">
        <v>63.000000000000028</v>
      </c>
      <c r="AZ20" s="521">
        <f t="shared" si="15"/>
        <v>1.5274578736816591</v>
      </c>
      <c r="BA20" s="522">
        <f t="shared" si="127"/>
        <v>0</v>
      </c>
      <c r="BB20" s="520"/>
      <c r="BC20" s="521">
        <f t="shared" si="16"/>
        <v>0</v>
      </c>
      <c r="BD20" s="522">
        <f t="shared" si="128"/>
        <v>0</v>
      </c>
      <c r="BE20" s="520"/>
      <c r="BF20" s="521">
        <f t="shared" si="17"/>
        <v>0</v>
      </c>
      <c r="BG20" s="522">
        <f t="shared" si="129"/>
        <v>0</v>
      </c>
      <c r="BH20" s="520"/>
      <c r="BI20" s="521">
        <f t="shared" si="18"/>
        <v>0</v>
      </c>
      <c r="BJ20" s="522">
        <f t="shared" si="130"/>
        <v>0</v>
      </c>
      <c r="BK20" s="520"/>
      <c r="BL20" s="521">
        <f t="shared" si="19"/>
        <v>0</v>
      </c>
      <c r="BM20" s="522">
        <f t="shared" si="131"/>
        <v>0</v>
      </c>
      <c r="BN20" s="520"/>
      <c r="BO20" s="521">
        <f t="shared" si="20"/>
        <v>0</v>
      </c>
      <c r="BP20" s="522">
        <f t="shared" si="132"/>
        <v>0</v>
      </c>
      <c r="BQ20" s="520"/>
      <c r="BR20" s="521">
        <f t="shared" si="21"/>
        <v>0</v>
      </c>
      <c r="BS20" s="522">
        <f t="shared" si="133"/>
        <v>0</v>
      </c>
      <c r="BT20" s="520"/>
      <c r="BU20" s="521">
        <f t="shared" si="22"/>
        <v>0</v>
      </c>
      <c r="BV20" s="522">
        <f t="shared" si="134"/>
        <v>0</v>
      </c>
      <c r="BW20" s="520"/>
      <c r="BX20" s="521">
        <f t="shared" si="23"/>
        <v>0</v>
      </c>
      <c r="BY20" s="522">
        <f t="shared" si="135"/>
        <v>0</v>
      </c>
      <c r="BZ20" s="520"/>
      <c r="CA20" s="521">
        <f t="shared" si="24"/>
        <v>0</v>
      </c>
      <c r="CB20" s="522">
        <f t="shared" si="136"/>
        <v>0</v>
      </c>
      <c r="CC20" s="520"/>
      <c r="CD20" s="521">
        <f t="shared" si="25"/>
        <v>0</v>
      </c>
      <c r="CE20" s="522">
        <f t="shared" si="137"/>
        <v>0</v>
      </c>
      <c r="CF20" s="520">
        <v>0.59999999999999931</v>
      </c>
      <c r="CG20" s="521">
        <f t="shared" si="26"/>
        <v>1.4547217844587207E-2</v>
      </c>
      <c r="CH20" s="522">
        <f t="shared" si="138"/>
        <v>0</v>
      </c>
      <c r="CI20" s="520"/>
      <c r="CJ20" s="521">
        <f t="shared" si="27"/>
        <v>0</v>
      </c>
      <c r="CK20" s="522">
        <f t="shared" si="139"/>
        <v>0</v>
      </c>
      <c r="CL20" s="520"/>
      <c r="CM20" s="521">
        <f t="shared" si="28"/>
        <v>0</v>
      </c>
      <c r="CN20" s="522">
        <f t="shared" si="140"/>
        <v>0</v>
      </c>
      <c r="CO20" s="520"/>
      <c r="CP20" s="521">
        <f t="shared" si="29"/>
        <v>0</v>
      </c>
      <c r="CQ20" s="522">
        <f t="shared" si="141"/>
        <v>0</v>
      </c>
      <c r="CR20" s="520"/>
      <c r="CS20" s="521">
        <f t="shared" si="30"/>
        <v>0</v>
      </c>
      <c r="CT20" s="522">
        <f t="shared" si="142"/>
        <v>0</v>
      </c>
      <c r="CU20" s="520"/>
      <c r="CV20" s="521">
        <f t="shared" si="31"/>
        <v>0</v>
      </c>
      <c r="CW20" s="522">
        <f t="shared" si="143"/>
        <v>0</v>
      </c>
      <c r="CX20" s="520"/>
      <c r="CY20" s="521">
        <f t="shared" si="32"/>
        <v>0</v>
      </c>
      <c r="CZ20" s="522">
        <f t="shared" si="144"/>
        <v>0</v>
      </c>
      <c r="DA20" s="520"/>
      <c r="DB20" s="521">
        <f t="shared" si="33"/>
        <v>0</v>
      </c>
      <c r="DC20" s="522">
        <f t="shared" si="145"/>
        <v>0</v>
      </c>
      <c r="DD20" s="520"/>
      <c r="DE20" s="521">
        <f t="shared" si="34"/>
        <v>0</v>
      </c>
      <c r="DF20" s="522">
        <f t="shared" si="146"/>
        <v>0</v>
      </c>
      <c r="DG20" s="520"/>
      <c r="DH20" s="521">
        <f t="shared" si="35"/>
        <v>0</v>
      </c>
      <c r="DI20" s="522">
        <f t="shared" si="203"/>
        <v>0</v>
      </c>
      <c r="DJ20" s="520"/>
      <c r="DK20" s="521">
        <f t="shared" si="36"/>
        <v>0</v>
      </c>
      <c r="DL20" s="522">
        <f t="shared" si="147"/>
        <v>0</v>
      </c>
      <c r="DM20" s="520"/>
      <c r="DN20" s="521">
        <f t="shared" si="37"/>
        <v>0</v>
      </c>
      <c r="DO20" s="522">
        <f t="shared" si="148"/>
        <v>0</v>
      </c>
      <c r="DP20" s="520"/>
      <c r="DQ20" s="521">
        <f t="shared" si="38"/>
        <v>0</v>
      </c>
      <c r="DR20" s="522">
        <f t="shared" si="149"/>
        <v>0</v>
      </c>
      <c r="DS20" s="520"/>
      <c r="DT20" s="521">
        <f t="shared" si="39"/>
        <v>0</v>
      </c>
      <c r="DU20" s="522">
        <f t="shared" si="150"/>
        <v>0</v>
      </c>
      <c r="DV20" s="520"/>
      <c r="DW20" s="521">
        <f t="shared" si="40"/>
        <v>0</v>
      </c>
      <c r="DX20" s="522">
        <f t="shared" si="151"/>
        <v>0</v>
      </c>
      <c r="DY20" s="520"/>
      <c r="DZ20" s="521">
        <f t="shared" si="41"/>
        <v>0</v>
      </c>
      <c r="EA20" s="522">
        <f t="shared" si="152"/>
        <v>0</v>
      </c>
      <c r="EB20" s="520"/>
      <c r="EC20" s="521">
        <f t="shared" si="42"/>
        <v>0</v>
      </c>
      <c r="ED20" s="522">
        <f t="shared" si="153"/>
        <v>0</v>
      </c>
      <c r="EE20" s="520">
        <v>14.534883720930225</v>
      </c>
      <c r="EF20" s="521">
        <f t="shared" si="43"/>
        <v>0.35240353305686084</v>
      </c>
      <c r="EG20" s="522">
        <f t="shared" si="154"/>
        <v>0</v>
      </c>
      <c r="EH20" s="520">
        <v>58.705882352941217</v>
      </c>
      <c r="EI20" s="521">
        <f t="shared" si="44"/>
        <v>1.4233454322449077</v>
      </c>
      <c r="EJ20" s="522">
        <f t="shared" si="155"/>
        <v>0</v>
      </c>
      <c r="EK20" s="520">
        <v>4</v>
      </c>
      <c r="EL20" s="521">
        <f t="shared" si="45"/>
        <v>9.6981452297248152E-2</v>
      </c>
      <c r="EM20" s="522">
        <f t="shared" si="156"/>
        <v>0</v>
      </c>
      <c r="EN20" s="520"/>
      <c r="EO20" s="521">
        <f t="shared" si="46"/>
        <v>0</v>
      </c>
      <c r="EP20" s="522">
        <f t="shared" si="157"/>
        <v>0</v>
      </c>
      <c r="EQ20" s="520"/>
      <c r="ER20" s="521">
        <f t="shared" si="47"/>
        <v>0</v>
      </c>
      <c r="ES20" s="522">
        <f t="shared" si="158"/>
        <v>0</v>
      </c>
      <c r="ET20" s="520"/>
      <c r="EU20" s="521">
        <f t="shared" si="48"/>
        <v>0</v>
      </c>
      <c r="EV20" s="522">
        <f t="shared" si="159"/>
        <v>0</v>
      </c>
      <c r="EW20" s="520"/>
      <c r="EX20" s="521">
        <f t="shared" si="49"/>
        <v>0</v>
      </c>
      <c r="EY20" s="522">
        <f t="shared" si="160"/>
        <v>0</v>
      </c>
      <c r="EZ20" s="520"/>
      <c r="FA20" s="521">
        <f t="shared" si="50"/>
        <v>0</v>
      </c>
      <c r="FB20" s="522">
        <f t="shared" si="161"/>
        <v>0</v>
      </c>
      <c r="FC20" s="520"/>
      <c r="FD20" s="521">
        <f t="shared" si="51"/>
        <v>0</v>
      </c>
      <c r="FE20" s="522">
        <f t="shared" si="162"/>
        <v>0</v>
      </c>
      <c r="FF20" s="520"/>
      <c r="FG20" s="521">
        <f t="shared" si="52"/>
        <v>0</v>
      </c>
      <c r="FH20" s="522">
        <f t="shared" si="163"/>
        <v>0</v>
      </c>
      <c r="FI20" s="520"/>
      <c r="FJ20" s="521">
        <f t="shared" si="53"/>
        <v>0</v>
      </c>
      <c r="FK20" s="522">
        <f t="shared" si="164"/>
        <v>0</v>
      </c>
      <c r="FL20" s="520"/>
      <c r="FM20" s="521">
        <f t="shared" si="54"/>
        <v>0</v>
      </c>
      <c r="FN20" s="522">
        <f t="shared" si="165"/>
        <v>0</v>
      </c>
      <c r="FO20" s="520"/>
      <c r="FP20" s="521">
        <f t="shared" si="55"/>
        <v>0</v>
      </c>
      <c r="FQ20" s="522">
        <f t="shared" si="166"/>
        <v>0</v>
      </c>
      <c r="FR20" s="520"/>
      <c r="FS20" s="521">
        <f t="shared" si="56"/>
        <v>0</v>
      </c>
      <c r="FT20" s="522">
        <f t="shared" si="167"/>
        <v>0</v>
      </c>
      <c r="FU20" s="520"/>
      <c r="FV20" s="521">
        <f t="shared" si="57"/>
        <v>0</v>
      </c>
      <c r="FW20" s="522">
        <f t="shared" si="168"/>
        <v>0</v>
      </c>
      <c r="FX20" s="520"/>
      <c r="FY20" s="521">
        <f t="shared" si="58"/>
        <v>0</v>
      </c>
      <c r="FZ20" s="522">
        <f t="shared" si="169"/>
        <v>0</v>
      </c>
      <c r="GA20" s="520"/>
      <c r="GB20" s="521">
        <f t="shared" si="59"/>
        <v>0</v>
      </c>
      <c r="GC20" s="522">
        <f t="shared" si="170"/>
        <v>0</v>
      </c>
      <c r="GD20" s="520"/>
      <c r="GE20" s="521">
        <f t="shared" si="60"/>
        <v>0</v>
      </c>
      <c r="GF20" s="522">
        <f t="shared" si="171"/>
        <v>0</v>
      </c>
      <c r="GG20" s="520"/>
      <c r="GH20" s="521">
        <f t="shared" si="61"/>
        <v>0</v>
      </c>
      <c r="GI20" s="522">
        <f t="shared" si="172"/>
        <v>0</v>
      </c>
      <c r="GJ20" s="520"/>
      <c r="GK20" s="521">
        <f t="shared" si="62"/>
        <v>0</v>
      </c>
      <c r="GL20" s="522">
        <f t="shared" si="173"/>
        <v>0</v>
      </c>
      <c r="GM20" s="520"/>
      <c r="GN20" s="521">
        <f t="shared" si="63"/>
        <v>0</v>
      </c>
      <c r="GO20" s="522">
        <f t="shared" si="174"/>
        <v>0</v>
      </c>
      <c r="GP20" s="520"/>
      <c r="GQ20" s="521">
        <f t="shared" si="64"/>
        <v>0</v>
      </c>
      <c r="GR20" s="522">
        <f t="shared" si="175"/>
        <v>0</v>
      </c>
      <c r="GS20" s="520"/>
      <c r="GT20" s="521">
        <f t="shared" si="65"/>
        <v>0</v>
      </c>
      <c r="GU20" s="522">
        <f t="shared" si="176"/>
        <v>0</v>
      </c>
      <c r="GV20" s="520"/>
      <c r="GW20" s="521">
        <f t="shared" si="66"/>
        <v>0</v>
      </c>
      <c r="GX20" s="522">
        <f t="shared" si="177"/>
        <v>0</v>
      </c>
      <c r="GY20" s="520"/>
      <c r="GZ20" s="521">
        <f t="shared" si="67"/>
        <v>0</v>
      </c>
      <c r="HA20" s="522">
        <f t="shared" si="178"/>
        <v>0</v>
      </c>
      <c r="HB20" s="520"/>
      <c r="HC20" s="521">
        <f t="shared" si="68"/>
        <v>0</v>
      </c>
      <c r="HD20" s="522">
        <f t="shared" si="179"/>
        <v>0</v>
      </c>
      <c r="HE20" s="520"/>
      <c r="HF20" s="521">
        <f t="shared" si="69"/>
        <v>0</v>
      </c>
      <c r="HG20" s="522">
        <f t="shared" si="180"/>
        <v>0</v>
      </c>
      <c r="HH20" s="520"/>
      <c r="HI20" s="521">
        <f t="shared" si="70"/>
        <v>0</v>
      </c>
      <c r="HJ20" s="522">
        <f t="shared" si="181"/>
        <v>0</v>
      </c>
      <c r="HK20" s="520"/>
      <c r="HL20" s="521">
        <f t="shared" si="71"/>
        <v>0</v>
      </c>
      <c r="HM20" s="522">
        <f t="shared" si="182"/>
        <v>0</v>
      </c>
      <c r="HN20" s="520"/>
      <c r="HO20" s="521">
        <f t="shared" si="72"/>
        <v>0</v>
      </c>
      <c r="HP20" s="522">
        <f t="shared" si="183"/>
        <v>0</v>
      </c>
      <c r="HQ20" s="520"/>
      <c r="HR20" s="521">
        <f t="shared" si="73"/>
        <v>0</v>
      </c>
      <c r="HS20" s="522">
        <f t="shared" si="184"/>
        <v>0</v>
      </c>
      <c r="HT20" s="520"/>
      <c r="HU20" s="521">
        <f t="shared" si="74"/>
        <v>0</v>
      </c>
      <c r="HV20" s="522">
        <f t="shared" si="185"/>
        <v>0</v>
      </c>
      <c r="HW20" s="520"/>
      <c r="HX20" s="521">
        <f t="shared" si="75"/>
        <v>0</v>
      </c>
      <c r="HY20" s="522">
        <f t="shared" si="186"/>
        <v>0</v>
      </c>
      <c r="HZ20" s="520"/>
      <c r="IA20" s="521">
        <f t="shared" si="76"/>
        <v>0</v>
      </c>
      <c r="IB20" s="522">
        <f t="shared" si="187"/>
        <v>0</v>
      </c>
      <c r="IC20" s="520"/>
      <c r="ID20" s="521">
        <f t="shared" si="77"/>
        <v>0</v>
      </c>
      <c r="IE20" s="522">
        <f t="shared" si="188"/>
        <v>0</v>
      </c>
      <c r="IF20" s="520"/>
      <c r="IG20" s="521">
        <f t="shared" si="78"/>
        <v>0</v>
      </c>
      <c r="IH20" s="522">
        <f t="shared" si="189"/>
        <v>0</v>
      </c>
      <c r="II20" s="520"/>
      <c r="IJ20" s="521">
        <f t="shared" si="79"/>
        <v>0</v>
      </c>
      <c r="IK20" s="522">
        <f t="shared" si="190"/>
        <v>0</v>
      </c>
      <c r="IL20" s="520"/>
      <c r="IM20" s="521">
        <f t="shared" si="80"/>
        <v>0</v>
      </c>
      <c r="IN20" s="522">
        <f t="shared" si="191"/>
        <v>0</v>
      </c>
      <c r="IO20" s="520"/>
      <c r="IP20" s="521">
        <f t="shared" si="81"/>
        <v>0</v>
      </c>
      <c r="IQ20" s="522">
        <f t="shared" si="192"/>
        <v>0</v>
      </c>
      <c r="IR20" s="520"/>
      <c r="IS20" s="521">
        <f t="shared" si="82"/>
        <v>0</v>
      </c>
      <c r="IT20" s="522">
        <f t="shared" si="193"/>
        <v>0</v>
      </c>
      <c r="IU20" s="520"/>
      <c r="IV20" s="521">
        <f t="shared" si="83"/>
        <v>0</v>
      </c>
      <c r="IW20" s="522">
        <f t="shared" si="194"/>
        <v>0</v>
      </c>
      <c r="IX20" s="520"/>
      <c r="IY20" s="521">
        <f t="shared" si="84"/>
        <v>0</v>
      </c>
      <c r="IZ20" s="522">
        <f t="shared" si="195"/>
        <v>0</v>
      </c>
      <c r="JA20" s="520"/>
      <c r="JB20" s="521">
        <f t="shared" si="85"/>
        <v>0</v>
      </c>
      <c r="JC20" s="522">
        <f t="shared" si="196"/>
        <v>0</v>
      </c>
      <c r="JD20" s="520"/>
      <c r="JE20" s="521">
        <f t="shared" si="86"/>
        <v>0</v>
      </c>
      <c r="JF20" s="522">
        <f t="shared" si="197"/>
        <v>0</v>
      </c>
      <c r="JG20" s="520"/>
      <c r="JH20" s="521">
        <f t="shared" si="87"/>
        <v>0</v>
      </c>
      <c r="JI20" s="522">
        <f t="shared" si="198"/>
        <v>0</v>
      </c>
      <c r="JJ20" s="520"/>
      <c r="JK20" s="522" t="str">
        <f t="shared" si="88"/>
        <v>0</v>
      </c>
      <c r="JL20" s="522" t="str">
        <f t="shared" si="89"/>
        <v>0</v>
      </c>
      <c r="JM20" s="520"/>
      <c r="JN20" s="522" t="str">
        <f t="shared" si="90"/>
        <v>0</v>
      </c>
      <c r="JO20" s="522" t="str">
        <f t="shared" si="91"/>
        <v>0</v>
      </c>
      <c r="JP20" s="520"/>
      <c r="JQ20" s="522" t="str">
        <f t="shared" si="92"/>
        <v>0</v>
      </c>
      <c r="JR20" s="522" t="str">
        <f t="shared" si="93"/>
        <v>0</v>
      </c>
      <c r="JS20" s="520"/>
      <c r="JT20" s="522" t="str">
        <f t="shared" si="94"/>
        <v>0</v>
      </c>
      <c r="JU20" s="522" t="str">
        <f t="shared" si="95"/>
        <v>0</v>
      </c>
      <c r="JV20" s="520"/>
      <c r="JW20" s="522" t="str">
        <f t="shared" si="96"/>
        <v>0</v>
      </c>
      <c r="JX20" s="522" t="str">
        <f t="shared" si="97"/>
        <v>0</v>
      </c>
      <c r="JY20" s="520"/>
      <c r="JZ20" s="522" t="str">
        <f t="shared" si="98"/>
        <v>0</v>
      </c>
      <c r="KA20" s="522" t="str">
        <f t="shared" si="99"/>
        <v>0</v>
      </c>
      <c r="KB20" s="520"/>
      <c r="KC20" s="522" t="str">
        <f t="shared" si="100"/>
        <v>0</v>
      </c>
      <c r="KD20" s="522" t="str">
        <f t="shared" si="101"/>
        <v>0</v>
      </c>
      <c r="KE20" s="520"/>
      <c r="KF20" s="522" t="str">
        <f t="shared" si="102"/>
        <v>0</v>
      </c>
      <c r="KG20" s="522" t="str">
        <f t="shared" si="103"/>
        <v>0</v>
      </c>
      <c r="KH20" s="520"/>
      <c r="KI20" s="522" t="str">
        <f t="shared" si="104"/>
        <v>0</v>
      </c>
      <c r="KJ20" s="522" t="str">
        <f t="shared" si="105"/>
        <v>0</v>
      </c>
      <c r="KK20" s="520"/>
      <c r="KL20" s="522" t="str">
        <f t="shared" si="106"/>
        <v>0</v>
      </c>
      <c r="KM20" s="522" t="str">
        <f t="shared" si="107"/>
        <v>0</v>
      </c>
      <c r="KN20" s="520"/>
      <c r="KO20" s="522" t="str">
        <f t="shared" si="108"/>
        <v>0</v>
      </c>
      <c r="KP20" s="522" t="str">
        <f t="shared" si="109"/>
        <v>0</v>
      </c>
      <c r="KQ20" s="520"/>
      <c r="KR20" s="522" t="str">
        <f t="shared" si="110"/>
        <v>0</v>
      </c>
      <c r="KS20" s="522" t="str">
        <f t="shared" si="111"/>
        <v>0</v>
      </c>
      <c r="KT20" s="522">
        <f t="shared" si="201"/>
        <v>0</v>
      </c>
      <c r="KU20" s="522">
        <f t="shared" si="202"/>
        <v>0</v>
      </c>
      <c r="KV20" s="267">
        <f t="shared" si="199"/>
        <v>434.53247015099839</v>
      </c>
    </row>
    <row r="21" spans="1:309">
      <c r="A21" s="268">
        <f t="shared" si="200"/>
        <v>45882</v>
      </c>
      <c r="B21" s="269" t="str">
        <f>+Report1!B21</f>
        <v>Facial</v>
      </c>
      <c r="C21" s="269" t="str">
        <f>+Report1!C21</f>
        <v>13/12</v>
      </c>
      <c r="D21" s="270">
        <f>+Report1!P21</f>
        <v>44.685000000000002</v>
      </c>
      <c r="E21" s="558">
        <f>+Report1!R21</f>
        <v>44.634999999999998</v>
      </c>
      <c r="F21" s="520"/>
      <c r="G21" s="521">
        <f t="shared" si="0"/>
        <v>0</v>
      </c>
      <c r="H21" s="522">
        <f t="shared" si="112"/>
        <v>0</v>
      </c>
      <c r="I21" s="520">
        <v>209.30232558139551</v>
      </c>
      <c r="J21" s="521">
        <f t="shared" si="1"/>
        <v>4.6891973917642105</v>
      </c>
      <c r="K21" s="522">
        <f t="shared" si="113"/>
        <v>0</v>
      </c>
      <c r="L21" s="520"/>
      <c r="M21" s="521">
        <f t="shared" si="2"/>
        <v>0</v>
      </c>
      <c r="N21" s="522">
        <f t="shared" si="114"/>
        <v>0</v>
      </c>
      <c r="O21" s="520">
        <v>6.0000000000000284</v>
      </c>
      <c r="P21" s="521">
        <f t="shared" si="3"/>
        <v>0.13442365856390789</v>
      </c>
      <c r="Q21" s="522">
        <f t="shared" si="115"/>
        <v>0</v>
      </c>
      <c r="R21" s="520"/>
      <c r="S21" s="521">
        <f t="shared" si="4"/>
        <v>0</v>
      </c>
      <c r="T21" s="522">
        <f t="shared" si="116"/>
        <v>0</v>
      </c>
      <c r="U21" s="520">
        <v>8.96875</v>
      </c>
      <c r="V21" s="521">
        <f t="shared" si="5"/>
        <v>0.20093536462417386</v>
      </c>
      <c r="W21" s="522">
        <f t="shared" si="117"/>
        <v>0</v>
      </c>
      <c r="X21" s="520"/>
      <c r="Y21" s="521">
        <f t="shared" si="6"/>
        <v>0</v>
      </c>
      <c r="Z21" s="522">
        <f t="shared" si="118"/>
        <v>0</v>
      </c>
      <c r="AA21" s="520">
        <v>9.375</v>
      </c>
      <c r="AB21" s="521">
        <f t="shared" si="7"/>
        <v>0.21003696650610509</v>
      </c>
      <c r="AC21" s="522">
        <f t="shared" si="119"/>
        <v>0</v>
      </c>
      <c r="AD21" s="520"/>
      <c r="AE21" s="521">
        <f t="shared" si="8"/>
        <v>0</v>
      </c>
      <c r="AF21" s="522">
        <f t="shared" si="120"/>
        <v>0</v>
      </c>
      <c r="AG21" s="520"/>
      <c r="AH21" s="521">
        <f t="shared" si="9"/>
        <v>0</v>
      </c>
      <c r="AI21" s="522">
        <f t="shared" si="121"/>
        <v>0</v>
      </c>
      <c r="AJ21" s="520"/>
      <c r="AK21" s="521">
        <f t="shared" si="10"/>
        <v>0</v>
      </c>
      <c r="AL21" s="522">
        <f t="shared" si="122"/>
        <v>0</v>
      </c>
      <c r="AM21" s="520"/>
      <c r="AN21" s="521">
        <f t="shared" si="11"/>
        <v>0</v>
      </c>
      <c r="AO21" s="522">
        <f t="shared" si="123"/>
        <v>0</v>
      </c>
      <c r="AP21" s="520">
        <v>48.417721518987378</v>
      </c>
      <c r="AQ21" s="521">
        <f t="shared" si="12"/>
        <v>1.084747877651784</v>
      </c>
      <c r="AR21" s="522">
        <f t="shared" si="124"/>
        <v>0</v>
      </c>
      <c r="AS21" s="520"/>
      <c r="AT21" s="521">
        <f t="shared" si="13"/>
        <v>0</v>
      </c>
      <c r="AU21" s="522">
        <f t="shared" si="125"/>
        <v>0</v>
      </c>
      <c r="AV21" s="520"/>
      <c r="AW21" s="521">
        <f t="shared" si="14"/>
        <v>0</v>
      </c>
      <c r="AX21" s="522">
        <f t="shared" si="126"/>
        <v>0</v>
      </c>
      <c r="AY21" s="520">
        <v>62.999999999999943</v>
      </c>
      <c r="AZ21" s="521">
        <f t="shared" si="15"/>
        <v>1.4114484149210249</v>
      </c>
      <c r="BA21" s="522">
        <f t="shared" si="127"/>
        <v>0</v>
      </c>
      <c r="BB21" s="520"/>
      <c r="BC21" s="521">
        <f t="shared" si="16"/>
        <v>0</v>
      </c>
      <c r="BD21" s="522">
        <f t="shared" si="128"/>
        <v>0</v>
      </c>
      <c r="BE21" s="520"/>
      <c r="BF21" s="521">
        <f t="shared" si="17"/>
        <v>0</v>
      </c>
      <c r="BG21" s="522">
        <f t="shared" si="129"/>
        <v>0</v>
      </c>
      <c r="BH21" s="520"/>
      <c r="BI21" s="521">
        <f t="shared" si="18"/>
        <v>0</v>
      </c>
      <c r="BJ21" s="522">
        <f t="shared" si="130"/>
        <v>0</v>
      </c>
      <c r="BK21" s="520"/>
      <c r="BL21" s="521">
        <f t="shared" si="19"/>
        <v>0</v>
      </c>
      <c r="BM21" s="522">
        <f t="shared" si="131"/>
        <v>0</v>
      </c>
      <c r="BN21" s="520"/>
      <c r="BO21" s="521">
        <f t="shared" si="20"/>
        <v>0</v>
      </c>
      <c r="BP21" s="522">
        <f t="shared" si="132"/>
        <v>0</v>
      </c>
      <c r="BQ21" s="520"/>
      <c r="BR21" s="521">
        <f t="shared" si="21"/>
        <v>0</v>
      </c>
      <c r="BS21" s="522">
        <f t="shared" si="133"/>
        <v>0</v>
      </c>
      <c r="BT21" s="520"/>
      <c r="BU21" s="521">
        <f t="shared" si="22"/>
        <v>0</v>
      </c>
      <c r="BV21" s="522">
        <f t="shared" si="134"/>
        <v>0</v>
      </c>
      <c r="BW21" s="520"/>
      <c r="BX21" s="521">
        <f t="shared" si="23"/>
        <v>0</v>
      </c>
      <c r="BY21" s="522">
        <f t="shared" si="135"/>
        <v>0</v>
      </c>
      <c r="BZ21" s="520"/>
      <c r="CA21" s="521">
        <f t="shared" si="24"/>
        <v>0</v>
      </c>
      <c r="CB21" s="522">
        <f t="shared" si="136"/>
        <v>0</v>
      </c>
      <c r="CC21" s="520"/>
      <c r="CD21" s="521">
        <f t="shared" si="25"/>
        <v>0</v>
      </c>
      <c r="CE21" s="522">
        <f t="shared" si="137"/>
        <v>0</v>
      </c>
      <c r="CF21" s="520">
        <v>0.59999999999999931</v>
      </c>
      <c r="CG21" s="521">
        <f t="shared" si="26"/>
        <v>1.344236585639071E-2</v>
      </c>
      <c r="CH21" s="522">
        <f t="shared" si="138"/>
        <v>0</v>
      </c>
      <c r="CI21" s="520"/>
      <c r="CJ21" s="521">
        <f t="shared" si="27"/>
        <v>0</v>
      </c>
      <c r="CK21" s="522">
        <f t="shared" si="139"/>
        <v>0</v>
      </c>
      <c r="CL21" s="520"/>
      <c r="CM21" s="521">
        <f t="shared" si="28"/>
        <v>0</v>
      </c>
      <c r="CN21" s="522">
        <f t="shared" si="140"/>
        <v>0</v>
      </c>
      <c r="CO21" s="520"/>
      <c r="CP21" s="521">
        <f t="shared" si="29"/>
        <v>0</v>
      </c>
      <c r="CQ21" s="522">
        <f t="shared" si="141"/>
        <v>0</v>
      </c>
      <c r="CR21" s="520"/>
      <c r="CS21" s="521">
        <f t="shared" si="30"/>
        <v>0</v>
      </c>
      <c r="CT21" s="522">
        <f t="shared" si="142"/>
        <v>0</v>
      </c>
      <c r="CU21" s="520"/>
      <c r="CV21" s="521">
        <f t="shared" si="31"/>
        <v>0</v>
      </c>
      <c r="CW21" s="522">
        <f t="shared" si="143"/>
        <v>0</v>
      </c>
      <c r="CX21" s="520"/>
      <c r="CY21" s="521">
        <f t="shared" si="32"/>
        <v>0</v>
      </c>
      <c r="CZ21" s="522">
        <f t="shared" si="144"/>
        <v>0</v>
      </c>
      <c r="DA21" s="520"/>
      <c r="DB21" s="521">
        <f t="shared" si="33"/>
        <v>0</v>
      </c>
      <c r="DC21" s="522">
        <f t="shared" si="145"/>
        <v>0</v>
      </c>
      <c r="DD21" s="520"/>
      <c r="DE21" s="521">
        <f t="shared" si="34"/>
        <v>0</v>
      </c>
      <c r="DF21" s="522">
        <f t="shared" si="146"/>
        <v>0</v>
      </c>
      <c r="DG21" s="520"/>
      <c r="DH21" s="521">
        <f t="shared" si="35"/>
        <v>0</v>
      </c>
      <c r="DI21" s="522">
        <f t="shared" si="203"/>
        <v>0</v>
      </c>
      <c r="DJ21" s="520"/>
      <c r="DK21" s="521">
        <f t="shared" si="36"/>
        <v>0</v>
      </c>
      <c r="DL21" s="522">
        <f t="shared" si="147"/>
        <v>0</v>
      </c>
      <c r="DM21" s="520"/>
      <c r="DN21" s="521">
        <f t="shared" si="37"/>
        <v>0</v>
      </c>
      <c r="DO21" s="522">
        <f t="shared" si="148"/>
        <v>0</v>
      </c>
      <c r="DP21" s="520"/>
      <c r="DQ21" s="521">
        <f t="shared" si="38"/>
        <v>0</v>
      </c>
      <c r="DR21" s="522">
        <f t="shared" si="149"/>
        <v>0</v>
      </c>
      <c r="DS21" s="520"/>
      <c r="DT21" s="521">
        <f t="shared" si="39"/>
        <v>0</v>
      </c>
      <c r="DU21" s="522">
        <f t="shared" si="150"/>
        <v>0</v>
      </c>
      <c r="DV21" s="520"/>
      <c r="DW21" s="521">
        <f t="shared" si="40"/>
        <v>0</v>
      </c>
      <c r="DX21" s="522">
        <f t="shared" si="151"/>
        <v>0</v>
      </c>
      <c r="DY21" s="520"/>
      <c r="DZ21" s="521">
        <f t="shared" si="41"/>
        <v>0</v>
      </c>
      <c r="EA21" s="522">
        <f t="shared" si="152"/>
        <v>0</v>
      </c>
      <c r="EB21" s="520"/>
      <c r="EC21" s="521">
        <f t="shared" si="42"/>
        <v>0</v>
      </c>
      <c r="ED21" s="522">
        <f t="shared" si="153"/>
        <v>0</v>
      </c>
      <c r="EE21" s="520">
        <v>14.534883720930253</v>
      </c>
      <c r="EF21" s="521">
        <f t="shared" si="43"/>
        <v>0.32563870776140369</v>
      </c>
      <c r="EG21" s="522">
        <f t="shared" si="154"/>
        <v>0</v>
      </c>
      <c r="EH21" s="520">
        <v>58.705882352941103</v>
      </c>
      <c r="EI21" s="521">
        <f t="shared" si="44"/>
        <v>1.3152432475174438</v>
      </c>
      <c r="EJ21" s="522">
        <f t="shared" si="155"/>
        <v>0</v>
      </c>
      <c r="EK21" s="520">
        <v>4.5999999999999988</v>
      </c>
      <c r="EL21" s="521">
        <f t="shared" si="45"/>
        <v>0.10305813823232887</v>
      </c>
      <c r="EM21" s="522">
        <f t="shared" si="156"/>
        <v>0</v>
      </c>
      <c r="EN21" s="520"/>
      <c r="EO21" s="521">
        <f t="shared" si="46"/>
        <v>0</v>
      </c>
      <c r="EP21" s="522">
        <f t="shared" si="157"/>
        <v>0</v>
      </c>
      <c r="EQ21" s="520"/>
      <c r="ER21" s="521">
        <f t="shared" si="47"/>
        <v>0</v>
      </c>
      <c r="ES21" s="522">
        <f t="shared" si="158"/>
        <v>0</v>
      </c>
      <c r="ET21" s="520"/>
      <c r="EU21" s="521">
        <f t="shared" si="48"/>
        <v>0</v>
      </c>
      <c r="EV21" s="522">
        <f t="shared" si="159"/>
        <v>0</v>
      </c>
      <c r="EW21" s="520"/>
      <c r="EX21" s="521">
        <f t="shared" si="49"/>
        <v>0</v>
      </c>
      <c r="EY21" s="522">
        <f t="shared" si="160"/>
        <v>0</v>
      </c>
      <c r="EZ21" s="520"/>
      <c r="FA21" s="521">
        <f t="shared" si="50"/>
        <v>0</v>
      </c>
      <c r="FB21" s="522">
        <f t="shared" si="161"/>
        <v>0</v>
      </c>
      <c r="FC21" s="520"/>
      <c r="FD21" s="521">
        <f t="shared" si="51"/>
        <v>0</v>
      </c>
      <c r="FE21" s="522">
        <f t="shared" si="162"/>
        <v>0</v>
      </c>
      <c r="FF21" s="520"/>
      <c r="FG21" s="521">
        <f t="shared" si="52"/>
        <v>0</v>
      </c>
      <c r="FH21" s="522">
        <f t="shared" si="163"/>
        <v>0</v>
      </c>
      <c r="FI21" s="520"/>
      <c r="FJ21" s="521">
        <f t="shared" si="53"/>
        <v>0</v>
      </c>
      <c r="FK21" s="522">
        <f t="shared" si="164"/>
        <v>0</v>
      </c>
      <c r="FL21" s="520"/>
      <c r="FM21" s="521">
        <f t="shared" si="54"/>
        <v>0</v>
      </c>
      <c r="FN21" s="522">
        <f t="shared" si="165"/>
        <v>0</v>
      </c>
      <c r="FO21" s="520"/>
      <c r="FP21" s="521">
        <f t="shared" si="55"/>
        <v>0</v>
      </c>
      <c r="FQ21" s="522">
        <f t="shared" si="166"/>
        <v>0</v>
      </c>
      <c r="FR21" s="520"/>
      <c r="FS21" s="521">
        <f t="shared" si="56"/>
        <v>0</v>
      </c>
      <c r="FT21" s="522">
        <f t="shared" si="167"/>
        <v>0</v>
      </c>
      <c r="FU21" s="520"/>
      <c r="FV21" s="521">
        <f t="shared" si="57"/>
        <v>0</v>
      </c>
      <c r="FW21" s="522">
        <f t="shared" si="168"/>
        <v>0</v>
      </c>
      <c r="FX21" s="520"/>
      <c r="FY21" s="521">
        <f t="shared" si="58"/>
        <v>0</v>
      </c>
      <c r="FZ21" s="522">
        <f t="shared" si="169"/>
        <v>0</v>
      </c>
      <c r="GA21" s="520"/>
      <c r="GB21" s="521">
        <f t="shared" si="59"/>
        <v>0</v>
      </c>
      <c r="GC21" s="522">
        <f t="shared" si="170"/>
        <v>0</v>
      </c>
      <c r="GD21" s="520"/>
      <c r="GE21" s="521">
        <f t="shared" si="60"/>
        <v>0</v>
      </c>
      <c r="GF21" s="522">
        <f t="shared" si="171"/>
        <v>0</v>
      </c>
      <c r="GG21" s="520"/>
      <c r="GH21" s="521">
        <f t="shared" si="61"/>
        <v>0</v>
      </c>
      <c r="GI21" s="522">
        <f t="shared" si="172"/>
        <v>0</v>
      </c>
      <c r="GJ21" s="520"/>
      <c r="GK21" s="521">
        <f t="shared" si="62"/>
        <v>0</v>
      </c>
      <c r="GL21" s="522">
        <f t="shared" si="173"/>
        <v>0</v>
      </c>
      <c r="GM21" s="520"/>
      <c r="GN21" s="521">
        <f t="shared" si="63"/>
        <v>0</v>
      </c>
      <c r="GO21" s="522">
        <f t="shared" si="174"/>
        <v>0</v>
      </c>
      <c r="GP21" s="520"/>
      <c r="GQ21" s="521">
        <f t="shared" si="64"/>
        <v>0</v>
      </c>
      <c r="GR21" s="522">
        <f t="shared" si="175"/>
        <v>0</v>
      </c>
      <c r="GS21" s="520"/>
      <c r="GT21" s="521">
        <f t="shared" si="65"/>
        <v>0</v>
      </c>
      <c r="GU21" s="522">
        <f t="shared" si="176"/>
        <v>0</v>
      </c>
      <c r="GV21" s="520"/>
      <c r="GW21" s="521">
        <f t="shared" si="66"/>
        <v>0</v>
      </c>
      <c r="GX21" s="522">
        <f t="shared" si="177"/>
        <v>0</v>
      </c>
      <c r="GY21" s="520"/>
      <c r="GZ21" s="521">
        <f t="shared" si="67"/>
        <v>0</v>
      </c>
      <c r="HA21" s="522">
        <f t="shared" si="178"/>
        <v>0</v>
      </c>
      <c r="HB21" s="520"/>
      <c r="HC21" s="521">
        <f t="shared" si="68"/>
        <v>0</v>
      </c>
      <c r="HD21" s="522">
        <f t="shared" si="179"/>
        <v>0</v>
      </c>
      <c r="HE21" s="520"/>
      <c r="HF21" s="521">
        <f t="shared" si="69"/>
        <v>0</v>
      </c>
      <c r="HG21" s="522">
        <f t="shared" si="180"/>
        <v>0</v>
      </c>
      <c r="HH21" s="520"/>
      <c r="HI21" s="521">
        <f t="shared" si="70"/>
        <v>0</v>
      </c>
      <c r="HJ21" s="522">
        <f t="shared" si="181"/>
        <v>0</v>
      </c>
      <c r="HK21" s="520"/>
      <c r="HL21" s="521">
        <f t="shared" si="71"/>
        <v>0</v>
      </c>
      <c r="HM21" s="522">
        <f t="shared" si="182"/>
        <v>0</v>
      </c>
      <c r="HN21" s="520"/>
      <c r="HO21" s="521">
        <f t="shared" si="72"/>
        <v>0</v>
      </c>
      <c r="HP21" s="522">
        <f t="shared" si="183"/>
        <v>0</v>
      </c>
      <c r="HQ21" s="520"/>
      <c r="HR21" s="521">
        <f t="shared" si="73"/>
        <v>0</v>
      </c>
      <c r="HS21" s="522">
        <f t="shared" si="184"/>
        <v>0</v>
      </c>
      <c r="HT21" s="520"/>
      <c r="HU21" s="521">
        <f t="shared" si="74"/>
        <v>0</v>
      </c>
      <c r="HV21" s="522">
        <f t="shared" si="185"/>
        <v>0</v>
      </c>
      <c r="HW21" s="520"/>
      <c r="HX21" s="521">
        <f t="shared" si="75"/>
        <v>0</v>
      </c>
      <c r="HY21" s="522">
        <f t="shared" si="186"/>
        <v>0</v>
      </c>
      <c r="HZ21" s="520"/>
      <c r="IA21" s="521">
        <f t="shared" si="76"/>
        <v>0</v>
      </c>
      <c r="IB21" s="522">
        <f t="shared" si="187"/>
        <v>0</v>
      </c>
      <c r="IC21" s="520"/>
      <c r="ID21" s="521">
        <f t="shared" si="77"/>
        <v>0</v>
      </c>
      <c r="IE21" s="522">
        <f t="shared" si="188"/>
        <v>0</v>
      </c>
      <c r="IF21" s="520"/>
      <c r="IG21" s="521">
        <f t="shared" si="78"/>
        <v>0</v>
      </c>
      <c r="IH21" s="522">
        <f t="shared" si="189"/>
        <v>0</v>
      </c>
      <c r="II21" s="520"/>
      <c r="IJ21" s="521">
        <f t="shared" si="79"/>
        <v>0</v>
      </c>
      <c r="IK21" s="522">
        <f t="shared" si="190"/>
        <v>0</v>
      </c>
      <c r="IL21" s="520"/>
      <c r="IM21" s="521">
        <f t="shared" si="80"/>
        <v>0</v>
      </c>
      <c r="IN21" s="522">
        <f t="shared" si="191"/>
        <v>0</v>
      </c>
      <c r="IO21" s="520"/>
      <c r="IP21" s="521">
        <f t="shared" si="81"/>
        <v>0</v>
      </c>
      <c r="IQ21" s="522">
        <f t="shared" si="192"/>
        <v>0</v>
      </c>
      <c r="IR21" s="520"/>
      <c r="IS21" s="521">
        <f t="shared" si="82"/>
        <v>0</v>
      </c>
      <c r="IT21" s="522">
        <f t="shared" si="193"/>
        <v>0</v>
      </c>
      <c r="IU21" s="520"/>
      <c r="IV21" s="521">
        <f t="shared" si="83"/>
        <v>0</v>
      </c>
      <c r="IW21" s="522">
        <f t="shared" si="194"/>
        <v>0</v>
      </c>
      <c r="IX21" s="520"/>
      <c r="IY21" s="521">
        <f t="shared" si="84"/>
        <v>0</v>
      </c>
      <c r="IZ21" s="522">
        <f t="shared" si="195"/>
        <v>0</v>
      </c>
      <c r="JA21" s="520"/>
      <c r="JB21" s="521">
        <f t="shared" si="85"/>
        <v>0</v>
      </c>
      <c r="JC21" s="522">
        <f t="shared" si="196"/>
        <v>0</v>
      </c>
      <c r="JD21" s="520"/>
      <c r="JE21" s="521">
        <f t="shared" si="86"/>
        <v>0</v>
      </c>
      <c r="JF21" s="522">
        <f t="shared" si="197"/>
        <v>0</v>
      </c>
      <c r="JG21" s="520"/>
      <c r="JH21" s="521">
        <f t="shared" si="87"/>
        <v>0</v>
      </c>
      <c r="JI21" s="522">
        <f t="shared" si="198"/>
        <v>0</v>
      </c>
      <c r="JJ21" s="520"/>
      <c r="JK21" s="522" t="str">
        <f t="shared" si="88"/>
        <v>0</v>
      </c>
      <c r="JL21" s="522" t="str">
        <f t="shared" si="89"/>
        <v>0</v>
      </c>
      <c r="JM21" s="520"/>
      <c r="JN21" s="522" t="str">
        <f t="shared" si="90"/>
        <v>0</v>
      </c>
      <c r="JO21" s="522" t="str">
        <f t="shared" si="91"/>
        <v>0</v>
      </c>
      <c r="JP21" s="520"/>
      <c r="JQ21" s="522" t="str">
        <f t="shared" si="92"/>
        <v>0</v>
      </c>
      <c r="JR21" s="522" t="str">
        <f t="shared" si="93"/>
        <v>0</v>
      </c>
      <c r="JS21" s="520"/>
      <c r="JT21" s="522" t="str">
        <f t="shared" si="94"/>
        <v>0</v>
      </c>
      <c r="JU21" s="522" t="str">
        <f t="shared" si="95"/>
        <v>0</v>
      </c>
      <c r="JV21" s="520"/>
      <c r="JW21" s="522" t="str">
        <f t="shared" si="96"/>
        <v>0</v>
      </c>
      <c r="JX21" s="522" t="str">
        <f t="shared" si="97"/>
        <v>0</v>
      </c>
      <c r="JY21" s="520"/>
      <c r="JZ21" s="522" t="str">
        <f t="shared" si="98"/>
        <v>0</v>
      </c>
      <c r="KA21" s="522" t="str">
        <f t="shared" si="99"/>
        <v>0</v>
      </c>
      <c r="KB21" s="520"/>
      <c r="KC21" s="522" t="str">
        <f t="shared" si="100"/>
        <v>0</v>
      </c>
      <c r="KD21" s="522" t="str">
        <f t="shared" si="101"/>
        <v>0</v>
      </c>
      <c r="KE21" s="520"/>
      <c r="KF21" s="522" t="str">
        <f t="shared" si="102"/>
        <v>0</v>
      </c>
      <c r="KG21" s="522" t="str">
        <f t="shared" si="103"/>
        <v>0</v>
      </c>
      <c r="KH21" s="520"/>
      <c r="KI21" s="522" t="str">
        <f t="shared" si="104"/>
        <v>0</v>
      </c>
      <c r="KJ21" s="522" t="str">
        <f t="shared" si="105"/>
        <v>0</v>
      </c>
      <c r="KK21" s="520"/>
      <c r="KL21" s="522" t="str">
        <f t="shared" si="106"/>
        <v>0</v>
      </c>
      <c r="KM21" s="522" t="str">
        <f t="shared" si="107"/>
        <v>0</v>
      </c>
      <c r="KN21" s="520"/>
      <c r="KO21" s="522" t="str">
        <f t="shared" si="108"/>
        <v>0</v>
      </c>
      <c r="KP21" s="522" t="str">
        <f t="shared" si="109"/>
        <v>0</v>
      </c>
      <c r="KQ21" s="520"/>
      <c r="KR21" s="522" t="str">
        <f t="shared" si="110"/>
        <v>0</v>
      </c>
      <c r="KS21" s="522" t="str">
        <f t="shared" si="111"/>
        <v>0</v>
      </c>
      <c r="KT21" s="522">
        <f t="shared" si="201"/>
        <v>0</v>
      </c>
      <c r="KU21" s="522">
        <f t="shared" si="202"/>
        <v>0</v>
      </c>
      <c r="KV21" s="267">
        <f t="shared" si="199"/>
        <v>423.50456317425426</v>
      </c>
    </row>
    <row r="22" spans="1:309">
      <c r="A22" s="268">
        <f t="shared" si="200"/>
        <v>45883</v>
      </c>
      <c r="B22" s="269" t="str">
        <f>+Report1!B22</f>
        <v>Facial</v>
      </c>
      <c r="C22" s="269" t="str">
        <f>+Report1!C22</f>
        <v>13/12,5</v>
      </c>
      <c r="D22" s="270">
        <f>+Report1!P22</f>
        <v>43.694000000000003</v>
      </c>
      <c r="E22" s="558">
        <f>+Report1!R22</f>
        <v>42.045999999999999</v>
      </c>
      <c r="F22" s="520"/>
      <c r="G22" s="521">
        <f t="shared" si="0"/>
        <v>0</v>
      </c>
      <c r="H22" s="522">
        <f t="shared" si="112"/>
        <v>0</v>
      </c>
      <c r="I22" s="520">
        <v>220.93023255813955</v>
      </c>
      <c r="J22" s="521">
        <f t="shared" si="1"/>
        <v>5.2544887161237588</v>
      </c>
      <c r="K22" s="522">
        <f t="shared" si="113"/>
        <v>0</v>
      </c>
      <c r="L22" s="520"/>
      <c r="M22" s="521">
        <f t="shared" si="2"/>
        <v>0</v>
      </c>
      <c r="N22" s="522">
        <f t="shared" si="114"/>
        <v>0</v>
      </c>
      <c r="O22" s="520">
        <v>5.9999999999999716</v>
      </c>
      <c r="P22" s="521">
        <f t="shared" si="3"/>
        <v>0.14270085144841296</v>
      </c>
      <c r="Q22" s="522">
        <f t="shared" si="115"/>
        <v>0</v>
      </c>
      <c r="R22" s="520"/>
      <c r="S22" s="521">
        <f t="shared" si="4"/>
        <v>0</v>
      </c>
      <c r="T22" s="522">
        <f t="shared" si="116"/>
        <v>0</v>
      </c>
      <c r="U22" s="520">
        <v>8.96875</v>
      </c>
      <c r="V22" s="521">
        <f t="shared" si="5"/>
        <v>0.21330804357132666</v>
      </c>
      <c r="W22" s="522">
        <f t="shared" si="117"/>
        <v>0</v>
      </c>
      <c r="X22" s="520"/>
      <c r="Y22" s="521">
        <f t="shared" si="6"/>
        <v>0</v>
      </c>
      <c r="Z22" s="522">
        <f t="shared" si="118"/>
        <v>0</v>
      </c>
      <c r="AA22" s="520">
        <v>9.3750000000000142</v>
      </c>
      <c r="AB22" s="521">
        <f t="shared" si="7"/>
        <v>0.22297008038814667</v>
      </c>
      <c r="AC22" s="522">
        <f t="shared" si="119"/>
        <v>0</v>
      </c>
      <c r="AD22" s="520"/>
      <c r="AE22" s="521">
        <f t="shared" si="8"/>
        <v>0</v>
      </c>
      <c r="AF22" s="522">
        <f t="shared" si="120"/>
        <v>0</v>
      </c>
      <c r="AG22" s="520"/>
      <c r="AH22" s="521">
        <f t="shared" si="9"/>
        <v>0</v>
      </c>
      <c r="AI22" s="522">
        <f t="shared" si="121"/>
        <v>0</v>
      </c>
      <c r="AJ22" s="520"/>
      <c r="AK22" s="521">
        <f t="shared" si="10"/>
        <v>0</v>
      </c>
      <c r="AL22" s="522">
        <f t="shared" si="122"/>
        <v>0</v>
      </c>
      <c r="AM22" s="520"/>
      <c r="AN22" s="521">
        <f t="shared" si="11"/>
        <v>0</v>
      </c>
      <c r="AO22" s="522">
        <f t="shared" si="123"/>
        <v>0</v>
      </c>
      <c r="AP22" s="520">
        <v>48.417721518987264</v>
      </c>
      <c r="AQ22" s="521">
        <f t="shared" si="12"/>
        <v>1.1515416809919437</v>
      </c>
      <c r="AR22" s="522">
        <f t="shared" si="124"/>
        <v>0</v>
      </c>
      <c r="AS22" s="520"/>
      <c r="AT22" s="521">
        <f t="shared" si="13"/>
        <v>0</v>
      </c>
      <c r="AU22" s="522">
        <f t="shared" si="125"/>
        <v>0</v>
      </c>
      <c r="AV22" s="520"/>
      <c r="AW22" s="521">
        <f t="shared" si="14"/>
        <v>0</v>
      </c>
      <c r="AX22" s="522">
        <f t="shared" si="126"/>
        <v>0</v>
      </c>
      <c r="AY22" s="520">
        <v>63</v>
      </c>
      <c r="AZ22" s="521">
        <f t="shared" si="15"/>
        <v>1.4983589402083433</v>
      </c>
      <c r="BA22" s="522">
        <f t="shared" si="127"/>
        <v>0</v>
      </c>
      <c r="BB22" s="520"/>
      <c r="BC22" s="521">
        <f t="shared" si="16"/>
        <v>0</v>
      </c>
      <c r="BD22" s="522">
        <f t="shared" si="128"/>
        <v>0</v>
      </c>
      <c r="BE22" s="520"/>
      <c r="BF22" s="521">
        <f t="shared" si="17"/>
        <v>0</v>
      </c>
      <c r="BG22" s="522">
        <f t="shared" si="129"/>
        <v>0</v>
      </c>
      <c r="BH22" s="520"/>
      <c r="BI22" s="521">
        <f t="shared" si="18"/>
        <v>0</v>
      </c>
      <c r="BJ22" s="522">
        <f t="shared" si="130"/>
        <v>0</v>
      </c>
      <c r="BK22" s="520"/>
      <c r="BL22" s="521">
        <f t="shared" si="19"/>
        <v>0</v>
      </c>
      <c r="BM22" s="522">
        <f t="shared" si="131"/>
        <v>0</v>
      </c>
      <c r="BN22" s="520"/>
      <c r="BO22" s="521">
        <f t="shared" si="20"/>
        <v>0</v>
      </c>
      <c r="BP22" s="522">
        <f t="shared" si="132"/>
        <v>0</v>
      </c>
      <c r="BQ22" s="520">
        <v>50.632911392405049</v>
      </c>
      <c r="BR22" s="521">
        <f t="shared" si="21"/>
        <v>1.2042265945013806</v>
      </c>
      <c r="BS22" s="522">
        <f t="shared" si="133"/>
        <v>0</v>
      </c>
      <c r="BT22" s="520"/>
      <c r="BU22" s="521">
        <f t="shared" si="22"/>
        <v>0</v>
      </c>
      <c r="BV22" s="522">
        <f t="shared" si="134"/>
        <v>0</v>
      </c>
      <c r="BW22" s="520"/>
      <c r="BX22" s="521">
        <f t="shared" si="23"/>
        <v>0</v>
      </c>
      <c r="BY22" s="522">
        <f t="shared" si="135"/>
        <v>0</v>
      </c>
      <c r="BZ22" s="520"/>
      <c r="CA22" s="521">
        <f t="shared" si="24"/>
        <v>0</v>
      </c>
      <c r="CB22" s="522">
        <f t="shared" si="136"/>
        <v>0</v>
      </c>
      <c r="CC22" s="520"/>
      <c r="CD22" s="521">
        <f t="shared" si="25"/>
        <v>0</v>
      </c>
      <c r="CE22" s="522">
        <f t="shared" si="137"/>
        <v>0</v>
      </c>
      <c r="CF22" s="520">
        <v>0.60000000000000075</v>
      </c>
      <c r="CG22" s="521">
        <f t="shared" si="26"/>
        <v>1.4270085144841382E-2</v>
      </c>
      <c r="CH22" s="522">
        <f t="shared" si="138"/>
        <v>0</v>
      </c>
      <c r="CI22" s="520"/>
      <c r="CJ22" s="521">
        <f t="shared" si="27"/>
        <v>0</v>
      </c>
      <c r="CK22" s="522">
        <f t="shared" si="139"/>
        <v>0</v>
      </c>
      <c r="CL22" s="520"/>
      <c r="CM22" s="521">
        <f t="shared" si="28"/>
        <v>0</v>
      </c>
      <c r="CN22" s="522">
        <f t="shared" si="140"/>
        <v>0</v>
      </c>
      <c r="CO22" s="520"/>
      <c r="CP22" s="521">
        <f t="shared" si="29"/>
        <v>0</v>
      </c>
      <c r="CQ22" s="522">
        <f t="shared" si="141"/>
        <v>0</v>
      </c>
      <c r="CR22" s="520"/>
      <c r="CS22" s="521">
        <f t="shared" si="30"/>
        <v>0</v>
      </c>
      <c r="CT22" s="522">
        <f t="shared" si="142"/>
        <v>0</v>
      </c>
      <c r="CU22" s="520"/>
      <c r="CV22" s="521">
        <f t="shared" si="31"/>
        <v>0</v>
      </c>
      <c r="CW22" s="522">
        <f t="shared" si="143"/>
        <v>0</v>
      </c>
      <c r="CX22" s="520"/>
      <c r="CY22" s="521">
        <f t="shared" si="32"/>
        <v>0</v>
      </c>
      <c r="CZ22" s="522">
        <f t="shared" si="144"/>
        <v>0</v>
      </c>
      <c r="DA22" s="520"/>
      <c r="DB22" s="521">
        <f t="shared" si="33"/>
        <v>0</v>
      </c>
      <c r="DC22" s="522">
        <f t="shared" si="145"/>
        <v>0</v>
      </c>
      <c r="DD22" s="520"/>
      <c r="DE22" s="521">
        <f t="shared" si="34"/>
        <v>0</v>
      </c>
      <c r="DF22" s="522">
        <f t="shared" si="146"/>
        <v>0</v>
      </c>
      <c r="DG22" s="520"/>
      <c r="DH22" s="521">
        <f t="shared" si="35"/>
        <v>0</v>
      </c>
      <c r="DI22" s="522">
        <f t="shared" si="203"/>
        <v>0</v>
      </c>
      <c r="DJ22" s="520"/>
      <c r="DK22" s="521">
        <f t="shared" si="36"/>
        <v>0</v>
      </c>
      <c r="DL22" s="522">
        <f t="shared" si="147"/>
        <v>0</v>
      </c>
      <c r="DM22" s="520"/>
      <c r="DN22" s="521">
        <f t="shared" si="37"/>
        <v>0</v>
      </c>
      <c r="DO22" s="522">
        <f t="shared" si="148"/>
        <v>0</v>
      </c>
      <c r="DP22" s="520"/>
      <c r="DQ22" s="521">
        <f t="shared" si="38"/>
        <v>0</v>
      </c>
      <c r="DR22" s="522">
        <f t="shared" si="149"/>
        <v>0</v>
      </c>
      <c r="DS22" s="520"/>
      <c r="DT22" s="521">
        <f t="shared" si="39"/>
        <v>0</v>
      </c>
      <c r="DU22" s="522">
        <f t="shared" si="150"/>
        <v>0</v>
      </c>
      <c r="DV22" s="520"/>
      <c r="DW22" s="521">
        <f t="shared" si="40"/>
        <v>0</v>
      </c>
      <c r="DX22" s="522">
        <f t="shared" si="151"/>
        <v>0</v>
      </c>
      <c r="DY22" s="520"/>
      <c r="DZ22" s="521">
        <f t="shared" si="41"/>
        <v>0</v>
      </c>
      <c r="EA22" s="522">
        <f t="shared" si="152"/>
        <v>0</v>
      </c>
      <c r="EB22" s="520"/>
      <c r="EC22" s="521">
        <f t="shared" si="42"/>
        <v>0</v>
      </c>
      <c r="ED22" s="522">
        <f t="shared" si="153"/>
        <v>0</v>
      </c>
      <c r="EE22" s="520">
        <v>14.534883720930196</v>
      </c>
      <c r="EF22" s="521">
        <f t="shared" si="43"/>
        <v>0.34569004711340429</v>
      </c>
      <c r="EG22" s="522">
        <f t="shared" si="154"/>
        <v>0</v>
      </c>
      <c r="EH22" s="520">
        <v>46.964705882352973</v>
      </c>
      <c r="EI22" s="521">
        <f t="shared" si="44"/>
        <v>1.1169839195726816</v>
      </c>
      <c r="EJ22" s="522">
        <f t="shared" si="155"/>
        <v>0</v>
      </c>
      <c r="EK22" s="520">
        <v>4.0000000000000018</v>
      </c>
      <c r="EL22" s="521">
        <f t="shared" si="45"/>
        <v>9.5133900965609142E-2</v>
      </c>
      <c r="EM22" s="522">
        <f t="shared" si="156"/>
        <v>0</v>
      </c>
      <c r="EN22" s="520"/>
      <c r="EO22" s="521">
        <f t="shared" si="46"/>
        <v>0</v>
      </c>
      <c r="EP22" s="522">
        <f t="shared" si="157"/>
        <v>0</v>
      </c>
      <c r="EQ22" s="520"/>
      <c r="ER22" s="521">
        <f t="shared" si="47"/>
        <v>0</v>
      </c>
      <c r="ES22" s="522">
        <f t="shared" si="158"/>
        <v>0</v>
      </c>
      <c r="ET22" s="520"/>
      <c r="EU22" s="521">
        <f t="shared" si="48"/>
        <v>0</v>
      </c>
      <c r="EV22" s="522">
        <f t="shared" si="159"/>
        <v>0</v>
      </c>
      <c r="EW22" s="520"/>
      <c r="EX22" s="521">
        <f t="shared" si="49"/>
        <v>0</v>
      </c>
      <c r="EY22" s="522">
        <f t="shared" si="160"/>
        <v>0</v>
      </c>
      <c r="EZ22" s="520"/>
      <c r="FA22" s="521">
        <f t="shared" si="50"/>
        <v>0</v>
      </c>
      <c r="FB22" s="522">
        <f t="shared" si="161"/>
        <v>0</v>
      </c>
      <c r="FC22" s="520"/>
      <c r="FD22" s="521">
        <f t="shared" si="51"/>
        <v>0</v>
      </c>
      <c r="FE22" s="522">
        <f t="shared" si="162"/>
        <v>0</v>
      </c>
      <c r="FF22" s="520"/>
      <c r="FG22" s="521">
        <f t="shared" si="52"/>
        <v>0</v>
      </c>
      <c r="FH22" s="522">
        <f t="shared" si="163"/>
        <v>0</v>
      </c>
      <c r="FI22" s="520"/>
      <c r="FJ22" s="521">
        <f t="shared" si="53"/>
        <v>0</v>
      </c>
      <c r="FK22" s="522">
        <f t="shared" si="164"/>
        <v>0</v>
      </c>
      <c r="FL22" s="520"/>
      <c r="FM22" s="521">
        <f t="shared" si="54"/>
        <v>0</v>
      </c>
      <c r="FN22" s="522">
        <f t="shared" si="165"/>
        <v>0</v>
      </c>
      <c r="FO22" s="520"/>
      <c r="FP22" s="521">
        <f t="shared" si="55"/>
        <v>0</v>
      </c>
      <c r="FQ22" s="522">
        <f t="shared" si="166"/>
        <v>0</v>
      </c>
      <c r="FR22" s="520"/>
      <c r="FS22" s="521">
        <f t="shared" si="56"/>
        <v>0</v>
      </c>
      <c r="FT22" s="522">
        <f t="shared" si="167"/>
        <v>0</v>
      </c>
      <c r="FU22" s="520"/>
      <c r="FV22" s="521">
        <f t="shared" si="57"/>
        <v>0</v>
      </c>
      <c r="FW22" s="522">
        <f t="shared" si="168"/>
        <v>0</v>
      </c>
      <c r="FX22" s="520"/>
      <c r="FY22" s="521">
        <f t="shared" si="58"/>
        <v>0</v>
      </c>
      <c r="FZ22" s="522">
        <f t="shared" si="169"/>
        <v>0</v>
      </c>
      <c r="GA22" s="520"/>
      <c r="GB22" s="521">
        <f t="shared" si="59"/>
        <v>0</v>
      </c>
      <c r="GC22" s="522">
        <f t="shared" si="170"/>
        <v>0</v>
      </c>
      <c r="GD22" s="520"/>
      <c r="GE22" s="521">
        <f t="shared" si="60"/>
        <v>0</v>
      </c>
      <c r="GF22" s="522">
        <f t="shared" si="171"/>
        <v>0</v>
      </c>
      <c r="GG22" s="520"/>
      <c r="GH22" s="521">
        <f t="shared" si="61"/>
        <v>0</v>
      </c>
      <c r="GI22" s="522">
        <f t="shared" si="172"/>
        <v>0</v>
      </c>
      <c r="GJ22" s="520"/>
      <c r="GK22" s="521">
        <f t="shared" si="62"/>
        <v>0</v>
      </c>
      <c r="GL22" s="522">
        <f t="shared" si="173"/>
        <v>0</v>
      </c>
      <c r="GM22" s="520"/>
      <c r="GN22" s="521">
        <f t="shared" si="63"/>
        <v>0</v>
      </c>
      <c r="GO22" s="522">
        <f t="shared" si="174"/>
        <v>0</v>
      </c>
      <c r="GP22" s="520"/>
      <c r="GQ22" s="521">
        <f t="shared" si="64"/>
        <v>0</v>
      </c>
      <c r="GR22" s="522">
        <f t="shared" si="175"/>
        <v>0</v>
      </c>
      <c r="GS22" s="520"/>
      <c r="GT22" s="521">
        <f t="shared" si="65"/>
        <v>0</v>
      </c>
      <c r="GU22" s="522">
        <f t="shared" si="176"/>
        <v>0</v>
      </c>
      <c r="GV22" s="520"/>
      <c r="GW22" s="521">
        <f t="shared" si="66"/>
        <v>0</v>
      </c>
      <c r="GX22" s="522">
        <f t="shared" si="177"/>
        <v>0</v>
      </c>
      <c r="GY22" s="520"/>
      <c r="GZ22" s="521">
        <f t="shared" si="67"/>
        <v>0</v>
      </c>
      <c r="HA22" s="522">
        <f t="shared" si="178"/>
        <v>0</v>
      </c>
      <c r="HB22" s="520"/>
      <c r="HC22" s="521">
        <f t="shared" si="68"/>
        <v>0</v>
      </c>
      <c r="HD22" s="522">
        <f t="shared" si="179"/>
        <v>0</v>
      </c>
      <c r="HE22" s="520"/>
      <c r="HF22" s="521">
        <f t="shared" si="69"/>
        <v>0</v>
      </c>
      <c r="HG22" s="522">
        <f t="shared" si="180"/>
        <v>0</v>
      </c>
      <c r="HH22" s="520"/>
      <c r="HI22" s="521">
        <f t="shared" si="70"/>
        <v>0</v>
      </c>
      <c r="HJ22" s="522">
        <f t="shared" si="181"/>
        <v>0</v>
      </c>
      <c r="HK22" s="520"/>
      <c r="HL22" s="521">
        <f t="shared" si="71"/>
        <v>0</v>
      </c>
      <c r="HM22" s="522">
        <f t="shared" si="182"/>
        <v>0</v>
      </c>
      <c r="HN22" s="520"/>
      <c r="HO22" s="521">
        <f t="shared" si="72"/>
        <v>0</v>
      </c>
      <c r="HP22" s="522">
        <f t="shared" si="183"/>
        <v>0</v>
      </c>
      <c r="HQ22" s="520"/>
      <c r="HR22" s="521">
        <f t="shared" si="73"/>
        <v>0</v>
      </c>
      <c r="HS22" s="522">
        <f t="shared" si="184"/>
        <v>0</v>
      </c>
      <c r="HT22" s="520"/>
      <c r="HU22" s="521">
        <f t="shared" si="74"/>
        <v>0</v>
      </c>
      <c r="HV22" s="522">
        <f t="shared" si="185"/>
        <v>0</v>
      </c>
      <c r="HW22" s="520"/>
      <c r="HX22" s="521">
        <f t="shared" si="75"/>
        <v>0</v>
      </c>
      <c r="HY22" s="522">
        <f t="shared" si="186"/>
        <v>0</v>
      </c>
      <c r="HZ22" s="520"/>
      <c r="IA22" s="521">
        <f t="shared" si="76"/>
        <v>0</v>
      </c>
      <c r="IB22" s="522">
        <f t="shared" si="187"/>
        <v>0</v>
      </c>
      <c r="IC22" s="520"/>
      <c r="ID22" s="521">
        <f t="shared" si="77"/>
        <v>0</v>
      </c>
      <c r="IE22" s="522">
        <f t="shared" si="188"/>
        <v>0</v>
      </c>
      <c r="IF22" s="520"/>
      <c r="IG22" s="521">
        <f t="shared" si="78"/>
        <v>0</v>
      </c>
      <c r="IH22" s="522">
        <f t="shared" si="189"/>
        <v>0</v>
      </c>
      <c r="II22" s="520"/>
      <c r="IJ22" s="521">
        <f t="shared" si="79"/>
        <v>0</v>
      </c>
      <c r="IK22" s="522">
        <f t="shared" si="190"/>
        <v>0</v>
      </c>
      <c r="IL22" s="520"/>
      <c r="IM22" s="521">
        <f t="shared" si="80"/>
        <v>0</v>
      </c>
      <c r="IN22" s="522">
        <f t="shared" si="191"/>
        <v>0</v>
      </c>
      <c r="IO22" s="520"/>
      <c r="IP22" s="521">
        <f t="shared" si="81"/>
        <v>0</v>
      </c>
      <c r="IQ22" s="522">
        <f t="shared" si="192"/>
        <v>0</v>
      </c>
      <c r="IR22" s="520"/>
      <c r="IS22" s="521">
        <f t="shared" si="82"/>
        <v>0</v>
      </c>
      <c r="IT22" s="522">
        <f t="shared" si="193"/>
        <v>0</v>
      </c>
      <c r="IU22" s="520"/>
      <c r="IV22" s="521">
        <f t="shared" si="83"/>
        <v>0</v>
      </c>
      <c r="IW22" s="522">
        <f t="shared" si="194"/>
        <v>0</v>
      </c>
      <c r="IX22" s="520"/>
      <c r="IY22" s="521">
        <f t="shared" si="84"/>
        <v>0</v>
      </c>
      <c r="IZ22" s="522">
        <f t="shared" si="195"/>
        <v>0</v>
      </c>
      <c r="JA22" s="520"/>
      <c r="JB22" s="521">
        <f t="shared" si="85"/>
        <v>0</v>
      </c>
      <c r="JC22" s="522">
        <f t="shared" si="196"/>
        <v>0</v>
      </c>
      <c r="JD22" s="520"/>
      <c r="JE22" s="521">
        <f t="shared" si="86"/>
        <v>0</v>
      </c>
      <c r="JF22" s="522">
        <f t="shared" si="197"/>
        <v>0</v>
      </c>
      <c r="JG22" s="520"/>
      <c r="JH22" s="521">
        <f t="shared" si="87"/>
        <v>0</v>
      </c>
      <c r="JI22" s="522">
        <f t="shared" si="198"/>
        <v>0</v>
      </c>
      <c r="JJ22" s="520"/>
      <c r="JK22" s="522" t="str">
        <f t="shared" si="88"/>
        <v>0</v>
      </c>
      <c r="JL22" s="522" t="str">
        <f t="shared" si="89"/>
        <v>0</v>
      </c>
      <c r="JM22" s="520"/>
      <c r="JN22" s="522" t="str">
        <f t="shared" si="90"/>
        <v>0</v>
      </c>
      <c r="JO22" s="522" t="str">
        <f t="shared" si="91"/>
        <v>0</v>
      </c>
      <c r="JP22" s="520"/>
      <c r="JQ22" s="522" t="str">
        <f t="shared" si="92"/>
        <v>0</v>
      </c>
      <c r="JR22" s="522" t="str">
        <f t="shared" si="93"/>
        <v>0</v>
      </c>
      <c r="JS22" s="520"/>
      <c r="JT22" s="522" t="str">
        <f t="shared" si="94"/>
        <v>0</v>
      </c>
      <c r="JU22" s="522" t="str">
        <f t="shared" si="95"/>
        <v>0</v>
      </c>
      <c r="JV22" s="520"/>
      <c r="JW22" s="522" t="str">
        <f t="shared" si="96"/>
        <v>0</v>
      </c>
      <c r="JX22" s="522" t="str">
        <f t="shared" si="97"/>
        <v>0</v>
      </c>
      <c r="JY22" s="520"/>
      <c r="JZ22" s="522" t="str">
        <f t="shared" si="98"/>
        <v>0</v>
      </c>
      <c r="KA22" s="522" t="str">
        <f t="shared" si="99"/>
        <v>0</v>
      </c>
      <c r="KB22" s="520"/>
      <c r="KC22" s="522" t="str">
        <f t="shared" si="100"/>
        <v>0</v>
      </c>
      <c r="KD22" s="522" t="str">
        <f t="shared" si="101"/>
        <v>0</v>
      </c>
      <c r="KE22" s="520"/>
      <c r="KF22" s="522" t="str">
        <f t="shared" si="102"/>
        <v>0</v>
      </c>
      <c r="KG22" s="522" t="str">
        <f t="shared" si="103"/>
        <v>0</v>
      </c>
      <c r="KH22" s="520"/>
      <c r="KI22" s="522" t="str">
        <f t="shared" si="104"/>
        <v>0</v>
      </c>
      <c r="KJ22" s="522" t="str">
        <f t="shared" si="105"/>
        <v>0</v>
      </c>
      <c r="KK22" s="520"/>
      <c r="KL22" s="522" t="str">
        <f t="shared" si="106"/>
        <v>0</v>
      </c>
      <c r="KM22" s="522" t="str">
        <f t="shared" si="107"/>
        <v>0</v>
      </c>
      <c r="KN22" s="520"/>
      <c r="KO22" s="522" t="str">
        <f t="shared" si="108"/>
        <v>0</v>
      </c>
      <c r="KP22" s="522" t="str">
        <f t="shared" si="109"/>
        <v>0</v>
      </c>
      <c r="KQ22" s="520"/>
      <c r="KR22" s="522" t="str">
        <f t="shared" si="110"/>
        <v>0</v>
      </c>
      <c r="KS22" s="522" t="str">
        <f t="shared" si="111"/>
        <v>0</v>
      </c>
      <c r="KT22" s="522">
        <f t="shared" si="201"/>
        <v>0</v>
      </c>
      <c r="KU22" s="522">
        <f t="shared" si="202"/>
        <v>0</v>
      </c>
      <c r="KV22" s="267">
        <f t="shared" si="199"/>
        <v>473.42420507281508</v>
      </c>
    </row>
    <row r="23" spans="1:309">
      <c r="A23" s="268">
        <f t="shared" si="200"/>
        <v>45884</v>
      </c>
      <c r="B23" s="269" t="str">
        <f>+Report1!B23</f>
        <v>Facial</v>
      </c>
      <c r="C23" s="269" t="str">
        <f>+Report1!C23</f>
        <v>13,5</v>
      </c>
      <c r="D23" s="270">
        <f>+Report1!P23</f>
        <v>46.213000000000001</v>
      </c>
      <c r="E23" s="558">
        <f>+Report1!R23</f>
        <v>44.924999999999997</v>
      </c>
      <c r="F23" s="520"/>
      <c r="G23" s="521">
        <f t="shared" si="0"/>
        <v>0</v>
      </c>
      <c r="H23" s="522">
        <f t="shared" si="112"/>
        <v>0</v>
      </c>
      <c r="I23" s="520">
        <v>226.74418604651157</v>
      </c>
      <c r="J23" s="521">
        <f t="shared" si="1"/>
        <v>5.0471716426602464</v>
      </c>
      <c r="K23" s="522">
        <f t="shared" si="113"/>
        <v>0</v>
      </c>
      <c r="L23" s="520"/>
      <c r="M23" s="521">
        <f t="shared" si="2"/>
        <v>0</v>
      </c>
      <c r="N23" s="522">
        <f t="shared" si="114"/>
        <v>0</v>
      </c>
      <c r="O23" s="520">
        <v>6.0000000000000284</v>
      </c>
      <c r="P23" s="521">
        <f t="shared" si="3"/>
        <v>0.13355592654424103</v>
      </c>
      <c r="Q23" s="522">
        <f t="shared" si="115"/>
        <v>0</v>
      </c>
      <c r="R23" s="520"/>
      <c r="S23" s="521">
        <f t="shared" si="4"/>
        <v>0</v>
      </c>
      <c r="T23" s="522">
        <f t="shared" si="116"/>
        <v>0</v>
      </c>
      <c r="U23" s="520">
        <v>8.96875</v>
      </c>
      <c r="V23" s="521">
        <f t="shared" si="5"/>
        <v>0.19963828603227604</v>
      </c>
      <c r="W23" s="522">
        <f t="shared" si="117"/>
        <v>0</v>
      </c>
      <c r="X23" s="520"/>
      <c r="Y23" s="521">
        <f t="shared" si="6"/>
        <v>0</v>
      </c>
      <c r="Z23" s="522">
        <f t="shared" si="118"/>
        <v>0</v>
      </c>
      <c r="AA23" s="520">
        <v>9.3749999999999858</v>
      </c>
      <c r="AB23" s="521">
        <f t="shared" si="7"/>
        <v>0.20868113522537532</v>
      </c>
      <c r="AC23" s="522">
        <f t="shared" si="119"/>
        <v>0</v>
      </c>
      <c r="AD23" s="520"/>
      <c r="AE23" s="521">
        <f t="shared" si="8"/>
        <v>0</v>
      </c>
      <c r="AF23" s="522">
        <f t="shared" si="120"/>
        <v>0</v>
      </c>
      <c r="AG23" s="520"/>
      <c r="AH23" s="521">
        <f t="shared" si="9"/>
        <v>0</v>
      </c>
      <c r="AI23" s="522">
        <f t="shared" si="121"/>
        <v>0</v>
      </c>
      <c r="AJ23" s="520"/>
      <c r="AK23" s="521">
        <f t="shared" si="10"/>
        <v>0</v>
      </c>
      <c r="AL23" s="522">
        <f t="shared" si="122"/>
        <v>0</v>
      </c>
      <c r="AM23" s="520"/>
      <c r="AN23" s="521">
        <f t="shared" si="11"/>
        <v>0</v>
      </c>
      <c r="AO23" s="522">
        <f t="shared" si="123"/>
        <v>0</v>
      </c>
      <c r="AP23" s="520">
        <v>37.025316455696242</v>
      </c>
      <c r="AQ23" s="521">
        <f t="shared" si="12"/>
        <v>0.82415840747237046</v>
      </c>
      <c r="AR23" s="522">
        <f t="shared" si="124"/>
        <v>0</v>
      </c>
      <c r="AS23" s="520"/>
      <c r="AT23" s="521">
        <f t="shared" si="13"/>
        <v>0</v>
      </c>
      <c r="AU23" s="522">
        <f t="shared" si="125"/>
        <v>0</v>
      </c>
      <c r="AV23" s="520"/>
      <c r="AW23" s="521">
        <f t="shared" si="14"/>
        <v>0</v>
      </c>
      <c r="AX23" s="522">
        <f t="shared" si="126"/>
        <v>0</v>
      </c>
      <c r="AY23" s="520">
        <v>58.333333333333371</v>
      </c>
      <c r="AZ23" s="521">
        <f t="shared" si="15"/>
        <v>1.2984603969578936</v>
      </c>
      <c r="BA23" s="522">
        <f t="shared" si="127"/>
        <v>0</v>
      </c>
      <c r="BB23" s="520"/>
      <c r="BC23" s="521">
        <f t="shared" si="16"/>
        <v>0</v>
      </c>
      <c r="BD23" s="522">
        <f t="shared" si="128"/>
        <v>0</v>
      </c>
      <c r="BE23" s="520"/>
      <c r="BF23" s="521">
        <f t="shared" si="17"/>
        <v>0</v>
      </c>
      <c r="BG23" s="522">
        <f t="shared" si="129"/>
        <v>0</v>
      </c>
      <c r="BH23" s="520"/>
      <c r="BI23" s="521">
        <f t="shared" si="18"/>
        <v>0</v>
      </c>
      <c r="BJ23" s="522">
        <f t="shared" si="130"/>
        <v>0</v>
      </c>
      <c r="BK23" s="520"/>
      <c r="BL23" s="521">
        <f t="shared" si="19"/>
        <v>0</v>
      </c>
      <c r="BM23" s="522">
        <f t="shared" si="131"/>
        <v>0</v>
      </c>
      <c r="BN23" s="520"/>
      <c r="BO23" s="521">
        <f t="shared" si="20"/>
        <v>0</v>
      </c>
      <c r="BP23" s="522">
        <f t="shared" si="132"/>
        <v>0</v>
      </c>
      <c r="BQ23" s="520"/>
      <c r="BR23" s="521">
        <f t="shared" si="21"/>
        <v>0</v>
      </c>
      <c r="BS23" s="522">
        <f t="shared" si="133"/>
        <v>0</v>
      </c>
      <c r="BT23" s="520"/>
      <c r="BU23" s="521">
        <f t="shared" si="22"/>
        <v>0</v>
      </c>
      <c r="BV23" s="522">
        <f t="shared" si="134"/>
        <v>0</v>
      </c>
      <c r="BW23" s="520"/>
      <c r="BX23" s="521">
        <f t="shared" si="23"/>
        <v>0</v>
      </c>
      <c r="BY23" s="522">
        <f t="shared" si="135"/>
        <v>0</v>
      </c>
      <c r="BZ23" s="520"/>
      <c r="CA23" s="521">
        <f t="shared" si="24"/>
        <v>0</v>
      </c>
      <c r="CB23" s="522">
        <f t="shared" si="136"/>
        <v>0</v>
      </c>
      <c r="CC23" s="520"/>
      <c r="CD23" s="521">
        <f t="shared" si="25"/>
        <v>0</v>
      </c>
      <c r="CE23" s="522">
        <f t="shared" si="137"/>
        <v>0</v>
      </c>
      <c r="CF23" s="520">
        <v>0.60000000000000075</v>
      </c>
      <c r="CG23" s="521">
        <f t="shared" si="26"/>
        <v>1.3355592654424058E-2</v>
      </c>
      <c r="CH23" s="522">
        <f t="shared" si="138"/>
        <v>0</v>
      </c>
      <c r="CI23" s="520"/>
      <c r="CJ23" s="521">
        <f t="shared" si="27"/>
        <v>0</v>
      </c>
      <c r="CK23" s="522">
        <f t="shared" si="139"/>
        <v>0</v>
      </c>
      <c r="CL23" s="520"/>
      <c r="CM23" s="521">
        <f t="shared" si="28"/>
        <v>0</v>
      </c>
      <c r="CN23" s="522">
        <f t="shared" si="140"/>
        <v>0</v>
      </c>
      <c r="CO23" s="520"/>
      <c r="CP23" s="521">
        <f t="shared" si="29"/>
        <v>0</v>
      </c>
      <c r="CQ23" s="522">
        <f t="shared" si="141"/>
        <v>0</v>
      </c>
      <c r="CR23" s="520"/>
      <c r="CS23" s="521">
        <f t="shared" si="30"/>
        <v>0</v>
      </c>
      <c r="CT23" s="522">
        <f t="shared" si="142"/>
        <v>0</v>
      </c>
      <c r="CU23" s="520"/>
      <c r="CV23" s="521">
        <f t="shared" si="31"/>
        <v>0</v>
      </c>
      <c r="CW23" s="522">
        <f t="shared" si="143"/>
        <v>0</v>
      </c>
      <c r="CX23" s="520"/>
      <c r="CY23" s="521">
        <f t="shared" si="32"/>
        <v>0</v>
      </c>
      <c r="CZ23" s="522">
        <f t="shared" si="144"/>
        <v>0</v>
      </c>
      <c r="DA23" s="520"/>
      <c r="DB23" s="521">
        <f t="shared" si="33"/>
        <v>0</v>
      </c>
      <c r="DC23" s="522">
        <f t="shared" si="145"/>
        <v>0</v>
      </c>
      <c r="DD23" s="520"/>
      <c r="DE23" s="521">
        <f t="shared" si="34"/>
        <v>0</v>
      </c>
      <c r="DF23" s="522">
        <f t="shared" si="146"/>
        <v>0</v>
      </c>
      <c r="DG23" s="520"/>
      <c r="DH23" s="521">
        <f t="shared" si="35"/>
        <v>0</v>
      </c>
      <c r="DI23" s="522">
        <f t="shared" si="203"/>
        <v>0</v>
      </c>
      <c r="DJ23" s="520"/>
      <c r="DK23" s="521">
        <f t="shared" si="36"/>
        <v>0</v>
      </c>
      <c r="DL23" s="522">
        <f t="shared" si="147"/>
        <v>0</v>
      </c>
      <c r="DM23" s="520"/>
      <c r="DN23" s="521">
        <f t="shared" si="37"/>
        <v>0</v>
      </c>
      <c r="DO23" s="522">
        <f t="shared" si="148"/>
        <v>0</v>
      </c>
      <c r="DP23" s="520"/>
      <c r="DQ23" s="521">
        <f t="shared" si="38"/>
        <v>0</v>
      </c>
      <c r="DR23" s="522">
        <f t="shared" si="149"/>
        <v>0</v>
      </c>
      <c r="DS23" s="520"/>
      <c r="DT23" s="521">
        <f t="shared" si="39"/>
        <v>0</v>
      </c>
      <c r="DU23" s="522">
        <f t="shared" si="150"/>
        <v>0</v>
      </c>
      <c r="DV23" s="520"/>
      <c r="DW23" s="521">
        <f t="shared" si="40"/>
        <v>0</v>
      </c>
      <c r="DX23" s="522">
        <f t="shared" si="151"/>
        <v>0</v>
      </c>
      <c r="DY23" s="520"/>
      <c r="DZ23" s="521">
        <f t="shared" si="41"/>
        <v>0</v>
      </c>
      <c r="EA23" s="522">
        <f t="shared" si="152"/>
        <v>0</v>
      </c>
      <c r="EB23" s="520"/>
      <c r="EC23" s="521">
        <f t="shared" si="42"/>
        <v>0</v>
      </c>
      <c r="ED23" s="522">
        <f t="shared" si="153"/>
        <v>0</v>
      </c>
      <c r="EE23" s="520">
        <v>14.534883720930253</v>
      </c>
      <c r="EF23" s="521">
        <f t="shared" si="43"/>
        <v>0.32353664376027275</v>
      </c>
      <c r="EG23" s="522">
        <f t="shared" si="154"/>
        <v>0</v>
      </c>
      <c r="EH23" s="520">
        <v>46.964705882352973</v>
      </c>
      <c r="EI23" s="521">
        <f t="shared" si="44"/>
        <v>1.0454024681658982</v>
      </c>
      <c r="EJ23" s="522">
        <f t="shared" si="155"/>
        <v>0</v>
      </c>
      <c r="EK23" s="520">
        <v>4.8999999999999986</v>
      </c>
      <c r="EL23" s="521">
        <f t="shared" si="45"/>
        <v>0.10907067334446297</v>
      </c>
      <c r="EM23" s="522">
        <f t="shared" si="156"/>
        <v>0</v>
      </c>
      <c r="EN23" s="520"/>
      <c r="EO23" s="521">
        <f t="shared" si="46"/>
        <v>0</v>
      </c>
      <c r="EP23" s="522">
        <f t="shared" si="157"/>
        <v>0</v>
      </c>
      <c r="EQ23" s="520"/>
      <c r="ER23" s="521">
        <f t="shared" si="47"/>
        <v>0</v>
      </c>
      <c r="ES23" s="522">
        <f t="shared" si="158"/>
        <v>0</v>
      </c>
      <c r="ET23" s="520"/>
      <c r="EU23" s="521">
        <f t="shared" si="48"/>
        <v>0</v>
      </c>
      <c r="EV23" s="522">
        <f t="shared" si="159"/>
        <v>0</v>
      </c>
      <c r="EW23" s="520"/>
      <c r="EX23" s="521">
        <f t="shared" si="49"/>
        <v>0</v>
      </c>
      <c r="EY23" s="522">
        <f t="shared" si="160"/>
        <v>0</v>
      </c>
      <c r="EZ23" s="520"/>
      <c r="FA23" s="521">
        <f t="shared" si="50"/>
        <v>0</v>
      </c>
      <c r="FB23" s="522">
        <f t="shared" si="161"/>
        <v>0</v>
      </c>
      <c r="FC23" s="520"/>
      <c r="FD23" s="521">
        <f t="shared" si="51"/>
        <v>0</v>
      </c>
      <c r="FE23" s="522">
        <f t="shared" si="162"/>
        <v>0</v>
      </c>
      <c r="FF23" s="520"/>
      <c r="FG23" s="521">
        <f t="shared" si="52"/>
        <v>0</v>
      </c>
      <c r="FH23" s="522">
        <f t="shared" si="163"/>
        <v>0</v>
      </c>
      <c r="FI23" s="520"/>
      <c r="FJ23" s="521">
        <f t="shared" si="53"/>
        <v>0</v>
      </c>
      <c r="FK23" s="522">
        <f t="shared" si="164"/>
        <v>0</v>
      </c>
      <c r="FL23" s="520"/>
      <c r="FM23" s="521">
        <f t="shared" si="54"/>
        <v>0</v>
      </c>
      <c r="FN23" s="522">
        <f t="shared" si="165"/>
        <v>0</v>
      </c>
      <c r="FO23" s="520"/>
      <c r="FP23" s="521">
        <f t="shared" si="55"/>
        <v>0</v>
      </c>
      <c r="FQ23" s="522">
        <f t="shared" si="166"/>
        <v>0</v>
      </c>
      <c r="FR23" s="520"/>
      <c r="FS23" s="521">
        <f t="shared" si="56"/>
        <v>0</v>
      </c>
      <c r="FT23" s="522">
        <f t="shared" si="167"/>
        <v>0</v>
      </c>
      <c r="FU23" s="520"/>
      <c r="FV23" s="521">
        <f t="shared" si="57"/>
        <v>0</v>
      </c>
      <c r="FW23" s="522">
        <f t="shared" si="168"/>
        <v>0</v>
      </c>
      <c r="FX23" s="520"/>
      <c r="FY23" s="521">
        <f t="shared" si="58"/>
        <v>0</v>
      </c>
      <c r="FZ23" s="522">
        <f t="shared" si="169"/>
        <v>0</v>
      </c>
      <c r="GA23" s="520"/>
      <c r="GB23" s="521">
        <f t="shared" si="59"/>
        <v>0</v>
      </c>
      <c r="GC23" s="522">
        <f t="shared" si="170"/>
        <v>0</v>
      </c>
      <c r="GD23" s="520"/>
      <c r="GE23" s="521">
        <f t="shared" si="60"/>
        <v>0</v>
      </c>
      <c r="GF23" s="522">
        <f t="shared" si="171"/>
        <v>0</v>
      </c>
      <c r="GG23" s="520"/>
      <c r="GH23" s="521">
        <f t="shared" si="61"/>
        <v>0</v>
      </c>
      <c r="GI23" s="522">
        <f t="shared" si="172"/>
        <v>0</v>
      </c>
      <c r="GJ23" s="520"/>
      <c r="GK23" s="521">
        <f t="shared" si="62"/>
        <v>0</v>
      </c>
      <c r="GL23" s="522">
        <f t="shared" si="173"/>
        <v>0</v>
      </c>
      <c r="GM23" s="520"/>
      <c r="GN23" s="521">
        <f t="shared" si="63"/>
        <v>0</v>
      </c>
      <c r="GO23" s="522">
        <f t="shared" si="174"/>
        <v>0</v>
      </c>
      <c r="GP23" s="520"/>
      <c r="GQ23" s="521">
        <f t="shared" si="64"/>
        <v>0</v>
      </c>
      <c r="GR23" s="522">
        <f t="shared" si="175"/>
        <v>0</v>
      </c>
      <c r="GS23" s="520"/>
      <c r="GT23" s="521">
        <f t="shared" si="65"/>
        <v>0</v>
      </c>
      <c r="GU23" s="522">
        <f t="shared" si="176"/>
        <v>0</v>
      </c>
      <c r="GV23" s="520"/>
      <c r="GW23" s="521">
        <f t="shared" si="66"/>
        <v>0</v>
      </c>
      <c r="GX23" s="522">
        <f t="shared" si="177"/>
        <v>0</v>
      </c>
      <c r="GY23" s="520"/>
      <c r="GZ23" s="521">
        <f t="shared" si="67"/>
        <v>0</v>
      </c>
      <c r="HA23" s="522">
        <f t="shared" si="178"/>
        <v>0</v>
      </c>
      <c r="HB23" s="520"/>
      <c r="HC23" s="521">
        <f t="shared" si="68"/>
        <v>0</v>
      </c>
      <c r="HD23" s="522">
        <f t="shared" si="179"/>
        <v>0</v>
      </c>
      <c r="HE23" s="520"/>
      <c r="HF23" s="521">
        <f t="shared" si="69"/>
        <v>0</v>
      </c>
      <c r="HG23" s="522">
        <f t="shared" si="180"/>
        <v>0</v>
      </c>
      <c r="HH23" s="520"/>
      <c r="HI23" s="521">
        <f t="shared" si="70"/>
        <v>0</v>
      </c>
      <c r="HJ23" s="522">
        <f t="shared" si="181"/>
        <v>0</v>
      </c>
      <c r="HK23" s="520"/>
      <c r="HL23" s="521">
        <f t="shared" si="71"/>
        <v>0</v>
      </c>
      <c r="HM23" s="522">
        <f t="shared" si="182"/>
        <v>0</v>
      </c>
      <c r="HN23" s="520"/>
      <c r="HO23" s="521">
        <f t="shared" si="72"/>
        <v>0</v>
      </c>
      <c r="HP23" s="522">
        <f t="shared" si="183"/>
        <v>0</v>
      </c>
      <c r="HQ23" s="520"/>
      <c r="HR23" s="521">
        <f t="shared" si="73"/>
        <v>0</v>
      </c>
      <c r="HS23" s="522">
        <f t="shared" si="184"/>
        <v>0</v>
      </c>
      <c r="HT23" s="520"/>
      <c r="HU23" s="521">
        <f t="shared" si="74"/>
        <v>0</v>
      </c>
      <c r="HV23" s="522">
        <f t="shared" si="185"/>
        <v>0</v>
      </c>
      <c r="HW23" s="520"/>
      <c r="HX23" s="521">
        <f t="shared" si="75"/>
        <v>0</v>
      </c>
      <c r="HY23" s="522">
        <f t="shared" si="186"/>
        <v>0</v>
      </c>
      <c r="HZ23" s="520"/>
      <c r="IA23" s="521">
        <f t="shared" si="76"/>
        <v>0</v>
      </c>
      <c r="IB23" s="522">
        <f t="shared" si="187"/>
        <v>0</v>
      </c>
      <c r="IC23" s="520"/>
      <c r="ID23" s="521">
        <f t="shared" si="77"/>
        <v>0</v>
      </c>
      <c r="IE23" s="522">
        <f t="shared" si="188"/>
        <v>0</v>
      </c>
      <c r="IF23" s="520"/>
      <c r="IG23" s="521">
        <f t="shared" si="78"/>
        <v>0</v>
      </c>
      <c r="IH23" s="522">
        <f t="shared" si="189"/>
        <v>0</v>
      </c>
      <c r="II23" s="520"/>
      <c r="IJ23" s="521">
        <f t="shared" si="79"/>
        <v>0</v>
      </c>
      <c r="IK23" s="522">
        <f t="shared" si="190"/>
        <v>0</v>
      </c>
      <c r="IL23" s="520"/>
      <c r="IM23" s="521">
        <f t="shared" si="80"/>
        <v>0</v>
      </c>
      <c r="IN23" s="522">
        <f t="shared" si="191"/>
        <v>0</v>
      </c>
      <c r="IO23" s="520"/>
      <c r="IP23" s="521">
        <f t="shared" si="81"/>
        <v>0</v>
      </c>
      <c r="IQ23" s="522">
        <f t="shared" si="192"/>
        <v>0</v>
      </c>
      <c r="IR23" s="520"/>
      <c r="IS23" s="521">
        <f t="shared" si="82"/>
        <v>0</v>
      </c>
      <c r="IT23" s="522">
        <f t="shared" si="193"/>
        <v>0</v>
      </c>
      <c r="IU23" s="520"/>
      <c r="IV23" s="521">
        <f t="shared" si="83"/>
        <v>0</v>
      </c>
      <c r="IW23" s="522">
        <f t="shared" si="194"/>
        <v>0</v>
      </c>
      <c r="IX23" s="520"/>
      <c r="IY23" s="521">
        <f t="shared" si="84"/>
        <v>0</v>
      </c>
      <c r="IZ23" s="522">
        <f t="shared" si="195"/>
        <v>0</v>
      </c>
      <c r="JA23" s="520"/>
      <c r="JB23" s="521">
        <f t="shared" si="85"/>
        <v>0</v>
      </c>
      <c r="JC23" s="522">
        <f t="shared" si="196"/>
        <v>0</v>
      </c>
      <c r="JD23" s="520"/>
      <c r="JE23" s="521">
        <f t="shared" si="86"/>
        <v>0</v>
      </c>
      <c r="JF23" s="522">
        <f t="shared" si="197"/>
        <v>0</v>
      </c>
      <c r="JG23" s="520"/>
      <c r="JH23" s="521">
        <f t="shared" si="87"/>
        <v>0</v>
      </c>
      <c r="JI23" s="522">
        <f t="shared" si="198"/>
        <v>0</v>
      </c>
      <c r="JJ23" s="520"/>
      <c r="JK23" s="522" t="str">
        <f t="shared" si="88"/>
        <v>0</v>
      </c>
      <c r="JL23" s="522" t="str">
        <f t="shared" si="89"/>
        <v>0</v>
      </c>
      <c r="JM23" s="520"/>
      <c r="JN23" s="522" t="str">
        <f t="shared" si="90"/>
        <v>0</v>
      </c>
      <c r="JO23" s="522" t="str">
        <f t="shared" si="91"/>
        <v>0</v>
      </c>
      <c r="JP23" s="520"/>
      <c r="JQ23" s="522" t="str">
        <f t="shared" si="92"/>
        <v>0</v>
      </c>
      <c r="JR23" s="522" t="str">
        <f t="shared" si="93"/>
        <v>0</v>
      </c>
      <c r="JS23" s="520"/>
      <c r="JT23" s="522" t="str">
        <f t="shared" si="94"/>
        <v>0</v>
      </c>
      <c r="JU23" s="522" t="str">
        <f t="shared" si="95"/>
        <v>0</v>
      </c>
      <c r="JV23" s="520"/>
      <c r="JW23" s="522" t="str">
        <f t="shared" si="96"/>
        <v>0</v>
      </c>
      <c r="JX23" s="522" t="str">
        <f t="shared" si="97"/>
        <v>0</v>
      </c>
      <c r="JY23" s="520"/>
      <c r="JZ23" s="522" t="str">
        <f t="shared" si="98"/>
        <v>0</v>
      </c>
      <c r="KA23" s="522" t="str">
        <f t="shared" si="99"/>
        <v>0</v>
      </c>
      <c r="KB23" s="520"/>
      <c r="KC23" s="522" t="str">
        <f t="shared" si="100"/>
        <v>0</v>
      </c>
      <c r="KD23" s="522" t="str">
        <f t="shared" si="101"/>
        <v>0</v>
      </c>
      <c r="KE23" s="520"/>
      <c r="KF23" s="522" t="str">
        <f t="shared" si="102"/>
        <v>0</v>
      </c>
      <c r="KG23" s="522" t="str">
        <f t="shared" si="103"/>
        <v>0</v>
      </c>
      <c r="KH23" s="520"/>
      <c r="KI23" s="522" t="str">
        <f t="shared" si="104"/>
        <v>0</v>
      </c>
      <c r="KJ23" s="522" t="str">
        <f t="shared" si="105"/>
        <v>0</v>
      </c>
      <c r="KK23" s="520"/>
      <c r="KL23" s="522" t="str">
        <f t="shared" si="106"/>
        <v>0</v>
      </c>
      <c r="KM23" s="522" t="str">
        <f t="shared" si="107"/>
        <v>0</v>
      </c>
      <c r="KN23" s="520"/>
      <c r="KO23" s="522" t="str">
        <f t="shared" si="108"/>
        <v>0</v>
      </c>
      <c r="KP23" s="522" t="str">
        <f t="shared" si="109"/>
        <v>0</v>
      </c>
      <c r="KQ23" s="520"/>
      <c r="KR23" s="522" t="str">
        <f t="shared" si="110"/>
        <v>0</v>
      </c>
      <c r="KS23" s="522" t="str">
        <f t="shared" si="111"/>
        <v>0</v>
      </c>
      <c r="KT23" s="522">
        <f t="shared" si="201"/>
        <v>0</v>
      </c>
      <c r="KU23" s="522">
        <f t="shared" si="202"/>
        <v>0</v>
      </c>
      <c r="KV23" s="267">
        <f t="shared" si="199"/>
        <v>413.44617543882441</v>
      </c>
    </row>
    <row r="24" spans="1:309">
      <c r="A24" s="268">
        <f t="shared" si="200"/>
        <v>45885</v>
      </c>
      <c r="B24" s="269" t="str">
        <f>+Report1!B24</f>
        <v>Facial</v>
      </c>
      <c r="C24" s="269" t="str">
        <f>+Report1!C24</f>
        <v>13,5</v>
      </c>
      <c r="D24" s="270">
        <f>+Report1!P24</f>
        <v>47.757999999999996</v>
      </c>
      <c r="E24" s="558">
        <f>+Report1!R24</f>
        <v>45.956000000000003</v>
      </c>
      <c r="F24" s="520"/>
      <c r="G24" s="521">
        <f t="shared" si="0"/>
        <v>0</v>
      </c>
      <c r="H24" s="522">
        <f t="shared" si="112"/>
        <v>0</v>
      </c>
      <c r="I24" s="520">
        <v>231.52637209302316</v>
      </c>
      <c r="J24" s="521">
        <f t="shared" si="1"/>
        <v>5.0380009594617272</v>
      </c>
      <c r="K24" s="522">
        <f t="shared" si="113"/>
        <v>0</v>
      </c>
      <c r="L24" s="520"/>
      <c r="M24" s="521">
        <f t="shared" si="2"/>
        <v>0</v>
      </c>
      <c r="N24" s="522">
        <f t="shared" si="114"/>
        <v>0</v>
      </c>
      <c r="O24" s="520">
        <v>6.2083999999999548</v>
      </c>
      <c r="P24" s="521">
        <f t="shared" si="3"/>
        <v>0.13509443815823732</v>
      </c>
      <c r="Q24" s="522">
        <f t="shared" si="115"/>
        <v>0</v>
      </c>
      <c r="R24" s="520"/>
      <c r="S24" s="521">
        <f t="shared" si="4"/>
        <v>0</v>
      </c>
      <c r="T24" s="522">
        <f t="shared" si="116"/>
        <v>0</v>
      </c>
      <c r="U24" s="520">
        <v>9.2783000000000158</v>
      </c>
      <c r="V24" s="521">
        <f t="shared" si="5"/>
        <v>0.20189529114805499</v>
      </c>
      <c r="W24" s="522">
        <f t="shared" si="117"/>
        <v>0</v>
      </c>
      <c r="X24" s="520"/>
      <c r="Y24" s="521">
        <f t="shared" si="6"/>
        <v>0</v>
      </c>
      <c r="Z24" s="522">
        <f t="shared" si="118"/>
        <v>0</v>
      </c>
      <c r="AA24" s="520">
        <v>7.03125</v>
      </c>
      <c r="AB24" s="521">
        <f t="shared" si="7"/>
        <v>0.15299960832100268</v>
      </c>
      <c r="AC24" s="522">
        <f t="shared" si="119"/>
        <v>0</v>
      </c>
      <c r="AD24" s="520"/>
      <c r="AE24" s="521">
        <f t="shared" si="8"/>
        <v>0</v>
      </c>
      <c r="AF24" s="522">
        <f t="shared" si="120"/>
        <v>0</v>
      </c>
      <c r="AG24" s="520"/>
      <c r="AH24" s="521">
        <f t="shared" si="9"/>
        <v>0</v>
      </c>
      <c r="AI24" s="522">
        <f t="shared" si="121"/>
        <v>0</v>
      </c>
      <c r="AJ24" s="520"/>
      <c r="AK24" s="521">
        <f t="shared" si="10"/>
        <v>0</v>
      </c>
      <c r="AL24" s="522">
        <f t="shared" si="122"/>
        <v>0</v>
      </c>
      <c r="AM24" s="520"/>
      <c r="AN24" s="521">
        <f t="shared" si="11"/>
        <v>0</v>
      </c>
      <c r="AO24" s="522">
        <f t="shared" si="123"/>
        <v>0</v>
      </c>
      <c r="AP24" s="520">
        <v>45.665612658227843</v>
      </c>
      <c r="AQ24" s="521">
        <f t="shared" si="12"/>
        <v>0.99368118761919755</v>
      </c>
      <c r="AR24" s="522">
        <f t="shared" si="124"/>
        <v>0</v>
      </c>
      <c r="AS24" s="520"/>
      <c r="AT24" s="521">
        <f t="shared" si="13"/>
        <v>0</v>
      </c>
      <c r="AU24" s="522">
        <f t="shared" si="125"/>
        <v>0</v>
      </c>
      <c r="AV24" s="520"/>
      <c r="AW24" s="521">
        <f t="shared" si="14"/>
        <v>0</v>
      </c>
      <c r="AX24" s="522">
        <f t="shared" si="126"/>
        <v>0</v>
      </c>
      <c r="AY24" s="520">
        <v>66.371999999999957</v>
      </c>
      <c r="AZ24" s="521">
        <f t="shared" si="15"/>
        <v>1.4442510227173808</v>
      </c>
      <c r="BA24" s="522">
        <f t="shared" si="127"/>
        <v>0</v>
      </c>
      <c r="BB24" s="520"/>
      <c r="BC24" s="521">
        <f t="shared" si="16"/>
        <v>0</v>
      </c>
      <c r="BD24" s="522">
        <f t="shared" si="128"/>
        <v>0</v>
      </c>
      <c r="BE24" s="520"/>
      <c r="BF24" s="521">
        <f t="shared" si="17"/>
        <v>0</v>
      </c>
      <c r="BG24" s="522">
        <f t="shared" si="129"/>
        <v>0</v>
      </c>
      <c r="BH24" s="520"/>
      <c r="BI24" s="521">
        <f t="shared" si="18"/>
        <v>0</v>
      </c>
      <c r="BJ24" s="522">
        <f t="shared" si="130"/>
        <v>0</v>
      </c>
      <c r="BK24" s="520"/>
      <c r="BL24" s="521">
        <f t="shared" si="19"/>
        <v>0</v>
      </c>
      <c r="BM24" s="522">
        <f t="shared" si="131"/>
        <v>0</v>
      </c>
      <c r="BN24" s="520"/>
      <c r="BO24" s="521">
        <f t="shared" si="20"/>
        <v>0</v>
      </c>
      <c r="BP24" s="522">
        <f t="shared" si="132"/>
        <v>0</v>
      </c>
      <c r="BQ24" s="520"/>
      <c r="BR24" s="521">
        <f t="shared" si="21"/>
        <v>0</v>
      </c>
      <c r="BS24" s="522">
        <f t="shared" si="133"/>
        <v>0</v>
      </c>
      <c r="BT24" s="520"/>
      <c r="BU24" s="521">
        <f t="shared" si="22"/>
        <v>0</v>
      </c>
      <c r="BV24" s="522">
        <f t="shared" si="134"/>
        <v>0</v>
      </c>
      <c r="BW24" s="520"/>
      <c r="BX24" s="521">
        <f t="shared" si="23"/>
        <v>0</v>
      </c>
      <c r="BY24" s="522">
        <f t="shared" si="135"/>
        <v>0</v>
      </c>
      <c r="BZ24" s="520"/>
      <c r="CA24" s="521">
        <f t="shared" si="24"/>
        <v>0</v>
      </c>
      <c r="CB24" s="522">
        <f t="shared" si="136"/>
        <v>0</v>
      </c>
      <c r="CC24" s="520"/>
      <c r="CD24" s="521">
        <f t="shared" si="25"/>
        <v>0</v>
      </c>
      <c r="CE24" s="522">
        <f t="shared" si="137"/>
        <v>0</v>
      </c>
      <c r="CF24" s="520">
        <v>0.5999999999999992</v>
      </c>
      <c r="CG24" s="521">
        <f t="shared" si="26"/>
        <v>1.3055966576725545E-2</v>
      </c>
      <c r="CH24" s="522">
        <f t="shared" si="138"/>
        <v>0</v>
      </c>
      <c r="CI24" s="520"/>
      <c r="CJ24" s="521">
        <f t="shared" si="27"/>
        <v>0</v>
      </c>
      <c r="CK24" s="522">
        <f t="shared" si="139"/>
        <v>0</v>
      </c>
      <c r="CL24" s="520"/>
      <c r="CM24" s="521">
        <f t="shared" si="28"/>
        <v>0</v>
      </c>
      <c r="CN24" s="522">
        <f t="shared" si="140"/>
        <v>0</v>
      </c>
      <c r="CO24" s="520"/>
      <c r="CP24" s="521">
        <f t="shared" si="29"/>
        <v>0</v>
      </c>
      <c r="CQ24" s="522">
        <f t="shared" si="141"/>
        <v>0</v>
      </c>
      <c r="CR24" s="520"/>
      <c r="CS24" s="521">
        <f t="shared" si="30"/>
        <v>0</v>
      </c>
      <c r="CT24" s="522">
        <f t="shared" si="142"/>
        <v>0</v>
      </c>
      <c r="CU24" s="520"/>
      <c r="CV24" s="521">
        <f t="shared" si="31"/>
        <v>0</v>
      </c>
      <c r="CW24" s="522">
        <f t="shared" si="143"/>
        <v>0</v>
      </c>
      <c r="CX24" s="520"/>
      <c r="CY24" s="521">
        <f t="shared" si="32"/>
        <v>0</v>
      </c>
      <c r="CZ24" s="522">
        <f t="shared" si="144"/>
        <v>0</v>
      </c>
      <c r="DA24" s="520"/>
      <c r="DB24" s="521">
        <f t="shared" si="33"/>
        <v>0</v>
      </c>
      <c r="DC24" s="522">
        <f t="shared" si="145"/>
        <v>0</v>
      </c>
      <c r="DD24" s="520"/>
      <c r="DE24" s="521">
        <f t="shared" si="34"/>
        <v>0</v>
      </c>
      <c r="DF24" s="522">
        <f t="shared" si="146"/>
        <v>0</v>
      </c>
      <c r="DG24" s="520"/>
      <c r="DH24" s="521">
        <f t="shared" si="35"/>
        <v>0</v>
      </c>
      <c r="DI24" s="522">
        <f t="shared" si="203"/>
        <v>0</v>
      </c>
      <c r="DJ24" s="520"/>
      <c r="DK24" s="521">
        <f t="shared" si="36"/>
        <v>0</v>
      </c>
      <c r="DL24" s="522">
        <f t="shared" si="147"/>
        <v>0</v>
      </c>
      <c r="DM24" s="520"/>
      <c r="DN24" s="521">
        <f t="shared" si="37"/>
        <v>0</v>
      </c>
      <c r="DO24" s="522">
        <f t="shared" si="148"/>
        <v>0</v>
      </c>
      <c r="DP24" s="520"/>
      <c r="DQ24" s="521">
        <f t="shared" si="38"/>
        <v>0</v>
      </c>
      <c r="DR24" s="522">
        <f t="shared" si="149"/>
        <v>0</v>
      </c>
      <c r="DS24" s="520"/>
      <c r="DT24" s="521">
        <f t="shared" si="39"/>
        <v>0</v>
      </c>
      <c r="DU24" s="522">
        <f t="shared" si="150"/>
        <v>0</v>
      </c>
      <c r="DV24" s="520"/>
      <c r="DW24" s="521">
        <f t="shared" si="40"/>
        <v>0</v>
      </c>
      <c r="DX24" s="522">
        <f t="shared" si="151"/>
        <v>0</v>
      </c>
      <c r="DY24" s="520"/>
      <c r="DZ24" s="521">
        <f t="shared" si="41"/>
        <v>0</v>
      </c>
      <c r="EA24" s="522">
        <f t="shared" si="152"/>
        <v>0</v>
      </c>
      <c r="EB24" s="520"/>
      <c r="EC24" s="521">
        <f t="shared" si="42"/>
        <v>0</v>
      </c>
      <c r="ED24" s="522">
        <f t="shared" si="153"/>
        <v>0</v>
      </c>
      <c r="EE24" s="520">
        <v>14.534883720930225</v>
      </c>
      <c r="EF24" s="521">
        <f t="shared" si="43"/>
        <v>0.3162782600950958</v>
      </c>
      <c r="EG24" s="522">
        <f t="shared" si="154"/>
        <v>0</v>
      </c>
      <c r="EH24" s="520">
        <v>48.582352941176396</v>
      </c>
      <c r="EI24" s="521">
        <f t="shared" si="44"/>
        <v>1.0571492936978064</v>
      </c>
      <c r="EJ24" s="522">
        <f t="shared" si="155"/>
        <v>0</v>
      </c>
      <c r="EK24" s="520">
        <v>4.2999999999999972</v>
      </c>
      <c r="EL24" s="521">
        <f t="shared" si="45"/>
        <v>9.3567760466533131E-2</v>
      </c>
      <c r="EM24" s="522">
        <f t="shared" si="156"/>
        <v>0</v>
      </c>
      <c r="EN24" s="520"/>
      <c r="EO24" s="521">
        <f t="shared" si="46"/>
        <v>0</v>
      </c>
      <c r="EP24" s="522">
        <f t="shared" si="157"/>
        <v>0</v>
      </c>
      <c r="EQ24" s="520"/>
      <c r="ER24" s="521">
        <f t="shared" si="47"/>
        <v>0</v>
      </c>
      <c r="ES24" s="522">
        <f t="shared" si="158"/>
        <v>0</v>
      </c>
      <c r="ET24" s="520"/>
      <c r="EU24" s="521">
        <f t="shared" si="48"/>
        <v>0</v>
      </c>
      <c r="EV24" s="522">
        <f t="shared" si="159"/>
        <v>0</v>
      </c>
      <c r="EW24" s="520"/>
      <c r="EX24" s="521">
        <f t="shared" si="49"/>
        <v>0</v>
      </c>
      <c r="EY24" s="522">
        <f t="shared" si="160"/>
        <v>0</v>
      </c>
      <c r="EZ24" s="520"/>
      <c r="FA24" s="521">
        <f t="shared" si="50"/>
        <v>0</v>
      </c>
      <c r="FB24" s="522">
        <f t="shared" si="161"/>
        <v>0</v>
      </c>
      <c r="FC24" s="520"/>
      <c r="FD24" s="521">
        <f t="shared" si="51"/>
        <v>0</v>
      </c>
      <c r="FE24" s="522">
        <f t="shared" si="162"/>
        <v>0</v>
      </c>
      <c r="FF24" s="520"/>
      <c r="FG24" s="521">
        <f t="shared" si="52"/>
        <v>0</v>
      </c>
      <c r="FH24" s="522">
        <f t="shared" si="163"/>
        <v>0</v>
      </c>
      <c r="FI24" s="520"/>
      <c r="FJ24" s="521">
        <f t="shared" si="53"/>
        <v>0</v>
      </c>
      <c r="FK24" s="522">
        <f t="shared" si="164"/>
        <v>0</v>
      </c>
      <c r="FL24" s="520"/>
      <c r="FM24" s="521">
        <f t="shared" si="54"/>
        <v>0</v>
      </c>
      <c r="FN24" s="522">
        <f t="shared" si="165"/>
        <v>0</v>
      </c>
      <c r="FO24" s="520"/>
      <c r="FP24" s="521">
        <f t="shared" si="55"/>
        <v>0</v>
      </c>
      <c r="FQ24" s="522">
        <f t="shared" si="166"/>
        <v>0</v>
      </c>
      <c r="FR24" s="520"/>
      <c r="FS24" s="521">
        <f t="shared" si="56"/>
        <v>0</v>
      </c>
      <c r="FT24" s="522">
        <f t="shared" si="167"/>
        <v>0</v>
      </c>
      <c r="FU24" s="520"/>
      <c r="FV24" s="521">
        <f t="shared" si="57"/>
        <v>0</v>
      </c>
      <c r="FW24" s="522">
        <f t="shared" si="168"/>
        <v>0</v>
      </c>
      <c r="FX24" s="520"/>
      <c r="FY24" s="521">
        <f t="shared" si="58"/>
        <v>0</v>
      </c>
      <c r="FZ24" s="522">
        <f t="shared" si="169"/>
        <v>0</v>
      </c>
      <c r="GA24" s="520"/>
      <c r="GB24" s="521">
        <f t="shared" si="59"/>
        <v>0</v>
      </c>
      <c r="GC24" s="522">
        <f t="shared" si="170"/>
        <v>0</v>
      </c>
      <c r="GD24" s="520"/>
      <c r="GE24" s="521">
        <f t="shared" si="60"/>
        <v>0</v>
      </c>
      <c r="GF24" s="522">
        <f t="shared" si="171"/>
        <v>0</v>
      </c>
      <c r="GG24" s="520"/>
      <c r="GH24" s="521">
        <f t="shared" si="61"/>
        <v>0</v>
      </c>
      <c r="GI24" s="522">
        <f t="shared" si="172"/>
        <v>0</v>
      </c>
      <c r="GJ24" s="520"/>
      <c r="GK24" s="521">
        <f t="shared" si="62"/>
        <v>0</v>
      </c>
      <c r="GL24" s="522">
        <f t="shared" si="173"/>
        <v>0</v>
      </c>
      <c r="GM24" s="520"/>
      <c r="GN24" s="521">
        <f t="shared" si="63"/>
        <v>0</v>
      </c>
      <c r="GO24" s="522">
        <f t="shared" si="174"/>
        <v>0</v>
      </c>
      <c r="GP24" s="520"/>
      <c r="GQ24" s="521">
        <f t="shared" si="64"/>
        <v>0</v>
      </c>
      <c r="GR24" s="522">
        <f t="shared" si="175"/>
        <v>0</v>
      </c>
      <c r="GS24" s="520"/>
      <c r="GT24" s="521">
        <f t="shared" si="65"/>
        <v>0</v>
      </c>
      <c r="GU24" s="522">
        <f t="shared" si="176"/>
        <v>0</v>
      </c>
      <c r="GV24" s="520"/>
      <c r="GW24" s="521">
        <f t="shared" si="66"/>
        <v>0</v>
      </c>
      <c r="GX24" s="522">
        <f t="shared" si="177"/>
        <v>0</v>
      </c>
      <c r="GY24" s="520"/>
      <c r="GZ24" s="521">
        <f t="shared" si="67"/>
        <v>0</v>
      </c>
      <c r="HA24" s="522">
        <f t="shared" si="178"/>
        <v>0</v>
      </c>
      <c r="HB24" s="520"/>
      <c r="HC24" s="521">
        <f t="shared" si="68"/>
        <v>0</v>
      </c>
      <c r="HD24" s="522">
        <f t="shared" si="179"/>
        <v>0</v>
      </c>
      <c r="HE24" s="520"/>
      <c r="HF24" s="521">
        <f t="shared" si="69"/>
        <v>0</v>
      </c>
      <c r="HG24" s="522">
        <f t="shared" si="180"/>
        <v>0</v>
      </c>
      <c r="HH24" s="520"/>
      <c r="HI24" s="521">
        <f t="shared" si="70"/>
        <v>0</v>
      </c>
      <c r="HJ24" s="522">
        <f t="shared" si="181"/>
        <v>0</v>
      </c>
      <c r="HK24" s="520"/>
      <c r="HL24" s="521">
        <f t="shared" si="71"/>
        <v>0</v>
      </c>
      <c r="HM24" s="522">
        <f t="shared" si="182"/>
        <v>0</v>
      </c>
      <c r="HN24" s="520"/>
      <c r="HO24" s="521">
        <f t="shared" si="72"/>
        <v>0</v>
      </c>
      <c r="HP24" s="522">
        <f t="shared" si="183"/>
        <v>0</v>
      </c>
      <c r="HQ24" s="520"/>
      <c r="HR24" s="521">
        <f t="shared" si="73"/>
        <v>0</v>
      </c>
      <c r="HS24" s="522">
        <f t="shared" si="184"/>
        <v>0</v>
      </c>
      <c r="HT24" s="520"/>
      <c r="HU24" s="521">
        <f t="shared" si="74"/>
        <v>0</v>
      </c>
      <c r="HV24" s="522">
        <f t="shared" si="185"/>
        <v>0</v>
      </c>
      <c r="HW24" s="520"/>
      <c r="HX24" s="521">
        <f t="shared" si="75"/>
        <v>0</v>
      </c>
      <c r="HY24" s="522">
        <f t="shared" si="186"/>
        <v>0</v>
      </c>
      <c r="HZ24" s="520"/>
      <c r="IA24" s="521">
        <f t="shared" si="76"/>
        <v>0</v>
      </c>
      <c r="IB24" s="522">
        <f t="shared" si="187"/>
        <v>0</v>
      </c>
      <c r="IC24" s="520"/>
      <c r="ID24" s="521">
        <f t="shared" si="77"/>
        <v>0</v>
      </c>
      <c r="IE24" s="522">
        <f t="shared" si="188"/>
        <v>0</v>
      </c>
      <c r="IF24" s="520"/>
      <c r="IG24" s="521">
        <f t="shared" si="78"/>
        <v>0</v>
      </c>
      <c r="IH24" s="522">
        <f t="shared" si="189"/>
        <v>0</v>
      </c>
      <c r="II24" s="520"/>
      <c r="IJ24" s="521">
        <f t="shared" si="79"/>
        <v>0</v>
      </c>
      <c r="IK24" s="522">
        <f t="shared" si="190"/>
        <v>0</v>
      </c>
      <c r="IL24" s="520"/>
      <c r="IM24" s="521">
        <f t="shared" si="80"/>
        <v>0</v>
      </c>
      <c r="IN24" s="522">
        <f t="shared" si="191"/>
        <v>0</v>
      </c>
      <c r="IO24" s="520"/>
      <c r="IP24" s="521">
        <f t="shared" si="81"/>
        <v>0</v>
      </c>
      <c r="IQ24" s="522">
        <f t="shared" si="192"/>
        <v>0</v>
      </c>
      <c r="IR24" s="520"/>
      <c r="IS24" s="521">
        <f t="shared" si="82"/>
        <v>0</v>
      </c>
      <c r="IT24" s="522">
        <f t="shared" si="193"/>
        <v>0</v>
      </c>
      <c r="IU24" s="520"/>
      <c r="IV24" s="521">
        <f t="shared" si="83"/>
        <v>0</v>
      </c>
      <c r="IW24" s="522">
        <f t="shared" si="194"/>
        <v>0</v>
      </c>
      <c r="IX24" s="520"/>
      <c r="IY24" s="521">
        <f t="shared" si="84"/>
        <v>0</v>
      </c>
      <c r="IZ24" s="522">
        <f t="shared" si="195"/>
        <v>0</v>
      </c>
      <c r="JA24" s="520"/>
      <c r="JB24" s="521">
        <f t="shared" si="85"/>
        <v>0</v>
      </c>
      <c r="JC24" s="522">
        <f t="shared" si="196"/>
        <v>0</v>
      </c>
      <c r="JD24" s="520"/>
      <c r="JE24" s="521">
        <f t="shared" si="86"/>
        <v>0</v>
      </c>
      <c r="JF24" s="522">
        <f t="shared" si="197"/>
        <v>0</v>
      </c>
      <c r="JG24" s="520"/>
      <c r="JH24" s="521">
        <f t="shared" si="87"/>
        <v>0</v>
      </c>
      <c r="JI24" s="522">
        <f t="shared" si="198"/>
        <v>0</v>
      </c>
      <c r="JJ24" s="520"/>
      <c r="JK24" s="522" t="str">
        <f t="shared" si="88"/>
        <v>0</v>
      </c>
      <c r="JL24" s="522" t="str">
        <f t="shared" si="89"/>
        <v>0</v>
      </c>
      <c r="JM24" s="520"/>
      <c r="JN24" s="522" t="str">
        <f t="shared" si="90"/>
        <v>0</v>
      </c>
      <c r="JO24" s="522" t="str">
        <f t="shared" si="91"/>
        <v>0</v>
      </c>
      <c r="JP24" s="520"/>
      <c r="JQ24" s="522" t="str">
        <f t="shared" si="92"/>
        <v>0</v>
      </c>
      <c r="JR24" s="522" t="str">
        <f t="shared" si="93"/>
        <v>0</v>
      </c>
      <c r="JS24" s="520"/>
      <c r="JT24" s="522" t="str">
        <f t="shared" si="94"/>
        <v>0</v>
      </c>
      <c r="JU24" s="522" t="str">
        <f t="shared" si="95"/>
        <v>0</v>
      </c>
      <c r="JV24" s="520"/>
      <c r="JW24" s="522" t="str">
        <f t="shared" si="96"/>
        <v>0</v>
      </c>
      <c r="JX24" s="522" t="str">
        <f t="shared" si="97"/>
        <v>0</v>
      </c>
      <c r="JY24" s="520"/>
      <c r="JZ24" s="522" t="str">
        <f t="shared" si="98"/>
        <v>0</v>
      </c>
      <c r="KA24" s="522" t="str">
        <f t="shared" si="99"/>
        <v>0</v>
      </c>
      <c r="KB24" s="520"/>
      <c r="KC24" s="522" t="str">
        <f t="shared" si="100"/>
        <v>0</v>
      </c>
      <c r="KD24" s="522" t="str">
        <f t="shared" si="101"/>
        <v>0</v>
      </c>
      <c r="KE24" s="520"/>
      <c r="KF24" s="522" t="str">
        <f t="shared" si="102"/>
        <v>0</v>
      </c>
      <c r="KG24" s="522" t="str">
        <f t="shared" si="103"/>
        <v>0</v>
      </c>
      <c r="KH24" s="520"/>
      <c r="KI24" s="522" t="str">
        <f t="shared" si="104"/>
        <v>0</v>
      </c>
      <c r="KJ24" s="522" t="str">
        <f t="shared" si="105"/>
        <v>0</v>
      </c>
      <c r="KK24" s="520"/>
      <c r="KL24" s="522" t="str">
        <f t="shared" si="106"/>
        <v>0</v>
      </c>
      <c r="KM24" s="522" t="str">
        <f t="shared" si="107"/>
        <v>0</v>
      </c>
      <c r="KN24" s="520"/>
      <c r="KO24" s="522" t="str">
        <f t="shared" si="108"/>
        <v>0</v>
      </c>
      <c r="KP24" s="522" t="str">
        <f t="shared" si="109"/>
        <v>0</v>
      </c>
      <c r="KQ24" s="520"/>
      <c r="KR24" s="522" t="str">
        <f t="shared" si="110"/>
        <v>0</v>
      </c>
      <c r="KS24" s="522" t="str">
        <f t="shared" si="111"/>
        <v>0</v>
      </c>
      <c r="KT24" s="522">
        <f t="shared" si="201"/>
        <v>0</v>
      </c>
      <c r="KU24" s="522">
        <f t="shared" si="202"/>
        <v>0</v>
      </c>
      <c r="KV24" s="267">
        <f t="shared" si="199"/>
        <v>434.09917141335762</v>
      </c>
    </row>
    <row r="25" spans="1:309">
      <c r="A25" s="268">
        <f t="shared" si="200"/>
        <v>45886</v>
      </c>
      <c r="B25" s="269" t="str">
        <f>+Report1!B25</f>
        <v>Facial</v>
      </c>
      <c r="C25" s="269" t="str">
        <f>+Report1!C25</f>
        <v>13,5/12</v>
      </c>
      <c r="D25" s="270">
        <f>+Report1!P25</f>
        <v>44.586999999999996</v>
      </c>
      <c r="E25" s="558">
        <f>+Report1!R25</f>
        <v>43.734999999999999</v>
      </c>
      <c r="F25" s="520"/>
      <c r="G25" s="521">
        <f t="shared" si="0"/>
        <v>0</v>
      </c>
      <c r="H25" s="522">
        <f t="shared" si="112"/>
        <v>0</v>
      </c>
      <c r="I25" s="520">
        <v>216.14820000000009</v>
      </c>
      <c r="J25" s="521">
        <f t="shared" si="1"/>
        <v>4.9422247627758109</v>
      </c>
      <c r="K25" s="522">
        <f t="shared" si="113"/>
        <v>0</v>
      </c>
      <c r="L25" s="520"/>
      <c r="M25" s="521">
        <f t="shared" si="2"/>
        <v>0</v>
      </c>
      <c r="N25" s="522">
        <f t="shared" si="114"/>
        <v>0</v>
      </c>
      <c r="O25" s="520">
        <v>5.7884000000000242</v>
      </c>
      <c r="P25" s="521">
        <f t="shared" si="3"/>
        <v>0.13235166342746141</v>
      </c>
      <c r="Q25" s="522">
        <f t="shared" si="115"/>
        <v>0</v>
      </c>
      <c r="R25" s="520"/>
      <c r="S25" s="521">
        <f t="shared" si="4"/>
        <v>0</v>
      </c>
      <c r="T25" s="522">
        <f t="shared" si="116"/>
        <v>0</v>
      </c>
      <c r="U25" s="520">
        <v>8.6623000000000019</v>
      </c>
      <c r="V25" s="521">
        <f t="shared" si="5"/>
        <v>0.19806333600091464</v>
      </c>
      <c r="W25" s="522">
        <f t="shared" si="117"/>
        <v>0</v>
      </c>
      <c r="X25" s="520"/>
      <c r="Y25" s="521">
        <f t="shared" si="6"/>
        <v>0</v>
      </c>
      <c r="Z25" s="522">
        <f t="shared" si="118"/>
        <v>0</v>
      </c>
      <c r="AA25" s="520">
        <v>7.03125</v>
      </c>
      <c r="AB25" s="521">
        <f t="shared" si="7"/>
        <v>0.16076940665370984</v>
      </c>
      <c r="AC25" s="522">
        <f t="shared" si="119"/>
        <v>0</v>
      </c>
      <c r="AD25" s="520"/>
      <c r="AE25" s="521">
        <f t="shared" si="8"/>
        <v>0</v>
      </c>
      <c r="AF25" s="522">
        <f t="shared" si="120"/>
        <v>0</v>
      </c>
      <c r="AG25" s="520"/>
      <c r="AH25" s="521">
        <f t="shared" si="9"/>
        <v>0</v>
      </c>
      <c r="AI25" s="522">
        <f t="shared" si="121"/>
        <v>0</v>
      </c>
      <c r="AJ25" s="520"/>
      <c r="AK25" s="521">
        <f t="shared" si="10"/>
        <v>0</v>
      </c>
      <c r="AL25" s="522">
        <f t="shared" si="122"/>
        <v>0</v>
      </c>
      <c r="AM25" s="520"/>
      <c r="AN25" s="521">
        <f t="shared" si="11"/>
        <v>0</v>
      </c>
      <c r="AO25" s="522">
        <f t="shared" si="123"/>
        <v>0</v>
      </c>
      <c r="AP25" s="520">
        <v>42.628800000000012</v>
      </c>
      <c r="AQ25" s="521">
        <f t="shared" si="12"/>
        <v>0.97470675660226391</v>
      </c>
      <c r="AR25" s="522">
        <f t="shared" si="124"/>
        <v>0</v>
      </c>
      <c r="AS25" s="520"/>
      <c r="AT25" s="521">
        <f t="shared" si="13"/>
        <v>0</v>
      </c>
      <c r="AU25" s="522">
        <f t="shared" si="125"/>
        <v>0</v>
      </c>
      <c r="AV25" s="520"/>
      <c r="AW25" s="521">
        <f t="shared" si="14"/>
        <v>0</v>
      </c>
      <c r="AX25" s="522">
        <f t="shared" si="126"/>
        <v>0</v>
      </c>
      <c r="AY25" s="520">
        <v>61.961999999999961</v>
      </c>
      <c r="AZ25" s="521">
        <f t="shared" si="15"/>
        <v>1.4167600320109743</v>
      </c>
      <c r="BA25" s="522">
        <f t="shared" si="127"/>
        <v>0</v>
      </c>
      <c r="BB25" s="520"/>
      <c r="BC25" s="521">
        <f t="shared" si="16"/>
        <v>0</v>
      </c>
      <c r="BD25" s="522">
        <f t="shared" si="128"/>
        <v>0</v>
      </c>
      <c r="BE25" s="520"/>
      <c r="BF25" s="521">
        <f t="shared" si="17"/>
        <v>0</v>
      </c>
      <c r="BG25" s="522">
        <f t="shared" si="129"/>
        <v>0</v>
      </c>
      <c r="BH25" s="520"/>
      <c r="BI25" s="521">
        <f t="shared" si="18"/>
        <v>0</v>
      </c>
      <c r="BJ25" s="522">
        <f t="shared" si="130"/>
        <v>0</v>
      </c>
      <c r="BK25" s="520"/>
      <c r="BL25" s="521">
        <f t="shared" si="19"/>
        <v>0</v>
      </c>
      <c r="BM25" s="522">
        <f t="shared" si="131"/>
        <v>0</v>
      </c>
      <c r="BN25" s="520"/>
      <c r="BO25" s="521">
        <f t="shared" si="20"/>
        <v>0</v>
      </c>
      <c r="BP25" s="522">
        <f t="shared" si="132"/>
        <v>0</v>
      </c>
      <c r="BQ25" s="520"/>
      <c r="BR25" s="521">
        <f t="shared" si="21"/>
        <v>0</v>
      </c>
      <c r="BS25" s="522">
        <f t="shared" si="133"/>
        <v>0</v>
      </c>
      <c r="BT25" s="520"/>
      <c r="BU25" s="521">
        <f t="shared" si="22"/>
        <v>0</v>
      </c>
      <c r="BV25" s="522">
        <f t="shared" si="134"/>
        <v>0</v>
      </c>
      <c r="BW25" s="520"/>
      <c r="BX25" s="521">
        <f t="shared" si="23"/>
        <v>0</v>
      </c>
      <c r="BY25" s="522">
        <f t="shared" si="135"/>
        <v>0</v>
      </c>
      <c r="BZ25" s="520"/>
      <c r="CA25" s="521">
        <f t="shared" si="24"/>
        <v>0</v>
      </c>
      <c r="CB25" s="522">
        <f t="shared" si="136"/>
        <v>0</v>
      </c>
      <c r="CC25" s="520"/>
      <c r="CD25" s="521">
        <f t="shared" si="25"/>
        <v>0</v>
      </c>
      <c r="CE25" s="522">
        <f t="shared" si="137"/>
        <v>0</v>
      </c>
      <c r="CF25" s="520">
        <v>0.5999999999999992</v>
      </c>
      <c r="CG25" s="521">
        <f t="shared" si="26"/>
        <v>1.3718989367783221E-2</v>
      </c>
      <c r="CH25" s="522">
        <f t="shared" si="138"/>
        <v>0</v>
      </c>
      <c r="CI25" s="520"/>
      <c r="CJ25" s="521">
        <f t="shared" si="27"/>
        <v>0</v>
      </c>
      <c r="CK25" s="522">
        <f t="shared" si="139"/>
        <v>0</v>
      </c>
      <c r="CL25" s="520"/>
      <c r="CM25" s="521">
        <f t="shared" si="28"/>
        <v>0</v>
      </c>
      <c r="CN25" s="522">
        <f t="shared" si="140"/>
        <v>0</v>
      </c>
      <c r="CO25" s="520"/>
      <c r="CP25" s="521">
        <f t="shared" si="29"/>
        <v>0</v>
      </c>
      <c r="CQ25" s="522">
        <f t="shared" si="141"/>
        <v>0</v>
      </c>
      <c r="CR25" s="520"/>
      <c r="CS25" s="521">
        <f t="shared" si="30"/>
        <v>0</v>
      </c>
      <c r="CT25" s="522">
        <f t="shared" si="142"/>
        <v>0</v>
      </c>
      <c r="CU25" s="520"/>
      <c r="CV25" s="521">
        <f t="shared" si="31"/>
        <v>0</v>
      </c>
      <c r="CW25" s="522">
        <f t="shared" si="143"/>
        <v>0</v>
      </c>
      <c r="CX25" s="520"/>
      <c r="CY25" s="521">
        <f t="shared" si="32"/>
        <v>0</v>
      </c>
      <c r="CZ25" s="522">
        <f t="shared" si="144"/>
        <v>0</v>
      </c>
      <c r="DA25" s="520"/>
      <c r="DB25" s="521">
        <f t="shared" si="33"/>
        <v>0</v>
      </c>
      <c r="DC25" s="522">
        <f t="shared" si="145"/>
        <v>0</v>
      </c>
      <c r="DD25" s="520"/>
      <c r="DE25" s="521">
        <f t="shared" si="34"/>
        <v>0</v>
      </c>
      <c r="DF25" s="522">
        <f t="shared" si="146"/>
        <v>0</v>
      </c>
      <c r="DG25" s="520"/>
      <c r="DH25" s="521">
        <f t="shared" si="35"/>
        <v>0</v>
      </c>
      <c r="DI25" s="522">
        <f t="shared" si="203"/>
        <v>0</v>
      </c>
      <c r="DJ25" s="520"/>
      <c r="DK25" s="521">
        <f t="shared" si="36"/>
        <v>0</v>
      </c>
      <c r="DL25" s="522">
        <f t="shared" si="147"/>
        <v>0</v>
      </c>
      <c r="DM25" s="520"/>
      <c r="DN25" s="521">
        <f t="shared" si="37"/>
        <v>0</v>
      </c>
      <c r="DO25" s="522">
        <f t="shared" si="148"/>
        <v>0</v>
      </c>
      <c r="DP25" s="520"/>
      <c r="DQ25" s="521">
        <f t="shared" si="38"/>
        <v>0</v>
      </c>
      <c r="DR25" s="522">
        <f t="shared" si="149"/>
        <v>0</v>
      </c>
      <c r="DS25" s="520"/>
      <c r="DT25" s="521">
        <f t="shared" si="39"/>
        <v>0</v>
      </c>
      <c r="DU25" s="522">
        <f t="shared" si="150"/>
        <v>0</v>
      </c>
      <c r="DV25" s="520"/>
      <c r="DW25" s="521">
        <f t="shared" si="40"/>
        <v>0</v>
      </c>
      <c r="DX25" s="522">
        <f t="shared" si="151"/>
        <v>0</v>
      </c>
      <c r="DY25" s="520"/>
      <c r="DZ25" s="521">
        <f t="shared" si="41"/>
        <v>0</v>
      </c>
      <c r="EA25" s="522">
        <f t="shared" si="152"/>
        <v>0</v>
      </c>
      <c r="EB25" s="520"/>
      <c r="EC25" s="521">
        <f t="shared" si="42"/>
        <v>0</v>
      </c>
      <c r="ED25" s="522">
        <f t="shared" si="153"/>
        <v>0</v>
      </c>
      <c r="EE25" s="520">
        <v>14.534883720930225</v>
      </c>
      <c r="EF25" s="521">
        <f t="shared" si="43"/>
        <v>0.33233985871567906</v>
      </c>
      <c r="EG25" s="522">
        <f t="shared" si="154"/>
        <v>0</v>
      </c>
      <c r="EH25" s="520">
        <v>45.350000000000023</v>
      </c>
      <c r="EI25" s="521">
        <f t="shared" si="44"/>
        <v>1.0369269463816171</v>
      </c>
      <c r="EJ25" s="522">
        <f t="shared" si="155"/>
        <v>0</v>
      </c>
      <c r="EK25" s="520">
        <v>4.2999999999999972</v>
      </c>
      <c r="EL25" s="521">
        <f t="shared" si="45"/>
        <v>9.8319423802446487E-2</v>
      </c>
      <c r="EM25" s="522">
        <f t="shared" si="156"/>
        <v>0</v>
      </c>
      <c r="EN25" s="520"/>
      <c r="EO25" s="521">
        <f t="shared" si="46"/>
        <v>0</v>
      </c>
      <c r="EP25" s="522">
        <f t="shared" si="157"/>
        <v>0</v>
      </c>
      <c r="EQ25" s="520"/>
      <c r="ER25" s="521">
        <f t="shared" si="47"/>
        <v>0</v>
      </c>
      <c r="ES25" s="522">
        <f t="shared" si="158"/>
        <v>0</v>
      </c>
      <c r="ET25" s="520"/>
      <c r="EU25" s="521">
        <f t="shared" si="48"/>
        <v>0</v>
      </c>
      <c r="EV25" s="522">
        <f t="shared" si="159"/>
        <v>0</v>
      </c>
      <c r="EW25" s="520"/>
      <c r="EX25" s="521">
        <f t="shared" si="49"/>
        <v>0</v>
      </c>
      <c r="EY25" s="522">
        <f t="shared" si="160"/>
        <v>0</v>
      </c>
      <c r="EZ25" s="520"/>
      <c r="FA25" s="521">
        <f t="shared" si="50"/>
        <v>0</v>
      </c>
      <c r="FB25" s="522">
        <f t="shared" si="161"/>
        <v>0</v>
      </c>
      <c r="FC25" s="520"/>
      <c r="FD25" s="521">
        <f t="shared" si="51"/>
        <v>0</v>
      </c>
      <c r="FE25" s="522">
        <f t="shared" si="162"/>
        <v>0</v>
      </c>
      <c r="FF25" s="520"/>
      <c r="FG25" s="521">
        <f t="shared" si="52"/>
        <v>0</v>
      </c>
      <c r="FH25" s="522">
        <f t="shared" si="163"/>
        <v>0</v>
      </c>
      <c r="FI25" s="520"/>
      <c r="FJ25" s="521">
        <f t="shared" si="53"/>
        <v>0</v>
      </c>
      <c r="FK25" s="522">
        <f t="shared" si="164"/>
        <v>0</v>
      </c>
      <c r="FL25" s="520"/>
      <c r="FM25" s="521">
        <f t="shared" si="54"/>
        <v>0</v>
      </c>
      <c r="FN25" s="522">
        <f t="shared" si="165"/>
        <v>0</v>
      </c>
      <c r="FO25" s="520"/>
      <c r="FP25" s="521">
        <f t="shared" si="55"/>
        <v>0</v>
      </c>
      <c r="FQ25" s="522">
        <f t="shared" si="166"/>
        <v>0</v>
      </c>
      <c r="FR25" s="520"/>
      <c r="FS25" s="521">
        <f t="shared" si="56"/>
        <v>0</v>
      </c>
      <c r="FT25" s="522">
        <f t="shared" si="167"/>
        <v>0</v>
      </c>
      <c r="FU25" s="520"/>
      <c r="FV25" s="521">
        <f t="shared" si="57"/>
        <v>0</v>
      </c>
      <c r="FW25" s="522">
        <f t="shared" si="168"/>
        <v>0</v>
      </c>
      <c r="FX25" s="520"/>
      <c r="FY25" s="521">
        <f t="shared" si="58"/>
        <v>0</v>
      </c>
      <c r="FZ25" s="522">
        <f t="shared" si="169"/>
        <v>0</v>
      </c>
      <c r="GA25" s="520"/>
      <c r="GB25" s="521">
        <f t="shared" si="59"/>
        <v>0</v>
      </c>
      <c r="GC25" s="522">
        <f t="shared" si="170"/>
        <v>0</v>
      </c>
      <c r="GD25" s="520"/>
      <c r="GE25" s="521">
        <f t="shared" si="60"/>
        <v>0</v>
      </c>
      <c r="GF25" s="522">
        <f t="shared" si="171"/>
        <v>0</v>
      </c>
      <c r="GG25" s="520"/>
      <c r="GH25" s="521">
        <f t="shared" si="61"/>
        <v>0</v>
      </c>
      <c r="GI25" s="522">
        <f t="shared" si="172"/>
        <v>0</v>
      </c>
      <c r="GJ25" s="520"/>
      <c r="GK25" s="521">
        <f t="shared" si="62"/>
        <v>0</v>
      </c>
      <c r="GL25" s="522">
        <f t="shared" si="173"/>
        <v>0</v>
      </c>
      <c r="GM25" s="520"/>
      <c r="GN25" s="521">
        <f t="shared" si="63"/>
        <v>0</v>
      </c>
      <c r="GO25" s="522">
        <f t="shared" si="174"/>
        <v>0</v>
      </c>
      <c r="GP25" s="520"/>
      <c r="GQ25" s="521">
        <f t="shared" si="64"/>
        <v>0</v>
      </c>
      <c r="GR25" s="522">
        <f t="shared" si="175"/>
        <v>0</v>
      </c>
      <c r="GS25" s="520"/>
      <c r="GT25" s="521">
        <f t="shared" si="65"/>
        <v>0</v>
      </c>
      <c r="GU25" s="522">
        <f t="shared" si="176"/>
        <v>0</v>
      </c>
      <c r="GV25" s="520"/>
      <c r="GW25" s="521">
        <f t="shared" si="66"/>
        <v>0</v>
      </c>
      <c r="GX25" s="522">
        <f t="shared" si="177"/>
        <v>0</v>
      </c>
      <c r="GY25" s="520"/>
      <c r="GZ25" s="521">
        <f t="shared" si="67"/>
        <v>0</v>
      </c>
      <c r="HA25" s="522">
        <f t="shared" si="178"/>
        <v>0</v>
      </c>
      <c r="HB25" s="520"/>
      <c r="HC25" s="521">
        <f t="shared" si="68"/>
        <v>0</v>
      </c>
      <c r="HD25" s="522">
        <f t="shared" si="179"/>
        <v>0</v>
      </c>
      <c r="HE25" s="520"/>
      <c r="HF25" s="521">
        <f t="shared" si="69"/>
        <v>0</v>
      </c>
      <c r="HG25" s="522">
        <f t="shared" si="180"/>
        <v>0</v>
      </c>
      <c r="HH25" s="520"/>
      <c r="HI25" s="521">
        <f t="shared" si="70"/>
        <v>0</v>
      </c>
      <c r="HJ25" s="522">
        <f t="shared" si="181"/>
        <v>0</v>
      </c>
      <c r="HK25" s="520"/>
      <c r="HL25" s="521">
        <f t="shared" si="71"/>
        <v>0</v>
      </c>
      <c r="HM25" s="522">
        <f t="shared" si="182"/>
        <v>0</v>
      </c>
      <c r="HN25" s="520"/>
      <c r="HO25" s="521">
        <f t="shared" si="72"/>
        <v>0</v>
      </c>
      <c r="HP25" s="522">
        <f t="shared" si="183"/>
        <v>0</v>
      </c>
      <c r="HQ25" s="520"/>
      <c r="HR25" s="521">
        <f t="shared" si="73"/>
        <v>0</v>
      </c>
      <c r="HS25" s="522">
        <f t="shared" si="184"/>
        <v>0</v>
      </c>
      <c r="HT25" s="520"/>
      <c r="HU25" s="521">
        <f t="shared" si="74"/>
        <v>0</v>
      </c>
      <c r="HV25" s="522">
        <f t="shared" si="185"/>
        <v>0</v>
      </c>
      <c r="HW25" s="520"/>
      <c r="HX25" s="521">
        <f t="shared" si="75"/>
        <v>0</v>
      </c>
      <c r="HY25" s="522">
        <f t="shared" si="186"/>
        <v>0</v>
      </c>
      <c r="HZ25" s="520"/>
      <c r="IA25" s="521">
        <f t="shared" si="76"/>
        <v>0</v>
      </c>
      <c r="IB25" s="522">
        <f t="shared" si="187"/>
        <v>0</v>
      </c>
      <c r="IC25" s="520"/>
      <c r="ID25" s="521">
        <f t="shared" si="77"/>
        <v>0</v>
      </c>
      <c r="IE25" s="522">
        <f t="shared" si="188"/>
        <v>0</v>
      </c>
      <c r="IF25" s="520"/>
      <c r="IG25" s="521">
        <f t="shared" si="78"/>
        <v>0</v>
      </c>
      <c r="IH25" s="522">
        <f t="shared" si="189"/>
        <v>0</v>
      </c>
      <c r="II25" s="520"/>
      <c r="IJ25" s="521">
        <f t="shared" si="79"/>
        <v>0</v>
      </c>
      <c r="IK25" s="522">
        <f t="shared" si="190"/>
        <v>0</v>
      </c>
      <c r="IL25" s="520"/>
      <c r="IM25" s="521">
        <f t="shared" si="80"/>
        <v>0</v>
      </c>
      <c r="IN25" s="522">
        <f t="shared" si="191"/>
        <v>0</v>
      </c>
      <c r="IO25" s="520"/>
      <c r="IP25" s="521">
        <f t="shared" si="81"/>
        <v>0</v>
      </c>
      <c r="IQ25" s="522">
        <f t="shared" si="192"/>
        <v>0</v>
      </c>
      <c r="IR25" s="520"/>
      <c r="IS25" s="521">
        <f t="shared" si="82"/>
        <v>0</v>
      </c>
      <c r="IT25" s="522">
        <f t="shared" si="193"/>
        <v>0</v>
      </c>
      <c r="IU25" s="520"/>
      <c r="IV25" s="521">
        <f t="shared" si="83"/>
        <v>0</v>
      </c>
      <c r="IW25" s="522">
        <f t="shared" si="194"/>
        <v>0</v>
      </c>
      <c r="IX25" s="520"/>
      <c r="IY25" s="521">
        <f t="shared" si="84"/>
        <v>0</v>
      </c>
      <c r="IZ25" s="522">
        <f t="shared" si="195"/>
        <v>0</v>
      </c>
      <c r="JA25" s="520"/>
      <c r="JB25" s="521">
        <f t="shared" si="85"/>
        <v>0</v>
      </c>
      <c r="JC25" s="522">
        <f t="shared" si="196"/>
        <v>0</v>
      </c>
      <c r="JD25" s="520"/>
      <c r="JE25" s="521">
        <f t="shared" si="86"/>
        <v>0</v>
      </c>
      <c r="JF25" s="522">
        <f t="shared" si="197"/>
        <v>0</v>
      </c>
      <c r="JG25" s="520"/>
      <c r="JH25" s="521">
        <f t="shared" si="87"/>
        <v>0</v>
      </c>
      <c r="JI25" s="522">
        <f t="shared" si="198"/>
        <v>0</v>
      </c>
      <c r="JJ25" s="520"/>
      <c r="JK25" s="522" t="str">
        <f t="shared" si="88"/>
        <v>0</v>
      </c>
      <c r="JL25" s="522" t="str">
        <f t="shared" si="89"/>
        <v>0</v>
      </c>
      <c r="JM25" s="520"/>
      <c r="JN25" s="522" t="str">
        <f t="shared" si="90"/>
        <v>0</v>
      </c>
      <c r="JO25" s="522" t="str">
        <f t="shared" si="91"/>
        <v>0</v>
      </c>
      <c r="JP25" s="520"/>
      <c r="JQ25" s="522" t="str">
        <f t="shared" si="92"/>
        <v>0</v>
      </c>
      <c r="JR25" s="522" t="str">
        <f t="shared" si="93"/>
        <v>0</v>
      </c>
      <c r="JS25" s="520"/>
      <c r="JT25" s="522" t="str">
        <f t="shared" si="94"/>
        <v>0</v>
      </c>
      <c r="JU25" s="522" t="str">
        <f t="shared" si="95"/>
        <v>0</v>
      </c>
      <c r="JV25" s="520"/>
      <c r="JW25" s="522" t="str">
        <f t="shared" si="96"/>
        <v>0</v>
      </c>
      <c r="JX25" s="522" t="str">
        <f t="shared" si="97"/>
        <v>0</v>
      </c>
      <c r="JY25" s="520"/>
      <c r="JZ25" s="522" t="str">
        <f t="shared" si="98"/>
        <v>0</v>
      </c>
      <c r="KA25" s="522" t="str">
        <f t="shared" si="99"/>
        <v>0</v>
      </c>
      <c r="KB25" s="520"/>
      <c r="KC25" s="522" t="str">
        <f t="shared" si="100"/>
        <v>0</v>
      </c>
      <c r="KD25" s="522" t="str">
        <f t="shared" si="101"/>
        <v>0</v>
      </c>
      <c r="KE25" s="520"/>
      <c r="KF25" s="522" t="str">
        <f t="shared" si="102"/>
        <v>0</v>
      </c>
      <c r="KG25" s="522" t="str">
        <f t="shared" si="103"/>
        <v>0</v>
      </c>
      <c r="KH25" s="520"/>
      <c r="KI25" s="522" t="str">
        <f t="shared" si="104"/>
        <v>0</v>
      </c>
      <c r="KJ25" s="522" t="str">
        <f t="shared" si="105"/>
        <v>0</v>
      </c>
      <c r="KK25" s="520"/>
      <c r="KL25" s="522" t="str">
        <f t="shared" si="106"/>
        <v>0</v>
      </c>
      <c r="KM25" s="522" t="str">
        <f t="shared" si="107"/>
        <v>0</v>
      </c>
      <c r="KN25" s="520"/>
      <c r="KO25" s="522" t="str">
        <f t="shared" si="108"/>
        <v>0</v>
      </c>
      <c r="KP25" s="522" t="str">
        <f t="shared" si="109"/>
        <v>0</v>
      </c>
      <c r="KQ25" s="520"/>
      <c r="KR25" s="522" t="str">
        <f t="shared" si="110"/>
        <v>0</v>
      </c>
      <c r="KS25" s="522" t="str">
        <f t="shared" si="111"/>
        <v>0</v>
      </c>
      <c r="KT25" s="522">
        <f t="shared" si="201"/>
        <v>0</v>
      </c>
      <c r="KU25" s="522">
        <f t="shared" si="202"/>
        <v>0</v>
      </c>
      <c r="KV25" s="267">
        <f t="shared" si="199"/>
        <v>407.00583372093041</v>
      </c>
    </row>
    <row r="26" spans="1:309">
      <c r="A26" s="268">
        <f t="shared" si="200"/>
        <v>45887</v>
      </c>
      <c r="B26" s="269" t="str">
        <f>+Report1!B26</f>
        <v>Facial</v>
      </c>
      <c r="C26" s="269" t="str">
        <f>+Report1!C26</f>
        <v>12/13</v>
      </c>
      <c r="D26" s="270">
        <f>+Report1!P26</f>
        <v>41.155000000000001</v>
      </c>
      <c r="E26" s="558">
        <f>+Report1!R26</f>
        <v>43.271999999999998</v>
      </c>
      <c r="F26" s="520"/>
      <c r="G26" s="521">
        <f t="shared" si="0"/>
        <v>0</v>
      </c>
      <c r="H26" s="522">
        <f t="shared" si="112"/>
        <v>0</v>
      </c>
      <c r="I26" s="520">
        <v>232.5579860465117</v>
      </c>
      <c r="J26" s="521">
        <f t="shared" si="1"/>
        <v>5.3743294982092742</v>
      </c>
      <c r="K26" s="522">
        <f t="shared" si="113"/>
        <v>0</v>
      </c>
      <c r="L26" s="520"/>
      <c r="M26" s="521">
        <f t="shared" si="2"/>
        <v>0</v>
      </c>
      <c r="N26" s="522">
        <f t="shared" si="114"/>
        <v>0</v>
      </c>
      <c r="O26" s="520">
        <v>6.003200000000021</v>
      </c>
      <c r="P26" s="521">
        <f t="shared" si="3"/>
        <v>0.1387317433906457</v>
      </c>
      <c r="Q26" s="522">
        <f t="shared" si="115"/>
        <v>0</v>
      </c>
      <c r="R26" s="520"/>
      <c r="S26" s="521">
        <f t="shared" si="4"/>
        <v>0</v>
      </c>
      <c r="T26" s="522">
        <f t="shared" si="116"/>
        <v>0</v>
      </c>
      <c r="U26" s="520">
        <v>8.9656499999999966</v>
      </c>
      <c r="V26" s="521">
        <f t="shared" si="5"/>
        <v>0.20719287298946193</v>
      </c>
      <c r="W26" s="522">
        <f t="shared" si="117"/>
        <v>0</v>
      </c>
      <c r="X26" s="520"/>
      <c r="Y26" s="521">
        <f t="shared" si="6"/>
        <v>0</v>
      </c>
      <c r="Z26" s="522">
        <f t="shared" si="118"/>
        <v>0</v>
      </c>
      <c r="AA26" s="520">
        <v>6.25</v>
      </c>
      <c r="AB26" s="521">
        <f t="shared" si="7"/>
        <v>0.14443520059160658</v>
      </c>
      <c r="AC26" s="522">
        <f t="shared" si="119"/>
        <v>0</v>
      </c>
      <c r="AD26" s="520"/>
      <c r="AE26" s="521">
        <f t="shared" si="8"/>
        <v>0</v>
      </c>
      <c r="AF26" s="522">
        <f t="shared" si="120"/>
        <v>0</v>
      </c>
      <c r="AG26" s="520"/>
      <c r="AH26" s="521">
        <f t="shared" si="9"/>
        <v>0</v>
      </c>
      <c r="AI26" s="522">
        <f t="shared" si="121"/>
        <v>0</v>
      </c>
      <c r="AJ26" s="520"/>
      <c r="AK26" s="521">
        <f t="shared" si="10"/>
        <v>0</v>
      </c>
      <c r="AL26" s="522">
        <f t="shared" si="122"/>
        <v>0</v>
      </c>
      <c r="AM26" s="520"/>
      <c r="AN26" s="521">
        <f t="shared" si="11"/>
        <v>0</v>
      </c>
      <c r="AO26" s="522">
        <f t="shared" si="123"/>
        <v>0</v>
      </c>
      <c r="AP26" s="520">
        <v>54.110650632911415</v>
      </c>
      <c r="AQ26" s="521">
        <f t="shared" si="12"/>
        <v>1.2504772285291046</v>
      </c>
      <c r="AR26" s="522">
        <f t="shared" si="124"/>
        <v>0</v>
      </c>
      <c r="AS26" s="520"/>
      <c r="AT26" s="521">
        <f t="shared" si="13"/>
        <v>0</v>
      </c>
      <c r="AU26" s="522">
        <f t="shared" si="125"/>
        <v>0</v>
      </c>
      <c r="AV26" s="520"/>
      <c r="AW26" s="521">
        <f t="shared" si="14"/>
        <v>0</v>
      </c>
      <c r="AX26" s="522">
        <f t="shared" si="126"/>
        <v>0</v>
      </c>
      <c r="AY26" s="520">
        <v>58.332666666666682</v>
      </c>
      <c r="AZ26" s="521">
        <f t="shared" si="15"/>
        <v>1.348046465766932</v>
      </c>
      <c r="BA26" s="522">
        <f t="shared" si="127"/>
        <v>0</v>
      </c>
      <c r="BB26" s="520"/>
      <c r="BC26" s="521">
        <f t="shared" si="16"/>
        <v>0</v>
      </c>
      <c r="BD26" s="522">
        <f t="shared" si="128"/>
        <v>0</v>
      </c>
      <c r="BE26" s="520"/>
      <c r="BF26" s="521">
        <f t="shared" si="17"/>
        <v>0</v>
      </c>
      <c r="BG26" s="522">
        <f t="shared" si="129"/>
        <v>0</v>
      </c>
      <c r="BH26" s="520"/>
      <c r="BI26" s="521">
        <f t="shared" si="18"/>
        <v>0</v>
      </c>
      <c r="BJ26" s="522">
        <f t="shared" si="130"/>
        <v>0</v>
      </c>
      <c r="BK26" s="520"/>
      <c r="BL26" s="521">
        <f t="shared" si="19"/>
        <v>0</v>
      </c>
      <c r="BM26" s="522">
        <f t="shared" si="131"/>
        <v>0</v>
      </c>
      <c r="BN26" s="520"/>
      <c r="BO26" s="521">
        <f t="shared" si="20"/>
        <v>0</v>
      </c>
      <c r="BP26" s="522">
        <f t="shared" si="132"/>
        <v>0</v>
      </c>
      <c r="BQ26" s="520"/>
      <c r="BR26" s="521">
        <f t="shared" si="21"/>
        <v>0</v>
      </c>
      <c r="BS26" s="522">
        <f t="shared" si="133"/>
        <v>0</v>
      </c>
      <c r="BT26" s="520"/>
      <c r="BU26" s="521">
        <f t="shared" si="22"/>
        <v>0</v>
      </c>
      <c r="BV26" s="522">
        <f t="shared" si="134"/>
        <v>0</v>
      </c>
      <c r="BW26" s="520"/>
      <c r="BX26" s="521">
        <f t="shared" si="23"/>
        <v>0</v>
      </c>
      <c r="BY26" s="522">
        <f t="shared" si="135"/>
        <v>0</v>
      </c>
      <c r="BZ26" s="520"/>
      <c r="CA26" s="521">
        <f t="shared" si="24"/>
        <v>0</v>
      </c>
      <c r="CB26" s="522">
        <f t="shared" si="136"/>
        <v>0</v>
      </c>
      <c r="CC26" s="520"/>
      <c r="CD26" s="521">
        <f t="shared" si="25"/>
        <v>0</v>
      </c>
      <c r="CE26" s="522">
        <f t="shared" si="137"/>
        <v>0</v>
      </c>
      <c r="CF26" s="520">
        <v>0.60000000000000009</v>
      </c>
      <c r="CG26" s="521">
        <f t="shared" si="26"/>
        <v>1.3865779256794235E-2</v>
      </c>
      <c r="CH26" s="522">
        <f t="shared" si="138"/>
        <v>0</v>
      </c>
      <c r="CI26" s="520"/>
      <c r="CJ26" s="521">
        <f t="shared" si="27"/>
        <v>0</v>
      </c>
      <c r="CK26" s="522">
        <f t="shared" si="139"/>
        <v>0</v>
      </c>
      <c r="CL26" s="520"/>
      <c r="CM26" s="521">
        <f t="shared" si="28"/>
        <v>0</v>
      </c>
      <c r="CN26" s="522">
        <f t="shared" si="140"/>
        <v>0</v>
      </c>
      <c r="CO26" s="520"/>
      <c r="CP26" s="521">
        <f t="shared" si="29"/>
        <v>0</v>
      </c>
      <c r="CQ26" s="522">
        <f t="shared" si="141"/>
        <v>0</v>
      </c>
      <c r="CR26" s="520"/>
      <c r="CS26" s="521">
        <f t="shared" si="30"/>
        <v>0</v>
      </c>
      <c r="CT26" s="522">
        <f t="shared" si="142"/>
        <v>0</v>
      </c>
      <c r="CU26" s="520"/>
      <c r="CV26" s="521">
        <f t="shared" si="31"/>
        <v>0</v>
      </c>
      <c r="CW26" s="522">
        <f t="shared" si="143"/>
        <v>0</v>
      </c>
      <c r="CX26" s="520"/>
      <c r="CY26" s="521">
        <f t="shared" si="32"/>
        <v>0</v>
      </c>
      <c r="CZ26" s="522">
        <f t="shared" si="144"/>
        <v>0</v>
      </c>
      <c r="DA26" s="520"/>
      <c r="DB26" s="521">
        <f t="shared" si="33"/>
        <v>0</v>
      </c>
      <c r="DC26" s="522">
        <f t="shared" si="145"/>
        <v>0</v>
      </c>
      <c r="DD26" s="520"/>
      <c r="DE26" s="521">
        <f t="shared" si="34"/>
        <v>0</v>
      </c>
      <c r="DF26" s="522">
        <f t="shared" si="146"/>
        <v>0</v>
      </c>
      <c r="DG26" s="520"/>
      <c r="DH26" s="521">
        <f t="shared" si="35"/>
        <v>0</v>
      </c>
      <c r="DI26" s="522">
        <f t="shared" si="203"/>
        <v>0</v>
      </c>
      <c r="DJ26" s="520"/>
      <c r="DK26" s="521">
        <f t="shared" si="36"/>
        <v>0</v>
      </c>
      <c r="DL26" s="522">
        <f t="shared" si="147"/>
        <v>0</v>
      </c>
      <c r="DM26" s="520"/>
      <c r="DN26" s="521">
        <f t="shared" si="37"/>
        <v>0</v>
      </c>
      <c r="DO26" s="522">
        <f t="shared" si="148"/>
        <v>0</v>
      </c>
      <c r="DP26" s="520"/>
      <c r="DQ26" s="521">
        <f t="shared" si="38"/>
        <v>0</v>
      </c>
      <c r="DR26" s="522">
        <f t="shared" si="149"/>
        <v>0</v>
      </c>
      <c r="DS26" s="520"/>
      <c r="DT26" s="521">
        <f t="shared" si="39"/>
        <v>0</v>
      </c>
      <c r="DU26" s="522">
        <f t="shared" si="150"/>
        <v>0</v>
      </c>
      <c r="DV26" s="520"/>
      <c r="DW26" s="521">
        <f t="shared" si="40"/>
        <v>0</v>
      </c>
      <c r="DX26" s="522">
        <f t="shared" si="151"/>
        <v>0</v>
      </c>
      <c r="DY26" s="520"/>
      <c r="DZ26" s="521">
        <f t="shared" si="41"/>
        <v>0</v>
      </c>
      <c r="EA26" s="522">
        <f t="shared" si="152"/>
        <v>0</v>
      </c>
      <c r="EB26" s="520"/>
      <c r="EC26" s="521">
        <f t="shared" si="42"/>
        <v>0</v>
      </c>
      <c r="ED26" s="522">
        <f t="shared" si="153"/>
        <v>0</v>
      </c>
      <c r="EE26" s="520">
        <v>14.534883720930239</v>
      </c>
      <c r="EF26" s="521">
        <f t="shared" si="43"/>
        <v>0.33589581532931778</v>
      </c>
      <c r="EG26" s="522">
        <f t="shared" si="154"/>
        <v>0</v>
      </c>
      <c r="EH26" s="520">
        <v>58.702941176470631</v>
      </c>
      <c r="EI26" s="521">
        <f t="shared" si="44"/>
        <v>1.3566033734625309</v>
      </c>
      <c r="EJ26" s="522">
        <f t="shared" si="155"/>
        <v>0</v>
      </c>
      <c r="EK26" s="520">
        <v>3.8999999999999986</v>
      </c>
      <c r="EL26" s="521">
        <f t="shared" si="45"/>
        <v>9.0127565169162482E-2</v>
      </c>
      <c r="EM26" s="522">
        <f t="shared" si="156"/>
        <v>0</v>
      </c>
      <c r="EN26" s="520"/>
      <c r="EO26" s="521">
        <f t="shared" si="46"/>
        <v>0</v>
      </c>
      <c r="EP26" s="522">
        <f t="shared" si="157"/>
        <v>0</v>
      </c>
      <c r="EQ26" s="520"/>
      <c r="ER26" s="521">
        <f t="shared" si="47"/>
        <v>0</v>
      </c>
      <c r="ES26" s="522">
        <f t="shared" si="158"/>
        <v>0</v>
      </c>
      <c r="ET26" s="520"/>
      <c r="EU26" s="521">
        <f t="shared" si="48"/>
        <v>0</v>
      </c>
      <c r="EV26" s="522">
        <f t="shared" si="159"/>
        <v>0</v>
      </c>
      <c r="EW26" s="520"/>
      <c r="EX26" s="521">
        <f t="shared" si="49"/>
        <v>0</v>
      </c>
      <c r="EY26" s="522">
        <f t="shared" si="160"/>
        <v>0</v>
      </c>
      <c r="EZ26" s="520"/>
      <c r="FA26" s="521">
        <f t="shared" si="50"/>
        <v>0</v>
      </c>
      <c r="FB26" s="522">
        <f t="shared" si="161"/>
        <v>0</v>
      </c>
      <c r="FC26" s="520"/>
      <c r="FD26" s="521">
        <f t="shared" si="51"/>
        <v>0</v>
      </c>
      <c r="FE26" s="522">
        <f t="shared" si="162"/>
        <v>0</v>
      </c>
      <c r="FF26" s="520"/>
      <c r="FG26" s="521">
        <f t="shared" si="52"/>
        <v>0</v>
      </c>
      <c r="FH26" s="522">
        <f t="shared" si="163"/>
        <v>0</v>
      </c>
      <c r="FI26" s="520"/>
      <c r="FJ26" s="521">
        <f t="shared" si="53"/>
        <v>0</v>
      </c>
      <c r="FK26" s="522">
        <f t="shared" si="164"/>
        <v>0</v>
      </c>
      <c r="FL26" s="520"/>
      <c r="FM26" s="521">
        <f t="shared" si="54"/>
        <v>0</v>
      </c>
      <c r="FN26" s="522">
        <f t="shared" si="165"/>
        <v>0</v>
      </c>
      <c r="FO26" s="520"/>
      <c r="FP26" s="521">
        <f t="shared" si="55"/>
        <v>0</v>
      </c>
      <c r="FQ26" s="522">
        <f t="shared" si="166"/>
        <v>0</v>
      </c>
      <c r="FR26" s="520"/>
      <c r="FS26" s="521">
        <f t="shared" si="56"/>
        <v>0</v>
      </c>
      <c r="FT26" s="522">
        <f t="shared" si="167"/>
        <v>0</v>
      </c>
      <c r="FU26" s="520"/>
      <c r="FV26" s="521">
        <f t="shared" si="57"/>
        <v>0</v>
      </c>
      <c r="FW26" s="522">
        <f t="shared" si="168"/>
        <v>0</v>
      </c>
      <c r="FX26" s="520"/>
      <c r="FY26" s="521">
        <f t="shared" si="58"/>
        <v>0</v>
      </c>
      <c r="FZ26" s="522">
        <f t="shared" si="169"/>
        <v>0</v>
      </c>
      <c r="GA26" s="520"/>
      <c r="GB26" s="521">
        <f t="shared" si="59"/>
        <v>0</v>
      </c>
      <c r="GC26" s="522">
        <f t="shared" si="170"/>
        <v>0</v>
      </c>
      <c r="GD26" s="520"/>
      <c r="GE26" s="521">
        <f t="shared" si="60"/>
        <v>0</v>
      </c>
      <c r="GF26" s="522">
        <f t="shared" si="171"/>
        <v>0</v>
      </c>
      <c r="GG26" s="520"/>
      <c r="GH26" s="521">
        <f t="shared" si="61"/>
        <v>0</v>
      </c>
      <c r="GI26" s="522">
        <f t="shared" si="172"/>
        <v>0</v>
      </c>
      <c r="GJ26" s="520"/>
      <c r="GK26" s="521">
        <f t="shared" si="62"/>
        <v>0</v>
      </c>
      <c r="GL26" s="522">
        <f t="shared" si="173"/>
        <v>0</v>
      </c>
      <c r="GM26" s="520"/>
      <c r="GN26" s="521">
        <f t="shared" si="63"/>
        <v>0</v>
      </c>
      <c r="GO26" s="522">
        <f t="shared" si="174"/>
        <v>0</v>
      </c>
      <c r="GP26" s="520"/>
      <c r="GQ26" s="521">
        <f t="shared" si="64"/>
        <v>0</v>
      </c>
      <c r="GR26" s="522">
        <f t="shared" si="175"/>
        <v>0</v>
      </c>
      <c r="GS26" s="520"/>
      <c r="GT26" s="521">
        <f t="shared" si="65"/>
        <v>0</v>
      </c>
      <c r="GU26" s="522">
        <f t="shared" si="176"/>
        <v>0</v>
      </c>
      <c r="GV26" s="520"/>
      <c r="GW26" s="521">
        <f t="shared" si="66"/>
        <v>0</v>
      </c>
      <c r="GX26" s="522">
        <f t="shared" si="177"/>
        <v>0</v>
      </c>
      <c r="GY26" s="520"/>
      <c r="GZ26" s="521">
        <f t="shared" si="67"/>
        <v>0</v>
      </c>
      <c r="HA26" s="522">
        <f t="shared" si="178"/>
        <v>0</v>
      </c>
      <c r="HB26" s="520"/>
      <c r="HC26" s="521">
        <f t="shared" si="68"/>
        <v>0</v>
      </c>
      <c r="HD26" s="522">
        <f t="shared" si="179"/>
        <v>0</v>
      </c>
      <c r="HE26" s="520"/>
      <c r="HF26" s="521">
        <f t="shared" si="69"/>
        <v>0</v>
      </c>
      <c r="HG26" s="522">
        <f t="shared" si="180"/>
        <v>0</v>
      </c>
      <c r="HH26" s="520"/>
      <c r="HI26" s="521">
        <f t="shared" si="70"/>
        <v>0</v>
      </c>
      <c r="HJ26" s="522">
        <f t="shared" si="181"/>
        <v>0</v>
      </c>
      <c r="HK26" s="520"/>
      <c r="HL26" s="521">
        <f t="shared" si="71"/>
        <v>0</v>
      </c>
      <c r="HM26" s="522">
        <f t="shared" si="182"/>
        <v>0</v>
      </c>
      <c r="HN26" s="520"/>
      <c r="HO26" s="521">
        <f t="shared" si="72"/>
        <v>0</v>
      </c>
      <c r="HP26" s="522">
        <f t="shared" si="183"/>
        <v>0</v>
      </c>
      <c r="HQ26" s="520"/>
      <c r="HR26" s="521">
        <f t="shared" si="73"/>
        <v>0</v>
      </c>
      <c r="HS26" s="522">
        <f t="shared" si="184"/>
        <v>0</v>
      </c>
      <c r="HT26" s="520"/>
      <c r="HU26" s="521">
        <f t="shared" si="74"/>
        <v>0</v>
      </c>
      <c r="HV26" s="522">
        <f t="shared" si="185"/>
        <v>0</v>
      </c>
      <c r="HW26" s="520"/>
      <c r="HX26" s="521">
        <f t="shared" si="75"/>
        <v>0</v>
      </c>
      <c r="HY26" s="522">
        <f t="shared" si="186"/>
        <v>0</v>
      </c>
      <c r="HZ26" s="520"/>
      <c r="IA26" s="521">
        <f t="shared" si="76"/>
        <v>0</v>
      </c>
      <c r="IB26" s="522">
        <f t="shared" si="187"/>
        <v>0</v>
      </c>
      <c r="IC26" s="520"/>
      <c r="ID26" s="521">
        <f t="shared" si="77"/>
        <v>0</v>
      </c>
      <c r="IE26" s="522">
        <f t="shared" si="188"/>
        <v>0</v>
      </c>
      <c r="IF26" s="520"/>
      <c r="IG26" s="521">
        <f t="shared" si="78"/>
        <v>0</v>
      </c>
      <c r="IH26" s="522">
        <f t="shared" si="189"/>
        <v>0</v>
      </c>
      <c r="II26" s="520"/>
      <c r="IJ26" s="521">
        <f t="shared" si="79"/>
        <v>0</v>
      </c>
      <c r="IK26" s="522">
        <f t="shared" si="190"/>
        <v>0</v>
      </c>
      <c r="IL26" s="520"/>
      <c r="IM26" s="521">
        <f t="shared" si="80"/>
        <v>0</v>
      </c>
      <c r="IN26" s="522">
        <f t="shared" si="191"/>
        <v>0</v>
      </c>
      <c r="IO26" s="520"/>
      <c r="IP26" s="521">
        <f t="shared" si="81"/>
        <v>0</v>
      </c>
      <c r="IQ26" s="522">
        <f t="shared" si="192"/>
        <v>0</v>
      </c>
      <c r="IR26" s="520"/>
      <c r="IS26" s="521">
        <f t="shared" si="82"/>
        <v>0</v>
      </c>
      <c r="IT26" s="522">
        <f t="shared" si="193"/>
        <v>0</v>
      </c>
      <c r="IU26" s="520"/>
      <c r="IV26" s="521">
        <f t="shared" si="83"/>
        <v>0</v>
      </c>
      <c r="IW26" s="522">
        <f t="shared" si="194"/>
        <v>0</v>
      </c>
      <c r="IX26" s="520"/>
      <c r="IY26" s="521">
        <f t="shared" si="84"/>
        <v>0</v>
      </c>
      <c r="IZ26" s="522">
        <f t="shared" si="195"/>
        <v>0</v>
      </c>
      <c r="JA26" s="520"/>
      <c r="JB26" s="521">
        <f t="shared" si="85"/>
        <v>0</v>
      </c>
      <c r="JC26" s="522">
        <f t="shared" si="196"/>
        <v>0</v>
      </c>
      <c r="JD26" s="520"/>
      <c r="JE26" s="521">
        <f t="shared" si="86"/>
        <v>0</v>
      </c>
      <c r="JF26" s="522">
        <f t="shared" si="197"/>
        <v>0</v>
      </c>
      <c r="JG26" s="520"/>
      <c r="JH26" s="521">
        <f t="shared" si="87"/>
        <v>0</v>
      </c>
      <c r="JI26" s="522">
        <f t="shared" si="198"/>
        <v>0</v>
      </c>
      <c r="JJ26" s="520"/>
      <c r="JK26" s="522" t="str">
        <f t="shared" si="88"/>
        <v>0</v>
      </c>
      <c r="JL26" s="522" t="str">
        <f t="shared" si="89"/>
        <v>0</v>
      </c>
      <c r="JM26" s="520"/>
      <c r="JN26" s="522" t="str">
        <f t="shared" si="90"/>
        <v>0</v>
      </c>
      <c r="JO26" s="522" t="str">
        <f t="shared" si="91"/>
        <v>0</v>
      </c>
      <c r="JP26" s="520"/>
      <c r="JQ26" s="522" t="str">
        <f t="shared" si="92"/>
        <v>0</v>
      </c>
      <c r="JR26" s="522" t="str">
        <f t="shared" si="93"/>
        <v>0</v>
      </c>
      <c r="JS26" s="520"/>
      <c r="JT26" s="522" t="str">
        <f t="shared" si="94"/>
        <v>0</v>
      </c>
      <c r="JU26" s="522" t="str">
        <f t="shared" si="95"/>
        <v>0</v>
      </c>
      <c r="JV26" s="520"/>
      <c r="JW26" s="522" t="str">
        <f t="shared" si="96"/>
        <v>0</v>
      </c>
      <c r="JX26" s="522" t="str">
        <f t="shared" si="97"/>
        <v>0</v>
      </c>
      <c r="JY26" s="520"/>
      <c r="JZ26" s="522" t="str">
        <f t="shared" si="98"/>
        <v>0</v>
      </c>
      <c r="KA26" s="522" t="str">
        <f t="shared" si="99"/>
        <v>0</v>
      </c>
      <c r="KB26" s="520"/>
      <c r="KC26" s="522" t="str">
        <f t="shared" si="100"/>
        <v>0</v>
      </c>
      <c r="KD26" s="522" t="str">
        <f t="shared" si="101"/>
        <v>0</v>
      </c>
      <c r="KE26" s="520"/>
      <c r="KF26" s="522" t="str">
        <f t="shared" si="102"/>
        <v>0</v>
      </c>
      <c r="KG26" s="522" t="str">
        <f t="shared" si="103"/>
        <v>0</v>
      </c>
      <c r="KH26" s="520"/>
      <c r="KI26" s="522" t="str">
        <f t="shared" si="104"/>
        <v>0</v>
      </c>
      <c r="KJ26" s="522" t="str">
        <f t="shared" si="105"/>
        <v>0</v>
      </c>
      <c r="KK26" s="520"/>
      <c r="KL26" s="522" t="str">
        <f t="shared" si="106"/>
        <v>0</v>
      </c>
      <c r="KM26" s="522" t="str">
        <f t="shared" si="107"/>
        <v>0</v>
      </c>
      <c r="KN26" s="520"/>
      <c r="KO26" s="522" t="str">
        <f t="shared" si="108"/>
        <v>0</v>
      </c>
      <c r="KP26" s="522" t="str">
        <f t="shared" si="109"/>
        <v>0</v>
      </c>
      <c r="KQ26" s="520"/>
      <c r="KR26" s="522" t="str">
        <f t="shared" si="110"/>
        <v>0</v>
      </c>
      <c r="KS26" s="522" t="str">
        <f t="shared" si="111"/>
        <v>0</v>
      </c>
      <c r="KT26" s="522">
        <f t="shared" si="201"/>
        <v>0</v>
      </c>
      <c r="KU26" s="522">
        <f t="shared" si="202"/>
        <v>0</v>
      </c>
      <c r="KV26" s="267">
        <f t="shared" si="199"/>
        <v>443.95797824349069</v>
      </c>
    </row>
    <row r="27" spans="1:309">
      <c r="A27" s="268">
        <f t="shared" si="200"/>
        <v>45888</v>
      </c>
      <c r="B27" s="269" t="str">
        <f>+Report1!B27</f>
        <v>Facial</v>
      </c>
      <c r="C27" s="269" t="str">
        <f>+Report1!C27</f>
        <v>13</v>
      </c>
      <c r="D27" s="270">
        <f>+Report1!P27</f>
        <v>37.085000000000001</v>
      </c>
      <c r="E27" s="558">
        <f>+Report1!R27</f>
        <v>34.768000000000001</v>
      </c>
      <c r="F27" s="520"/>
      <c r="G27" s="521">
        <f t="shared" si="0"/>
        <v>0</v>
      </c>
      <c r="H27" s="522">
        <f t="shared" si="112"/>
        <v>0</v>
      </c>
      <c r="I27" s="520">
        <v>174.41860465116281</v>
      </c>
      <c r="J27" s="521">
        <f t="shared" si="1"/>
        <v>5.0166418733077203</v>
      </c>
      <c r="K27" s="522">
        <f t="shared" si="113"/>
        <v>0</v>
      </c>
      <c r="L27" s="520"/>
      <c r="M27" s="521">
        <f t="shared" si="2"/>
        <v>0</v>
      </c>
      <c r="N27" s="522">
        <f t="shared" si="114"/>
        <v>0</v>
      </c>
      <c r="O27" s="520">
        <v>5.9999999999999716</v>
      </c>
      <c r="P27" s="521">
        <f t="shared" si="3"/>
        <v>0.17257248044178472</v>
      </c>
      <c r="Q27" s="522">
        <f t="shared" si="115"/>
        <v>0</v>
      </c>
      <c r="R27" s="520"/>
      <c r="S27" s="521">
        <f t="shared" si="4"/>
        <v>0</v>
      </c>
      <c r="T27" s="522">
        <f t="shared" si="116"/>
        <v>0</v>
      </c>
      <c r="U27" s="520">
        <v>8.96875</v>
      </c>
      <c r="V27" s="521">
        <f t="shared" si="5"/>
        <v>0.25795990566037735</v>
      </c>
      <c r="W27" s="522">
        <f t="shared" si="117"/>
        <v>0</v>
      </c>
      <c r="X27" s="520"/>
      <c r="Y27" s="521">
        <f t="shared" si="6"/>
        <v>0</v>
      </c>
      <c r="Z27" s="522">
        <f t="shared" si="118"/>
        <v>0</v>
      </c>
      <c r="AA27" s="520">
        <v>6.25</v>
      </c>
      <c r="AB27" s="521">
        <f t="shared" si="7"/>
        <v>0.17976300046019328</v>
      </c>
      <c r="AC27" s="522">
        <f t="shared" si="119"/>
        <v>0</v>
      </c>
      <c r="AD27" s="520"/>
      <c r="AE27" s="521">
        <f t="shared" si="8"/>
        <v>0</v>
      </c>
      <c r="AF27" s="522">
        <f t="shared" si="120"/>
        <v>0</v>
      </c>
      <c r="AG27" s="520"/>
      <c r="AH27" s="521">
        <f t="shared" si="9"/>
        <v>0</v>
      </c>
      <c r="AI27" s="522">
        <f t="shared" si="121"/>
        <v>0</v>
      </c>
      <c r="AJ27" s="520">
        <v>17.625</v>
      </c>
      <c r="AK27" s="521">
        <f t="shared" si="10"/>
        <v>0.50693166129774503</v>
      </c>
      <c r="AL27" s="522">
        <f t="shared" si="122"/>
        <v>0</v>
      </c>
      <c r="AM27" s="520"/>
      <c r="AN27" s="521">
        <f t="shared" si="11"/>
        <v>0</v>
      </c>
      <c r="AO27" s="522">
        <f t="shared" si="123"/>
        <v>0</v>
      </c>
      <c r="AP27" s="520">
        <v>42.72151898734171</v>
      </c>
      <c r="AQ27" s="521">
        <f t="shared" si="12"/>
        <v>1.2287597499810663</v>
      </c>
      <c r="AR27" s="522">
        <f t="shared" si="124"/>
        <v>0</v>
      </c>
      <c r="AS27" s="520"/>
      <c r="AT27" s="521">
        <f t="shared" si="13"/>
        <v>0</v>
      </c>
      <c r="AU27" s="522">
        <f t="shared" si="125"/>
        <v>0</v>
      </c>
      <c r="AV27" s="520"/>
      <c r="AW27" s="521">
        <f t="shared" si="14"/>
        <v>0</v>
      </c>
      <c r="AX27" s="522">
        <f t="shared" si="126"/>
        <v>0</v>
      </c>
      <c r="AY27" s="520">
        <v>49.000000000000028</v>
      </c>
      <c r="AZ27" s="521">
        <f t="shared" si="15"/>
        <v>1.4093419236079161</v>
      </c>
      <c r="BA27" s="522">
        <f t="shared" si="127"/>
        <v>0</v>
      </c>
      <c r="BB27" s="520"/>
      <c r="BC27" s="521">
        <f t="shared" si="16"/>
        <v>0</v>
      </c>
      <c r="BD27" s="522">
        <f t="shared" si="128"/>
        <v>0</v>
      </c>
      <c r="BE27" s="520"/>
      <c r="BF27" s="521">
        <f t="shared" si="17"/>
        <v>0</v>
      </c>
      <c r="BG27" s="522">
        <f t="shared" si="129"/>
        <v>0</v>
      </c>
      <c r="BH27" s="520"/>
      <c r="BI27" s="521">
        <f t="shared" si="18"/>
        <v>0</v>
      </c>
      <c r="BJ27" s="522">
        <f t="shared" si="130"/>
        <v>0</v>
      </c>
      <c r="BK27" s="520"/>
      <c r="BL27" s="521">
        <f t="shared" si="19"/>
        <v>0</v>
      </c>
      <c r="BM27" s="522">
        <f t="shared" si="131"/>
        <v>0</v>
      </c>
      <c r="BN27" s="520"/>
      <c r="BO27" s="521">
        <f t="shared" si="20"/>
        <v>0</v>
      </c>
      <c r="BP27" s="522">
        <f t="shared" si="132"/>
        <v>0</v>
      </c>
      <c r="BQ27" s="520"/>
      <c r="BR27" s="521">
        <f t="shared" si="21"/>
        <v>0</v>
      </c>
      <c r="BS27" s="522">
        <f t="shared" si="133"/>
        <v>0</v>
      </c>
      <c r="BT27" s="520"/>
      <c r="BU27" s="521">
        <f t="shared" si="22"/>
        <v>0</v>
      </c>
      <c r="BV27" s="522">
        <f t="shared" si="134"/>
        <v>0</v>
      </c>
      <c r="BW27" s="520"/>
      <c r="BX27" s="521">
        <f t="shared" si="23"/>
        <v>0</v>
      </c>
      <c r="BY27" s="522">
        <f t="shared" si="135"/>
        <v>0</v>
      </c>
      <c r="BZ27" s="520"/>
      <c r="CA27" s="521">
        <f t="shared" si="24"/>
        <v>0</v>
      </c>
      <c r="CB27" s="522">
        <f t="shared" si="136"/>
        <v>0</v>
      </c>
      <c r="CC27" s="520"/>
      <c r="CD27" s="521">
        <f t="shared" si="25"/>
        <v>0</v>
      </c>
      <c r="CE27" s="522">
        <f t="shared" si="137"/>
        <v>0</v>
      </c>
      <c r="CF27" s="520">
        <v>0.5999999999999992</v>
      </c>
      <c r="CG27" s="521">
        <f t="shared" si="26"/>
        <v>1.7257248044178532E-2</v>
      </c>
      <c r="CH27" s="522">
        <f t="shared" si="138"/>
        <v>0</v>
      </c>
      <c r="CI27" s="520"/>
      <c r="CJ27" s="521">
        <f t="shared" si="27"/>
        <v>0</v>
      </c>
      <c r="CK27" s="522">
        <f t="shared" si="139"/>
        <v>0</v>
      </c>
      <c r="CL27" s="520"/>
      <c r="CM27" s="521">
        <f t="shared" si="28"/>
        <v>0</v>
      </c>
      <c r="CN27" s="522">
        <f t="shared" si="140"/>
        <v>0</v>
      </c>
      <c r="CO27" s="520"/>
      <c r="CP27" s="521">
        <f t="shared" si="29"/>
        <v>0</v>
      </c>
      <c r="CQ27" s="522">
        <f t="shared" si="141"/>
        <v>0</v>
      </c>
      <c r="CR27" s="520"/>
      <c r="CS27" s="521">
        <f t="shared" si="30"/>
        <v>0</v>
      </c>
      <c r="CT27" s="522">
        <f t="shared" si="142"/>
        <v>0</v>
      </c>
      <c r="CU27" s="520"/>
      <c r="CV27" s="521">
        <f t="shared" si="31"/>
        <v>0</v>
      </c>
      <c r="CW27" s="522">
        <f t="shared" si="143"/>
        <v>0</v>
      </c>
      <c r="CX27" s="520"/>
      <c r="CY27" s="521">
        <f t="shared" si="32"/>
        <v>0</v>
      </c>
      <c r="CZ27" s="522">
        <f t="shared" si="144"/>
        <v>0</v>
      </c>
      <c r="DA27" s="520"/>
      <c r="DB27" s="521">
        <f t="shared" si="33"/>
        <v>0</v>
      </c>
      <c r="DC27" s="522">
        <f t="shared" si="145"/>
        <v>0</v>
      </c>
      <c r="DD27" s="520"/>
      <c r="DE27" s="521">
        <f t="shared" si="34"/>
        <v>0</v>
      </c>
      <c r="DF27" s="522">
        <f t="shared" si="146"/>
        <v>0</v>
      </c>
      <c r="DG27" s="520"/>
      <c r="DH27" s="521">
        <f t="shared" si="35"/>
        <v>0</v>
      </c>
      <c r="DI27" s="522">
        <f t="shared" si="203"/>
        <v>0</v>
      </c>
      <c r="DJ27" s="520"/>
      <c r="DK27" s="521">
        <f t="shared" si="36"/>
        <v>0</v>
      </c>
      <c r="DL27" s="522">
        <f t="shared" si="147"/>
        <v>0</v>
      </c>
      <c r="DM27" s="520"/>
      <c r="DN27" s="521">
        <f t="shared" si="37"/>
        <v>0</v>
      </c>
      <c r="DO27" s="522">
        <f t="shared" si="148"/>
        <v>0</v>
      </c>
      <c r="DP27" s="520"/>
      <c r="DQ27" s="521">
        <f t="shared" si="38"/>
        <v>0</v>
      </c>
      <c r="DR27" s="522">
        <f t="shared" si="149"/>
        <v>0</v>
      </c>
      <c r="DS27" s="520"/>
      <c r="DT27" s="521">
        <f t="shared" si="39"/>
        <v>0</v>
      </c>
      <c r="DU27" s="522">
        <f t="shared" si="150"/>
        <v>0</v>
      </c>
      <c r="DV27" s="520"/>
      <c r="DW27" s="521">
        <f t="shared" si="40"/>
        <v>0</v>
      </c>
      <c r="DX27" s="522">
        <f t="shared" si="151"/>
        <v>0</v>
      </c>
      <c r="DY27" s="520">
        <v>2.1566265060240823</v>
      </c>
      <c r="DZ27" s="521">
        <f t="shared" si="41"/>
        <v>6.2029064255179539E-2</v>
      </c>
      <c r="EA27" s="522">
        <f t="shared" si="152"/>
        <v>0</v>
      </c>
      <c r="EB27" s="520"/>
      <c r="EC27" s="521">
        <f t="shared" si="42"/>
        <v>0</v>
      </c>
      <c r="ED27" s="522">
        <f t="shared" si="153"/>
        <v>0</v>
      </c>
      <c r="EE27" s="520">
        <v>14.534883720930239</v>
      </c>
      <c r="EF27" s="521">
        <f t="shared" si="43"/>
        <v>0.41805348944231013</v>
      </c>
      <c r="EG27" s="522">
        <f t="shared" si="154"/>
        <v>0</v>
      </c>
      <c r="EH27" s="520">
        <v>35.22352941176473</v>
      </c>
      <c r="EI27" s="521">
        <f t="shared" si="44"/>
        <v>1.0131019734170712</v>
      </c>
      <c r="EJ27" s="522">
        <f t="shared" si="155"/>
        <v>0</v>
      </c>
      <c r="EK27" s="520">
        <v>3.5</v>
      </c>
      <c r="EL27" s="521">
        <f t="shared" si="45"/>
        <v>0.10066728025770824</v>
      </c>
      <c r="EM27" s="522">
        <f t="shared" si="156"/>
        <v>0</v>
      </c>
      <c r="EN27" s="520"/>
      <c r="EO27" s="521">
        <f t="shared" si="46"/>
        <v>0</v>
      </c>
      <c r="EP27" s="522">
        <f t="shared" si="157"/>
        <v>0</v>
      </c>
      <c r="EQ27" s="520"/>
      <c r="ER27" s="521">
        <f t="shared" si="47"/>
        <v>0</v>
      </c>
      <c r="ES27" s="522">
        <f t="shared" si="158"/>
        <v>0</v>
      </c>
      <c r="ET27" s="520"/>
      <c r="EU27" s="521">
        <f t="shared" si="48"/>
        <v>0</v>
      </c>
      <c r="EV27" s="522">
        <f t="shared" si="159"/>
        <v>0</v>
      </c>
      <c r="EW27" s="520"/>
      <c r="EX27" s="521">
        <f t="shared" si="49"/>
        <v>0</v>
      </c>
      <c r="EY27" s="522">
        <f t="shared" si="160"/>
        <v>0</v>
      </c>
      <c r="EZ27" s="520"/>
      <c r="FA27" s="521">
        <f t="shared" si="50"/>
        <v>0</v>
      </c>
      <c r="FB27" s="522">
        <f t="shared" si="161"/>
        <v>0</v>
      </c>
      <c r="FC27" s="520"/>
      <c r="FD27" s="521">
        <f t="shared" si="51"/>
        <v>0</v>
      </c>
      <c r="FE27" s="522">
        <f t="shared" si="162"/>
        <v>0</v>
      </c>
      <c r="FF27" s="520"/>
      <c r="FG27" s="521">
        <f t="shared" si="52"/>
        <v>0</v>
      </c>
      <c r="FH27" s="522">
        <f t="shared" si="163"/>
        <v>0</v>
      </c>
      <c r="FI27" s="520"/>
      <c r="FJ27" s="521">
        <f t="shared" si="53"/>
        <v>0</v>
      </c>
      <c r="FK27" s="522">
        <f t="shared" si="164"/>
        <v>0</v>
      </c>
      <c r="FL27" s="520"/>
      <c r="FM27" s="521">
        <f t="shared" si="54"/>
        <v>0</v>
      </c>
      <c r="FN27" s="522">
        <f t="shared" si="165"/>
        <v>0</v>
      </c>
      <c r="FO27" s="520"/>
      <c r="FP27" s="521">
        <f t="shared" si="55"/>
        <v>0</v>
      </c>
      <c r="FQ27" s="522">
        <f t="shared" si="166"/>
        <v>0</v>
      </c>
      <c r="FR27" s="520"/>
      <c r="FS27" s="521">
        <f t="shared" si="56"/>
        <v>0</v>
      </c>
      <c r="FT27" s="522">
        <f t="shared" si="167"/>
        <v>0</v>
      </c>
      <c r="FU27" s="520"/>
      <c r="FV27" s="521">
        <f t="shared" si="57"/>
        <v>0</v>
      </c>
      <c r="FW27" s="522">
        <f t="shared" si="168"/>
        <v>0</v>
      </c>
      <c r="FX27" s="520"/>
      <c r="FY27" s="521">
        <f t="shared" si="58"/>
        <v>0</v>
      </c>
      <c r="FZ27" s="522">
        <f t="shared" si="169"/>
        <v>0</v>
      </c>
      <c r="GA27" s="520"/>
      <c r="GB27" s="521">
        <f t="shared" si="59"/>
        <v>0</v>
      </c>
      <c r="GC27" s="522">
        <f t="shared" si="170"/>
        <v>0</v>
      </c>
      <c r="GD27" s="520"/>
      <c r="GE27" s="521">
        <f t="shared" si="60"/>
        <v>0</v>
      </c>
      <c r="GF27" s="522">
        <f t="shared" si="171"/>
        <v>0</v>
      </c>
      <c r="GG27" s="520"/>
      <c r="GH27" s="521">
        <f t="shared" si="61"/>
        <v>0</v>
      </c>
      <c r="GI27" s="522">
        <f t="shared" si="172"/>
        <v>0</v>
      </c>
      <c r="GJ27" s="520"/>
      <c r="GK27" s="521">
        <f t="shared" si="62"/>
        <v>0</v>
      </c>
      <c r="GL27" s="522">
        <f t="shared" si="173"/>
        <v>0</v>
      </c>
      <c r="GM27" s="520"/>
      <c r="GN27" s="521">
        <f t="shared" si="63"/>
        <v>0</v>
      </c>
      <c r="GO27" s="522">
        <f t="shared" si="174"/>
        <v>0</v>
      </c>
      <c r="GP27" s="520"/>
      <c r="GQ27" s="521">
        <f t="shared" si="64"/>
        <v>0</v>
      </c>
      <c r="GR27" s="522">
        <f t="shared" si="175"/>
        <v>0</v>
      </c>
      <c r="GS27" s="520"/>
      <c r="GT27" s="521">
        <f t="shared" si="65"/>
        <v>0</v>
      </c>
      <c r="GU27" s="522">
        <f t="shared" si="176"/>
        <v>0</v>
      </c>
      <c r="GV27" s="520"/>
      <c r="GW27" s="521">
        <f t="shared" si="66"/>
        <v>0</v>
      </c>
      <c r="GX27" s="522">
        <f t="shared" si="177"/>
        <v>0</v>
      </c>
      <c r="GY27" s="520"/>
      <c r="GZ27" s="521">
        <f t="shared" si="67"/>
        <v>0</v>
      </c>
      <c r="HA27" s="522">
        <f t="shared" si="178"/>
        <v>0</v>
      </c>
      <c r="HB27" s="520"/>
      <c r="HC27" s="521">
        <f t="shared" si="68"/>
        <v>0</v>
      </c>
      <c r="HD27" s="522">
        <f t="shared" si="179"/>
        <v>0</v>
      </c>
      <c r="HE27" s="520"/>
      <c r="HF27" s="521">
        <f t="shared" si="69"/>
        <v>0</v>
      </c>
      <c r="HG27" s="522">
        <f t="shared" si="180"/>
        <v>0</v>
      </c>
      <c r="HH27" s="520"/>
      <c r="HI27" s="521">
        <f t="shared" si="70"/>
        <v>0</v>
      </c>
      <c r="HJ27" s="522">
        <f t="shared" si="181"/>
        <v>0</v>
      </c>
      <c r="HK27" s="520"/>
      <c r="HL27" s="521">
        <f t="shared" si="71"/>
        <v>0</v>
      </c>
      <c r="HM27" s="522">
        <f t="shared" si="182"/>
        <v>0</v>
      </c>
      <c r="HN27" s="520"/>
      <c r="HO27" s="521">
        <f t="shared" si="72"/>
        <v>0</v>
      </c>
      <c r="HP27" s="522">
        <f t="shared" si="183"/>
        <v>0</v>
      </c>
      <c r="HQ27" s="520"/>
      <c r="HR27" s="521">
        <f t="shared" si="73"/>
        <v>0</v>
      </c>
      <c r="HS27" s="522">
        <f t="shared" si="184"/>
        <v>0</v>
      </c>
      <c r="HT27" s="520"/>
      <c r="HU27" s="521">
        <f t="shared" si="74"/>
        <v>0</v>
      </c>
      <c r="HV27" s="522">
        <f t="shared" si="185"/>
        <v>0</v>
      </c>
      <c r="HW27" s="520"/>
      <c r="HX27" s="521">
        <f t="shared" si="75"/>
        <v>0</v>
      </c>
      <c r="HY27" s="522">
        <f t="shared" si="186"/>
        <v>0</v>
      </c>
      <c r="HZ27" s="520"/>
      <c r="IA27" s="521">
        <f t="shared" si="76"/>
        <v>0</v>
      </c>
      <c r="IB27" s="522">
        <f t="shared" si="187"/>
        <v>0</v>
      </c>
      <c r="IC27" s="520"/>
      <c r="ID27" s="521">
        <f t="shared" si="77"/>
        <v>0</v>
      </c>
      <c r="IE27" s="522">
        <f t="shared" si="188"/>
        <v>0</v>
      </c>
      <c r="IF27" s="520"/>
      <c r="IG27" s="521">
        <f t="shared" si="78"/>
        <v>0</v>
      </c>
      <c r="IH27" s="522">
        <f t="shared" si="189"/>
        <v>0</v>
      </c>
      <c r="II27" s="520"/>
      <c r="IJ27" s="521">
        <f t="shared" si="79"/>
        <v>0</v>
      </c>
      <c r="IK27" s="522">
        <f t="shared" si="190"/>
        <v>0</v>
      </c>
      <c r="IL27" s="520"/>
      <c r="IM27" s="521">
        <f t="shared" si="80"/>
        <v>0</v>
      </c>
      <c r="IN27" s="522">
        <f t="shared" si="191"/>
        <v>0</v>
      </c>
      <c r="IO27" s="520"/>
      <c r="IP27" s="521">
        <f t="shared" si="81"/>
        <v>0</v>
      </c>
      <c r="IQ27" s="522">
        <f t="shared" si="192"/>
        <v>0</v>
      </c>
      <c r="IR27" s="520"/>
      <c r="IS27" s="521">
        <f t="shared" si="82"/>
        <v>0</v>
      </c>
      <c r="IT27" s="522">
        <f t="shared" si="193"/>
        <v>0</v>
      </c>
      <c r="IU27" s="520"/>
      <c r="IV27" s="521">
        <f t="shared" si="83"/>
        <v>0</v>
      </c>
      <c r="IW27" s="522">
        <f t="shared" si="194"/>
        <v>0</v>
      </c>
      <c r="IX27" s="520"/>
      <c r="IY27" s="521">
        <f t="shared" si="84"/>
        <v>0</v>
      </c>
      <c r="IZ27" s="522">
        <f t="shared" si="195"/>
        <v>0</v>
      </c>
      <c r="JA27" s="520"/>
      <c r="JB27" s="521">
        <f t="shared" si="85"/>
        <v>0</v>
      </c>
      <c r="JC27" s="522">
        <f t="shared" si="196"/>
        <v>0</v>
      </c>
      <c r="JD27" s="520"/>
      <c r="JE27" s="521">
        <f t="shared" si="86"/>
        <v>0</v>
      </c>
      <c r="JF27" s="522">
        <f t="shared" si="197"/>
        <v>0</v>
      </c>
      <c r="JG27" s="520"/>
      <c r="JH27" s="521">
        <f t="shared" si="87"/>
        <v>0</v>
      </c>
      <c r="JI27" s="522">
        <f t="shared" si="198"/>
        <v>0</v>
      </c>
      <c r="JJ27" s="520"/>
      <c r="JK27" s="522" t="str">
        <f t="shared" si="88"/>
        <v>0</v>
      </c>
      <c r="JL27" s="522" t="str">
        <f t="shared" si="89"/>
        <v>0</v>
      </c>
      <c r="JM27" s="520"/>
      <c r="JN27" s="522" t="str">
        <f t="shared" si="90"/>
        <v>0</v>
      </c>
      <c r="JO27" s="522" t="str">
        <f t="shared" si="91"/>
        <v>0</v>
      </c>
      <c r="JP27" s="520"/>
      <c r="JQ27" s="522" t="str">
        <f t="shared" si="92"/>
        <v>0</v>
      </c>
      <c r="JR27" s="522" t="str">
        <f t="shared" si="93"/>
        <v>0</v>
      </c>
      <c r="JS27" s="520"/>
      <c r="JT27" s="522" t="str">
        <f t="shared" si="94"/>
        <v>0</v>
      </c>
      <c r="JU27" s="522" t="str">
        <f t="shared" si="95"/>
        <v>0</v>
      </c>
      <c r="JV27" s="520"/>
      <c r="JW27" s="522" t="str">
        <f t="shared" si="96"/>
        <v>0</v>
      </c>
      <c r="JX27" s="522" t="str">
        <f t="shared" si="97"/>
        <v>0</v>
      </c>
      <c r="JY27" s="520"/>
      <c r="JZ27" s="522" t="str">
        <f t="shared" si="98"/>
        <v>0</v>
      </c>
      <c r="KA27" s="522" t="str">
        <f t="shared" si="99"/>
        <v>0</v>
      </c>
      <c r="KB27" s="520"/>
      <c r="KC27" s="522" t="str">
        <f t="shared" si="100"/>
        <v>0</v>
      </c>
      <c r="KD27" s="522" t="str">
        <f t="shared" si="101"/>
        <v>0</v>
      </c>
      <c r="KE27" s="520"/>
      <c r="KF27" s="522" t="str">
        <f t="shared" si="102"/>
        <v>0</v>
      </c>
      <c r="KG27" s="522" t="str">
        <f t="shared" si="103"/>
        <v>0</v>
      </c>
      <c r="KH27" s="520"/>
      <c r="KI27" s="522" t="str">
        <f t="shared" si="104"/>
        <v>0</v>
      </c>
      <c r="KJ27" s="522" t="str">
        <f t="shared" si="105"/>
        <v>0</v>
      </c>
      <c r="KK27" s="520"/>
      <c r="KL27" s="522" t="str">
        <f t="shared" si="106"/>
        <v>0</v>
      </c>
      <c r="KM27" s="522" t="str">
        <f t="shared" si="107"/>
        <v>0</v>
      </c>
      <c r="KN27" s="520"/>
      <c r="KO27" s="522" t="str">
        <f t="shared" si="108"/>
        <v>0</v>
      </c>
      <c r="KP27" s="522" t="str">
        <f t="shared" si="109"/>
        <v>0</v>
      </c>
      <c r="KQ27" s="520"/>
      <c r="KR27" s="522" t="str">
        <f t="shared" si="110"/>
        <v>0</v>
      </c>
      <c r="KS27" s="522" t="str">
        <f t="shared" si="111"/>
        <v>0</v>
      </c>
      <c r="KT27" s="522">
        <f t="shared" si="201"/>
        <v>0</v>
      </c>
      <c r="KU27" s="522">
        <f t="shared" si="202"/>
        <v>0</v>
      </c>
      <c r="KV27" s="267">
        <f t="shared" si="199"/>
        <v>360.99891327722355</v>
      </c>
    </row>
    <row r="28" spans="1:309">
      <c r="A28" s="268">
        <f t="shared" si="200"/>
        <v>45889</v>
      </c>
      <c r="B28" s="269" t="str">
        <f>+Report1!B28</f>
        <v>Facial</v>
      </c>
      <c r="C28" s="269" t="str">
        <f>+Report1!C28</f>
        <v>13/12</v>
      </c>
      <c r="D28" s="270">
        <f>+Report1!P28</f>
        <v>44.22</v>
      </c>
      <c r="E28" s="558">
        <f>+Report1!R28</f>
        <v>41.040999999999997</v>
      </c>
      <c r="F28" s="520"/>
      <c r="G28" s="521">
        <f t="shared" si="0"/>
        <v>0</v>
      </c>
      <c r="H28" s="522">
        <f t="shared" si="112"/>
        <v>0</v>
      </c>
      <c r="I28" s="520">
        <v>220.93023255813955</v>
      </c>
      <c r="J28" s="521">
        <f t="shared" si="1"/>
        <v>5.383159098417182</v>
      </c>
      <c r="K28" s="522">
        <f t="shared" si="113"/>
        <v>0</v>
      </c>
      <c r="L28" s="520"/>
      <c r="M28" s="521">
        <f t="shared" si="2"/>
        <v>0</v>
      </c>
      <c r="N28" s="522">
        <f t="shared" si="114"/>
        <v>0</v>
      </c>
      <c r="O28" s="520">
        <v>6</v>
      </c>
      <c r="P28" s="521">
        <f t="shared" si="3"/>
        <v>0.14619526814648767</v>
      </c>
      <c r="Q28" s="522">
        <f t="shared" si="115"/>
        <v>0</v>
      </c>
      <c r="R28" s="520"/>
      <c r="S28" s="521">
        <f t="shared" si="4"/>
        <v>0</v>
      </c>
      <c r="T28" s="522">
        <f t="shared" si="116"/>
        <v>0</v>
      </c>
      <c r="U28" s="520">
        <v>8.9687499999999964</v>
      </c>
      <c r="V28" s="521">
        <f t="shared" si="5"/>
        <v>0.21853146853146846</v>
      </c>
      <c r="W28" s="522">
        <f t="shared" si="117"/>
        <v>0</v>
      </c>
      <c r="X28" s="520"/>
      <c r="Y28" s="521">
        <f t="shared" si="6"/>
        <v>0</v>
      </c>
      <c r="Z28" s="522">
        <f t="shared" si="118"/>
        <v>0</v>
      </c>
      <c r="AA28" s="520">
        <v>7.8125</v>
      </c>
      <c r="AB28" s="521">
        <f t="shared" si="7"/>
        <v>0.19035842206573916</v>
      </c>
      <c r="AC28" s="522">
        <f t="shared" si="119"/>
        <v>0</v>
      </c>
      <c r="AD28" s="520"/>
      <c r="AE28" s="521">
        <f t="shared" si="8"/>
        <v>0</v>
      </c>
      <c r="AF28" s="522">
        <f t="shared" si="120"/>
        <v>0</v>
      </c>
      <c r="AG28" s="520"/>
      <c r="AH28" s="521">
        <f t="shared" si="9"/>
        <v>0</v>
      </c>
      <c r="AI28" s="522">
        <f t="shared" si="121"/>
        <v>0</v>
      </c>
      <c r="AJ28" s="520">
        <v>8.8125</v>
      </c>
      <c r="AK28" s="521">
        <f t="shared" si="10"/>
        <v>0.21472430009015375</v>
      </c>
      <c r="AL28" s="522">
        <f t="shared" si="122"/>
        <v>0</v>
      </c>
      <c r="AM28" s="520"/>
      <c r="AN28" s="521">
        <f t="shared" si="11"/>
        <v>0</v>
      </c>
      <c r="AO28" s="522">
        <f t="shared" si="123"/>
        <v>0</v>
      </c>
      <c r="AP28" s="520">
        <v>37.02531645569627</v>
      </c>
      <c r="AQ28" s="521">
        <f t="shared" si="12"/>
        <v>0.90215434457484645</v>
      </c>
      <c r="AR28" s="522">
        <f t="shared" si="124"/>
        <v>0</v>
      </c>
      <c r="AS28" s="520"/>
      <c r="AT28" s="521">
        <f t="shared" si="13"/>
        <v>0</v>
      </c>
      <c r="AU28" s="522">
        <f t="shared" si="125"/>
        <v>0</v>
      </c>
      <c r="AV28" s="520"/>
      <c r="AW28" s="521">
        <f t="shared" si="14"/>
        <v>0</v>
      </c>
      <c r="AX28" s="522">
        <f t="shared" si="126"/>
        <v>0</v>
      </c>
      <c r="AY28" s="520">
        <v>65.333333333333314</v>
      </c>
      <c r="AZ28" s="521">
        <f t="shared" si="15"/>
        <v>1.5919040309284209</v>
      </c>
      <c r="BA28" s="522">
        <f t="shared" si="127"/>
        <v>0</v>
      </c>
      <c r="BB28" s="520"/>
      <c r="BC28" s="521">
        <f t="shared" si="16"/>
        <v>0</v>
      </c>
      <c r="BD28" s="522">
        <f t="shared" si="128"/>
        <v>0</v>
      </c>
      <c r="BE28" s="520"/>
      <c r="BF28" s="521">
        <f t="shared" si="17"/>
        <v>0</v>
      </c>
      <c r="BG28" s="522">
        <f t="shared" si="129"/>
        <v>0</v>
      </c>
      <c r="BH28" s="520"/>
      <c r="BI28" s="521">
        <f t="shared" si="18"/>
        <v>0</v>
      </c>
      <c r="BJ28" s="522">
        <f t="shared" si="130"/>
        <v>0</v>
      </c>
      <c r="BK28" s="520"/>
      <c r="BL28" s="521">
        <f t="shared" si="19"/>
        <v>0</v>
      </c>
      <c r="BM28" s="522">
        <f t="shared" si="131"/>
        <v>0</v>
      </c>
      <c r="BN28" s="520"/>
      <c r="BO28" s="521">
        <f t="shared" si="20"/>
        <v>0</v>
      </c>
      <c r="BP28" s="522">
        <f t="shared" si="132"/>
        <v>0</v>
      </c>
      <c r="BQ28" s="520"/>
      <c r="BR28" s="521">
        <f t="shared" si="21"/>
        <v>0</v>
      </c>
      <c r="BS28" s="522">
        <f t="shared" si="133"/>
        <v>0</v>
      </c>
      <c r="BT28" s="520"/>
      <c r="BU28" s="521">
        <f t="shared" si="22"/>
        <v>0</v>
      </c>
      <c r="BV28" s="522">
        <f t="shared" si="134"/>
        <v>0</v>
      </c>
      <c r="BW28" s="520"/>
      <c r="BX28" s="521">
        <f t="shared" si="23"/>
        <v>0</v>
      </c>
      <c r="BY28" s="522">
        <f t="shared" si="135"/>
        <v>0</v>
      </c>
      <c r="BZ28" s="520"/>
      <c r="CA28" s="521">
        <f t="shared" si="24"/>
        <v>0</v>
      </c>
      <c r="CB28" s="522">
        <f t="shared" si="136"/>
        <v>0</v>
      </c>
      <c r="CC28" s="520">
        <v>5</v>
      </c>
      <c r="CD28" s="521">
        <f t="shared" si="25"/>
        <v>0.12182939012207306</v>
      </c>
      <c r="CE28" s="522">
        <f t="shared" si="137"/>
        <v>0</v>
      </c>
      <c r="CF28" s="520">
        <v>0.60000000000000053</v>
      </c>
      <c r="CG28" s="521">
        <f t="shared" si="26"/>
        <v>1.461952681464878E-2</v>
      </c>
      <c r="CH28" s="522">
        <f t="shared" si="138"/>
        <v>0</v>
      </c>
      <c r="CI28" s="520"/>
      <c r="CJ28" s="521">
        <f t="shared" si="27"/>
        <v>0</v>
      </c>
      <c r="CK28" s="522">
        <f t="shared" si="139"/>
        <v>0</v>
      </c>
      <c r="CL28" s="520"/>
      <c r="CM28" s="521">
        <f t="shared" si="28"/>
        <v>0</v>
      </c>
      <c r="CN28" s="522">
        <f t="shared" si="140"/>
        <v>0</v>
      </c>
      <c r="CO28" s="520"/>
      <c r="CP28" s="521">
        <f t="shared" si="29"/>
        <v>0</v>
      </c>
      <c r="CQ28" s="522">
        <f t="shared" si="141"/>
        <v>0</v>
      </c>
      <c r="CR28" s="520"/>
      <c r="CS28" s="521">
        <f t="shared" si="30"/>
        <v>0</v>
      </c>
      <c r="CT28" s="522">
        <f t="shared" si="142"/>
        <v>0</v>
      </c>
      <c r="CU28" s="520"/>
      <c r="CV28" s="521">
        <f t="shared" si="31"/>
        <v>0</v>
      </c>
      <c r="CW28" s="522">
        <f t="shared" si="143"/>
        <v>0</v>
      </c>
      <c r="CX28" s="520"/>
      <c r="CY28" s="521">
        <f t="shared" si="32"/>
        <v>0</v>
      </c>
      <c r="CZ28" s="522">
        <f t="shared" si="144"/>
        <v>0</v>
      </c>
      <c r="DA28" s="520"/>
      <c r="DB28" s="521">
        <f t="shared" si="33"/>
        <v>0</v>
      </c>
      <c r="DC28" s="522">
        <f t="shared" si="145"/>
        <v>0</v>
      </c>
      <c r="DD28" s="520"/>
      <c r="DE28" s="521">
        <f t="shared" si="34"/>
        <v>0</v>
      </c>
      <c r="DF28" s="522">
        <f t="shared" si="146"/>
        <v>0</v>
      </c>
      <c r="DG28" s="520"/>
      <c r="DH28" s="521">
        <f t="shared" si="35"/>
        <v>0</v>
      </c>
      <c r="DI28" s="522">
        <f t="shared" si="203"/>
        <v>0</v>
      </c>
      <c r="DJ28" s="520"/>
      <c r="DK28" s="521">
        <f t="shared" si="36"/>
        <v>0</v>
      </c>
      <c r="DL28" s="522">
        <f t="shared" si="147"/>
        <v>0</v>
      </c>
      <c r="DM28" s="520"/>
      <c r="DN28" s="521">
        <f t="shared" si="37"/>
        <v>0</v>
      </c>
      <c r="DO28" s="522">
        <f t="shared" si="148"/>
        <v>0</v>
      </c>
      <c r="DP28" s="520"/>
      <c r="DQ28" s="521">
        <f t="shared" si="38"/>
        <v>0</v>
      </c>
      <c r="DR28" s="522">
        <f t="shared" si="149"/>
        <v>0</v>
      </c>
      <c r="DS28" s="520"/>
      <c r="DT28" s="521">
        <f t="shared" si="39"/>
        <v>0</v>
      </c>
      <c r="DU28" s="522">
        <f t="shared" si="150"/>
        <v>0</v>
      </c>
      <c r="DV28" s="520"/>
      <c r="DW28" s="521">
        <f t="shared" si="40"/>
        <v>0</v>
      </c>
      <c r="DX28" s="522">
        <f t="shared" si="151"/>
        <v>0</v>
      </c>
      <c r="DY28" s="520"/>
      <c r="DZ28" s="521">
        <f t="shared" si="41"/>
        <v>0</v>
      </c>
      <c r="EA28" s="522">
        <f t="shared" si="152"/>
        <v>0</v>
      </c>
      <c r="EB28" s="520"/>
      <c r="EC28" s="521">
        <f t="shared" si="42"/>
        <v>0</v>
      </c>
      <c r="ED28" s="522">
        <f t="shared" si="153"/>
        <v>0</v>
      </c>
      <c r="EE28" s="520">
        <v>14.534883720930225</v>
      </c>
      <c r="EF28" s="521">
        <f t="shared" si="43"/>
        <v>0.35415520384323546</v>
      </c>
      <c r="EG28" s="522">
        <f t="shared" si="154"/>
        <v>0</v>
      </c>
      <c r="EH28" s="520">
        <v>46.964705882352973</v>
      </c>
      <c r="EI28" s="521">
        <f t="shared" si="44"/>
        <v>1.14433629498192</v>
      </c>
      <c r="EJ28" s="522">
        <f t="shared" si="155"/>
        <v>0</v>
      </c>
      <c r="EK28" s="520">
        <v>4</v>
      </c>
      <c r="EL28" s="521">
        <f t="shared" si="45"/>
        <v>9.7463512097658453E-2</v>
      </c>
      <c r="EM28" s="522">
        <f t="shared" si="156"/>
        <v>0</v>
      </c>
      <c r="EN28" s="520"/>
      <c r="EO28" s="521">
        <f t="shared" si="46"/>
        <v>0</v>
      </c>
      <c r="EP28" s="522">
        <f t="shared" si="157"/>
        <v>0</v>
      </c>
      <c r="EQ28" s="520"/>
      <c r="ER28" s="521">
        <f t="shared" si="47"/>
        <v>0</v>
      </c>
      <c r="ES28" s="522">
        <f t="shared" si="158"/>
        <v>0</v>
      </c>
      <c r="ET28" s="520"/>
      <c r="EU28" s="521">
        <f t="shared" si="48"/>
        <v>0</v>
      </c>
      <c r="EV28" s="522">
        <f t="shared" si="159"/>
        <v>0</v>
      </c>
      <c r="EW28" s="520"/>
      <c r="EX28" s="521">
        <f t="shared" si="49"/>
        <v>0</v>
      </c>
      <c r="EY28" s="522">
        <f t="shared" si="160"/>
        <v>0</v>
      </c>
      <c r="EZ28" s="520"/>
      <c r="FA28" s="521">
        <f t="shared" si="50"/>
        <v>0</v>
      </c>
      <c r="FB28" s="522">
        <f t="shared" si="161"/>
        <v>0</v>
      </c>
      <c r="FC28" s="520"/>
      <c r="FD28" s="521">
        <f t="shared" si="51"/>
        <v>0</v>
      </c>
      <c r="FE28" s="522">
        <f t="shared" si="162"/>
        <v>0</v>
      </c>
      <c r="FF28" s="520"/>
      <c r="FG28" s="521">
        <f t="shared" si="52"/>
        <v>0</v>
      </c>
      <c r="FH28" s="522">
        <f t="shared" si="163"/>
        <v>0</v>
      </c>
      <c r="FI28" s="520"/>
      <c r="FJ28" s="521">
        <f t="shared" si="53"/>
        <v>0</v>
      </c>
      <c r="FK28" s="522">
        <f t="shared" si="164"/>
        <v>0</v>
      </c>
      <c r="FL28" s="520"/>
      <c r="FM28" s="521">
        <f t="shared" si="54"/>
        <v>0</v>
      </c>
      <c r="FN28" s="522">
        <f t="shared" si="165"/>
        <v>0</v>
      </c>
      <c r="FO28" s="520"/>
      <c r="FP28" s="521">
        <f t="shared" si="55"/>
        <v>0</v>
      </c>
      <c r="FQ28" s="522">
        <f t="shared" si="166"/>
        <v>0</v>
      </c>
      <c r="FR28" s="520"/>
      <c r="FS28" s="521">
        <f t="shared" si="56"/>
        <v>0</v>
      </c>
      <c r="FT28" s="522">
        <f t="shared" si="167"/>
        <v>0</v>
      </c>
      <c r="FU28" s="520"/>
      <c r="FV28" s="521">
        <f t="shared" si="57"/>
        <v>0</v>
      </c>
      <c r="FW28" s="522">
        <f t="shared" si="168"/>
        <v>0</v>
      </c>
      <c r="FX28" s="520"/>
      <c r="FY28" s="521">
        <f t="shared" si="58"/>
        <v>0</v>
      </c>
      <c r="FZ28" s="522">
        <f t="shared" si="169"/>
        <v>0</v>
      </c>
      <c r="GA28" s="520"/>
      <c r="GB28" s="521">
        <f t="shared" si="59"/>
        <v>0</v>
      </c>
      <c r="GC28" s="522">
        <f t="shared" si="170"/>
        <v>0</v>
      </c>
      <c r="GD28" s="520"/>
      <c r="GE28" s="521">
        <f t="shared" si="60"/>
        <v>0</v>
      </c>
      <c r="GF28" s="522">
        <f t="shared" si="171"/>
        <v>0</v>
      </c>
      <c r="GG28" s="520"/>
      <c r="GH28" s="521">
        <f t="shared" si="61"/>
        <v>0</v>
      </c>
      <c r="GI28" s="522">
        <f t="shared" si="172"/>
        <v>0</v>
      </c>
      <c r="GJ28" s="520"/>
      <c r="GK28" s="521">
        <f t="shared" si="62"/>
        <v>0</v>
      </c>
      <c r="GL28" s="522">
        <f t="shared" si="173"/>
        <v>0</v>
      </c>
      <c r="GM28" s="520"/>
      <c r="GN28" s="521">
        <f t="shared" si="63"/>
        <v>0</v>
      </c>
      <c r="GO28" s="522">
        <f t="shared" si="174"/>
        <v>0</v>
      </c>
      <c r="GP28" s="520"/>
      <c r="GQ28" s="521">
        <f t="shared" si="64"/>
        <v>0</v>
      </c>
      <c r="GR28" s="522">
        <f t="shared" si="175"/>
        <v>0</v>
      </c>
      <c r="GS28" s="520"/>
      <c r="GT28" s="521">
        <f t="shared" si="65"/>
        <v>0</v>
      </c>
      <c r="GU28" s="522">
        <f t="shared" si="176"/>
        <v>0</v>
      </c>
      <c r="GV28" s="520"/>
      <c r="GW28" s="521">
        <f t="shared" si="66"/>
        <v>0</v>
      </c>
      <c r="GX28" s="522">
        <f t="shared" si="177"/>
        <v>0</v>
      </c>
      <c r="GY28" s="520"/>
      <c r="GZ28" s="521">
        <f t="shared" si="67"/>
        <v>0</v>
      </c>
      <c r="HA28" s="522">
        <f t="shared" si="178"/>
        <v>0</v>
      </c>
      <c r="HB28" s="520"/>
      <c r="HC28" s="521">
        <f t="shared" si="68"/>
        <v>0</v>
      </c>
      <c r="HD28" s="522">
        <f t="shared" si="179"/>
        <v>0</v>
      </c>
      <c r="HE28" s="520"/>
      <c r="HF28" s="521">
        <f t="shared" si="69"/>
        <v>0</v>
      </c>
      <c r="HG28" s="522">
        <f t="shared" si="180"/>
        <v>0</v>
      </c>
      <c r="HH28" s="520"/>
      <c r="HI28" s="521">
        <f t="shared" si="70"/>
        <v>0</v>
      </c>
      <c r="HJ28" s="522">
        <f t="shared" si="181"/>
        <v>0</v>
      </c>
      <c r="HK28" s="520"/>
      <c r="HL28" s="521">
        <f t="shared" si="71"/>
        <v>0</v>
      </c>
      <c r="HM28" s="522">
        <f t="shared" si="182"/>
        <v>0</v>
      </c>
      <c r="HN28" s="520"/>
      <c r="HO28" s="521">
        <f t="shared" si="72"/>
        <v>0</v>
      </c>
      <c r="HP28" s="522">
        <f t="shared" si="183"/>
        <v>0</v>
      </c>
      <c r="HQ28" s="520"/>
      <c r="HR28" s="521">
        <f t="shared" si="73"/>
        <v>0</v>
      </c>
      <c r="HS28" s="522">
        <f t="shared" si="184"/>
        <v>0</v>
      </c>
      <c r="HT28" s="520"/>
      <c r="HU28" s="521">
        <f t="shared" si="74"/>
        <v>0</v>
      </c>
      <c r="HV28" s="522">
        <f t="shared" si="185"/>
        <v>0</v>
      </c>
      <c r="HW28" s="520"/>
      <c r="HX28" s="521">
        <f t="shared" si="75"/>
        <v>0</v>
      </c>
      <c r="HY28" s="522">
        <f t="shared" si="186"/>
        <v>0</v>
      </c>
      <c r="HZ28" s="520"/>
      <c r="IA28" s="521">
        <f t="shared" si="76"/>
        <v>0</v>
      </c>
      <c r="IB28" s="522">
        <f t="shared" si="187"/>
        <v>0</v>
      </c>
      <c r="IC28" s="520"/>
      <c r="ID28" s="521">
        <f t="shared" si="77"/>
        <v>0</v>
      </c>
      <c r="IE28" s="522">
        <f t="shared" si="188"/>
        <v>0</v>
      </c>
      <c r="IF28" s="520"/>
      <c r="IG28" s="521">
        <f t="shared" si="78"/>
        <v>0</v>
      </c>
      <c r="IH28" s="522">
        <f t="shared" si="189"/>
        <v>0</v>
      </c>
      <c r="II28" s="520"/>
      <c r="IJ28" s="521">
        <f t="shared" si="79"/>
        <v>0</v>
      </c>
      <c r="IK28" s="522">
        <f t="shared" si="190"/>
        <v>0</v>
      </c>
      <c r="IL28" s="520"/>
      <c r="IM28" s="521">
        <f t="shared" si="80"/>
        <v>0</v>
      </c>
      <c r="IN28" s="522">
        <f t="shared" si="191"/>
        <v>0</v>
      </c>
      <c r="IO28" s="520"/>
      <c r="IP28" s="521">
        <f t="shared" si="81"/>
        <v>0</v>
      </c>
      <c r="IQ28" s="522">
        <f t="shared" si="192"/>
        <v>0</v>
      </c>
      <c r="IR28" s="520"/>
      <c r="IS28" s="521">
        <f t="shared" si="82"/>
        <v>0</v>
      </c>
      <c r="IT28" s="522">
        <f t="shared" si="193"/>
        <v>0</v>
      </c>
      <c r="IU28" s="520"/>
      <c r="IV28" s="521">
        <f t="shared" si="83"/>
        <v>0</v>
      </c>
      <c r="IW28" s="522">
        <f t="shared" si="194"/>
        <v>0</v>
      </c>
      <c r="IX28" s="520"/>
      <c r="IY28" s="521">
        <f t="shared" si="84"/>
        <v>0</v>
      </c>
      <c r="IZ28" s="522">
        <f t="shared" si="195"/>
        <v>0</v>
      </c>
      <c r="JA28" s="520"/>
      <c r="JB28" s="521">
        <f t="shared" si="85"/>
        <v>0</v>
      </c>
      <c r="JC28" s="522">
        <f t="shared" si="196"/>
        <v>0</v>
      </c>
      <c r="JD28" s="520"/>
      <c r="JE28" s="521">
        <f t="shared" si="86"/>
        <v>0</v>
      </c>
      <c r="JF28" s="522">
        <f t="shared" si="197"/>
        <v>0</v>
      </c>
      <c r="JG28" s="520"/>
      <c r="JH28" s="521">
        <f t="shared" si="87"/>
        <v>0</v>
      </c>
      <c r="JI28" s="522">
        <f t="shared" si="198"/>
        <v>0</v>
      </c>
      <c r="JJ28" s="520"/>
      <c r="JK28" s="522" t="str">
        <f t="shared" si="88"/>
        <v>0</v>
      </c>
      <c r="JL28" s="522" t="str">
        <f t="shared" si="89"/>
        <v>0</v>
      </c>
      <c r="JM28" s="520"/>
      <c r="JN28" s="522" t="str">
        <f t="shared" si="90"/>
        <v>0</v>
      </c>
      <c r="JO28" s="522" t="str">
        <f t="shared" si="91"/>
        <v>0</v>
      </c>
      <c r="JP28" s="520"/>
      <c r="JQ28" s="522" t="str">
        <f t="shared" si="92"/>
        <v>0</v>
      </c>
      <c r="JR28" s="522" t="str">
        <f t="shared" si="93"/>
        <v>0</v>
      </c>
      <c r="JS28" s="520"/>
      <c r="JT28" s="522" t="str">
        <f t="shared" si="94"/>
        <v>0</v>
      </c>
      <c r="JU28" s="522" t="str">
        <f t="shared" si="95"/>
        <v>0</v>
      </c>
      <c r="JV28" s="520"/>
      <c r="JW28" s="522" t="str">
        <f t="shared" si="96"/>
        <v>0</v>
      </c>
      <c r="JX28" s="522" t="str">
        <f t="shared" si="97"/>
        <v>0</v>
      </c>
      <c r="JY28" s="520"/>
      <c r="JZ28" s="522" t="str">
        <f t="shared" si="98"/>
        <v>0</v>
      </c>
      <c r="KA28" s="522" t="str">
        <f t="shared" si="99"/>
        <v>0</v>
      </c>
      <c r="KB28" s="520"/>
      <c r="KC28" s="522" t="str">
        <f t="shared" si="100"/>
        <v>0</v>
      </c>
      <c r="KD28" s="522" t="str">
        <f t="shared" si="101"/>
        <v>0</v>
      </c>
      <c r="KE28" s="520"/>
      <c r="KF28" s="522" t="str">
        <f t="shared" si="102"/>
        <v>0</v>
      </c>
      <c r="KG28" s="522" t="str">
        <f t="shared" si="103"/>
        <v>0</v>
      </c>
      <c r="KH28" s="520"/>
      <c r="KI28" s="522" t="str">
        <f t="shared" si="104"/>
        <v>0</v>
      </c>
      <c r="KJ28" s="522" t="str">
        <f t="shared" si="105"/>
        <v>0</v>
      </c>
      <c r="KK28" s="520"/>
      <c r="KL28" s="522" t="str">
        <f t="shared" si="106"/>
        <v>0</v>
      </c>
      <c r="KM28" s="522" t="str">
        <f t="shared" si="107"/>
        <v>0</v>
      </c>
      <c r="KN28" s="520"/>
      <c r="KO28" s="522" t="str">
        <f t="shared" si="108"/>
        <v>0</v>
      </c>
      <c r="KP28" s="522" t="str">
        <f t="shared" si="109"/>
        <v>0</v>
      </c>
      <c r="KQ28" s="520"/>
      <c r="KR28" s="522" t="str">
        <f t="shared" si="110"/>
        <v>0</v>
      </c>
      <c r="KS28" s="522" t="str">
        <f t="shared" si="111"/>
        <v>0</v>
      </c>
      <c r="KT28" s="522">
        <f t="shared" si="201"/>
        <v>0</v>
      </c>
      <c r="KU28" s="522">
        <f t="shared" si="202"/>
        <v>0</v>
      </c>
      <c r="KV28" s="267">
        <f t="shared" si="199"/>
        <v>425.98222195045236</v>
      </c>
    </row>
    <row r="29" spans="1:309">
      <c r="A29" s="268">
        <f t="shared" si="200"/>
        <v>45890</v>
      </c>
      <c r="B29" s="269" t="str">
        <f>+Report1!B29</f>
        <v>Facial</v>
      </c>
      <c r="C29" s="269" t="str">
        <f>+Report1!C29</f>
        <v>13/12</v>
      </c>
      <c r="D29" s="270">
        <f>+Report1!P29</f>
        <v>42.118000000000002</v>
      </c>
      <c r="E29" s="558">
        <f>+Report1!R29</f>
        <v>41.906999999999996</v>
      </c>
      <c r="F29" s="520"/>
      <c r="G29" s="521">
        <f t="shared" si="0"/>
        <v>0</v>
      </c>
      <c r="H29" s="522">
        <f t="shared" si="112"/>
        <v>0</v>
      </c>
      <c r="I29" s="520">
        <v>232.55813953488382</v>
      </c>
      <c r="J29" s="521">
        <f t="shared" si="1"/>
        <v>5.5493864875768688</v>
      </c>
      <c r="K29" s="522">
        <f t="shared" si="113"/>
        <v>0</v>
      </c>
      <c r="L29" s="520"/>
      <c r="M29" s="521">
        <f t="shared" si="2"/>
        <v>0</v>
      </c>
      <c r="N29" s="522">
        <f t="shared" si="114"/>
        <v>0</v>
      </c>
      <c r="O29" s="520">
        <v>6</v>
      </c>
      <c r="P29" s="521">
        <f t="shared" si="3"/>
        <v>0.14317417137948316</v>
      </c>
      <c r="Q29" s="522">
        <f t="shared" si="115"/>
        <v>0</v>
      </c>
      <c r="R29" s="520"/>
      <c r="S29" s="521">
        <f t="shared" si="4"/>
        <v>0</v>
      </c>
      <c r="T29" s="522">
        <f t="shared" si="116"/>
        <v>0</v>
      </c>
      <c r="U29" s="520">
        <v>8.9687499999999716</v>
      </c>
      <c r="V29" s="521">
        <f t="shared" si="5"/>
        <v>0.21401555825995591</v>
      </c>
      <c r="W29" s="522">
        <f t="shared" si="117"/>
        <v>0</v>
      </c>
      <c r="X29" s="520"/>
      <c r="Y29" s="521">
        <f t="shared" si="6"/>
        <v>0</v>
      </c>
      <c r="Z29" s="522">
        <f t="shared" si="118"/>
        <v>0</v>
      </c>
      <c r="AA29" s="520">
        <v>4.6875</v>
      </c>
      <c r="AB29" s="521">
        <f t="shared" si="7"/>
        <v>0.11185482139022121</v>
      </c>
      <c r="AC29" s="522">
        <f t="shared" si="119"/>
        <v>0</v>
      </c>
      <c r="AD29" s="520"/>
      <c r="AE29" s="521">
        <f t="shared" si="8"/>
        <v>0</v>
      </c>
      <c r="AF29" s="522">
        <f t="shared" si="120"/>
        <v>0</v>
      </c>
      <c r="AG29" s="520"/>
      <c r="AH29" s="521">
        <f t="shared" si="9"/>
        <v>0</v>
      </c>
      <c r="AI29" s="522">
        <f t="shared" si="121"/>
        <v>0</v>
      </c>
      <c r="AJ29" s="520"/>
      <c r="AK29" s="521">
        <f t="shared" si="10"/>
        <v>0</v>
      </c>
      <c r="AL29" s="522">
        <f t="shared" si="122"/>
        <v>0</v>
      </c>
      <c r="AM29" s="520"/>
      <c r="AN29" s="521">
        <f t="shared" si="11"/>
        <v>0</v>
      </c>
      <c r="AO29" s="522">
        <f t="shared" si="123"/>
        <v>0</v>
      </c>
      <c r="AP29" s="520">
        <v>39.873417721518962</v>
      </c>
      <c r="AQ29" s="521">
        <f t="shared" si="12"/>
        <v>0.95147392372441275</v>
      </c>
      <c r="AR29" s="522">
        <f t="shared" si="124"/>
        <v>0</v>
      </c>
      <c r="AS29" s="520"/>
      <c r="AT29" s="521">
        <f t="shared" si="13"/>
        <v>0</v>
      </c>
      <c r="AU29" s="522">
        <f t="shared" si="125"/>
        <v>0</v>
      </c>
      <c r="AV29" s="520"/>
      <c r="AW29" s="521">
        <f t="shared" si="14"/>
        <v>0</v>
      </c>
      <c r="AX29" s="522">
        <f t="shared" si="126"/>
        <v>0</v>
      </c>
      <c r="AY29" s="520">
        <v>58.333333333333371</v>
      </c>
      <c r="AZ29" s="521">
        <f t="shared" si="15"/>
        <v>1.3919711106338648</v>
      </c>
      <c r="BA29" s="522">
        <f t="shared" si="127"/>
        <v>0</v>
      </c>
      <c r="BB29" s="520"/>
      <c r="BC29" s="521">
        <f t="shared" si="16"/>
        <v>0</v>
      </c>
      <c r="BD29" s="522">
        <f t="shared" si="128"/>
        <v>0</v>
      </c>
      <c r="BE29" s="520"/>
      <c r="BF29" s="521">
        <f t="shared" si="17"/>
        <v>0</v>
      </c>
      <c r="BG29" s="522">
        <f t="shared" si="129"/>
        <v>0</v>
      </c>
      <c r="BH29" s="520"/>
      <c r="BI29" s="521">
        <f t="shared" si="18"/>
        <v>0</v>
      </c>
      <c r="BJ29" s="522">
        <f t="shared" si="130"/>
        <v>0</v>
      </c>
      <c r="BK29" s="520"/>
      <c r="BL29" s="521">
        <f t="shared" si="19"/>
        <v>0</v>
      </c>
      <c r="BM29" s="522">
        <f t="shared" si="131"/>
        <v>0</v>
      </c>
      <c r="BN29" s="520"/>
      <c r="BO29" s="521">
        <f t="shared" si="20"/>
        <v>0</v>
      </c>
      <c r="BP29" s="522">
        <f t="shared" si="132"/>
        <v>0</v>
      </c>
      <c r="BQ29" s="520"/>
      <c r="BR29" s="521">
        <f t="shared" si="21"/>
        <v>0</v>
      </c>
      <c r="BS29" s="522">
        <f t="shared" si="133"/>
        <v>0</v>
      </c>
      <c r="BT29" s="520"/>
      <c r="BU29" s="521">
        <f t="shared" si="22"/>
        <v>0</v>
      </c>
      <c r="BV29" s="522">
        <f t="shared" si="134"/>
        <v>0</v>
      </c>
      <c r="BW29" s="520"/>
      <c r="BX29" s="521">
        <f t="shared" si="23"/>
        <v>0</v>
      </c>
      <c r="BY29" s="522">
        <f t="shared" si="135"/>
        <v>0</v>
      </c>
      <c r="BZ29" s="520"/>
      <c r="CA29" s="521">
        <f t="shared" si="24"/>
        <v>0</v>
      </c>
      <c r="CB29" s="522">
        <f t="shared" si="136"/>
        <v>0</v>
      </c>
      <c r="CC29" s="520"/>
      <c r="CD29" s="521">
        <f t="shared" si="25"/>
        <v>0</v>
      </c>
      <c r="CE29" s="522">
        <f t="shared" si="137"/>
        <v>0</v>
      </c>
      <c r="CF29" s="520">
        <v>0.59999999999999787</v>
      </c>
      <c r="CG29" s="521">
        <f t="shared" si="26"/>
        <v>1.4317417137948265E-2</v>
      </c>
      <c r="CH29" s="522">
        <f t="shared" si="138"/>
        <v>0</v>
      </c>
      <c r="CI29" s="520"/>
      <c r="CJ29" s="521">
        <f t="shared" si="27"/>
        <v>0</v>
      </c>
      <c r="CK29" s="522">
        <f t="shared" si="139"/>
        <v>0</v>
      </c>
      <c r="CL29" s="520"/>
      <c r="CM29" s="521">
        <f t="shared" si="28"/>
        <v>0</v>
      </c>
      <c r="CN29" s="522">
        <f t="shared" si="140"/>
        <v>0</v>
      </c>
      <c r="CO29" s="520"/>
      <c r="CP29" s="521">
        <f t="shared" si="29"/>
        <v>0</v>
      </c>
      <c r="CQ29" s="522">
        <f t="shared" si="141"/>
        <v>0</v>
      </c>
      <c r="CR29" s="520"/>
      <c r="CS29" s="521">
        <f t="shared" si="30"/>
        <v>0</v>
      </c>
      <c r="CT29" s="522">
        <f t="shared" si="142"/>
        <v>0</v>
      </c>
      <c r="CU29" s="520"/>
      <c r="CV29" s="521">
        <f t="shared" si="31"/>
        <v>0</v>
      </c>
      <c r="CW29" s="522">
        <f t="shared" si="143"/>
        <v>0</v>
      </c>
      <c r="CX29" s="520"/>
      <c r="CY29" s="521">
        <f t="shared" si="32"/>
        <v>0</v>
      </c>
      <c r="CZ29" s="522">
        <f t="shared" si="144"/>
        <v>0</v>
      </c>
      <c r="DA29" s="520"/>
      <c r="DB29" s="521">
        <f t="shared" si="33"/>
        <v>0</v>
      </c>
      <c r="DC29" s="522">
        <f t="shared" si="145"/>
        <v>0</v>
      </c>
      <c r="DD29" s="520"/>
      <c r="DE29" s="521">
        <f t="shared" si="34"/>
        <v>0</v>
      </c>
      <c r="DF29" s="522">
        <f t="shared" si="146"/>
        <v>0</v>
      </c>
      <c r="DG29" s="520"/>
      <c r="DH29" s="521">
        <f t="shared" si="35"/>
        <v>0</v>
      </c>
      <c r="DI29" s="522">
        <f t="shared" si="203"/>
        <v>0</v>
      </c>
      <c r="DJ29" s="520"/>
      <c r="DK29" s="521">
        <f t="shared" si="36"/>
        <v>0</v>
      </c>
      <c r="DL29" s="522">
        <f t="shared" si="147"/>
        <v>0</v>
      </c>
      <c r="DM29" s="520"/>
      <c r="DN29" s="521">
        <f t="shared" si="37"/>
        <v>0</v>
      </c>
      <c r="DO29" s="522">
        <f t="shared" si="148"/>
        <v>0</v>
      </c>
      <c r="DP29" s="520"/>
      <c r="DQ29" s="521">
        <f t="shared" si="38"/>
        <v>0</v>
      </c>
      <c r="DR29" s="522">
        <f t="shared" si="149"/>
        <v>0</v>
      </c>
      <c r="DS29" s="520"/>
      <c r="DT29" s="521">
        <f t="shared" si="39"/>
        <v>0</v>
      </c>
      <c r="DU29" s="522">
        <f t="shared" si="150"/>
        <v>0</v>
      </c>
      <c r="DV29" s="520"/>
      <c r="DW29" s="521">
        <f t="shared" si="40"/>
        <v>0</v>
      </c>
      <c r="DX29" s="522">
        <f t="shared" si="151"/>
        <v>0</v>
      </c>
      <c r="DY29" s="520"/>
      <c r="DZ29" s="521">
        <f t="shared" si="41"/>
        <v>0</v>
      </c>
      <c r="EA29" s="522">
        <f t="shared" si="152"/>
        <v>0</v>
      </c>
      <c r="EB29" s="520"/>
      <c r="EC29" s="521">
        <f t="shared" si="42"/>
        <v>0</v>
      </c>
      <c r="ED29" s="522">
        <f t="shared" si="153"/>
        <v>0</v>
      </c>
      <c r="EE29" s="520">
        <v>14.534883720930239</v>
      </c>
      <c r="EF29" s="521">
        <f t="shared" si="43"/>
        <v>0.3468366554735543</v>
      </c>
      <c r="EG29" s="522">
        <f t="shared" si="154"/>
        <v>0</v>
      </c>
      <c r="EH29" s="520">
        <v>46.964705882352973</v>
      </c>
      <c r="EI29" s="521">
        <f t="shared" si="44"/>
        <v>1.1206888081311708</v>
      </c>
      <c r="EJ29" s="522">
        <f t="shared" si="155"/>
        <v>0</v>
      </c>
      <c r="EK29" s="520">
        <v>4</v>
      </c>
      <c r="EL29" s="521">
        <f t="shared" si="45"/>
        <v>9.5449447586322109E-2</v>
      </c>
      <c r="EM29" s="522">
        <f t="shared" si="156"/>
        <v>0</v>
      </c>
      <c r="EN29" s="520"/>
      <c r="EO29" s="521">
        <f t="shared" si="46"/>
        <v>0</v>
      </c>
      <c r="EP29" s="522">
        <f t="shared" si="157"/>
        <v>0</v>
      </c>
      <c r="EQ29" s="520"/>
      <c r="ER29" s="521">
        <f t="shared" si="47"/>
        <v>0</v>
      </c>
      <c r="ES29" s="522">
        <f t="shared" si="158"/>
        <v>0</v>
      </c>
      <c r="ET29" s="520"/>
      <c r="EU29" s="521">
        <f t="shared" si="48"/>
        <v>0</v>
      </c>
      <c r="EV29" s="522">
        <f t="shared" si="159"/>
        <v>0</v>
      </c>
      <c r="EW29" s="520"/>
      <c r="EX29" s="521">
        <f t="shared" si="49"/>
        <v>0</v>
      </c>
      <c r="EY29" s="522">
        <f t="shared" si="160"/>
        <v>0</v>
      </c>
      <c r="EZ29" s="520"/>
      <c r="FA29" s="521">
        <f t="shared" si="50"/>
        <v>0</v>
      </c>
      <c r="FB29" s="522">
        <f t="shared" si="161"/>
        <v>0</v>
      </c>
      <c r="FC29" s="520"/>
      <c r="FD29" s="521">
        <f t="shared" si="51"/>
        <v>0</v>
      </c>
      <c r="FE29" s="522">
        <f t="shared" si="162"/>
        <v>0</v>
      </c>
      <c r="FF29" s="520"/>
      <c r="FG29" s="521">
        <f t="shared" si="52"/>
        <v>0</v>
      </c>
      <c r="FH29" s="522">
        <f t="shared" si="163"/>
        <v>0</v>
      </c>
      <c r="FI29" s="520"/>
      <c r="FJ29" s="521">
        <f t="shared" si="53"/>
        <v>0</v>
      </c>
      <c r="FK29" s="522">
        <f t="shared" si="164"/>
        <v>0</v>
      </c>
      <c r="FL29" s="520"/>
      <c r="FM29" s="521">
        <f t="shared" si="54"/>
        <v>0</v>
      </c>
      <c r="FN29" s="522">
        <f t="shared" si="165"/>
        <v>0</v>
      </c>
      <c r="FO29" s="520"/>
      <c r="FP29" s="521">
        <f t="shared" si="55"/>
        <v>0</v>
      </c>
      <c r="FQ29" s="522">
        <f t="shared" si="166"/>
        <v>0</v>
      </c>
      <c r="FR29" s="520"/>
      <c r="FS29" s="521">
        <f t="shared" si="56"/>
        <v>0</v>
      </c>
      <c r="FT29" s="522">
        <f t="shared" si="167"/>
        <v>0</v>
      </c>
      <c r="FU29" s="520"/>
      <c r="FV29" s="521">
        <f t="shared" si="57"/>
        <v>0</v>
      </c>
      <c r="FW29" s="522">
        <f t="shared" si="168"/>
        <v>0</v>
      </c>
      <c r="FX29" s="520"/>
      <c r="FY29" s="521">
        <f t="shared" si="58"/>
        <v>0</v>
      </c>
      <c r="FZ29" s="522">
        <f t="shared" si="169"/>
        <v>0</v>
      </c>
      <c r="GA29" s="520"/>
      <c r="GB29" s="521">
        <f t="shared" si="59"/>
        <v>0</v>
      </c>
      <c r="GC29" s="522">
        <f t="shared" si="170"/>
        <v>0</v>
      </c>
      <c r="GD29" s="520"/>
      <c r="GE29" s="521">
        <f t="shared" si="60"/>
        <v>0</v>
      </c>
      <c r="GF29" s="522">
        <f t="shared" si="171"/>
        <v>0</v>
      </c>
      <c r="GG29" s="520"/>
      <c r="GH29" s="521">
        <f t="shared" si="61"/>
        <v>0</v>
      </c>
      <c r="GI29" s="522">
        <f t="shared" si="172"/>
        <v>0</v>
      </c>
      <c r="GJ29" s="520"/>
      <c r="GK29" s="521">
        <f t="shared" si="62"/>
        <v>0</v>
      </c>
      <c r="GL29" s="522">
        <f t="shared" si="173"/>
        <v>0</v>
      </c>
      <c r="GM29" s="520"/>
      <c r="GN29" s="521">
        <f t="shared" si="63"/>
        <v>0</v>
      </c>
      <c r="GO29" s="522">
        <f t="shared" si="174"/>
        <v>0</v>
      </c>
      <c r="GP29" s="520"/>
      <c r="GQ29" s="521">
        <f t="shared" si="64"/>
        <v>0</v>
      </c>
      <c r="GR29" s="522">
        <f t="shared" si="175"/>
        <v>0</v>
      </c>
      <c r="GS29" s="520"/>
      <c r="GT29" s="521">
        <f t="shared" si="65"/>
        <v>0</v>
      </c>
      <c r="GU29" s="522">
        <f t="shared" si="176"/>
        <v>0</v>
      </c>
      <c r="GV29" s="520"/>
      <c r="GW29" s="521">
        <f t="shared" si="66"/>
        <v>0</v>
      </c>
      <c r="GX29" s="522">
        <f t="shared" si="177"/>
        <v>0</v>
      </c>
      <c r="GY29" s="520"/>
      <c r="GZ29" s="521">
        <f t="shared" si="67"/>
        <v>0</v>
      </c>
      <c r="HA29" s="522">
        <f t="shared" si="178"/>
        <v>0</v>
      </c>
      <c r="HB29" s="520"/>
      <c r="HC29" s="521">
        <f t="shared" si="68"/>
        <v>0</v>
      </c>
      <c r="HD29" s="522">
        <f t="shared" si="179"/>
        <v>0</v>
      </c>
      <c r="HE29" s="520"/>
      <c r="HF29" s="521">
        <f t="shared" si="69"/>
        <v>0</v>
      </c>
      <c r="HG29" s="522">
        <f t="shared" si="180"/>
        <v>0</v>
      </c>
      <c r="HH29" s="520"/>
      <c r="HI29" s="521">
        <f t="shared" si="70"/>
        <v>0</v>
      </c>
      <c r="HJ29" s="522">
        <f t="shared" si="181"/>
        <v>0</v>
      </c>
      <c r="HK29" s="520"/>
      <c r="HL29" s="521">
        <f t="shared" si="71"/>
        <v>0</v>
      </c>
      <c r="HM29" s="522">
        <f t="shared" si="182"/>
        <v>0</v>
      </c>
      <c r="HN29" s="520"/>
      <c r="HO29" s="521">
        <f t="shared" si="72"/>
        <v>0</v>
      </c>
      <c r="HP29" s="522">
        <f t="shared" si="183"/>
        <v>0</v>
      </c>
      <c r="HQ29" s="520"/>
      <c r="HR29" s="521">
        <f t="shared" si="73"/>
        <v>0</v>
      </c>
      <c r="HS29" s="522">
        <f t="shared" si="184"/>
        <v>0</v>
      </c>
      <c r="HT29" s="520"/>
      <c r="HU29" s="521">
        <f t="shared" si="74"/>
        <v>0</v>
      </c>
      <c r="HV29" s="522">
        <f t="shared" si="185"/>
        <v>0</v>
      </c>
      <c r="HW29" s="520"/>
      <c r="HX29" s="521">
        <f t="shared" si="75"/>
        <v>0</v>
      </c>
      <c r="HY29" s="522">
        <f t="shared" si="186"/>
        <v>0</v>
      </c>
      <c r="HZ29" s="520"/>
      <c r="IA29" s="521">
        <f t="shared" si="76"/>
        <v>0</v>
      </c>
      <c r="IB29" s="522">
        <f t="shared" si="187"/>
        <v>0</v>
      </c>
      <c r="IC29" s="520"/>
      <c r="ID29" s="521">
        <f t="shared" si="77"/>
        <v>0</v>
      </c>
      <c r="IE29" s="522">
        <f t="shared" si="188"/>
        <v>0</v>
      </c>
      <c r="IF29" s="520"/>
      <c r="IG29" s="521">
        <f t="shared" si="78"/>
        <v>0</v>
      </c>
      <c r="IH29" s="522">
        <f t="shared" si="189"/>
        <v>0</v>
      </c>
      <c r="II29" s="520"/>
      <c r="IJ29" s="521">
        <f t="shared" si="79"/>
        <v>0</v>
      </c>
      <c r="IK29" s="522">
        <f t="shared" si="190"/>
        <v>0</v>
      </c>
      <c r="IL29" s="520"/>
      <c r="IM29" s="521">
        <f t="shared" si="80"/>
        <v>0</v>
      </c>
      <c r="IN29" s="522">
        <f t="shared" si="191"/>
        <v>0</v>
      </c>
      <c r="IO29" s="520"/>
      <c r="IP29" s="521">
        <f t="shared" si="81"/>
        <v>0</v>
      </c>
      <c r="IQ29" s="522">
        <f t="shared" si="192"/>
        <v>0</v>
      </c>
      <c r="IR29" s="520"/>
      <c r="IS29" s="521">
        <f t="shared" si="82"/>
        <v>0</v>
      </c>
      <c r="IT29" s="522">
        <f t="shared" si="193"/>
        <v>0</v>
      </c>
      <c r="IU29" s="520"/>
      <c r="IV29" s="521">
        <f t="shared" si="83"/>
        <v>0</v>
      </c>
      <c r="IW29" s="522">
        <f t="shared" si="194"/>
        <v>0</v>
      </c>
      <c r="IX29" s="520"/>
      <c r="IY29" s="521">
        <f t="shared" si="84"/>
        <v>0</v>
      </c>
      <c r="IZ29" s="522">
        <f t="shared" si="195"/>
        <v>0</v>
      </c>
      <c r="JA29" s="520"/>
      <c r="JB29" s="521">
        <f t="shared" si="85"/>
        <v>0</v>
      </c>
      <c r="JC29" s="522">
        <f t="shared" si="196"/>
        <v>0</v>
      </c>
      <c r="JD29" s="520"/>
      <c r="JE29" s="521">
        <f t="shared" si="86"/>
        <v>0</v>
      </c>
      <c r="JF29" s="522">
        <f t="shared" si="197"/>
        <v>0</v>
      </c>
      <c r="JG29" s="520"/>
      <c r="JH29" s="521">
        <f t="shared" si="87"/>
        <v>0</v>
      </c>
      <c r="JI29" s="522">
        <f t="shared" si="198"/>
        <v>0</v>
      </c>
      <c r="JJ29" s="520"/>
      <c r="JK29" s="522" t="str">
        <f t="shared" si="88"/>
        <v>0</v>
      </c>
      <c r="JL29" s="522" t="str">
        <f t="shared" si="89"/>
        <v>0</v>
      </c>
      <c r="JM29" s="520"/>
      <c r="JN29" s="522" t="str">
        <f t="shared" si="90"/>
        <v>0</v>
      </c>
      <c r="JO29" s="522" t="str">
        <f t="shared" si="91"/>
        <v>0</v>
      </c>
      <c r="JP29" s="520"/>
      <c r="JQ29" s="522" t="str">
        <f t="shared" si="92"/>
        <v>0</v>
      </c>
      <c r="JR29" s="522" t="str">
        <f t="shared" si="93"/>
        <v>0</v>
      </c>
      <c r="JS29" s="520"/>
      <c r="JT29" s="522" t="str">
        <f t="shared" si="94"/>
        <v>0</v>
      </c>
      <c r="JU29" s="522" t="str">
        <f t="shared" si="95"/>
        <v>0</v>
      </c>
      <c r="JV29" s="520"/>
      <c r="JW29" s="522" t="str">
        <f t="shared" si="96"/>
        <v>0</v>
      </c>
      <c r="JX29" s="522" t="str">
        <f t="shared" si="97"/>
        <v>0</v>
      </c>
      <c r="JY29" s="520"/>
      <c r="JZ29" s="522" t="str">
        <f t="shared" si="98"/>
        <v>0</v>
      </c>
      <c r="KA29" s="522" t="str">
        <f t="shared" si="99"/>
        <v>0</v>
      </c>
      <c r="KB29" s="520"/>
      <c r="KC29" s="522" t="str">
        <f t="shared" si="100"/>
        <v>0</v>
      </c>
      <c r="KD29" s="522" t="str">
        <f t="shared" si="101"/>
        <v>0</v>
      </c>
      <c r="KE29" s="520"/>
      <c r="KF29" s="522" t="str">
        <f t="shared" si="102"/>
        <v>0</v>
      </c>
      <c r="KG29" s="522" t="str">
        <f t="shared" si="103"/>
        <v>0</v>
      </c>
      <c r="KH29" s="520"/>
      <c r="KI29" s="522" t="str">
        <f t="shared" si="104"/>
        <v>0</v>
      </c>
      <c r="KJ29" s="522" t="str">
        <f t="shared" si="105"/>
        <v>0</v>
      </c>
      <c r="KK29" s="520"/>
      <c r="KL29" s="522" t="str">
        <f t="shared" si="106"/>
        <v>0</v>
      </c>
      <c r="KM29" s="522" t="str">
        <f t="shared" si="107"/>
        <v>0</v>
      </c>
      <c r="KN29" s="520"/>
      <c r="KO29" s="522" t="str">
        <f t="shared" si="108"/>
        <v>0</v>
      </c>
      <c r="KP29" s="522" t="str">
        <f t="shared" si="109"/>
        <v>0</v>
      </c>
      <c r="KQ29" s="520"/>
      <c r="KR29" s="522" t="str">
        <f t="shared" si="110"/>
        <v>0</v>
      </c>
      <c r="KS29" s="522" t="str">
        <f t="shared" si="111"/>
        <v>0</v>
      </c>
      <c r="KT29" s="522">
        <f t="shared" si="201"/>
        <v>0</v>
      </c>
      <c r="KU29" s="522">
        <f t="shared" si="202"/>
        <v>0</v>
      </c>
      <c r="KV29" s="267">
        <f t="shared" si="199"/>
        <v>416.52073019301935</v>
      </c>
    </row>
    <row r="30" spans="1:309">
      <c r="A30" s="268">
        <f t="shared" si="200"/>
        <v>45891</v>
      </c>
      <c r="B30" s="269" t="str">
        <f>+Report1!B30</f>
        <v>Facial/Toilet</v>
      </c>
      <c r="C30" s="269" t="str">
        <f>+Report1!C30</f>
        <v>12/13</v>
      </c>
      <c r="D30" s="270">
        <f>+Report1!P30</f>
        <v>45.057000000000002</v>
      </c>
      <c r="E30" s="558">
        <f>+Report1!R30</f>
        <v>44.767000000000003</v>
      </c>
      <c r="F30" s="520"/>
      <c r="G30" s="521">
        <f t="shared" si="0"/>
        <v>0</v>
      </c>
      <c r="H30" s="522">
        <f t="shared" si="112"/>
        <v>0</v>
      </c>
      <c r="I30" s="520">
        <v>162.79069767441842</v>
      </c>
      <c r="J30" s="521">
        <f t="shared" si="1"/>
        <v>3.6363995280992341</v>
      </c>
      <c r="K30" s="522">
        <f t="shared" si="113"/>
        <v>0</v>
      </c>
      <c r="L30" s="520"/>
      <c r="M30" s="521">
        <f t="shared" si="2"/>
        <v>0</v>
      </c>
      <c r="N30" s="522">
        <f t="shared" si="114"/>
        <v>0</v>
      </c>
      <c r="O30" s="520">
        <v>6</v>
      </c>
      <c r="P30" s="521">
        <f t="shared" si="3"/>
        <v>0.13402729689280049</v>
      </c>
      <c r="Q30" s="522">
        <f t="shared" si="115"/>
        <v>0</v>
      </c>
      <c r="R30" s="520"/>
      <c r="S30" s="521">
        <f t="shared" si="4"/>
        <v>0</v>
      </c>
      <c r="T30" s="522">
        <f t="shared" si="116"/>
        <v>0</v>
      </c>
      <c r="U30" s="520">
        <v>8.9687500000000284</v>
      </c>
      <c r="V30" s="521">
        <f t="shared" si="5"/>
        <v>0.20034288650121804</v>
      </c>
      <c r="W30" s="522">
        <f t="shared" si="117"/>
        <v>0</v>
      </c>
      <c r="X30" s="520"/>
      <c r="Y30" s="521">
        <f t="shared" si="6"/>
        <v>0</v>
      </c>
      <c r="Z30" s="522">
        <f t="shared" si="118"/>
        <v>0</v>
      </c>
      <c r="AA30" s="520">
        <v>3.125</v>
      </c>
      <c r="AB30" s="521">
        <f t="shared" si="7"/>
        <v>6.9805883798333593E-2</v>
      </c>
      <c r="AC30" s="522">
        <f t="shared" si="119"/>
        <v>0</v>
      </c>
      <c r="AD30" s="520"/>
      <c r="AE30" s="521">
        <f t="shared" si="8"/>
        <v>0</v>
      </c>
      <c r="AF30" s="522">
        <f t="shared" si="120"/>
        <v>0</v>
      </c>
      <c r="AG30" s="520"/>
      <c r="AH30" s="521">
        <f t="shared" si="9"/>
        <v>0</v>
      </c>
      <c r="AI30" s="522">
        <f t="shared" si="121"/>
        <v>0</v>
      </c>
      <c r="AJ30" s="520"/>
      <c r="AK30" s="521">
        <f t="shared" si="10"/>
        <v>0</v>
      </c>
      <c r="AL30" s="522">
        <f t="shared" si="122"/>
        <v>0</v>
      </c>
      <c r="AM30" s="520"/>
      <c r="AN30" s="521">
        <f t="shared" si="11"/>
        <v>0</v>
      </c>
      <c r="AO30" s="522">
        <f t="shared" si="123"/>
        <v>0</v>
      </c>
      <c r="AP30" s="520">
        <v>48.417721518987349</v>
      </c>
      <c r="AQ30" s="521">
        <f t="shared" si="12"/>
        <v>1.0815493894830421</v>
      </c>
      <c r="AR30" s="522">
        <f t="shared" si="124"/>
        <v>0</v>
      </c>
      <c r="AS30" s="520"/>
      <c r="AT30" s="521">
        <f t="shared" si="13"/>
        <v>0</v>
      </c>
      <c r="AU30" s="522">
        <f t="shared" si="125"/>
        <v>0</v>
      </c>
      <c r="AV30" s="520"/>
      <c r="AW30" s="521">
        <f t="shared" si="14"/>
        <v>0</v>
      </c>
      <c r="AX30" s="522">
        <f t="shared" si="126"/>
        <v>0</v>
      </c>
      <c r="AY30" s="520">
        <v>67.666666666666629</v>
      </c>
      <c r="AZ30" s="521">
        <f t="shared" si="15"/>
        <v>1.5115300705132491</v>
      </c>
      <c r="BA30" s="522">
        <f t="shared" si="127"/>
        <v>0</v>
      </c>
      <c r="BB30" s="520"/>
      <c r="BC30" s="521">
        <f t="shared" si="16"/>
        <v>0</v>
      </c>
      <c r="BD30" s="522">
        <f t="shared" si="128"/>
        <v>0</v>
      </c>
      <c r="BE30" s="520"/>
      <c r="BF30" s="521">
        <f t="shared" si="17"/>
        <v>0</v>
      </c>
      <c r="BG30" s="522">
        <f t="shared" si="129"/>
        <v>0</v>
      </c>
      <c r="BH30" s="520"/>
      <c r="BI30" s="521">
        <f t="shared" si="18"/>
        <v>0</v>
      </c>
      <c r="BJ30" s="522">
        <f t="shared" si="130"/>
        <v>0</v>
      </c>
      <c r="BK30" s="520"/>
      <c r="BL30" s="521">
        <f t="shared" si="19"/>
        <v>0</v>
      </c>
      <c r="BM30" s="522">
        <f t="shared" si="131"/>
        <v>0</v>
      </c>
      <c r="BN30" s="520"/>
      <c r="BO30" s="521">
        <f t="shared" si="20"/>
        <v>0</v>
      </c>
      <c r="BP30" s="522">
        <f t="shared" si="132"/>
        <v>0</v>
      </c>
      <c r="BQ30" s="520">
        <v>25.316455696202581</v>
      </c>
      <c r="BR30" s="521">
        <f t="shared" si="21"/>
        <v>0.56551602064472895</v>
      </c>
      <c r="BS30" s="522">
        <f t="shared" si="133"/>
        <v>0</v>
      </c>
      <c r="BT30" s="520"/>
      <c r="BU30" s="521">
        <f t="shared" si="22"/>
        <v>0</v>
      </c>
      <c r="BV30" s="522">
        <f t="shared" si="134"/>
        <v>0</v>
      </c>
      <c r="BW30" s="520"/>
      <c r="BX30" s="521">
        <f t="shared" si="23"/>
        <v>0</v>
      </c>
      <c r="BY30" s="522">
        <f t="shared" si="135"/>
        <v>0</v>
      </c>
      <c r="BZ30" s="520"/>
      <c r="CA30" s="521">
        <f t="shared" si="24"/>
        <v>0</v>
      </c>
      <c r="CB30" s="522">
        <f t="shared" si="136"/>
        <v>0</v>
      </c>
      <c r="CC30" s="520"/>
      <c r="CD30" s="521">
        <f t="shared" si="25"/>
        <v>0</v>
      </c>
      <c r="CE30" s="522">
        <f t="shared" si="137"/>
        <v>0</v>
      </c>
      <c r="CF30" s="520">
        <v>1</v>
      </c>
      <c r="CG30" s="521">
        <f t="shared" si="26"/>
        <v>2.233788281546675E-2</v>
      </c>
      <c r="CH30" s="522">
        <f t="shared" si="138"/>
        <v>0</v>
      </c>
      <c r="CI30" s="520"/>
      <c r="CJ30" s="521">
        <f t="shared" si="27"/>
        <v>0</v>
      </c>
      <c r="CK30" s="522">
        <f t="shared" si="139"/>
        <v>0</v>
      </c>
      <c r="CL30" s="520"/>
      <c r="CM30" s="521">
        <f t="shared" si="28"/>
        <v>0</v>
      </c>
      <c r="CN30" s="522">
        <f t="shared" si="140"/>
        <v>0</v>
      </c>
      <c r="CO30" s="520"/>
      <c r="CP30" s="521">
        <f t="shared" si="29"/>
        <v>0</v>
      </c>
      <c r="CQ30" s="522">
        <f t="shared" si="141"/>
        <v>0</v>
      </c>
      <c r="CR30" s="520"/>
      <c r="CS30" s="521">
        <f t="shared" si="30"/>
        <v>0</v>
      </c>
      <c r="CT30" s="522">
        <f t="shared" si="142"/>
        <v>0</v>
      </c>
      <c r="CU30" s="520"/>
      <c r="CV30" s="521">
        <f t="shared" si="31"/>
        <v>0</v>
      </c>
      <c r="CW30" s="522">
        <f t="shared" si="143"/>
        <v>0</v>
      </c>
      <c r="CX30" s="520"/>
      <c r="CY30" s="521">
        <f t="shared" si="32"/>
        <v>0</v>
      </c>
      <c r="CZ30" s="522">
        <f t="shared" si="144"/>
        <v>0</v>
      </c>
      <c r="DA30" s="520">
        <v>72.674418604651237</v>
      </c>
      <c r="DB30" s="521">
        <f t="shared" si="33"/>
        <v>1.6233926464728758</v>
      </c>
      <c r="DC30" s="522">
        <f t="shared" si="145"/>
        <v>0</v>
      </c>
      <c r="DD30" s="520"/>
      <c r="DE30" s="521">
        <f t="shared" si="34"/>
        <v>0</v>
      </c>
      <c r="DF30" s="522">
        <f t="shared" si="146"/>
        <v>0</v>
      </c>
      <c r="DG30" s="520"/>
      <c r="DH30" s="521">
        <f t="shared" si="35"/>
        <v>0</v>
      </c>
      <c r="DI30" s="522">
        <f t="shared" si="203"/>
        <v>0</v>
      </c>
      <c r="DJ30" s="520"/>
      <c r="DK30" s="521">
        <f t="shared" si="36"/>
        <v>0</v>
      </c>
      <c r="DL30" s="522">
        <f t="shared" si="147"/>
        <v>0</v>
      </c>
      <c r="DM30" s="520"/>
      <c r="DN30" s="521">
        <f t="shared" si="37"/>
        <v>0</v>
      </c>
      <c r="DO30" s="522">
        <f t="shared" si="148"/>
        <v>0</v>
      </c>
      <c r="DP30" s="520"/>
      <c r="DQ30" s="521">
        <f t="shared" si="38"/>
        <v>0</v>
      </c>
      <c r="DR30" s="522">
        <f t="shared" si="149"/>
        <v>0</v>
      </c>
      <c r="DS30" s="520"/>
      <c r="DT30" s="521">
        <f t="shared" si="39"/>
        <v>0</v>
      </c>
      <c r="DU30" s="522">
        <f t="shared" si="150"/>
        <v>0</v>
      </c>
      <c r="DV30" s="520"/>
      <c r="DW30" s="521">
        <f t="shared" si="40"/>
        <v>0</v>
      </c>
      <c r="DX30" s="522">
        <f t="shared" si="151"/>
        <v>0</v>
      </c>
      <c r="DY30" s="520"/>
      <c r="DZ30" s="521">
        <f t="shared" si="41"/>
        <v>0</v>
      </c>
      <c r="EA30" s="522">
        <f t="shared" si="152"/>
        <v>0</v>
      </c>
      <c r="EB30" s="520"/>
      <c r="EC30" s="521">
        <f t="shared" si="42"/>
        <v>0</v>
      </c>
      <c r="ED30" s="522">
        <f t="shared" si="153"/>
        <v>0</v>
      </c>
      <c r="EE30" s="520">
        <v>14.534883720930239</v>
      </c>
      <c r="EF30" s="521">
        <f t="shared" si="43"/>
        <v>0.32467852929457497</v>
      </c>
      <c r="EG30" s="522">
        <f t="shared" si="154"/>
        <v>0</v>
      </c>
      <c r="EH30" s="520">
        <v>46.964705882352973</v>
      </c>
      <c r="EI30" s="521">
        <f t="shared" si="44"/>
        <v>1.0490920964628625</v>
      </c>
      <c r="EJ30" s="522">
        <f t="shared" si="155"/>
        <v>0</v>
      </c>
      <c r="EK30" s="520">
        <v>4</v>
      </c>
      <c r="EL30" s="521">
        <f t="shared" si="45"/>
        <v>8.9351531261866998E-2</v>
      </c>
      <c r="EM30" s="522">
        <f t="shared" si="156"/>
        <v>0</v>
      </c>
      <c r="EN30" s="520"/>
      <c r="EO30" s="521">
        <f t="shared" si="46"/>
        <v>0</v>
      </c>
      <c r="EP30" s="522">
        <f t="shared" si="157"/>
        <v>0</v>
      </c>
      <c r="EQ30" s="520"/>
      <c r="ER30" s="521">
        <f t="shared" si="47"/>
        <v>0</v>
      </c>
      <c r="ES30" s="522">
        <f t="shared" si="158"/>
        <v>0</v>
      </c>
      <c r="ET30" s="520"/>
      <c r="EU30" s="521">
        <f t="shared" si="48"/>
        <v>0</v>
      </c>
      <c r="EV30" s="522">
        <f t="shared" si="159"/>
        <v>0</v>
      </c>
      <c r="EW30" s="520"/>
      <c r="EX30" s="521">
        <f t="shared" si="49"/>
        <v>0</v>
      </c>
      <c r="EY30" s="522">
        <f t="shared" si="160"/>
        <v>0</v>
      </c>
      <c r="EZ30" s="520"/>
      <c r="FA30" s="521">
        <f t="shared" si="50"/>
        <v>0</v>
      </c>
      <c r="FB30" s="522">
        <f t="shared" si="161"/>
        <v>0</v>
      </c>
      <c r="FC30" s="520"/>
      <c r="FD30" s="521">
        <f t="shared" si="51"/>
        <v>0</v>
      </c>
      <c r="FE30" s="522">
        <f t="shared" si="162"/>
        <v>0</v>
      </c>
      <c r="FF30" s="520"/>
      <c r="FG30" s="521">
        <f t="shared" si="52"/>
        <v>0</v>
      </c>
      <c r="FH30" s="522">
        <f t="shared" si="163"/>
        <v>0</v>
      </c>
      <c r="FI30" s="520"/>
      <c r="FJ30" s="521">
        <f t="shared" si="53"/>
        <v>0</v>
      </c>
      <c r="FK30" s="522">
        <f t="shared" si="164"/>
        <v>0</v>
      </c>
      <c r="FL30" s="520"/>
      <c r="FM30" s="521">
        <f t="shared" si="54"/>
        <v>0</v>
      </c>
      <c r="FN30" s="522">
        <f t="shared" si="165"/>
        <v>0</v>
      </c>
      <c r="FO30" s="520"/>
      <c r="FP30" s="521">
        <f t="shared" si="55"/>
        <v>0</v>
      </c>
      <c r="FQ30" s="522">
        <f t="shared" si="166"/>
        <v>0</v>
      </c>
      <c r="FR30" s="520"/>
      <c r="FS30" s="521">
        <f t="shared" si="56"/>
        <v>0</v>
      </c>
      <c r="FT30" s="522">
        <f t="shared" si="167"/>
        <v>0</v>
      </c>
      <c r="FU30" s="520"/>
      <c r="FV30" s="521">
        <f t="shared" si="57"/>
        <v>0</v>
      </c>
      <c r="FW30" s="522">
        <f t="shared" si="168"/>
        <v>0</v>
      </c>
      <c r="FX30" s="520"/>
      <c r="FY30" s="521">
        <f t="shared" si="58"/>
        <v>0</v>
      </c>
      <c r="FZ30" s="522">
        <f t="shared" si="169"/>
        <v>0</v>
      </c>
      <c r="GA30" s="520"/>
      <c r="GB30" s="521">
        <f t="shared" si="59"/>
        <v>0</v>
      </c>
      <c r="GC30" s="522">
        <f t="shared" si="170"/>
        <v>0</v>
      </c>
      <c r="GD30" s="520"/>
      <c r="GE30" s="521">
        <f t="shared" si="60"/>
        <v>0</v>
      </c>
      <c r="GF30" s="522">
        <f t="shared" si="171"/>
        <v>0</v>
      </c>
      <c r="GG30" s="520"/>
      <c r="GH30" s="521">
        <f t="shared" si="61"/>
        <v>0</v>
      </c>
      <c r="GI30" s="522">
        <f t="shared" si="172"/>
        <v>0</v>
      </c>
      <c r="GJ30" s="520"/>
      <c r="GK30" s="521">
        <f t="shared" si="62"/>
        <v>0</v>
      </c>
      <c r="GL30" s="522">
        <f t="shared" si="173"/>
        <v>0</v>
      </c>
      <c r="GM30" s="520"/>
      <c r="GN30" s="521">
        <f t="shared" si="63"/>
        <v>0</v>
      </c>
      <c r="GO30" s="522">
        <f t="shared" si="174"/>
        <v>0</v>
      </c>
      <c r="GP30" s="520"/>
      <c r="GQ30" s="521">
        <f t="shared" si="64"/>
        <v>0</v>
      </c>
      <c r="GR30" s="522">
        <f t="shared" si="175"/>
        <v>0</v>
      </c>
      <c r="GS30" s="520"/>
      <c r="GT30" s="521">
        <f t="shared" si="65"/>
        <v>0</v>
      </c>
      <c r="GU30" s="522">
        <f t="shared" si="176"/>
        <v>0</v>
      </c>
      <c r="GV30" s="520"/>
      <c r="GW30" s="521">
        <f t="shared" si="66"/>
        <v>0</v>
      </c>
      <c r="GX30" s="522">
        <f t="shared" si="177"/>
        <v>0</v>
      </c>
      <c r="GY30" s="520"/>
      <c r="GZ30" s="521">
        <f t="shared" si="67"/>
        <v>0</v>
      </c>
      <c r="HA30" s="522">
        <f t="shared" si="178"/>
        <v>0</v>
      </c>
      <c r="HB30" s="520"/>
      <c r="HC30" s="521">
        <f t="shared" si="68"/>
        <v>0</v>
      </c>
      <c r="HD30" s="522">
        <f t="shared" si="179"/>
        <v>0</v>
      </c>
      <c r="HE30" s="520"/>
      <c r="HF30" s="521">
        <f t="shared" si="69"/>
        <v>0</v>
      </c>
      <c r="HG30" s="522">
        <f t="shared" si="180"/>
        <v>0</v>
      </c>
      <c r="HH30" s="520"/>
      <c r="HI30" s="521">
        <f t="shared" si="70"/>
        <v>0</v>
      </c>
      <c r="HJ30" s="522">
        <f t="shared" si="181"/>
        <v>0</v>
      </c>
      <c r="HK30" s="520"/>
      <c r="HL30" s="521">
        <f t="shared" si="71"/>
        <v>0</v>
      </c>
      <c r="HM30" s="522">
        <f t="shared" si="182"/>
        <v>0</v>
      </c>
      <c r="HN30" s="520"/>
      <c r="HO30" s="521">
        <f t="shared" si="72"/>
        <v>0</v>
      </c>
      <c r="HP30" s="522">
        <f t="shared" si="183"/>
        <v>0</v>
      </c>
      <c r="HQ30" s="520"/>
      <c r="HR30" s="521">
        <f t="shared" si="73"/>
        <v>0</v>
      </c>
      <c r="HS30" s="522">
        <f t="shared" si="184"/>
        <v>0</v>
      </c>
      <c r="HT30" s="520"/>
      <c r="HU30" s="521">
        <f t="shared" si="74"/>
        <v>0</v>
      </c>
      <c r="HV30" s="522">
        <f t="shared" si="185"/>
        <v>0</v>
      </c>
      <c r="HW30" s="520"/>
      <c r="HX30" s="521">
        <f t="shared" si="75"/>
        <v>0</v>
      </c>
      <c r="HY30" s="522">
        <f t="shared" si="186"/>
        <v>0</v>
      </c>
      <c r="HZ30" s="520"/>
      <c r="IA30" s="521">
        <f t="shared" si="76"/>
        <v>0</v>
      </c>
      <c r="IB30" s="522">
        <f t="shared" si="187"/>
        <v>0</v>
      </c>
      <c r="IC30" s="520"/>
      <c r="ID30" s="521">
        <f t="shared" si="77"/>
        <v>0</v>
      </c>
      <c r="IE30" s="522">
        <f t="shared" si="188"/>
        <v>0</v>
      </c>
      <c r="IF30" s="520"/>
      <c r="IG30" s="521">
        <f t="shared" si="78"/>
        <v>0</v>
      </c>
      <c r="IH30" s="522">
        <f t="shared" si="189"/>
        <v>0</v>
      </c>
      <c r="II30" s="520"/>
      <c r="IJ30" s="521">
        <f t="shared" si="79"/>
        <v>0</v>
      </c>
      <c r="IK30" s="522">
        <f t="shared" si="190"/>
        <v>0</v>
      </c>
      <c r="IL30" s="520"/>
      <c r="IM30" s="521">
        <f t="shared" si="80"/>
        <v>0</v>
      </c>
      <c r="IN30" s="522">
        <f t="shared" si="191"/>
        <v>0</v>
      </c>
      <c r="IO30" s="520"/>
      <c r="IP30" s="521">
        <f t="shared" si="81"/>
        <v>0</v>
      </c>
      <c r="IQ30" s="522">
        <f t="shared" si="192"/>
        <v>0</v>
      </c>
      <c r="IR30" s="520"/>
      <c r="IS30" s="521">
        <f t="shared" si="82"/>
        <v>0</v>
      </c>
      <c r="IT30" s="522">
        <f t="shared" si="193"/>
        <v>0</v>
      </c>
      <c r="IU30" s="520"/>
      <c r="IV30" s="521">
        <f t="shared" si="83"/>
        <v>0</v>
      </c>
      <c r="IW30" s="522">
        <f t="shared" si="194"/>
        <v>0</v>
      </c>
      <c r="IX30" s="520"/>
      <c r="IY30" s="521">
        <f t="shared" si="84"/>
        <v>0</v>
      </c>
      <c r="IZ30" s="522">
        <f t="shared" si="195"/>
        <v>0</v>
      </c>
      <c r="JA30" s="520"/>
      <c r="JB30" s="521">
        <f t="shared" si="85"/>
        <v>0</v>
      </c>
      <c r="JC30" s="522">
        <f t="shared" si="196"/>
        <v>0</v>
      </c>
      <c r="JD30" s="520"/>
      <c r="JE30" s="521">
        <f t="shared" si="86"/>
        <v>0</v>
      </c>
      <c r="JF30" s="522">
        <f t="shared" si="197"/>
        <v>0</v>
      </c>
      <c r="JG30" s="520"/>
      <c r="JH30" s="521">
        <f t="shared" si="87"/>
        <v>0</v>
      </c>
      <c r="JI30" s="522">
        <f t="shared" si="198"/>
        <v>0</v>
      </c>
      <c r="JJ30" s="520"/>
      <c r="JK30" s="522" t="str">
        <f t="shared" si="88"/>
        <v>0</v>
      </c>
      <c r="JL30" s="522" t="str">
        <f t="shared" si="89"/>
        <v>0</v>
      </c>
      <c r="JM30" s="520"/>
      <c r="JN30" s="522" t="str">
        <f t="shared" si="90"/>
        <v>0</v>
      </c>
      <c r="JO30" s="522" t="str">
        <f t="shared" si="91"/>
        <v>0</v>
      </c>
      <c r="JP30" s="520"/>
      <c r="JQ30" s="522" t="str">
        <f t="shared" si="92"/>
        <v>0</v>
      </c>
      <c r="JR30" s="522" t="str">
        <f t="shared" si="93"/>
        <v>0</v>
      </c>
      <c r="JS30" s="520"/>
      <c r="JT30" s="522" t="str">
        <f t="shared" si="94"/>
        <v>0</v>
      </c>
      <c r="JU30" s="522" t="str">
        <f t="shared" si="95"/>
        <v>0</v>
      </c>
      <c r="JV30" s="520"/>
      <c r="JW30" s="522" t="str">
        <f t="shared" si="96"/>
        <v>0</v>
      </c>
      <c r="JX30" s="522" t="str">
        <f t="shared" si="97"/>
        <v>0</v>
      </c>
      <c r="JY30" s="520"/>
      <c r="JZ30" s="522" t="str">
        <f t="shared" si="98"/>
        <v>0</v>
      </c>
      <c r="KA30" s="522" t="str">
        <f t="shared" si="99"/>
        <v>0</v>
      </c>
      <c r="KB30" s="520"/>
      <c r="KC30" s="522" t="str">
        <f t="shared" si="100"/>
        <v>0</v>
      </c>
      <c r="KD30" s="522" t="str">
        <f t="shared" si="101"/>
        <v>0</v>
      </c>
      <c r="KE30" s="520"/>
      <c r="KF30" s="522" t="str">
        <f t="shared" si="102"/>
        <v>0</v>
      </c>
      <c r="KG30" s="522" t="str">
        <f t="shared" si="103"/>
        <v>0</v>
      </c>
      <c r="KH30" s="520"/>
      <c r="KI30" s="522" t="str">
        <f t="shared" si="104"/>
        <v>0</v>
      </c>
      <c r="KJ30" s="522" t="str">
        <f t="shared" si="105"/>
        <v>0</v>
      </c>
      <c r="KK30" s="520"/>
      <c r="KL30" s="522" t="str">
        <f t="shared" si="106"/>
        <v>0</v>
      </c>
      <c r="KM30" s="522" t="str">
        <f t="shared" si="107"/>
        <v>0</v>
      </c>
      <c r="KN30" s="520"/>
      <c r="KO30" s="522" t="str">
        <f t="shared" si="108"/>
        <v>0</v>
      </c>
      <c r="KP30" s="522" t="str">
        <f t="shared" si="109"/>
        <v>0</v>
      </c>
      <c r="KQ30" s="520"/>
      <c r="KR30" s="522" t="str">
        <f t="shared" si="110"/>
        <v>0</v>
      </c>
      <c r="KS30" s="522" t="str">
        <f t="shared" si="111"/>
        <v>0</v>
      </c>
      <c r="KT30" s="522">
        <f t="shared" si="201"/>
        <v>0</v>
      </c>
      <c r="KU30" s="522">
        <f t="shared" si="202"/>
        <v>0</v>
      </c>
      <c r="KV30" s="267">
        <f t="shared" si="199"/>
        <v>461.45929976420945</v>
      </c>
      <c r="KW30" s="267"/>
    </row>
    <row r="31" spans="1:309">
      <c r="A31" s="268">
        <f t="shared" si="200"/>
        <v>45892</v>
      </c>
      <c r="B31" s="269" t="str">
        <f>+Report1!B31</f>
        <v>Toilet</v>
      </c>
      <c r="C31" s="269" t="str">
        <f>+Report1!C31</f>
        <v>13</v>
      </c>
      <c r="D31" s="270">
        <f>+Report1!P31</f>
        <v>45.576999999999998</v>
      </c>
      <c r="E31" s="558">
        <f>+Report1!R31</f>
        <v>41.915999999999997</v>
      </c>
      <c r="F31" s="520"/>
      <c r="G31" s="521">
        <f t="shared" si="0"/>
        <v>0</v>
      </c>
      <c r="H31" s="522">
        <f t="shared" si="112"/>
        <v>0</v>
      </c>
      <c r="I31" s="520"/>
      <c r="J31" s="521">
        <f t="shared" si="1"/>
        <v>0</v>
      </c>
      <c r="K31" s="522">
        <f t="shared" si="113"/>
        <v>0</v>
      </c>
      <c r="L31" s="520"/>
      <c r="M31" s="521">
        <f t="shared" si="2"/>
        <v>0</v>
      </c>
      <c r="N31" s="522">
        <f t="shared" si="114"/>
        <v>0</v>
      </c>
      <c r="O31" s="520">
        <v>6.0960000000000036</v>
      </c>
      <c r="P31" s="521">
        <f t="shared" si="3"/>
        <v>0.14543372459204132</v>
      </c>
      <c r="Q31" s="522">
        <f t="shared" si="115"/>
        <v>0</v>
      </c>
      <c r="R31" s="520"/>
      <c r="S31" s="521">
        <f t="shared" si="4"/>
        <v>0</v>
      </c>
      <c r="T31" s="522">
        <f t="shared" si="116"/>
        <v>0</v>
      </c>
      <c r="U31" s="520">
        <v>7.8120499999999709</v>
      </c>
      <c r="V31" s="521">
        <f t="shared" si="5"/>
        <v>0.18637393835289559</v>
      </c>
      <c r="W31" s="522">
        <f t="shared" si="117"/>
        <v>0</v>
      </c>
      <c r="X31" s="520"/>
      <c r="Y31" s="521">
        <f t="shared" si="6"/>
        <v>0</v>
      </c>
      <c r="Z31" s="522">
        <f t="shared" si="118"/>
        <v>0</v>
      </c>
      <c r="AA31" s="520">
        <v>2.34375</v>
      </c>
      <c r="AB31" s="521">
        <f t="shared" si="7"/>
        <v>5.5915402233037509E-2</v>
      </c>
      <c r="AC31" s="522">
        <f t="shared" si="119"/>
        <v>0</v>
      </c>
      <c r="AD31" s="520"/>
      <c r="AE31" s="521">
        <f t="shared" si="8"/>
        <v>0</v>
      </c>
      <c r="AF31" s="522">
        <f t="shared" si="120"/>
        <v>0</v>
      </c>
      <c r="AG31" s="520"/>
      <c r="AH31" s="521">
        <f t="shared" si="9"/>
        <v>0</v>
      </c>
      <c r="AI31" s="522">
        <f t="shared" si="121"/>
        <v>0</v>
      </c>
      <c r="AJ31" s="520"/>
      <c r="AK31" s="521">
        <f t="shared" si="10"/>
        <v>0</v>
      </c>
      <c r="AL31" s="522">
        <f t="shared" si="122"/>
        <v>0</v>
      </c>
      <c r="AM31" s="520"/>
      <c r="AN31" s="521">
        <f t="shared" si="11"/>
        <v>0</v>
      </c>
      <c r="AO31" s="522">
        <f t="shared" si="123"/>
        <v>0</v>
      </c>
      <c r="AP31" s="520">
        <v>47.738274683544205</v>
      </c>
      <c r="AQ31" s="521">
        <f t="shared" si="12"/>
        <v>1.1389033944924183</v>
      </c>
      <c r="AR31" s="522">
        <f t="shared" si="124"/>
        <v>0</v>
      </c>
      <c r="AS31" s="520"/>
      <c r="AT31" s="521">
        <f t="shared" si="13"/>
        <v>0</v>
      </c>
      <c r="AU31" s="522">
        <f t="shared" si="125"/>
        <v>0</v>
      </c>
      <c r="AV31" s="520"/>
      <c r="AW31" s="521">
        <f t="shared" si="14"/>
        <v>0</v>
      </c>
      <c r="AX31" s="522">
        <f t="shared" si="126"/>
        <v>0</v>
      </c>
      <c r="AY31" s="520">
        <v>59.243599999999986</v>
      </c>
      <c r="AZ31" s="521">
        <f t="shared" si="15"/>
        <v>1.4133886821261568</v>
      </c>
      <c r="BA31" s="522">
        <f t="shared" si="127"/>
        <v>0</v>
      </c>
      <c r="BB31" s="520"/>
      <c r="BC31" s="521">
        <f t="shared" si="16"/>
        <v>0</v>
      </c>
      <c r="BD31" s="522">
        <f t="shared" si="128"/>
        <v>0</v>
      </c>
      <c r="BE31" s="520"/>
      <c r="BF31" s="521">
        <f t="shared" si="17"/>
        <v>0</v>
      </c>
      <c r="BG31" s="522">
        <f t="shared" si="129"/>
        <v>0</v>
      </c>
      <c r="BH31" s="520"/>
      <c r="BI31" s="521">
        <f t="shared" si="18"/>
        <v>0</v>
      </c>
      <c r="BJ31" s="522">
        <f t="shared" si="130"/>
        <v>0</v>
      </c>
      <c r="BK31" s="520"/>
      <c r="BL31" s="521">
        <f t="shared" si="19"/>
        <v>0</v>
      </c>
      <c r="BM31" s="522">
        <f t="shared" si="131"/>
        <v>0</v>
      </c>
      <c r="BN31" s="520"/>
      <c r="BO31" s="521">
        <f t="shared" si="20"/>
        <v>0</v>
      </c>
      <c r="BP31" s="522">
        <f t="shared" si="132"/>
        <v>0</v>
      </c>
      <c r="BQ31" s="520"/>
      <c r="BR31" s="521">
        <f t="shared" si="21"/>
        <v>0</v>
      </c>
      <c r="BS31" s="522">
        <f t="shared" si="133"/>
        <v>0</v>
      </c>
      <c r="BT31" s="520"/>
      <c r="BU31" s="521">
        <f t="shared" si="22"/>
        <v>0</v>
      </c>
      <c r="BV31" s="522">
        <f t="shared" si="134"/>
        <v>0</v>
      </c>
      <c r="BW31" s="520"/>
      <c r="BX31" s="521">
        <f t="shared" si="23"/>
        <v>0</v>
      </c>
      <c r="BY31" s="522">
        <f t="shared" si="135"/>
        <v>0</v>
      </c>
      <c r="BZ31" s="520"/>
      <c r="CA31" s="521">
        <f t="shared" si="24"/>
        <v>0</v>
      </c>
      <c r="CB31" s="522">
        <f t="shared" si="136"/>
        <v>0</v>
      </c>
      <c r="CC31" s="520"/>
      <c r="CD31" s="521">
        <f t="shared" si="25"/>
        <v>0</v>
      </c>
      <c r="CE31" s="522">
        <f t="shared" si="137"/>
        <v>0</v>
      </c>
      <c r="CF31" s="520">
        <v>1</v>
      </c>
      <c r="CG31" s="521">
        <f t="shared" si="26"/>
        <v>2.3857238286096004E-2</v>
      </c>
      <c r="CH31" s="522">
        <f t="shared" si="138"/>
        <v>0</v>
      </c>
      <c r="CI31" s="520"/>
      <c r="CJ31" s="521">
        <f t="shared" si="27"/>
        <v>0</v>
      </c>
      <c r="CK31" s="522">
        <f t="shared" si="139"/>
        <v>0</v>
      </c>
      <c r="CL31" s="520"/>
      <c r="CM31" s="521">
        <f t="shared" si="28"/>
        <v>0</v>
      </c>
      <c r="CN31" s="522">
        <f t="shared" si="140"/>
        <v>0</v>
      </c>
      <c r="CO31" s="520"/>
      <c r="CP31" s="521">
        <f t="shared" si="29"/>
        <v>0</v>
      </c>
      <c r="CQ31" s="522">
        <f t="shared" si="141"/>
        <v>0</v>
      </c>
      <c r="CR31" s="520"/>
      <c r="CS31" s="521">
        <f t="shared" si="30"/>
        <v>0</v>
      </c>
      <c r="CT31" s="522">
        <f t="shared" si="142"/>
        <v>0</v>
      </c>
      <c r="CU31" s="520"/>
      <c r="CV31" s="521">
        <f t="shared" si="31"/>
        <v>0</v>
      </c>
      <c r="CW31" s="522">
        <f t="shared" si="143"/>
        <v>0</v>
      </c>
      <c r="CX31" s="520"/>
      <c r="CY31" s="521">
        <f t="shared" si="32"/>
        <v>0</v>
      </c>
      <c r="CZ31" s="522">
        <f t="shared" si="144"/>
        <v>0</v>
      </c>
      <c r="DA31" s="520">
        <v>110.73860465116286</v>
      </c>
      <c r="DB31" s="521">
        <f t="shared" si="33"/>
        <v>2.6419172786325715</v>
      </c>
      <c r="DC31" s="522">
        <f t="shared" si="145"/>
        <v>0</v>
      </c>
      <c r="DD31" s="520"/>
      <c r="DE31" s="521">
        <f t="shared" si="34"/>
        <v>0</v>
      </c>
      <c r="DF31" s="522">
        <f t="shared" si="146"/>
        <v>0</v>
      </c>
      <c r="DG31" s="520"/>
      <c r="DH31" s="521">
        <f t="shared" si="35"/>
        <v>0</v>
      </c>
      <c r="DI31" s="522">
        <f t="shared" si="203"/>
        <v>0</v>
      </c>
      <c r="DJ31" s="520"/>
      <c r="DK31" s="521">
        <f t="shared" si="36"/>
        <v>0</v>
      </c>
      <c r="DL31" s="522">
        <f t="shared" si="147"/>
        <v>0</v>
      </c>
      <c r="DM31" s="520"/>
      <c r="DN31" s="521">
        <f t="shared" si="37"/>
        <v>0</v>
      </c>
      <c r="DO31" s="522">
        <f t="shared" si="148"/>
        <v>0</v>
      </c>
      <c r="DP31" s="520"/>
      <c r="DQ31" s="521">
        <f t="shared" si="38"/>
        <v>0</v>
      </c>
      <c r="DR31" s="522">
        <f t="shared" si="149"/>
        <v>0</v>
      </c>
      <c r="DS31" s="520"/>
      <c r="DT31" s="521">
        <f t="shared" si="39"/>
        <v>0</v>
      </c>
      <c r="DU31" s="522">
        <f t="shared" si="150"/>
        <v>0</v>
      </c>
      <c r="DV31" s="520"/>
      <c r="DW31" s="521">
        <f t="shared" si="40"/>
        <v>0</v>
      </c>
      <c r="DX31" s="522">
        <f t="shared" si="151"/>
        <v>0</v>
      </c>
      <c r="DY31" s="520"/>
      <c r="DZ31" s="521">
        <f t="shared" si="41"/>
        <v>0</v>
      </c>
      <c r="EA31" s="522">
        <f t="shared" si="152"/>
        <v>0</v>
      </c>
      <c r="EB31" s="520"/>
      <c r="EC31" s="521">
        <f t="shared" si="42"/>
        <v>0</v>
      </c>
      <c r="ED31" s="522">
        <f t="shared" si="153"/>
        <v>0</v>
      </c>
      <c r="EE31" s="520">
        <v>14.534883720930234</v>
      </c>
      <c r="EF31" s="521">
        <f t="shared" si="43"/>
        <v>0.34676218439093032</v>
      </c>
      <c r="EG31" s="522">
        <f t="shared" si="154"/>
        <v>0</v>
      </c>
      <c r="EH31" s="520">
        <v>53.669411764705728</v>
      </c>
      <c r="EI31" s="521">
        <f t="shared" si="44"/>
        <v>1.2804039451451887</v>
      </c>
      <c r="EJ31" s="522">
        <f t="shared" si="155"/>
        <v>0</v>
      </c>
      <c r="EK31" s="520">
        <v>1.92</v>
      </c>
      <c r="EL31" s="521">
        <f t="shared" si="45"/>
        <v>4.5805897509304326E-2</v>
      </c>
      <c r="EM31" s="522">
        <f t="shared" si="156"/>
        <v>0</v>
      </c>
      <c r="EN31" s="520"/>
      <c r="EO31" s="521">
        <f t="shared" si="46"/>
        <v>0</v>
      </c>
      <c r="EP31" s="522">
        <f t="shared" si="157"/>
        <v>0</v>
      </c>
      <c r="EQ31" s="520"/>
      <c r="ER31" s="521">
        <f t="shared" si="47"/>
        <v>0</v>
      </c>
      <c r="ES31" s="522">
        <f t="shared" si="158"/>
        <v>0</v>
      </c>
      <c r="ET31" s="520"/>
      <c r="EU31" s="521">
        <f t="shared" si="48"/>
        <v>0</v>
      </c>
      <c r="EV31" s="522">
        <f t="shared" si="159"/>
        <v>0</v>
      </c>
      <c r="EW31" s="520"/>
      <c r="EX31" s="521">
        <f t="shared" si="49"/>
        <v>0</v>
      </c>
      <c r="EY31" s="522">
        <f t="shared" si="160"/>
        <v>0</v>
      </c>
      <c r="EZ31" s="520"/>
      <c r="FA31" s="521">
        <f t="shared" si="50"/>
        <v>0</v>
      </c>
      <c r="FB31" s="522">
        <f t="shared" si="161"/>
        <v>0</v>
      </c>
      <c r="FC31" s="520"/>
      <c r="FD31" s="521">
        <f t="shared" si="51"/>
        <v>0</v>
      </c>
      <c r="FE31" s="522">
        <f t="shared" si="162"/>
        <v>0</v>
      </c>
      <c r="FF31" s="520"/>
      <c r="FG31" s="521">
        <f t="shared" si="52"/>
        <v>0</v>
      </c>
      <c r="FH31" s="522">
        <f t="shared" si="163"/>
        <v>0</v>
      </c>
      <c r="FI31" s="520"/>
      <c r="FJ31" s="521">
        <f t="shared" si="53"/>
        <v>0</v>
      </c>
      <c r="FK31" s="522">
        <f t="shared" si="164"/>
        <v>0</v>
      </c>
      <c r="FL31" s="520"/>
      <c r="FM31" s="521">
        <f t="shared" si="54"/>
        <v>0</v>
      </c>
      <c r="FN31" s="522">
        <f t="shared" si="165"/>
        <v>0</v>
      </c>
      <c r="FO31" s="520"/>
      <c r="FP31" s="521">
        <f t="shared" si="55"/>
        <v>0</v>
      </c>
      <c r="FQ31" s="522">
        <f t="shared" si="166"/>
        <v>0</v>
      </c>
      <c r="FR31" s="520"/>
      <c r="FS31" s="521">
        <f t="shared" si="56"/>
        <v>0</v>
      </c>
      <c r="FT31" s="522">
        <f t="shared" si="167"/>
        <v>0</v>
      </c>
      <c r="FU31" s="520"/>
      <c r="FV31" s="521">
        <f t="shared" si="57"/>
        <v>0</v>
      </c>
      <c r="FW31" s="522">
        <f t="shared" si="168"/>
        <v>0</v>
      </c>
      <c r="FX31" s="520"/>
      <c r="FY31" s="521">
        <f t="shared" si="58"/>
        <v>0</v>
      </c>
      <c r="FZ31" s="522">
        <f t="shared" si="169"/>
        <v>0</v>
      </c>
      <c r="GA31" s="520"/>
      <c r="GB31" s="521">
        <f t="shared" si="59"/>
        <v>0</v>
      </c>
      <c r="GC31" s="522">
        <f t="shared" si="170"/>
        <v>0</v>
      </c>
      <c r="GD31" s="520"/>
      <c r="GE31" s="521">
        <f t="shared" si="60"/>
        <v>0</v>
      </c>
      <c r="GF31" s="522">
        <f t="shared" si="171"/>
        <v>0</v>
      </c>
      <c r="GG31" s="520"/>
      <c r="GH31" s="521">
        <f t="shared" si="61"/>
        <v>0</v>
      </c>
      <c r="GI31" s="522">
        <f t="shared" si="172"/>
        <v>0</v>
      </c>
      <c r="GJ31" s="520"/>
      <c r="GK31" s="521">
        <f t="shared" si="62"/>
        <v>0</v>
      </c>
      <c r="GL31" s="522">
        <f t="shared" si="173"/>
        <v>0</v>
      </c>
      <c r="GM31" s="520"/>
      <c r="GN31" s="521">
        <f t="shared" si="63"/>
        <v>0</v>
      </c>
      <c r="GO31" s="522">
        <f t="shared" si="174"/>
        <v>0</v>
      </c>
      <c r="GP31" s="520"/>
      <c r="GQ31" s="521">
        <f t="shared" si="64"/>
        <v>0</v>
      </c>
      <c r="GR31" s="522">
        <f t="shared" si="175"/>
        <v>0</v>
      </c>
      <c r="GS31" s="520"/>
      <c r="GT31" s="521">
        <f t="shared" si="65"/>
        <v>0</v>
      </c>
      <c r="GU31" s="522">
        <f t="shared" si="176"/>
        <v>0</v>
      </c>
      <c r="GV31" s="520"/>
      <c r="GW31" s="521">
        <f t="shared" si="66"/>
        <v>0</v>
      </c>
      <c r="GX31" s="522">
        <f t="shared" si="177"/>
        <v>0</v>
      </c>
      <c r="GY31" s="520"/>
      <c r="GZ31" s="521">
        <f t="shared" si="67"/>
        <v>0</v>
      </c>
      <c r="HA31" s="522">
        <f t="shared" si="178"/>
        <v>0</v>
      </c>
      <c r="HB31" s="520"/>
      <c r="HC31" s="521">
        <f t="shared" si="68"/>
        <v>0</v>
      </c>
      <c r="HD31" s="522">
        <f t="shared" si="179"/>
        <v>0</v>
      </c>
      <c r="HE31" s="520"/>
      <c r="HF31" s="521">
        <f t="shared" si="69"/>
        <v>0</v>
      </c>
      <c r="HG31" s="522">
        <f t="shared" si="180"/>
        <v>0</v>
      </c>
      <c r="HH31" s="520"/>
      <c r="HI31" s="521">
        <f t="shared" si="70"/>
        <v>0</v>
      </c>
      <c r="HJ31" s="522">
        <f t="shared" si="181"/>
        <v>0</v>
      </c>
      <c r="HK31" s="520"/>
      <c r="HL31" s="521">
        <f t="shared" si="71"/>
        <v>0</v>
      </c>
      <c r="HM31" s="522">
        <f t="shared" si="182"/>
        <v>0</v>
      </c>
      <c r="HN31" s="520"/>
      <c r="HO31" s="521">
        <f t="shared" si="72"/>
        <v>0</v>
      </c>
      <c r="HP31" s="522">
        <f t="shared" si="183"/>
        <v>0</v>
      </c>
      <c r="HQ31" s="520"/>
      <c r="HR31" s="521">
        <f t="shared" si="73"/>
        <v>0</v>
      </c>
      <c r="HS31" s="522">
        <f t="shared" si="184"/>
        <v>0</v>
      </c>
      <c r="HT31" s="520"/>
      <c r="HU31" s="521">
        <f t="shared" si="74"/>
        <v>0</v>
      </c>
      <c r="HV31" s="522">
        <f t="shared" si="185"/>
        <v>0</v>
      </c>
      <c r="HW31" s="520"/>
      <c r="HX31" s="521">
        <f t="shared" si="75"/>
        <v>0</v>
      </c>
      <c r="HY31" s="522">
        <f t="shared" si="186"/>
        <v>0</v>
      </c>
      <c r="HZ31" s="520"/>
      <c r="IA31" s="521">
        <f t="shared" si="76"/>
        <v>0</v>
      </c>
      <c r="IB31" s="522">
        <f t="shared" si="187"/>
        <v>0</v>
      </c>
      <c r="IC31" s="520"/>
      <c r="ID31" s="521">
        <f t="shared" si="77"/>
        <v>0</v>
      </c>
      <c r="IE31" s="522">
        <f t="shared" si="188"/>
        <v>0</v>
      </c>
      <c r="IF31" s="520"/>
      <c r="IG31" s="521">
        <f t="shared" si="78"/>
        <v>0</v>
      </c>
      <c r="IH31" s="522">
        <f t="shared" si="189"/>
        <v>0</v>
      </c>
      <c r="II31" s="520"/>
      <c r="IJ31" s="521">
        <f t="shared" si="79"/>
        <v>0</v>
      </c>
      <c r="IK31" s="522">
        <f t="shared" si="190"/>
        <v>0</v>
      </c>
      <c r="IL31" s="520"/>
      <c r="IM31" s="521">
        <f t="shared" si="80"/>
        <v>0</v>
      </c>
      <c r="IN31" s="522">
        <f t="shared" si="191"/>
        <v>0</v>
      </c>
      <c r="IO31" s="520"/>
      <c r="IP31" s="521">
        <f t="shared" si="81"/>
        <v>0</v>
      </c>
      <c r="IQ31" s="522">
        <f t="shared" si="192"/>
        <v>0</v>
      </c>
      <c r="IR31" s="520"/>
      <c r="IS31" s="521">
        <f t="shared" si="82"/>
        <v>0</v>
      </c>
      <c r="IT31" s="522">
        <f t="shared" si="193"/>
        <v>0</v>
      </c>
      <c r="IU31" s="520"/>
      <c r="IV31" s="521">
        <f t="shared" si="83"/>
        <v>0</v>
      </c>
      <c r="IW31" s="522">
        <f t="shared" si="194"/>
        <v>0</v>
      </c>
      <c r="IX31" s="520"/>
      <c r="IY31" s="521">
        <f t="shared" si="84"/>
        <v>0</v>
      </c>
      <c r="IZ31" s="522">
        <f t="shared" si="195"/>
        <v>0</v>
      </c>
      <c r="JA31" s="520"/>
      <c r="JB31" s="521">
        <f t="shared" si="85"/>
        <v>0</v>
      </c>
      <c r="JC31" s="522">
        <f t="shared" si="196"/>
        <v>0</v>
      </c>
      <c r="JD31" s="520"/>
      <c r="JE31" s="521">
        <f t="shared" si="86"/>
        <v>0</v>
      </c>
      <c r="JF31" s="522">
        <f t="shared" si="197"/>
        <v>0</v>
      </c>
      <c r="JG31" s="520"/>
      <c r="JH31" s="521">
        <f t="shared" si="87"/>
        <v>0</v>
      </c>
      <c r="JI31" s="522">
        <f t="shared" si="198"/>
        <v>0</v>
      </c>
      <c r="JJ31" s="520"/>
      <c r="JK31" s="522" t="str">
        <f t="shared" si="88"/>
        <v>0</v>
      </c>
      <c r="JL31" s="522" t="str">
        <f t="shared" si="89"/>
        <v>0</v>
      </c>
      <c r="JM31" s="520"/>
      <c r="JN31" s="522" t="str">
        <f t="shared" si="90"/>
        <v>0</v>
      </c>
      <c r="JO31" s="522" t="str">
        <f t="shared" si="91"/>
        <v>0</v>
      </c>
      <c r="JP31" s="520"/>
      <c r="JQ31" s="522" t="str">
        <f t="shared" si="92"/>
        <v>0</v>
      </c>
      <c r="JR31" s="522" t="str">
        <f t="shared" si="93"/>
        <v>0</v>
      </c>
      <c r="JS31" s="520"/>
      <c r="JT31" s="522" t="str">
        <f t="shared" si="94"/>
        <v>0</v>
      </c>
      <c r="JU31" s="522" t="str">
        <f t="shared" si="95"/>
        <v>0</v>
      </c>
      <c r="JV31" s="520"/>
      <c r="JW31" s="522" t="str">
        <f t="shared" si="96"/>
        <v>0</v>
      </c>
      <c r="JX31" s="522" t="str">
        <f t="shared" si="97"/>
        <v>0</v>
      </c>
      <c r="JY31" s="520"/>
      <c r="JZ31" s="522" t="str">
        <f t="shared" si="98"/>
        <v>0</v>
      </c>
      <c r="KA31" s="522" t="str">
        <f t="shared" si="99"/>
        <v>0</v>
      </c>
      <c r="KB31" s="520"/>
      <c r="KC31" s="522" t="str">
        <f t="shared" si="100"/>
        <v>0</v>
      </c>
      <c r="KD31" s="522" t="str">
        <f t="shared" si="101"/>
        <v>0</v>
      </c>
      <c r="KE31" s="520"/>
      <c r="KF31" s="522" t="str">
        <f t="shared" si="102"/>
        <v>0</v>
      </c>
      <c r="KG31" s="522" t="str">
        <f t="shared" si="103"/>
        <v>0</v>
      </c>
      <c r="KH31" s="520"/>
      <c r="KI31" s="522" t="str">
        <f t="shared" si="104"/>
        <v>0</v>
      </c>
      <c r="KJ31" s="522" t="str">
        <f t="shared" si="105"/>
        <v>0</v>
      </c>
      <c r="KK31" s="520"/>
      <c r="KL31" s="522" t="str">
        <f t="shared" si="106"/>
        <v>0</v>
      </c>
      <c r="KM31" s="522" t="str">
        <f t="shared" si="107"/>
        <v>0</v>
      </c>
      <c r="KN31" s="520"/>
      <c r="KO31" s="522" t="str">
        <f t="shared" si="108"/>
        <v>0</v>
      </c>
      <c r="KP31" s="522" t="str">
        <f t="shared" si="109"/>
        <v>0</v>
      </c>
      <c r="KQ31" s="520"/>
      <c r="KR31" s="522" t="str">
        <f t="shared" si="110"/>
        <v>0</v>
      </c>
      <c r="KS31" s="522" t="str">
        <f t="shared" si="111"/>
        <v>0</v>
      </c>
      <c r="KT31" s="522">
        <f t="shared" si="201"/>
        <v>0</v>
      </c>
      <c r="KU31" s="522">
        <f t="shared" si="202"/>
        <v>0</v>
      </c>
      <c r="KV31" s="267">
        <f t="shared" si="199"/>
        <v>305.09657482034299</v>
      </c>
    </row>
    <row r="32" spans="1:309">
      <c r="A32" s="268">
        <f t="shared" si="200"/>
        <v>45893</v>
      </c>
      <c r="B32" s="269" t="str">
        <f>+Report1!B32</f>
        <v>Toilet</v>
      </c>
      <c r="C32" s="269" t="str">
        <f>+Report1!C32</f>
        <v>13</v>
      </c>
      <c r="D32" s="270">
        <f>+Report1!P32</f>
        <v>44.153999999999996</v>
      </c>
      <c r="E32" s="558">
        <f>+Report1!R32</f>
        <v>44.848999999999997</v>
      </c>
      <c r="F32" s="520"/>
      <c r="G32" s="521">
        <f t="shared" si="0"/>
        <v>0</v>
      </c>
      <c r="H32" s="522">
        <f t="shared" si="112"/>
        <v>0</v>
      </c>
      <c r="I32" s="520"/>
      <c r="J32" s="521">
        <f t="shared" si="1"/>
        <v>0</v>
      </c>
      <c r="K32" s="522">
        <f t="shared" si="113"/>
        <v>0</v>
      </c>
      <c r="L32" s="520"/>
      <c r="M32" s="521">
        <f t="shared" si="2"/>
        <v>0</v>
      </c>
      <c r="N32" s="522">
        <f t="shared" si="114"/>
        <v>0</v>
      </c>
      <c r="O32" s="520">
        <v>5.9044000000000096</v>
      </c>
      <c r="P32" s="521">
        <f t="shared" si="3"/>
        <v>0.1316506499587507</v>
      </c>
      <c r="Q32" s="522">
        <f t="shared" si="115"/>
        <v>0</v>
      </c>
      <c r="R32" s="520"/>
      <c r="S32" s="521">
        <f t="shared" si="4"/>
        <v>0</v>
      </c>
      <c r="T32" s="522">
        <f t="shared" si="116"/>
        <v>0</v>
      </c>
      <c r="U32" s="520">
        <v>7.5602000000000089</v>
      </c>
      <c r="V32" s="521">
        <f t="shared" si="5"/>
        <v>0.16857009074895782</v>
      </c>
      <c r="W32" s="522">
        <f t="shared" si="117"/>
        <v>0</v>
      </c>
      <c r="X32" s="520"/>
      <c r="Y32" s="521">
        <f t="shared" si="6"/>
        <v>0</v>
      </c>
      <c r="Z32" s="522">
        <f t="shared" si="118"/>
        <v>0</v>
      </c>
      <c r="AA32" s="520">
        <v>2.34375</v>
      </c>
      <c r="AB32" s="521">
        <f t="shared" si="7"/>
        <v>5.2258690271800932E-2</v>
      </c>
      <c r="AC32" s="522">
        <f t="shared" si="119"/>
        <v>0</v>
      </c>
      <c r="AD32" s="520"/>
      <c r="AE32" s="521">
        <f t="shared" si="8"/>
        <v>0</v>
      </c>
      <c r="AF32" s="522">
        <f t="shared" si="120"/>
        <v>0</v>
      </c>
      <c r="AG32" s="520"/>
      <c r="AH32" s="521">
        <f t="shared" si="9"/>
        <v>0</v>
      </c>
      <c r="AI32" s="522">
        <f t="shared" si="121"/>
        <v>0</v>
      </c>
      <c r="AJ32" s="520"/>
      <c r="AK32" s="521">
        <f t="shared" si="10"/>
        <v>0</v>
      </c>
      <c r="AL32" s="522">
        <f t="shared" si="122"/>
        <v>0</v>
      </c>
      <c r="AM32" s="520"/>
      <c r="AN32" s="521">
        <f t="shared" si="11"/>
        <v>0</v>
      </c>
      <c r="AO32" s="522">
        <f t="shared" si="123"/>
        <v>0</v>
      </c>
      <c r="AP32" s="520">
        <v>46.245400000000075</v>
      </c>
      <c r="AQ32" s="521">
        <f t="shared" si="12"/>
        <v>1.0311355883074333</v>
      </c>
      <c r="AR32" s="522">
        <f t="shared" si="124"/>
        <v>0</v>
      </c>
      <c r="AS32" s="520"/>
      <c r="AT32" s="521">
        <f t="shared" si="13"/>
        <v>0</v>
      </c>
      <c r="AU32" s="522">
        <f t="shared" si="125"/>
        <v>0</v>
      </c>
      <c r="AV32" s="520"/>
      <c r="AW32" s="521">
        <f t="shared" si="14"/>
        <v>0</v>
      </c>
      <c r="AX32" s="522">
        <f t="shared" si="126"/>
        <v>0</v>
      </c>
      <c r="AY32" s="520">
        <v>57.426400000000001</v>
      </c>
      <c r="AZ32" s="521">
        <f t="shared" si="15"/>
        <v>1.2804388057704743</v>
      </c>
      <c r="BA32" s="522">
        <f t="shared" si="127"/>
        <v>0</v>
      </c>
      <c r="BB32" s="520"/>
      <c r="BC32" s="521">
        <f t="shared" si="16"/>
        <v>0</v>
      </c>
      <c r="BD32" s="522">
        <f t="shared" si="128"/>
        <v>0</v>
      </c>
      <c r="BE32" s="520"/>
      <c r="BF32" s="521">
        <f t="shared" si="17"/>
        <v>0</v>
      </c>
      <c r="BG32" s="522">
        <f t="shared" si="129"/>
        <v>0</v>
      </c>
      <c r="BH32" s="520"/>
      <c r="BI32" s="521">
        <f t="shared" si="18"/>
        <v>0</v>
      </c>
      <c r="BJ32" s="522">
        <f t="shared" si="130"/>
        <v>0</v>
      </c>
      <c r="BK32" s="520"/>
      <c r="BL32" s="521">
        <f t="shared" si="19"/>
        <v>0</v>
      </c>
      <c r="BM32" s="522">
        <f t="shared" si="131"/>
        <v>0</v>
      </c>
      <c r="BN32" s="520"/>
      <c r="BO32" s="521">
        <f t="shared" si="20"/>
        <v>0</v>
      </c>
      <c r="BP32" s="522">
        <f t="shared" si="132"/>
        <v>0</v>
      </c>
      <c r="BQ32" s="520"/>
      <c r="BR32" s="521">
        <f t="shared" si="21"/>
        <v>0</v>
      </c>
      <c r="BS32" s="522">
        <f t="shared" si="133"/>
        <v>0</v>
      </c>
      <c r="BT32" s="520"/>
      <c r="BU32" s="521">
        <f t="shared" si="22"/>
        <v>0</v>
      </c>
      <c r="BV32" s="522">
        <f t="shared" si="134"/>
        <v>0</v>
      </c>
      <c r="BW32" s="520"/>
      <c r="BX32" s="521">
        <f t="shared" si="23"/>
        <v>0</v>
      </c>
      <c r="BY32" s="522">
        <f t="shared" si="135"/>
        <v>0</v>
      </c>
      <c r="BZ32" s="520"/>
      <c r="CA32" s="521">
        <f t="shared" si="24"/>
        <v>0</v>
      </c>
      <c r="CB32" s="522">
        <f t="shared" si="136"/>
        <v>0</v>
      </c>
      <c r="CC32" s="520"/>
      <c r="CD32" s="521">
        <f t="shared" si="25"/>
        <v>0</v>
      </c>
      <c r="CE32" s="522">
        <f t="shared" si="137"/>
        <v>0</v>
      </c>
      <c r="CF32" s="520">
        <v>1</v>
      </c>
      <c r="CG32" s="521">
        <f t="shared" si="26"/>
        <v>2.2297041182635067E-2</v>
      </c>
      <c r="CH32" s="522">
        <f t="shared" si="138"/>
        <v>0</v>
      </c>
      <c r="CI32" s="520"/>
      <c r="CJ32" s="521">
        <f t="shared" si="27"/>
        <v>0</v>
      </c>
      <c r="CK32" s="522">
        <f t="shared" si="139"/>
        <v>0</v>
      </c>
      <c r="CL32" s="520"/>
      <c r="CM32" s="521">
        <f t="shared" si="28"/>
        <v>0</v>
      </c>
      <c r="CN32" s="522">
        <f t="shared" si="140"/>
        <v>0</v>
      </c>
      <c r="CO32" s="520"/>
      <c r="CP32" s="521">
        <f t="shared" si="29"/>
        <v>0</v>
      </c>
      <c r="CQ32" s="522">
        <f t="shared" si="141"/>
        <v>0</v>
      </c>
      <c r="CR32" s="520"/>
      <c r="CS32" s="521">
        <f t="shared" si="30"/>
        <v>0</v>
      </c>
      <c r="CT32" s="522">
        <f t="shared" si="142"/>
        <v>0</v>
      </c>
      <c r="CU32" s="520"/>
      <c r="CV32" s="521">
        <f t="shared" si="31"/>
        <v>0</v>
      </c>
      <c r="CW32" s="522">
        <f t="shared" si="143"/>
        <v>0</v>
      </c>
      <c r="CX32" s="520"/>
      <c r="CY32" s="521">
        <f t="shared" si="32"/>
        <v>0</v>
      </c>
      <c r="CZ32" s="522">
        <f t="shared" si="144"/>
        <v>0</v>
      </c>
      <c r="DA32" s="520">
        <v>107.27999999999997</v>
      </c>
      <c r="DB32" s="521">
        <f t="shared" si="33"/>
        <v>2.3920265780730894</v>
      </c>
      <c r="DC32" s="522">
        <f t="shared" si="145"/>
        <v>0</v>
      </c>
      <c r="DD32" s="520"/>
      <c r="DE32" s="521">
        <f t="shared" si="34"/>
        <v>0</v>
      </c>
      <c r="DF32" s="522">
        <f t="shared" si="146"/>
        <v>0</v>
      </c>
      <c r="DG32" s="520"/>
      <c r="DH32" s="521">
        <f t="shared" si="35"/>
        <v>0</v>
      </c>
      <c r="DI32" s="522">
        <f t="shared" si="203"/>
        <v>0</v>
      </c>
      <c r="DJ32" s="520"/>
      <c r="DK32" s="521">
        <f t="shared" si="36"/>
        <v>0</v>
      </c>
      <c r="DL32" s="522">
        <f t="shared" si="147"/>
        <v>0</v>
      </c>
      <c r="DM32" s="520"/>
      <c r="DN32" s="521">
        <f t="shared" si="37"/>
        <v>0</v>
      </c>
      <c r="DO32" s="522">
        <f t="shared" si="148"/>
        <v>0</v>
      </c>
      <c r="DP32" s="520"/>
      <c r="DQ32" s="521">
        <f t="shared" si="38"/>
        <v>0</v>
      </c>
      <c r="DR32" s="522">
        <f t="shared" si="149"/>
        <v>0</v>
      </c>
      <c r="DS32" s="520"/>
      <c r="DT32" s="521">
        <f t="shared" si="39"/>
        <v>0</v>
      </c>
      <c r="DU32" s="522">
        <f t="shared" si="150"/>
        <v>0</v>
      </c>
      <c r="DV32" s="520"/>
      <c r="DW32" s="521">
        <f t="shared" si="40"/>
        <v>0</v>
      </c>
      <c r="DX32" s="522">
        <f t="shared" si="151"/>
        <v>0</v>
      </c>
      <c r="DY32" s="520"/>
      <c r="DZ32" s="521">
        <f t="shared" si="41"/>
        <v>0</v>
      </c>
      <c r="EA32" s="522">
        <f t="shared" si="152"/>
        <v>0</v>
      </c>
      <c r="EB32" s="520"/>
      <c r="EC32" s="521">
        <f t="shared" si="42"/>
        <v>0</v>
      </c>
      <c r="ED32" s="522">
        <f t="shared" si="153"/>
        <v>0</v>
      </c>
      <c r="EE32" s="520">
        <v>14.534883720930234</v>
      </c>
      <c r="EF32" s="521">
        <f t="shared" si="43"/>
        <v>0.32408490091039344</v>
      </c>
      <c r="EG32" s="522">
        <f t="shared" si="154"/>
        <v>0</v>
      </c>
      <c r="EH32" s="520">
        <v>52</v>
      </c>
      <c r="EI32" s="521">
        <f t="shared" si="44"/>
        <v>1.1594461414970234</v>
      </c>
      <c r="EJ32" s="522">
        <f t="shared" si="155"/>
        <v>0</v>
      </c>
      <c r="EK32" s="520">
        <v>1.92</v>
      </c>
      <c r="EL32" s="521">
        <f t="shared" si="45"/>
        <v>4.2810319070659325E-2</v>
      </c>
      <c r="EM32" s="522">
        <f t="shared" si="156"/>
        <v>0</v>
      </c>
      <c r="EN32" s="520"/>
      <c r="EO32" s="521">
        <f t="shared" si="46"/>
        <v>0</v>
      </c>
      <c r="EP32" s="522">
        <f t="shared" si="157"/>
        <v>0</v>
      </c>
      <c r="EQ32" s="520"/>
      <c r="ER32" s="521">
        <f t="shared" si="47"/>
        <v>0</v>
      </c>
      <c r="ES32" s="522">
        <f t="shared" si="158"/>
        <v>0</v>
      </c>
      <c r="ET32" s="520"/>
      <c r="EU32" s="521">
        <f t="shared" si="48"/>
        <v>0</v>
      </c>
      <c r="EV32" s="522">
        <f t="shared" si="159"/>
        <v>0</v>
      </c>
      <c r="EW32" s="520"/>
      <c r="EX32" s="521">
        <f t="shared" si="49"/>
        <v>0</v>
      </c>
      <c r="EY32" s="522">
        <f t="shared" si="160"/>
        <v>0</v>
      </c>
      <c r="EZ32" s="520"/>
      <c r="FA32" s="521">
        <f t="shared" si="50"/>
        <v>0</v>
      </c>
      <c r="FB32" s="522">
        <f t="shared" si="161"/>
        <v>0</v>
      </c>
      <c r="FC32" s="520"/>
      <c r="FD32" s="521">
        <f t="shared" si="51"/>
        <v>0</v>
      </c>
      <c r="FE32" s="522">
        <f t="shared" si="162"/>
        <v>0</v>
      </c>
      <c r="FF32" s="520"/>
      <c r="FG32" s="521">
        <f t="shared" si="52"/>
        <v>0</v>
      </c>
      <c r="FH32" s="522">
        <f t="shared" si="163"/>
        <v>0</v>
      </c>
      <c r="FI32" s="520"/>
      <c r="FJ32" s="521">
        <f t="shared" si="53"/>
        <v>0</v>
      </c>
      <c r="FK32" s="522">
        <f t="shared" si="164"/>
        <v>0</v>
      </c>
      <c r="FL32" s="520"/>
      <c r="FM32" s="521">
        <f t="shared" si="54"/>
        <v>0</v>
      </c>
      <c r="FN32" s="522">
        <f t="shared" si="165"/>
        <v>0</v>
      </c>
      <c r="FO32" s="520"/>
      <c r="FP32" s="521">
        <f t="shared" si="55"/>
        <v>0</v>
      </c>
      <c r="FQ32" s="522">
        <f t="shared" si="166"/>
        <v>0</v>
      </c>
      <c r="FR32" s="520"/>
      <c r="FS32" s="521">
        <f t="shared" si="56"/>
        <v>0</v>
      </c>
      <c r="FT32" s="522">
        <f t="shared" si="167"/>
        <v>0</v>
      </c>
      <c r="FU32" s="520"/>
      <c r="FV32" s="521">
        <f t="shared" si="57"/>
        <v>0</v>
      </c>
      <c r="FW32" s="522">
        <f t="shared" si="168"/>
        <v>0</v>
      </c>
      <c r="FX32" s="520"/>
      <c r="FY32" s="521">
        <f t="shared" si="58"/>
        <v>0</v>
      </c>
      <c r="FZ32" s="522">
        <f t="shared" si="169"/>
        <v>0</v>
      </c>
      <c r="GA32" s="520"/>
      <c r="GB32" s="521">
        <f t="shared" si="59"/>
        <v>0</v>
      </c>
      <c r="GC32" s="522">
        <f t="shared" si="170"/>
        <v>0</v>
      </c>
      <c r="GD32" s="520"/>
      <c r="GE32" s="521">
        <f t="shared" si="60"/>
        <v>0</v>
      </c>
      <c r="GF32" s="522">
        <f t="shared" si="171"/>
        <v>0</v>
      </c>
      <c r="GG32" s="520"/>
      <c r="GH32" s="521">
        <f t="shared" si="61"/>
        <v>0</v>
      </c>
      <c r="GI32" s="522">
        <f t="shared" si="172"/>
        <v>0</v>
      </c>
      <c r="GJ32" s="520"/>
      <c r="GK32" s="521">
        <f t="shared" si="62"/>
        <v>0</v>
      </c>
      <c r="GL32" s="522">
        <f t="shared" si="173"/>
        <v>0</v>
      </c>
      <c r="GM32" s="520"/>
      <c r="GN32" s="521">
        <f t="shared" si="63"/>
        <v>0</v>
      </c>
      <c r="GO32" s="522">
        <f t="shared" si="174"/>
        <v>0</v>
      </c>
      <c r="GP32" s="520"/>
      <c r="GQ32" s="521">
        <f t="shared" si="64"/>
        <v>0</v>
      </c>
      <c r="GR32" s="522">
        <f t="shared" si="175"/>
        <v>0</v>
      </c>
      <c r="GS32" s="520"/>
      <c r="GT32" s="521">
        <f t="shared" si="65"/>
        <v>0</v>
      </c>
      <c r="GU32" s="522">
        <f t="shared" si="176"/>
        <v>0</v>
      </c>
      <c r="GV32" s="520"/>
      <c r="GW32" s="521">
        <f t="shared" si="66"/>
        <v>0</v>
      </c>
      <c r="GX32" s="522">
        <f t="shared" si="177"/>
        <v>0</v>
      </c>
      <c r="GY32" s="520"/>
      <c r="GZ32" s="521">
        <f t="shared" si="67"/>
        <v>0</v>
      </c>
      <c r="HA32" s="522">
        <f t="shared" si="178"/>
        <v>0</v>
      </c>
      <c r="HB32" s="520"/>
      <c r="HC32" s="521">
        <f t="shared" si="68"/>
        <v>0</v>
      </c>
      <c r="HD32" s="522">
        <f t="shared" si="179"/>
        <v>0</v>
      </c>
      <c r="HE32" s="520"/>
      <c r="HF32" s="521">
        <f t="shared" si="69"/>
        <v>0</v>
      </c>
      <c r="HG32" s="522">
        <f t="shared" si="180"/>
        <v>0</v>
      </c>
      <c r="HH32" s="520"/>
      <c r="HI32" s="521">
        <f t="shared" si="70"/>
        <v>0</v>
      </c>
      <c r="HJ32" s="522">
        <f t="shared" si="181"/>
        <v>0</v>
      </c>
      <c r="HK32" s="520"/>
      <c r="HL32" s="521">
        <f t="shared" si="71"/>
        <v>0</v>
      </c>
      <c r="HM32" s="522">
        <f t="shared" si="182"/>
        <v>0</v>
      </c>
      <c r="HN32" s="520"/>
      <c r="HO32" s="521">
        <f t="shared" si="72"/>
        <v>0</v>
      </c>
      <c r="HP32" s="522">
        <f t="shared" si="183"/>
        <v>0</v>
      </c>
      <c r="HQ32" s="520"/>
      <c r="HR32" s="521">
        <f t="shared" si="73"/>
        <v>0</v>
      </c>
      <c r="HS32" s="522">
        <f t="shared" si="184"/>
        <v>0</v>
      </c>
      <c r="HT32" s="520"/>
      <c r="HU32" s="521">
        <f t="shared" si="74"/>
        <v>0</v>
      </c>
      <c r="HV32" s="522">
        <f t="shared" si="185"/>
        <v>0</v>
      </c>
      <c r="HW32" s="520"/>
      <c r="HX32" s="521">
        <f t="shared" si="75"/>
        <v>0</v>
      </c>
      <c r="HY32" s="522">
        <f t="shared" si="186"/>
        <v>0</v>
      </c>
      <c r="HZ32" s="520"/>
      <c r="IA32" s="521">
        <f t="shared" si="76"/>
        <v>0</v>
      </c>
      <c r="IB32" s="522">
        <f t="shared" si="187"/>
        <v>0</v>
      </c>
      <c r="IC32" s="520"/>
      <c r="ID32" s="521">
        <f t="shared" si="77"/>
        <v>0</v>
      </c>
      <c r="IE32" s="522">
        <f t="shared" si="188"/>
        <v>0</v>
      </c>
      <c r="IF32" s="520"/>
      <c r="IG32" s="521">
        <f t="shared" si="78"/>
        <v>0</v>
      </c>
      <c r="IH32" s="522">
        <f t="shared" si="189"/>
        <v>0</v>
      </c>
      <c r="II32" s="520"/>
      <c r="IJ32" s="521">
        <f t="shared" si="79"/>
        <v>0</v>
      </c>
      <c r="IK32" s="522">
        <f t="shared" si="190"/>
        <v>0</v>
      </c>
      <c r="IL32" s="520"/>
      <c r="IM32" s="521">
        <f t="shared" si="80"/>
        <v>0</v>
      </c>
      <c r="IN32" s="522">
        <f t="shared" si="191"/>
        <v>0</v>
      </c>
      <c r="IO32" s="520"/>
      <c r="IP32" s="521">
        <f t="shared" si="81"/>
        <v>0</v>
      </c>
      <c r="IQ32" s="522">
        <f t="shared" si="192"/>
        <v>0</v>
      </c>
      <c r="IR32" s="520"/>
      <c r="IS32" s="521">
        <f t="shared" si="82"/>
        <v>0</v>
      </c>
      <c r="IT32" s="522">
        <f t="shared" si="193"/>
        <v>0</v>
      </c>
      <c r="IU32" s="520"/>
      <c r="IV32" s="521">
        <f t="shared" si="83"/>
        <v>0</v>
      </c>
      <c r="IW32" s="522">
        <f t="shared" si="194"/>
        <v>0</v>
      </c>
      <c r="IX32" s="520"/>
      <c r="IY32" s="521">
        <f t="shared" si="84"/>
        <v>0</v>
      </c>
      <c r="IZ32" s="522">
        <f t="shared" si="195"/>
        <v>0</v>
      </c>
      <c r="JA32" s="520"/>
      <c r="JB32" s="521">
        <f t="shared" si="85"/>
        <v>0</v>
      </c>
      <c r="JC32" s="522">
        <f t="shared" si="196"/>
        <v>0</v>
      </c>
      <c r="JD32" s="520"/>
      <c r="JE32" s="521">
        <f t="shared" si="86"/>
        <v>0</v>
      </c>
      <c r="JF32" s="522">
        <f t="shared" si="197"/>
        <v>0</v>
      </c>
      <c r="JG32" s="520"/>
      <c r="JH32" s="521">
        <f t="shared" si="87"/>
        <v>0</v>
      </c>
      <c r="JI32" s="522">
        <f t="shared" si="198"/>
        <v>0</v>
      </c>
      <c r="JJ32" s="520"/>
      <c r="JK32" s="522" t="str">
        <f t="shared" si="88"/>
        <v>0</v>
      </c>
      <c r="JL32" s="522" t="str">
        <f t="shared" si="89"/>
        <v>0</v>
      </c>
      <c r="JM32" s="520"/>
      <c r="JN32" s="522" t="str">
        <f t="shared" si="90"/>
        <v>0</v>
      </c>
      <c r="JO32" s="522" t="str">
        <f t="shared" si="91"/>
        <v>0</v>
      </c>
      <c r="JP32" s="520"/>
      <c r="JQ32" s="522" t="str">
        <f t="shared" si="92"/>
        <v>0</v>
      </c>
      <c r="JR32" s="522" t="str">
        <f t="shared" si="93"/>
        <v>0</v>
      </c>
      <c r="JS32" s="520"/>
      <c r="JT32" s="522" t="str">
        <f t="shared" si="94"/>
        <v>0</v>
      </c>
      <c r="JU32" s="522" t="str">
        <f t="shared" si="95"/>
        <v>0</v>
      </c>
      <c r="JV32" s="520"/>
      <c r="JW32" s="522" t="str">
        <f t="shared" si="96"/>
        <v>0</v>
      </c>
      <c r="JX32" s="522" t="str">
        <f t="shared" si="97"/>
        <v>0</v>
      </c>
      <c r="JY32" s="520"/>
      <c r="JZ32" s="522" t="str">
        <f t="shared" si="98"/>
        <v>0</v>
      </c>
      <c r="KA32" s="522" t="str">
        <f t="shared" si="99"/>
        <v>0</v>
      </c>
      <c r="KB32" s="520"/>
      <c r="KC32" s="522" t="str">
        <f t="shared" si="100"/>
        <v>0</v>
      </c>
      <c r="KD32" s="522" t="str">
        <f t="shared" si="101"/>
        <v>0</v>
      </c>
      <c r="KE32" s="520"/>
      <c r="KF32" s="522" t="str">
        <f t="shared" si="102"/>
        <v>0</v>
      </c>
      <c r="KG32" s="522" t="str">
        <f t="shared" si="103"/>
        <v>0</v>
      </c>
      <c r="KH32" s="520"/>
      <c r="KI32" s="522" t="str">
        <f t="shared" si="104"/>
        <v>0</v>
      </c>
      <c r="KJ32" s="522" t="str">
        <f t="shared" si="105"/>
        <v>0</v>
      </c>
      <c r="KK32" s="520"/>
      <c r="KL32" s="522" t="str">
        <f t="shared" si="106"/>
        <v>0</v>
      </c>
      <c r="KM32" s="522" t="str">
        <f t="shared" si="107"/>
        <v>0</v>
      </c>
      <c r="KN32" s="520"/>
      <c r="KO32" s="522" t="str">
        <f t="shared" si="108"/>
        <v>0</v>
      </c>
      <c r="KP32" s="522" t="str">
        <f t="shared" si="109"/>
        <v>0</v>
      </c>
      <c r="KQ32" s="520"/>
      <c r="KR32" s="522" t="str">
        <f t="shared" si="110"/>
        <v>0</v>
      </c>
      <c r="KS32" s="522" t="str">
        <f t="shared" si="111"/>
        <v>0</v>
      </c>
      <c r="KT32" s="522">
        <f t="shared" si="201"/>
        <v>0</v>
      </c>
      <c r="KU32" s="522">
        <f t="shared" si="202"/>
        <v>0</v>
      </c>
      <c r="KV32" s="267">
        <f t="shared" si="199"/>
        <v>296.21503372093031</v>
      </c>
    </row>
    <row r="33" spans="1:308" ht="15" customHeight="1">
      <c r="A33" s="268">
        <f t="shared" si="200"/>
        <v>45894</v>
      </c>
      <c r="B33" s="269" t="str">
        <f>+Report1!B33</f>
        <v>Toilet</v>
      </c>
      <c r="C33" s="269" t="str">
        <f>+Report1!C33</f>
        <v>13</v>
      </c>
      <c r="D33" s="270">
        <f>+Report1!P33</f>
        <v>43.957999999999998</v>
      </c>
      <c r="E33" s="558">
        <f>+Report1!R33</f>
        <v>40.912999999999997</v>
      </c>
      <c r="F33" s="520"/>
      <c r="G33" s="521">
        <f t="shared" si="0"/>
        <v>0</v>
      </c>
      <c r="H33" s="522">
        <f t="shared" si="112"/>
        <v>0</v>
      </c>
      <c r="I33" s="520"/>
      <c r="J33" s="521">
        <f t="shared" si="1"/>
        <v>0</v>
      </c>
      <c r="K33" s="522">
        <f t="shared" si="113"/>
        <v>0</v>
      </c>
      <c r="L33" s="520"/>
      <c r="M33" s="521">
        <f t="shared" si="2"/>
        <v>0</v>
      </c>
      <c r="N33" s="522">
        <f t="shared" si="114"/>
        <v>0</v>
      </c>
      <c r="O33" s="520">
        <v>5.9995999999999867</v>
      </c>
      <c r="P33" s="521">
        <f t="shared" si="3"/>
        <v>0.14664287634737094</v>
      </c>
      <c r="Q33" s="522">
        <f t="shared" si="115"/>
        <v>0</v>
      </c>
      <c r="R33" s="520"/>
      <c r="S33" s="521">
        <f t="shared" si="4"/>
        <v>0</v>
      </c>
      <c r="T33" s="522">
        <f t="shared" si="116"/>
        <v>0</v>
      </c>
      <c r="U33" s="520">
        <v>6.4090000000000202</v>
      </c>
      <c r="V33" s="521">
        <f t="shared" si="5"/>
        <v>0.15664947571676535</v>
      </c>
      <c r="W33" s="522">
        <f t="shared" si="117"/>
        <v>0</v>
      </c>
      <c r="X33" s="520"/>
      <c r="Y33" s="521">
        <f t="shared" si="6"/>
        <v>0</v>
      </c>
      <c r="Z33" s="522">
        <f t="shared" si="118"/>
        <v>0</v>
      </c>
      <c r="AA33" s="520">
        <v>4.6875000000000071</v>
      </c>
      <c r="AB33" s="521">
        <f t="shared" si="7"/>
        <v>0.11457238530540434</v>
      </c>
      <c r="AC33" s="522">
        <f t="shared" si="119"/>
        <v>0</v>
      </c>
      <c r="AD33" s="520"/>
      <c r="AE33" s="521">
        <f t="shared" si="8"/>
        <v>0</v>
      </c>
      <c r="AF33" s="522">
        <f t="shared" si="120"/>
        <v>0</v>
      </c>
      <c r="AG33" s="520"/>
      <c r="AH33" s="521">
        <f t="shared" si="9"/>
        <v>0</v>
      </c>
      <c r="AI33" s="522">
        <f t="shared" si="121"/>
        <v>0</v>
      </c>
      <c r="AJ33" s="520">
        <v>14.6875</v>
      </c>
      <c r="AK33" s="521">
        <f t="shared" si="10"/>
        <v>0.35899347395693304</v>
      </c>
      <c r="AL33" s="522">
        <f t="shared" si="122"/>
        <v>0</v>
      </c>
      <c r="AM33" s="520"/>
      <c r="AN33" s="521">
        <f t="shared" si="11"/>
        <v>0</v>
      </c>
      <c r="AO33" s="522">
        <f t="shared" si="123"/>
        <v>0</v>
      </c>
      <c r="AP33" s="520">
        <v>39.877084810126632</v>
      </c>
      <c r="AQ33" s="521">
        <f t="shared" si="12"/>
        <v>0.97468004815404974</v>
      </c>
      <c r="AR33" s="522">
        <f t="shared" si="124"/>
        <v>0</v>
      </c>
      <c r="AS33" s="520"/>
      <c r="AT33" s="521">
        <f t="shared" si="13"/>
        <v>0</v>
      </c>
      <c r="AU33" s="522">
        <f t="shared" si="125"/>
        <v>0</v>
      </c>
      <c r="AV33" s="520"/>
      <c r="AW33" s="521">
        <f t="shared" si="14"/>
        <v>0</v>
      </c>
      <c r="AX33" s="522">
        <f t="shared" si="126"/>
        <v>0</v>
      </c>
      <c r="AY33" s="520">
        <v>51.330000000000027</v>
      </c>
      <c r="AZ33" s="521">
        <f t="shared" si="15"/>
        <v>1.2546134480482984</v>
      </c>
      <c r="BA33" s="522">
        <f t="shared" si="127"/>
        <v>0</v>
      </c>
      <c r="BB33" s="520"/>
      <c r="BC33" s="521">
        <f t="shared" si="16"/>
        <v>0</v>
      </c>
      <c r="BD33" s="522">
        <f t="shared" si="128"/>
        <v>0</v>
      </c>
      <c r="BE33" s="520"/>
      <c r="BF33" s="521">
        <f t="shared" si="17"/>
        <v>0</v>
      </c>
      <c r="BG33" s="522">
        <f t="shared" si="129"/>
        <v>0</v>
      </c>
      <c r="BH33" s="520"/>
      <c r="BI33" s="521">
        <f t="shared" si="18"/>
        <v>0</v>
      </c>
      <c r="BJ33" s="522">
        <f t="shared" si="130"/>
        <v>0</v>
      </c>
      <c r="BK33" s="520"/>
      <c r="BL33" s="521">
        <f t="shared" si="19"/>
        <v>0</v>
      </c>
      <c r="BM33" s="522">
        <f t="shared" si="131"/>
        <v>0</v>
      </c>
      <c r="BN33" s="520"/>
      <c r="BO33" s="521">
        <f t="shared" si="20"/>
        <v>0</v>
      </c>
      <c r="BP33" s="522">
        <f t="shared" si="132"/>
        <v>0</v>
      </c>
      <c r="BQ33" s="520"/>
      <c r="BR33" s="521">
        <f t="shared" si="21"/>
        <v>0</v>
      </c>
      <c r="BS33" s="522">
        <f t="shared" si="133"/>
        <v>0</v>
      </c>
      <c r="BT33" s="520"/>
      <c r="BU33" s="521">
        <f t="shared" si="22"/>
        <v>0</v>
      </c>
      <c r="BV33" s="522">
        <f t="shared" si="134"/>
        <v>0</v>
      </c>
      <c r="BW33" s="520"/>
      <c r="BX33" s="521">
        <f t="shared" si="23"/>
        <v>0</v>
      </c>
      <c r="BY33" s="522">
        <f t="shared" si="135"/>
        <v>0</v>
      </c>
      <c r="BZ33" s="520"/>
      <c r="CA33" s="521">
        <f t="shared" si="24"/>
        <v>0</v>
      </c>
      <c r="CB33" s="522">
        <f t="shared" si="136"/>
        <v>0</v>
      </c>
      <c r="CC33" s="520"/>
      <c r="CD33" s="521">
        <f t="shared" si="25"/>
        <v>0</v>
      </c>
      <c r="CE33" s="522">
        <f t="shared" si="137"/>
        <v>0</v>
      </c>
      <c r="CF33" s="520">
        <v>1</v>
      </c>
      <c r="CG33" s="521">
        <f t="shared" si="26"/>
        <v>2.4442108865152887E-2</v>
      </c>
      <c r="CH33" s="522">
        <f t="shared" si="138"/>
        <v>0</v>
      </c>
      <c r="CI33" s="520"/>
      <c r="CJ33" s="521">
        <f t="shared" si="27"/>
        <v>0</v>
      </c>
      <c r="CK33" s="522">
        <f t="shared" si="139"/>
        <v>0</v>
      </c>
      <c r="CL33" s="520"/>
      <c r="CM33" s="521">
        <f t="shared" si="28"/>
        <v>0</v>
      </c>
      <c r="CN33" s="522">
        <f t="shared" si="140"/>
        <v>0</v>
      </c>
      <c r="CO33" s="520"/>
      <c r="CP33" s="521">
        <f t="shared" si="29"/>
        <v>0</v>
      </c>
      <c r="CQ33" s="522">
        <f t="shared" si="141"/>
        <v>0</v>
      </c>
      <c r="CR33" s="520"/>
      <c r="CS33" s="521">
        <f t="shared" si="30"/>
        <v>0</v>
      </c>
      <c r="CT33" s="522">
        <f t="shared" si="142"/>
        <v>0</v>
      </c>
      <c r="CU33" s="520"/>
      <c r="CV33" s="521">
        <f t="shared" si="31"/>
        <v>0</v>
      </c>
      <c r="CW33" s="522">
        <f t="shared" si="143"/>
        <v>0</v>
      </c>
      <c r="CX33" s="520"/>
      <c r="CY33" s="521">
        <f t="shared" si="32"/>
        <v>0</v>
      </c>
      <c r="CZ33" s="522">
        <f t="shared" si="144"/>
        <v>0</v>
      </c>
      <c r="DA33" s="520">
        <v>101.74883720930234</v>
      </c>
      <c r="DB33" s="521">
        <f t="shared" si="33"/>
        <v>2.4869561559724866</v>
      </c>
      <c r="DC33" s="522">
        <f t="shared" si="145"/>
        <v>0</v>
      </c>
      <c r="DD33" s="520"/>
      <c r="DE33" s="521">
        <f t="shared" si="34"/>
        <v>0</v>
      </c>
      <c r="DF33" s="522">
        <f t="shared" si="146"/>
        <v>0</v>
      </c>
      <c r="DG33" s="520"/>
      <c r="DH33" s="521">
        <f t="shared" si="35"/>
        <v>0</v>
      </c>
      <c r="DI33" s="522">
        <f t="shared" si="203"/>
        <v>0</v>
      </c>
      <c r="DJ33" s="520"/>
      <c r="DK33" s="521">
        <f t="shared" si="36"/>
        <v>0</v>
      </c>
      <c r="DL33" s="522">
        <f t="shared" si="147"/>
        <v>0</v>
      </c>
      <c r="DM33" s="520"/>
      <c r="DN33" s="521">
        <f t="shared" si="37"/>
        <v>0</v>
      </c>
      <c r="DO33" s="522">
        <f t="shared" si="148"/>
        <v>0</v>
      </c>
      <c r="DP33" s="520"/>
      <c r="DQ33" s="521">
        <f t="shared" si="38"/>
        <v>0</v>
      </c>
      <c r="DR33" s="522">
        <f t="shared" si="149"/>
        <v>0</v>
      </c>
      <c r="DS33" s="520"/>
      <c r="DT33" s="521">
        <f t="shared" si="39"/>
        <v>0</v>
      </c>
      <c r="DU33" s="522">
        <f t="shared" si="150"/>
        <v>0</v>
      </c>
      <c r="DV33" s="520"/>
      <c r="DW33" s="521">
        <f t="shared" si="40"/>
        <v>0</v>
      </c>
      <c r="DX33" s="522">
        <f t="shared" si="151"/>
        <v>0</v>
      </c>
      <c r="DY33" s="520"/>
      <c r="DZ33" s="521">
        <f t="shared" si="41"/>
        <v>0</v>
      </c>
      <c r="EA33" s="522">
        <f t="shared" si="152"/>
        <v>0</v>
      </c>
      <c r="EB33" s="520"/>
      <c r="EC33" s="521">
        <f t="shared" si="42"/>
        <v>0</v>
      </c>
      <c r="ED33" s="522">
        <f t="shared" si="153"/>
        <v>0</v>
      </c>
      <c r="EE33" s="520">
        <v>14.534883720930232</v>
      </c>
      <c r="EF33" s="521">
        <f t="shared" si="43"/>
        <v>0.35526321024931518</v>
      </c>
      <c r="EG33" s="522">
        <f t="shared" si="154"/>
        <v>0</v>
      </c>
      <c r="EH33" s="520">
        <v>46.965882352941208</v>
      </c>
      <c r="EI33" s="521">
        <f t="shared" si="44"/>
        <v>1.1479452094185518</v>
      </c>
      <c r="EJ33" s="522">
        <f t="shared" si="155"/>
        <v>0</v>
      </c>
      <c r="EK33" s="520">
        <v>4.0000000000000036</v>
      </c>
      <c r="EL33" s="521">
        <f t="shared" si="45"/>
        <v>9.7768435460611633E-2</v>
      </c>
      <c r="EM33" s="522">
        <f t="shared" si="156"/>
        <v>0</v>
      </c>
      <c r="EN33" s="520"/>
      <c r="EO33" s="521">
        <f t="shared" si="46"/>
        <v>0</v>
      </c>
      <c r="EP33" s="522">
        <f t="shared" si="157"/>
        <v>0</v>
      </c>
      <c r="EQ33" s="520"/>
      <c r="ER33" s="521">
        <f t="shared" si="47"/>
        <v>0</v>
      </c>
      <c r="ES33" s="522">
        <f t="shared" si="158"/>
        <v>0</v>
      </c>
      <c r="ET33" s="520"/>
      <c r="EU33" s="521">
        <f t="shared" si="48"/>
        <v>0</v>
      </c>
      <c r="EV33" s="522">
        <f t="shared" si="159"/>
        <v>0</v>
      </c>
      <c r="EW33" s="520"/>
      <c r="EX33" s="521">
        <f t="shared" si="49"/>
        <v>0</v>
      </c>
      <c r="EY33" s="522">
        <f t="shared" si="160"/>
        <v>0</v>
      </c>
      <c r="EZ33" s="520"/>
      <c r="FA33" s="521">
        <f t="shared" si="50"/>
        <v>0</v>
      </c>
      <c r="FB33" s="522">
        <f t="shared" si="161"/>
        <v>0</v>
      </c>
      <c r="FC33" s="520"/>
      <c r="FD33" s="521">
        <f t="shared" si="51"/>
        <v>0</v>
      </c>
      <c r="FE33" s="522">
        <f t="shared" si="162"/>
        <v>0</v>
      </c>
      <c r="FF33" s="520"/>
      <c r="FG33" s="521">
        <f t="shared" si="52"/>
        <v>0</v>
      </c>
      <c r="FH33" s="522">
        <f t="shared" si="163"/>
        <v>0</v>
      </c>
      <c r="FI33" s="520"/>
      <c r="FJ33" s="521">
        <f t="shared" si="53"/>
        <v>0</v>
      </c>
      <c r="FK33" s="522">
        <f t="shared" si="164"/>
        <v>0</v>
      </c>
      <c r="FL33" s="520"/>
      <c r="FM33" s="521">
        <f t="shared" si="54"/>
        <v>0</v>
      </c>
      <c r="FN33" s="522">
        <f t="shared" si="165"/>
        <v>0</v>
      </c>
      <c r="FO33" s="520"/>
      <c r="FP33" s="521">
        <f t="shared" si="55"/>
        <v>0</v>
      </c>
      <c r="FQ33" s="522">
        <f t="shared" si="166"/>
        <v>0</v>
      </c>
      <c r="FR33" s="520"/>
      <c r="FS33" s="521">
        <f t="shared" si="56"/>
        <v>0</v>
      </c>
      <c r="FT33" s="522">
        <f t="shared" si="167"/>
        <v>0</v>
      </c>
      <c r="FU33" s="520"/>
      <c r="FV33" s="521">
        <f t="shared" si="57"/>
        <v>0</v>
      </c>
      <c r="FW33" s="522">
        <f t="shared" si="168"/>
        <v>0</v>
      </c>
      <c r="FX33" s="520"/>
      <c r="FY33" s="521">
        <f t="shared" si="58"/>
        <v>0</v>
      </c>
      <c r="FZ33" s="522">
        <f t="shared" si="169"/>
        <v>0</v>
      </c>
      <c r="GA33" s="520"/>
      <c r="GB33" s="521">
        <f t="shared" si="59"/>
        <v>0</v>
      </c>
      <c r="GC33" s="522">
        <f t="shared" si="170"/>
        <v>0</v>
      </c>
      <c r="GD33" s="520"/>
      <c r="GE33" s="521">
        <f t="shared" si="60"/>
        <v>0</v>
      </c>
      <c r="GF33" s="522">
        <f t="shared" si="171"/>
        <v>0</v>
      </c>
      <c r="GG33" s="520"/>
      <c r="GH33" s="521">
        <f t="shared" si="61"/>
        <v>0</v>
      </c>
      <c r="GI33" s="522">
        <f t="shared" si="172"/>
        <v>0</v>
      </c>
      <c r="GJ33" s="520"/>
      <c r="GK33" s="521">
        <f t="shared" si="62"/>
        <v>0</v>
      </c>
      <c r="GL33" s="522">
        <f t="shared" si="173"/>
        <v>0</v>
      </c>
      <c r="GM33" s="520"/>
      <c r="GN33" s="521">
        <f t="shared" si="63"/>
        <v>0</v>
      </c>
      <c r="GO33" s="522">
        <f t="shared" si="174"/>
        <v>0</v>
      </c>
      <c r="GP33" s="520"/>
      <c r="GQ33" s="521">
        <f t="shared" si="64"/>
        <v>0</v>
      </c>
      <c r="GR33" s="522">
        <f t="shared" si="175"/>
        <v>0</v>
      </c>
      <c r="GS33" s="520"/>
      <c r="GT33" s="521">
        <f t="shared" si="65"/>
        <v>0</v>
      </c>
      <c r="GU33" s="522">
        <f t="shared" si="176"/>
        <v>0</v>
      </c>
      <c r="GV33" s="520"/>
      <c r="GW33" s="521">
        <f t="shared" si="66"/>
        <v>0</v>
      </c>
      <c r="GX33" s="522">
        <f t="shared" si="177"/>
        <v>0</v>
      </c>
      <c r="GY33" s="520"/>
      <c r="GZ33" s="521">
        <f t="shared" si="67"/>
        <v>0</v>
      </c>
      <c r="HA33" s="522">
        <f t="shared" si="178"/>
        <v>0</v>
      </c>
      <c r="HB33" s="520"/>
      <c r="HC33" s="521">
        <f t="shared" si="68"/>
        <v>0</v>
      </c>
      <c r="HD33" s="522">
        <f t="shared" si="179"/>
        <v>0</v>
      </c>
      <c r="HE33" s="520"/>
      <c r="HF33" s="521">
        <f t="shared" si="69"/>
        <v>0</v>
      </c>
      <c r="HG33" s="522">
        <f t="shared" si="180"/>
        <v>0</v>
      </c>
      <c r="HH33" s="520"/>
      <c r="HI33" s="521">
        <f t="shared" si="70"/>
        <v>0</v>
      </c>
      <c r="HJ33" s="522">
        <f t="shared" si="181"/>
        <v>0</v>
      </c>
      <c r="HK33" s="520"/>
      <c r="HL33" s="521">
        <f t="shared" si="71"/>
        <v>0</v>
      </c>
      <c r="HM33" s="522">
        <f t="shared" si="182"/>
        <v>0</v>
      </c>
      <c r="HN33" s="520"/>
      <c r="HO33" s="521">
        <f t="shared" si="72"/>
        <v>0</v>
      </c>
      <c r="HP33" s="522">
        <f t="shared" si="183"/>
        <v>0</v>
      </c>
      <c r="HQ33" s="520"/>
      <c r="HR33" s="521">
        <f t="shared" si="73"/>
        <v>0</v>
      </c>
      <c r="HS33" s="522">
        <f t="shared" si="184"/>
        <v>0</v>
      </c>
      <c r="HT33" s="520"/>
      <c r="HU33" s="521">
        <f t="shared" si="74"/>
        <v>0</v>
      </c>
      <c r="HV33" s="522">
        <f t="shared" si="185"/>
        <v>0</v>
      </c>
      <c r="HW33" s="520"/>
      <c r="HX33" s="521">
        <f t="shared" si="75"/>
        <v>0</v>
      </c>
      <c r="HY33" s="522">
        <f t="shared" si="186"/>
        <v>0</v>
      </c>
      <c r="HZ33" s="520"/>
      <c r="IA33" s="521">
        <f t="shared" si="76"/>
        <v>0</v>
      </c>
      <c r="IB33" s="522">
        <f t="shared" si="187"/>
        <v>0</v>
      </c>
      <c r="IC33" s="520"/>
      <c r="ID33" s="521">
        <f t="shared" si="77"/>
        <v>0</v>
      </c>
      <c r="IE33" s="522">
        <f t="shared" si="188"/>
        <v>0</v>
      </c>
      <c r="IF33" s="520"/>
      <c r="IG33" s="521">
        <f t="shared" si="78"/>
        <v>0</v>
      </c>
      <c r="IH33" s="522">
        <f t="shared" si="189"/>
        <v>0</v>
      </c>
      <c r="II33" s="520"/>
      <c r="IJ33" s="521">
        <f t="shared" si="79"/>
        <v>0</v>
      </c>
      <c r="IK33" s="522">
        <f t="shared" si="190"/>
        <v>0</v>
      </c>
      <c r="IL33" s="520"/>
      <c r="IM33" s="521">
        <f t="shared" si="80"/>
        <v>0</v>
      </c>
      <c r="IN33" s="522">
        <f t="shared" si="191"/>
        <v>0</v>
      </c>
      <c r="IO33" s="520"/>
      <c r="IP33" s="521">
        <f t="shared" si="81"/>
        <v>0</v>
      </c>
      <c r="IQ33" s="522">
        <f t="shared" si="192"/>
        <v>0</v>
      </c>
      <c r="IR33" s="520"/>
      <c r="IS33" s="521">
        <f t="shared" si="82"/>
        <v>0</v>
      </c>
      <c r="IT33" s="522">
        <f t="shared" si="193"/>
        <v>0</v>
      </c>
      <c r="IU33" s="520"/>
      <c r="IV33" s="521">
        <f t="shared" si="83"/>
        <v>0</v>
      </c>
      <c r="IW33" s="522">
        <f t="shared" si="194"/>
        <v>0</v>
      </c>
      <c r="IX33" s="520"/>
      <c r="IY33" s="521">
        <f t="shared" si="84"/>
        <v>0</v>
      </c>
      <c r="IZ33" s="522">
        <f t="shared" si="195"/>
        <v>0</v>
      </c>
      <c r="JA33" s="520"/>
      <c r="JB33" s="521">
        <f t="shared" si="85"/>
        <v>0</v>
      </c>
      <c r="JC33" s="522">
        <f t="shared" si="196"/>
        <v>0</v>
      </c>
      <c r="JD33" s="520"/>
      <c r="JE33" s="521">
        <f t="shared" si="86"/>
        <v>0</v>
      </c>
      <c r="JF33" s="522">
        <f t="shared" si="197"/>
        <v>0</v>
      </c>
      <c r="JG33" s="520"/>
      <c r="JH33" s="521">
        <f t="shared" si="87"/>
        <v>0</v>
      </c>
      <c r="JI33" s="522">
        <f t="shared" si="198"/>
        <v>0</v>
      </c>
      <c r="JJ33" s="520"/>
      <c r="JK33" s="522" t="str">
        <f t="shared" si="88"/>
        <v>0</v>
      </c>
      <c r="JL33" s="522" t="str">
        <f t="shared" si="89"/>
        <v>0</v>
      </c>
      <c r="JM33" s="520"/>
      <c r="JN33" s="522" t="str">
        <f t="shared" si="90"/>
        <v>0</v>
      </c>
      <c r="JO33" s="522" t="str">
        <f t="shared" si="91"/>
        <v>0</v>
      </c>
      <c r="JP33" s="520"/>
      <c r="JQ33" s="522" t="str">
        <f t="shared" si="92"/>
        <v>0</v>
      </c>
      <c r="JR33" s="522" t="str">
        <f t="shared" si="93"/>
        <v>0</v>
      </c>
      <c r="JS33" s="520"/>
      <c r="JT33" s="522" t="str">
        <f t="shared" si="94"/>
        <v>0</v>
      </c>
      <c r="JU33" s="522" t="str">
        <f t="shared" si="95"/>
        <v>0</v>
      </c>
      <c r="JV33" s="520"/>
      <c r="JW33" s="522" t="str">
        <f t="shared" si="96"/>
        <v>0</v>
      </c>
      <c r="JX33" s="522" t="str">
        <f t="shared" si="97"/>
        <v>0</v>
      </c>
      <c r="JY33" s="520"/>
      <c r="JZ33" s="522" t="str">
        <f t="shared" si="98"/>
        <v>0</v>
      </c>
      <c r="KA33" s="522" t="str">
        <f t="shared" si="99"/>
        <v>0</v>
      </c>
      <c r="KB33" s="520"/>
      <c r="KC33" s="522" t="str">
        <f t="shared" si="100"/>
        <v>0</v>
      </c>
      <c r="KD33" s="522" t="str">
        <f t="shared" si="101"/>
        <v>0</v>
      </c>
      <c r="KE33" s="520"/>
      <c r="KF33" s="522" t="str">
        <f t="shared" si="102"/>
        <v>0</v>
      </c>
      <c r="KG33" s="522" t="str">
        <f t="shared" si="103"/>
        <v>0</v>
      </c>
      <c r="KH33" s="520"/>
      <c r="KI33" s="522" t="str">
        <f t="shared" si="104"/>
        <v>0</v>
      </c>
      <c r="KJ33" s="522" t="str">
        <f t="shared" si="105"/>
        <v>0</v>
      </c>
      <c r="KK33" s="520"/>
      <c r="KL33" s="522" t="str">
        <f t="shared" si="106"/>
        <v>0</v>
      </c>
      <c r="KM33" s="522" t="str">
        <f t="shared" si="107"/>
        <v>0</v>
      </c>
      <c r="KN33" s="520"/>
      <c r="KO33" s="522" t="str">
        <f t="shared" si="108"/>
        <v>0</v>
      </c>
      <c r="KP33" s="522" t="str">
        <f t="shared" si="109"/>
        <v>0</v>
      </c>
      <c r="KQ33" s="520"/>
      <c r="KR33" s="522" t="str">
        <f t="shared" si="110"/>
        <v>0</v>
      </c>
      <c r="KS33" s="522" t="str">
        <f t="shared" si="111"/>
        <v>0</v>
      </c>
      <c r="KT33" s="522">
        <f t="shared" si="201"/>
        <v>0</v>
      </c>
      <c r="KU33" s="522">
        <f t="shared" si="202"/>
        <v>0</v>
      </c>
      <c r="KV33" s="267">
        <f t="shared" si="199"/>
        <v>291.24028809330042</v>
      </c>
    </row>
    <row r="34" spans="1:308" ht="15" customHeight="1">
      <c r="A34" s="268">
        <f t="shared" si="200"/>
        <v>45895</v>
      </c>
      <c r="B34" s="269" t="str">
        <f>+Report1!B34</f>
        <v>Toilet/Facial</v>
      </c>
      <c r="C34" s="269" t="str">
        <f>+Report1!C34</f>
        <v>13/12</v>
      </c>
      <c r="D34" s="270">
        <f>+Report1!P34</f>
        <v>41.836000000000006</v>
      </c>
      <c r="E34" s="558">
        <f>+Report1!R34</f>
        <v>39.917000000000002</v>
      </c>
      <c r="F34" s="520"/>
      <c r="G34" s="521">
        <f t="shared" si="0"/>
        <v>0</v>
      </c>
      <c r="H34" s="522">
        <f t="shared" si="112"/>
        <v>0</v>
      </c>
      <c r="I34" s="520">
        <v>104.65116279069775</v>
      </c>
      <c r="J34" s="521">
        <f t="shared" si="1"/>
        <v>2.6217191369766701</v>
      </c>
      <c r="K34" s="522">
        <f t="shared" si="113"/>
        <v>0</v>
      </c>
      <c r="L34" s="520"/>
      <c r="M34" s="521">
        <f t="shared" si="2"/>
        <v>0</v>
      </c>
      <c r="N34" s="522">
        <f t="shared" si="114"/>
        <v>0</v>
      </c>
      <c r="O34" s="520">
        <v>6</v>
      </c>
      <c r="P34" s="521">
        <f t="shared" si="3"/>
        <v>0.15031189718666232</v>
      </c>
      <c r="Q34" s="522">
        <f t="shared" si="115"/>
        <v>0</v>
      </c>
      <c r="R34" s="520"/>
      <c r="S34" s="521">
        <f t="shared" si="4"/>
        <v>0</v>
      </c>
      <c r="T34" s="522">
        <f t="shared" si="116"/>
        <v>0</v>
      </c>
      <c r="U34" s="520">
        <v>7.6875</v>
      </c>
      <c r="V34" s="521">
        <f t="shared" si="5"/>
        <v>0.19258711827041108</v>
      </c>
      <c r="W34" s="522">
        <f t="shared" si="117"/>
        <v>0</v>
      </c>
      <c r="X34" s="520"/>
      <c r="Y34" s="521">
        <f t="shared" si="6"/>
        <v>0</v>
      </c>
      <c r="Z34" s="522">
        <f t="shared" si="118"/>
        <v>0</v>
      </c>
      <c r="AA34" s="520">
        <v>7.8124999999999929</v>
      </c>
      <c r="AB34" s="521">
        <f t="shared" si="7"/>
        <v>0.19571861612846639</v>
      </c>
      <c r="AC34" s="522">
        <f t="shared" si="119"/>
        <v>0</v>
      </c>
      <c r="AD34" s="520"/>
      <c r="AE34" s="521">
        <f t="shared" si="8"/>
        <v>0</v>
      </c>
      <c r="AF34" s="522">
        <f t="shared" si="120"/>
        <v>0</v>
      </c>
      <c r="AG34" s="520"/>
      <c r="AH34" s="521">
        <f t="shared" si="9"/>
        <v>0</v>
      </c>
      <c r="AI34" s="522">
        <f t="shared" si="121"/>
        <v>0</v>
      </c>
      <c r="AJ34" s="520">
        <v>14.6875</v>
      </c>
      <c r="AK34" s="521">
        <f t="shared" si="10"/>
        <v>0.36795099832151712</v>
      </c>
      <c r="AL34" s="522">
        <f t="shared" si="122"/>
        <v>0</v>
      </c>
      <c r="AM34" s="520"/>
      <c r="AN34" s="521">
        <f t="shared" si="11"/>
        <v>0</v>
      </c>
      <c r="AO34" s="522">
        <f t="shared" si="123"/>
        <v>0</v>
      </c>
      <c r="AP34" s="520">
        <v>54.113924050632875</v>
      </c>
      <c r="AQ34" s="521">
        <f t="shared" si="12"/>
        <v>1.3556610980442636</v>
      </c>
      <c r="AR34" s="522">
        <f t="shared" si="124"/>
        <v>0</v>
      </c>
      <c r="AS34" s="520"/>
      <c r="AT34" s="521">
        <f t="shared" si="13"/>
        <v>0</v>
      </c>
      <c r="AU34" s="522">
        <f t="shared" si="125"/>
        <v>0</v>
      </c>
      <c r="AV34" s="520"/>
      <c r="AW34" s="521">
        <f t="shared" si="14"/>
        <v>0</v>
      </c>
      <c r="AX34" s="522">
        <f t="shared" si="126"/>
        <v>0</v>
      </c>
      <c r="AY34" s="520">
        <v>58.333333333333371</v>
      </c>
      <c r="AZ34" s="521">
        <f t="shared" si="15"/>
        <v>1.4613656670925512</v>
      </c>
      <c r="BA34" s="522">
        <f t="shared" si="127"/>
        <v>0</v>
      </c>
      <c r="BB34" s="520"/>
      <c r="BC34" s="521">
        <f t="shared" si="16"/>
        <v>0</v>
      </c>
      <c r="BD34" s="522">
        <f t="shared" si="128"/>
        <v>0</v>
      </c>
      <c r="BE34" s="520"/>
      <c r="BF34" s="521">
        <f t="shared" si="17"/>
        <v>0</v>
      </c>
      <c r="BG34" s="522">
        <f t="shared" si="129"/>
        <v>0</v>
      </c>
      <c r="BH34" s="520"/>
      <c r="BI34" s="521">
        <f t="shared" si="18"/>
        <v>0</v>
      </c>
      <c r="BJ34" s="522">
        <f t="shared" si="130"/>
        <v>0</v>
      </c>
      <c r="BK34" s="520"/>
      <c r="BL34" s="521">
        <f t="shared" si="19"/>
        <v>0</v>
      </c>
      <c r="BM34" s="522">
        <f t="shared" si="131"/>
        <v>0</v>
      </c>
      <c r="BN34" s="520"/>
      <c r="BO34" s="521">
        <f t="shared" si="20"/>
        <v>0</v>
      </c>
      <c r="BP34" s="522">
        <f t="shared" si="132"/>
        <v>0</v>
      </c>
      <c r="BQ34" s="520"/>
      <c r="BR34" s="521">
        <f t="shared" si="21"/>
        <v>0</v>
      </c>
      <c r="BS34" s="522">
        <f t="shared" si="133"/>
        <v>0</v>
      </c>
      <c r="BT34" s="520"/>
      <c r="BU34" s="521">
        <f t="shared" si="22"/>
        <v>0</v>
      </c>
      <c r="BV34" s="522">
        <f t="shared" si="134"/>
        <v>0</v>
      </c>
      <c r="BW34" s="520"/>
      <c r="BX34" s="521">
        <f t="shared" si="23"/>
        <v>0</v>
      </c>
      <c r="BY34" s="522">
        <f t="shared" si="135"/>
        <v>0</v>
      </c>
      <c r="BZ34" s="520"/>
      <c r="CA34" s="521">
        <f t="shared" si="24"/>
        <v>0</v>
      </c>
      <c r="CB34" s="522">
        <f t="shared" si="136"/>
        <v>0</v>
      </c>
      <c r="CC34" s="520"/>
      <c r="CD34" s="521">
        <f t="shared" si="25"/>
        <v>0</v>
      </c>
      <c r="CE34" s="522">
        <f t="shared" si="137"/>
        <v>0</v>
      </c>
      <c r="CF34" s="520">
        <v>1</v>
      </c>
      <c r="CG34" s="521">
        <f t="shared" si="26"/>
        <v>2.5051982864443718E-2</v>
      </c>
      <c r="CH34" s="522">
        <f t="shared" si="138"/>
        <v>0</v>
      </c>
      <c r="CI34" s="520"/>
      <c r="CJ34" s="521">
        <f t="shared" si="27"/>
        <v>0</v>
      </c>
      <c r="CK34" s="522">
        <f t="shared" si="139"/>
        <v>0</v>
      </c>
      <c r="CL34" s="520"/>
      <c r="CM34" s="521">
        <f t="shared" si="28"/>
        <v>0</v>
      </c>
      <c r="CN34" s="522">
        <f t="shared" si="140"/>
        <v>0</v>
      </c>
      <c r="CO34" s="520"/>
      <c r="CP34" s="521">
        <f t="shared" si="29"/>
        <v>0</v>
      </c>
      <c r="CQ34" s="522">
        <f t="shared" si="141"/>
        <v>0</v>
      </c>
      <c r="CR34" s="520"/>
      <c r="CS34" s="521">
        <f t="shared" si="30"/>
        <v>0</v>
      </c>
      <c r="CT34" s="522">
        <f t="shared" si="142"/>
        <v>0</v>
      </c>
      <c r="CU34" s="520"/>
      <c r="CV34" s="521">
        <f t="shared" si="31"/>
        <v>0</v>
      </c>
      <c r="CW34" s="522">
        <f t="shared" si="143"/>
        <v>0</v>
      </c>
      <c r="CX34" s="520"/>
      <c r="CY34" s="521">
        <f t="shared" si="32"/>
        <v>0</v>
      </c>
      <c r="CZ34" s="522">
        <f t="shared" si="144"/>
        <v>0</v>
      </c>
      <c r="DA34" s="520">
        <v>72.674418604651123</v>
      </c>
      <c r="DB34" s="521">
        <f t="shared" si="33"/>
        <v>1.8206382895671298</v>
      </c>
      <c r="DC34" s="522">
        <f t="shared" si="145"/>
        <v>0</v>
      </c>
      <c r="DD34" s="520"/>
      <c r="DE34" s="521">
        <f t="shared" si="34"/>
        <v>0</v>
      </c>
      <c r="DF34" s="522">
        <f t="shared" si="146"/>
        <v>0</v>
      </c>
      <c r="DG34" s="520"/>
      <c r="DH34" s="521">
        <f t="shared" si="35"/>
        <v>0</v>
      </c>
      <c r="DI34" s="522">
        <f t="shared" si="203"/>
        <v>0</v>
      </c>
      <c r="DJ34" s="520"/>
      <c r="DK34" s="521">
        <f t="shared" si="36"/>
        <v>0</v>
      </c>
      <c r="DL34" s="522">
        <f t="shared" si="147"/>
        <v>0</v>
      </c>
      <c r="DM34" s="520"/>
      <c r="DN34" s="521">
        <f t="shared" si="37"/>
        <v>0</v>
      </c>
      <c r="DO34" s="522">
        <f t="shared" si="148"/>
        <v>0</v>
      </c>
      <c r="DP34" s="520"/>
      <c r="DQ34" s="521">
        <f t="shared" si="38"/>
        <v>0</v>
      </c>
      <c r="DR34" s="522">
        <f t="shared" si="149"/>
        <v>0</v>
      </c>
      <c r="DS34" s="520"/>
      <c r="DT34" s="521">
        <f t="shared" si="39"/>
        <v>0</v>
      </c>
      <c r="DU34" s="522">
        <f t="shared" si="150"/>
        <v>0</v>
      </c>
      <c r="DV34" s="520"/>
      <c r="DW34" s="521">
        <f t="shared" si="40"/>
        <v>0</v>
      </c>
      <c r="DX34" s="522">
        <f t="shared" si="151"/>
        <v>0</v>
      </c>
      <c r="DY34" s="520"/>
      <c r="DZ34" s="521">
        <f t="shared" si="41"/>
        <v>0</v>
      </c>
      <c r="EA34" s="522">
        <f t="shared" si="152"/>
        <v>0</v>
      </c>
      <c r="EB34" s="520"/>
      <c r="EC34" s="521">
        <f t="shared" si="42"/>
        <v>0</v>
      </c>
      <c r="ED34" s="522">
        <f t="shared" si="153"/>
        <v>0</v>
      </c>
      <c r="EE34" s="520">
        <v>14.534883720930225</v>
      </c>
      <c r="EF34" s="521">
        <f t="shared" si="43"/>
        <v>0.36412765791342594</v>
      </c>
      <c r="EG34" s="522">
        <f t="shared" si="154"/>
        <v>0</v>
      </c>
      <c r="EH34" s="520">
        <v>58.705882352941217</v>
      </c>
      <c r="EI34" s="521">
        <f t="shared" si="44"/>
        <v>1.4706987587479323</v>
      </c>
      <c r="EJ34" s="522">
        <f t="shared" si="155"/>
        <v>0</v>
      </c>
      <c r="EK34" s="520">
        <v>4</v>
      </c>
      <c r="EL34" s="521">
        <f t="shared" si="45"/>
        <v>0.10020793145777487</v>
      </c>
      <c r="EM34" s="522">
        <f t="shared" si="156"/>
        <v>0</v>
      </c>
      <c r="EN34" s="520"/>
      <c r="EO34" s="521">
        <f t="shared" si="46"/>
        <v>0</v>
      </c>
      <c r="EP34" s="522">
        <f t="shared" si="157"/>
        <v>0</v>
      </c>
      <c r="EQ34" s="520"/>
      <c r="ER34" s="521">
        <f t="shared" si="47"/>
        <v>0</v>
      </c>
      <c r="ES34" s="522">
        <f t="shared" si="158"/>
        <v>0</v>
      </c>
      <c r="ET34" s="520"/>
      <c r="EU34" s="521">
        <f t="shared" si="48"/>
        <v>0</v>
      </c>
      <c r="EV34" s="522">
        <f t="shared" si="159"/>
        <v>0</v>
      </c>
      <c r="EW34" s="520"/>
      <c r="EX34" s="521">
        <f t="shared" si="49"/>
        <v>0</v>
      </c>
      <c r="EY34" s="522">
        <f t="shared" si="160"/>
        <v>0</v>
      </c>
      <c r="EZ34" s="520"/>
      <c r="FA34" s="521">
        <f t="shared" si="50"/>
        <v>0</v>
      </c>
      <c r="FB34" s="522">
        <f t="shared" si="161"/>
        <v>0</v>
      </c>
      <c r="FC34" s="520"/>
      <c r="FD34" s="521">
        <f t="shared" si="51"/>
        <v>0</v>
      </c>
      <c r="FE34" s="522">
        <f t="shared" si="162"/>
        <v>0</v>
      </c>
      <c r="FF34" s="520"/>
      <c r="FG34" s="521">
        <f t="shared" si="52"/>
        <v>0</v>
      </c>
      <c r="FH34" s="522">
        <f t="shared" si="163"/>
        <v>0</v>
      </c>
      <c r="FI34" s="520"/>
      <c r="FJ34" s="521">
        <f t="shared" si="53"/>
        <v>0</v>
      </c>
      <c r="FK34" s="522">
        <f t="shared" si="164"/>
        <v>0</v>
      </c>
      <c r="FL34" s="520"/>
      <c r="FM34" s="521">
        <f t="shared" si="54"/>
        <v>0</v>
      </c>
      <c r="FN34" s="522">
        <f t="shared" si="165"/>
        <v>0</v>
      </c>
      <c r="FO34" s="520"/>
      <c r="FP34" s="521">
        <f t="shared" si="55"/>
        <v>0</v>
      </c>
      <c r="FQ34" s="522">
        <f t="shared" si="166"/>
        <v>0</v>
      </c>
      <c r="FR34" s="520"/>
      <c r="FS34" s="521">
        <f t="shared" si="56"/>
        <v>0</v>
      </c>
      <c r="FT34" s="522">
        <f t="shared" si="167"/>
        <v>0</v>
      </c>
      <c r="FU34" s="520"/>
      <c r="FV34" s="521">
        <f t="shared" si="57"/>
        <v>0</v>
      </c>
      <c r="FW34" s="522">
        <f t="shared" si="168"/>
        <v>0</v>
      </c>
      <c r="FX34" s="520"/>
      <c r="FY34" s="521">
        <f t="shared" si="58"/>
        <v>0</v>
      </c>
      <c r="FZ34" s="522">
        <f t="shared" si="169"/>
        <v>0</v>
      </c>
      <c r="GA34" s="520"/>
      <c r="GB34" s="521">
        <f t="shared" si="59"/>
        <v>0</v>
      </c>
      <c r="GC34" s="522">
        <f t="shared" si="170"/>
        <v>0</v>
      </c>
      <c r="GD34" s="520"/>
      <c r="GE34" s="521">
        <f t="shared" si="60"/>
        <v>0</v>
      </c>
      <c r="GF34" s="522">
        <f t="shared" si="171"/>
        <v>0</v>
      </c>
      <c r="GG34" s="520"/>
      <c r="GH34" s="521">
        <f t="shared" si="61"/>
        <v>0</v>
      </c>
      <c r="GI34" s="522">
        <f t="shared" si="172"/>
        <v>0</v>
      </c>
      <c r="GJ34" s="520"/>
      <c r="GK34" s="521">
        <f t="shared" si="62"/>
        <v>0</v>
      </c>
      <c r="GL34" s="522">
        <f t="shared" si="173"/>
        <v>0</v>
      </c>
      <c r="GM34" s="520"/>
      <c r="GN34" s="521">
        <f t="shared" si="63"/>
        <v>0</v>
      </c>
      <c r="GO34" s="522">
        <f t="shared" si="174"/>
        <v>0</v>
      </c>
      <c r="GP34" s="520"/>
      <c r="GQ34" s="521">
        <f t="shared" si="64"/>
        <v>0</v>
      </c>
      <c r="GR34" s="522">
        <f t="shared" si="175"/>
        <v>0</v>
      </c>
      <c r="GS34" s="520"/>
      <c r="GT34" s="521">
        <f t="shared" si="65"/>
        <v>0</v>
      </c>
      <c r="GU34" s="522">
        <f t="shared" si="176"/>
        <v>0</v>
      </c>
      <c r="GV34" s="520"/>
      <c r="GW34" s="521">
        <f t="shared" si="66"/>
        <v>0</v>
      </c>
      <c r="GX34" s="522">
        <f t="shared" si="177"/>
        <v>0</v>
      </c>
      <c r="GY34" s="520"/>
      <c r="GZ34" s="521">
        <f t="shared" si="67"/>
        <v>0</v>
      </c>
      <c r="HA34" s="522">
        <f t="shared" si="178"/>
        <v>0</v>
      </c>
      <c r="HB34" s="520"/>
      <c r="HC34" s="521">
        <f t="shared" si="68"/>
        <v>0</v>
      </c>
      <c r="HD34" s="522">
        <f t="shared" si="179"/>
        <v>0</v>
      </c>
      <c r="HE34" s="520"/>
      <c r="HF34" s="521">
        <f t="shared" si="69"/>
        <v>0</v>
      </c>
      <c r="HG34" s="522">
        <f t="shared" si="180"/>
        <v>0</v>
      </c>
      <c r="HH34" s="520"/>
      <c r="HI34" s="521">
        <f t="shared" si="70"/>
        <v>0</v>
      </c>
      <c r="HJ34" s="522">
        <f t="shared" si="181"/>
        <v>0</v>
      </c>
      <c r="HK34" s="520"/>
      <c r="HL34" s="521">
        <f t="shared" si="71"/>
        <v>0</v>
      </c>
      <c r="HM34" s="522">
        <f t="shared" si="182"/>
        <v>0</v>
      </c>
      <c r="HN34" s="520"/>
      <c r="HO34" s="521">
        <f t="shared" si="72"/>
        <v>0</v>
      </c>
      <c r="HP34" s="522">
        <f t="shared" si="183"/>
        <v>0</v>
      </c>
      <c r="HQ34" s="520"/>
      <c r="HR34" s="521">
        <f t="shared" si="73"/>
        <v>0</v>
      </c>
      <c r="HS34" s="522">
        <f t="shared" si="184"/>
        <v>0</v>
      </c>
      <c r="HT34" s="520"/>
      <c r="HU34" s="521">
        <f t="shared" si="74"/>
        <v>0</v>
      </c>
      <c r="HV34" s="522">
        <f t="shared" si="185"/>
        <v>0</v>
      </c>
      <c r="HW34" s="520"/>
      <c r="HX34" s="521">
        <f t="shared" si="75"/>
        <v>0</v>
      </c>
      <c r="HY34" s="522">
        <f t="shared" si="186"/>
        <v>0</v>
      </c>
      <c r="HZ34" s="520"/>
      <c r="IA34" s="521">
        <f t="shared" si="76"/>
        <v>0</v>
      </c>
      <c r="IB34" s="522">
        <f t="shared" si="187"/>
        <v>0</v>
      </c>
      <c r="IC34" s="520"/>
      <c r="ID34" s="521">
        <f t="shared" si="77"/>
        <v>0</v>
      </c>
      <c r="IE34" s="522">
        <f t="shared" si="188"/>
        <v>0</v>
      </c>
      <c r="IF34" s="520"/>
      <c r="IG34" s="521">
        <f t="shared" si="78"/>
        <v>0</v>
      </c>
      <c r="IH34" s="522">
        <f t="shared" si="189"/>
        <v>0</v>
      </c>
      <c r="II34" s="520"/>
      <c r="IJ34" s="521">
        <f t="shared" si="79"/>
        <v>0</v>
      </c>
      <c r="IK34" s="522">
        <f t="shared" si="190"/>
        <v>0</v>
      </c>
      <c r="IL34" s="520"/>
      <c r="IM34" s="521">
        <f t="shared" si="80"/>
        <v>0</v>
      </c>
      <c r="IN34" s="522">
        <f t="shared" si="191"/>
        <v>0</v>
      </c>
      <c r="IO34" s="520"/>
      <c r="IP34" s="521">
        <f t="shared" si="81"/>
        <v>0</v>
      </c>
      <c r="IQ34" s="522">
        <f t="shared" si="192"/>
        <v>0</v>
      </c>
      <c r="IR34" s="520"/>
      <c r="IS34" s="521">
        <f t="shared" si="82"/>
        <v>0</v>
      </c>
      <c r="IT34" s="522">
        <f t="shared" si="193"/>
        <v>0</v>
      </c>
      <c r="IU34" s="520"/>
      <c r="IV34" s="521">
        <f t="shared" si="83"/>
        <v>0</v>
      </c>
      <c r="IW34" s="522">
        <f t="shared" si="194"/>
        <v>0</v>
      </c>
      <c r="IX34" s="520"/>
      <c r="IY34" s="521">
        <f t="shared" si="84"/>
        <v>0</v>
      </c>
      <c r="IZ34" s="522">
        <f t="shared" si="195"/>
        <v>0</v>
      </c>
      <c r="JA34" s="520"/>
      <c r="JB34" s="521">
        <f t="shared" si="85"/>
        <v>0</v>
      </c>
      <c r="JC34" s="522">
        <f t="shared" si="196"/>
        <v>0</v>
      </c>
      <c r="JD34" s="520"/>
      <c r="JE34" s="521">
        <f t="shared" si="86"/>
        <v>0</v>
      </c>
      <c r="JF34" s="522">
        <f t="shared" si="197"/>
        <v>0</v>
      </c>
      <c r="JG34" s="520"/>
      <c r="JH34" s="521">
        <f t="shared" si="87"/>
        <v>0</v>
      </c>
      <c r="JI34" s="522">
        <f t="shared" si="198"/>
        <v>0</v>
      </c>
      <c r="JJ34" s="520"/>
      <c r="JK34" s="522" t="str">
        <f t="shared" si="88"/>
        <v>0</v>
      </c>
      <c r="JL34" s="522" t="str">
        <f t="shared" si="89"/>
        <v>0</v>
      </c>
      <c r="JM34" s="520"/>
      <c r="JN34" s="522" t="str">
        <f t="shared" si="90"/>
        <v>0</v>
      </c>
      <c r="JO34" s="522" t="str">
        <f t="shared" si="91"/>
        <v>0</v>
      </c>
      <c r="JP34" s="520"/>
      <c r="JQ34" s="522" t="str">
        <f t="shared" si="92"/>
        <v>0</v>
      </c>
      <c r="JR34" s="522" t="str">
        <f t="shared" si="93"/>
        <v>0</v>
      </c>
      <c r="JS34" s="520"/>
      <c r="JT34" s="522" t="str">
        <f t="shared" si="94"/>
        <v>0</v>
      </c>
      <c r="JU34" s="522" t="str">
        <f t="shared" si="95"/>
        <v>0</v>
      </c>
      <c r="JV34" s="520"/>
      <c r="JW34" s="522" t="str">
        <f t="shared" si="96"/>
        <v>0</v>
      </c>
      <c r="JX34" s="522" t="str">
        <f t="shared" si="97"/>
        <v>0</v>
      </c>
      <c r="JY34" s="520"/>
      <c r="JZ34" s="522" t="str">
        <f t="shared" si="98"/>
        <v>0</v>
      </c>
      <c r="KA34" s="522" t="str">
        <f t="shared" si="99"/>
        <v>0</v>
      </c>
      <c r="KB34" s="520"/>
      <c r="KC34" s="522" t="str">
        <f t="shared" si="100"/>
        <v>0</v>
      </c>
      <c r="KD34" s="522" t="str">
        <f t="shared" si="101"/>
        <v>0</v>
      </c>
      <c r="KE34" s="520"/>
      <c r="KF34" s="522" t="str">
        <f t="shared" si="102"/>
        <v>0</v>
      </c>
      <c r="KG34" s="522" t="str">
        <f t="shared" si="103"/>
        <v>0</v>
      </c>
      <c r="KH34" s="520"/>
      <c r="KI34" s="522" t="str">
        <f t="shared" si="104"/>
        <v>0</v>
      </c>
      <c r="KJ34" s="522" t="str">
        <f t="shared" si="105"/>
        <v>0</v>
      </c>
      <c r="KK34" s="520"/>
      <c r="KL34" s="522" t="str">
        <f t="shared" si="106"/>
        <v>0</v>
      </c>
      <c r="KM34" s="522" t="str">
        <f t="shared" si="107"/>
        <v>0</v>
      </c>
      <c r="KN34" s="520"/>
      <c r="KO34" s="522" t="str">
        <f t="shared" si="108"/>
        <v>0</v>
      </c>
      <c r="KP34" s="522" t="str">
        <f t="shared" si="109"/>
        <v>0</v>
      </c>
      <c r="KQ34" s="520"/>
      <c r="KR34" s="522" t="str">
        <f t="shared" si="110"/>
        <v>0</v>
      </c>
      <c r="KS34" s="522" t="str">
        <f t="shared" si="111"/>
        <v>0</v>
      </c>
      <c r="KT34" s="522">
        <f t="shared" si="201"/>
        <v>0</v>
      </c>
      <c r="KU34" s="522">
        <f t="shared" si="202"/>
        <v>0</v>
      </c>
      <c r="KV34" s="267">
        <f t="shared" si="199"/>
        <v>404.20110485318656</v>
      </c>
    </row>
    <row r="35" spans="1:308" ht="15" customHeight="1">
      <c r="A35" s="268">
        <f t="shared" si="200"/>
        <v>45896</v>
      </c>
      <c r="B35" s="269" t="str">
        <f>+Report1!B35</f>
        <v>Facial</v>
      </c>
      <c r="C35" s="269" t="str">
        <f>+Report1!C35</f>
        <v>12</v>
      </c>
      <c r="D35" s="270">
        <f>+Report1!P35</f>
        <v>42.418999999999997</v>
      </c>
      <c r="E35" s="558">
        <f>+Report1!R35</f>
        <v>40.606000000000002</v>
      </c>
      <c r="F35" s="520"/>
      <c r="G35" s="521">
        <f t="shared" si="0"/>
        <v>0</v>
      </c>
      <c r="H35" s="522">
        <f t="shared" si="112"/>
        <v>0</v>
      </c>
      <c r="I35" s="520">
        <v>244.18604651162786</v>
      </c>
      <c r="J35" s="521">
        <f t="shared" si="1"/>
        <v>6.0135459417728381</v>
      </c>
      <c r="K35" s="522">
        <f t="shared" si="113"/>
        <v>0</v>
      </c>
      <c r="L35" s="520"/>
      <c r="M35" s="521">
        <f t="shared" si="2"/>
        <v>0</v>
      </c>
      <c r="N35" s="522">
        <f t="shared" si="114"/>
        <v>0</v>
      </c>
      <c r="O35" s="520">
        <v>6</v>
      </c>
      <c r="P35" s="521">
        <f t="shared" si="3"/>
        <v>0.14776141456927547</v>
      </c>
      <c r="Q35" s="522">
        <f t="shared" si="115"/>
        <v>0</v>
      </c>
      <c r="R35" s="520"/>
      <c r="S35" s="521">
        <f t="shared" si="4"/>
        <v>0</v>
      </c>
      <c r="T35" s="522">
        <f t="shared" si="116"/>
        <v>0</v>
      </c>
      <c r="U35" s="520">
        <v>7.6875</v>
      </c>
      <c r="V35" s="521">
        <f t="shared" si="5"/>
        <v>0.18931931241688418</v>
      </c>
      <c r="W35" s="522">
        <f t="shared" si="117"/>
        <v>0</v>
      </c>
      <c r="X35" s="520"/>
      <c r="Y35" s="521">
        <f t="shared" si="6"/>
        <v>0</v>
      </c>
      <c r="Z35" s="522">
        <f t="shared" si="118"/>
        <v>0</v>
      </c>
      <c r="AA35" s="520">
        <v>6.25</v>
      </c>
      <c r="AB35" s="521">
        <f t="shared" si="7"/>
        <v>0.15391814017632863</v>
      </c>
      <c r="AC35" s="522">
        <f t="shared" si="119"/>
        <v>0</v>
      </c>
      <c r="AD35" s="520"/>
      <c r="AE35" s="521">
        <f t="shared" si="8"/>
        <v>0</v>
      </c>
      <c r="AF35" s="522">
        <f t="shared" si="120"/>
        <v>0</v>
      </c>
      <c r="AG35" s="520"/>
      <c r="AH35" s="521">
        <f t="shared" si="9"/>
        <v>0</v>
      </c>
      <c r="AI35" s="522">
        <f t="shared" si="121"/>
        <v>0</v>
      </c>
      <c r="AJ35" s="520"/>
      <c r="AK35" s="521">
        <f t="shared" si="10"/>
        <v>0</v>
      </c>
      <c r="AL35" s="522">
        <f t="shared" si="122"/>
        <v>0</v>
      </c>
      <c r="AM35" s="520"/>
      <c r="AN35" s="521">
        <f t="shared" si="11"/>
        <v>0</v>
      </c>
      <c r="AO35" s="522">
        <f t="shared" si="123"/>
        <v>0</v>
      </c>
      <c r="AP35" s="520">
        <v>45.569620253164601</v>
      </c>
      <c r="AQ35" s="521">
        <f t="shared" si="12"/>
        <v>1.1222385916653843</v>
      </c>
      <c r="AR35" s="522">
        <f t="shared" si="124"/>
        <v>0</v>
      </c>
      <c r="AS35" s="520"/>
      <c r="AT35" s="521">
        <f t="shared" si="13"/>
        <v>0</v>
      </c>
      <c r="AU35" s="522">
        <f t="shared" si="125"/>
        <v>0</v>
      </c>
      <c r="AV35" s="520"/>
      <c r="AW35" s="521">
        <f t="shared" si="14"/>
        <v>0</v>
      </c>
      <c r="AX35" s="522">
        <f t="shared" si="126"/>
        <v>0</v>
      </c>
      <c r="AY35" s="520">
        <v>60.666666666666686</v>
      </c>
      <c r="AZ35" s="521">
        <f t="shared" si="15"/>
        <v>1.4940320806448968</v>
      </c>
      <c r="BA35" s="522">
        <f t="shared" si="127"/>
        <v>0</v>
      </c>
      <c r="BB35" s="520"/>
      <c r="BC35" s="521">
        <f t="shared" si="16"/>
        <v>0</v>
      </c>
      <c r="BD35" s="522">
        <f t="shared" si="128"/>
        <v>0</v>
      </c>
      <c r="BE35" s="520"/>
      <c r="BF35" s="521">
        <f t="shared" si="17"/>
        <v>0</v>
      </c>
      <c r="BG35" s="522">
        <f t="shared" si="129"/>
        <v>0</v>
      </c>
      <c r="BH35" s="520"/>
      <c r="BI35" s="521">
        <f t="shared" si="18"/>
        <v>0</v>
      </c>
      <c r="BJ35" s="522">
        <f t="shared" si="130"/>
        <v>0</v>
      </c>
      <c r="BK35" s="520"/>
      <c r="BL35" s="521">
        <f t="shared" si="19"/>
        <v>0</v>
      </c>
      <c r="BM35" s="522">
        <f t="shared" si="131"/>
        <v>0</v>
      </c>
      <c r="BN35" s="520"/>
      <c r="BO35" s="521">
        <f t="shared" si="20"/>
        <v>0</v>
      </c>
      <c r="BP35" s="522">
        <f t="shared" si="132"/>
        <v>0</v>
      </c>
      <c r="BQ35" s="520"/>
      <c r="BR35" s="521">
        <f t="shared" si="21"/>
        <v>0</v>
      </c>
      <c r="BS35" s="522">
        <f t="shared" si="133"/>
        <v>0</v>
      </c>
      <c r="BT35" s="520"/>
      <c r="BU35" s="521">
        <f t="shared" si="22"/>
        <v>0</v>
      </c>
      <c r="BV35" s="522">
        <f t="shared" si="134"/>
        <v>0</v>
      </c>
      <c r="BW35" s="520"/>
      <c r="BX35" s="521">
        <f t="shared" si="23"/>
        <v>0</v>
      </c>
      <c r="BY35" s="522">
        <f t="shared" si="135"/>
        <v>0</v>
      </c>
      <c r="BZ35" s="520"/>
      <c r="CA35" s="521">
        <f t="shared" si="24"/>
        <v>0</v>
      </c>
      <c r="CB35" s="522">
        <f t="shared" si="136"/>
        <v>0</v>
      </c>
      <c r="CC35" s="520"/>
      <c r="CD35" s="521">
        <f t="shared" si="25"/>
        <v>0</v>
      </c>
      <c r="CE35" s="522">
        <f t="shared" si="137"/>
        <v>0</v>
      </c>
      <c r="CF35" s="520">
        <v>0.59999999999999432</v>
      </c>
      <c r="CG35" s="521">
        <f t="shared" si="26"/>
        <v>1.4776141456927407E-2</v>
      </c>
      <c r="CH35" s="522">
        <f t="shared" si="138"/>
        <v>0</v>
      </c>
      <c r="CI35" s="520"/>
      <c r="CJ35" s="521">
        <f t="shared" si="27"/>
        <v>0</v>
      </c>
      <c r="CK35" s="522">
        <f t="shared" si="139"/>
        <v>0</v>
      </c>
      <c r="CL35" s="520"/>
      <c r="CM35" s="521">
        <f t="shared" si="28"/>
        <v>0</v>
      </c>
      <c r="CN35" s="522">
        <f t="shared" si="140"/>
        <v>0</v>
      </c>
      <c r="CO35" s="520"/>
      <c r="CP35" s="521">
        <f t="shared" si="29"/>
        <v>0</v>
      </c>
      <c r="CQ35" s="522">
        <f t="shared" si="141"/>
        <v>0</v>
      </c>
      <c r="CR35" s="520"/>
      <c r="CS35" s="521">
        <f t="shared" si="30"/>
        <v>0</v>
      </c>
      <c r="CT35" s="522">
        <f t="shared" si="142"/>
        <v>0</v>
      </c>
      <c r="CU35" s="520"/>
      <c r="CV35" s="521">
        <f t="shared" si="31"/>
        <v>0</v>
      </c>
      <c r="CW35" s="522">
        <f t="shared" si="143"/>
        <v>0</v>
      </c>
      <c r="CX35" s="520"/>
      <c r="CY35" s="521">
        <f t="shared" si="32"/>
        <v>0</v>
      </c>
      <c r="CZ35" s="522">
        <f t="shared" si="144"/>
        <v>0</v>
      </c>
      <c r="DA35" s="520"/>
      <c r="DB35" s="521">
        <f t="shared" si="33"/>
        <v>0</v>
      </c>
      <c r="DC35" s="522">
        <f t="shared" si="145"/>
        <v>0</v>
      </c>
      <c r="DD35" s="520"/>
      <c r="DE35" s="521">
        <f t="shared" si="34"/>
        <v>0</v>
      </c>
      <c r="DF35" s="522">
        <f t="shared" si="146"/>
        <v>0</v>
      </c>
      <c r="DG35" s="520"/>
      <c r="DH35" s="521">
        <f t="shared" si="35"/>
        <v>0</v>
      </c>
      <c r="DI35" s="522">
        <f t="shared" si="203"/>
        <v>0</v>
      </c>
      <c r="DJ35" s="520"/>
      <c r="DK35" s="521">
        <f t="shared" si="36"/>
        <v>0</v>
      </c>
      <c r="DL35" s="522">
        <f t="shared" si="147"/>
        <v>0</v>
      </c>
      <c r="DM35" s="520"/>
      <c r="DN35" s="521">
        <f t="shared" si="37"/>
        <v>0</v>
      </c>
      <c r="DO35" s="522">
        <f t="shared" si="148"/>
        <v>0</v>
      </c>
      <c r="DP35" s="520"/>
      <c r="DQ35" s="521">
        <f t="shared" si="38"/>
        <v>0</v>
      </c>
      <c r="DR35" s="522">
        <f t="shared" si="149"/>
        <v>0</v>
      </c>
      <c r="DS35" s="520"/>
      <c r="DT35" s="521">
        <f t="shared" si="39"/>
        <v>0</v>
      </c>
      <c r="DU35" s="522">
        <f t="shared" si="150"/>
        <v>0</v>
      </c>
      <c r="DV35" s="520"/>
      <c r="DW35" s="521">
        <f t="shared" si="40"/>
        <v>0</v>
      </c>
      <c r="DX35" s="522">
        <f t="shared" si="151"/>
        <v>0</v>
      </c>
      <c r="DY35" s="520"/>
      <c r="DZ35" s="521">
        <f t="shared" si="41"/>
        <v>0</v>
      </c>
      <c r="EA35" s="522">
        <f t="shared" si="152"/>
        <v>0</v>
      </c>
      <c r="EB35" s="520"/>
      <c r="EC35" s="521">
        <f t="shared" si="42"/>
        <v>0</v>
      </c>
      <c r="ED35" s="522">
        <f t="shared" si="153"/>
        <v>0</v>
      </c>
      <c r="EE35" s="520">
        <v>14.534883720930225</v>
      </c>
      <c r="EF35" s="521">
        <f t="shared" si="43"/>
        <v>0.35794916320076403</v>
      </c>
      <c r="EG35" s="522">
        <f t="shared" si="154"/>
        <v>0</v>
      </c>
      <c r="EH35" s="520">
        <v>46.964705882352973</v>
      </c>
      <c r="EI35" s="521">
        <f t="shared" si="44"/>
        <v>1.1565952293344079</v>
      </c>
      <c r="EJ35" s="522">
        <f t="shared" si="155"/>
        <v>0</v>
      </c>
      <c r="EK35" s="520">
        <v>3.6000000000000014</v>
      </c>
      <c r="EL35" s="521">
        <f t="shared" si="45"/>
        <v>8.8656848741565319E-2</v>
      </c>
      <c r="EM35" s="522">
        <f t="shared" si="156"/>
        <v>0</v>
      </c>
      <c r="EN35" s="520"/>
      <c r="EO35" s="521">
        <f t="shared" si="46"/>
        <v>0</v>
      </c>
      <c r="EP35" s="522">
        <f t="shared" si="157"/>
        <v>0</v>
      </c>
      <c r="EQ35" s="520"/>
      <c r="ER35" s="521">
        <f t="shared" si="47"/>
        <v>0</v>
      </c>
      <c r="ES35" s="522">
        <f t="shared" si="158"/>
        <v>0</v>
      </c>
      <c r="ET35" s="520"/>
      <c r="EU35" s="521">
        <f t="shared" si="48"/>
        <v>0</v>
      </c>
      <c r="EV35" s="522">
        <f t="shared" si="159"/>
        <v>0</v>
      </c>
      <c r="EW35" s="520"/>
      <c r="EX35" s="521">
        <f t="shared" si="49"/>
        <v>0</v>
      </c>
      <c r="EY35" s="522">
        <f t="shared" si="160"/>
        <v>0</v>
      </c>
      <c r="EZ35" s="520"/>
      <c r="FA35" s="521">
        <f t="shared" si="50"/>
        <v>0</v>
      </c>
      <c r="FB35" s="522">
        <f t="shared" si="161"/>
        <v>0</v>
      </c>
      <c r="FC35" s="520"/>
      <c r="FD35" s="521">
        <f t="shared" si="51"/>
        <v>0</v>
      </c>
      <c r="FE35" s="522">
        <f t="shared" si="162"/>
        <v>0</v>
      </c>
      <c r="FF35" s="520"/>
      <c r="FG35" s="521">
        <f t="shared" si="52"/>
        <v>0</v>
      </c>
      <c r="FH35" s="522">
        <f t="shared" si="163"/>
        <v>0</v>
      </c>
      <c r="FI35" s="520"/>
      <c r="FJ35" s="521">
        <f t="shared" si="53"/>
        <v>0</v>
      </c>
      <c r="FK35" s="522">
        <f t="shared" si="164"/>
        <v>0</v>
      </c>
      <c r="FL35" s="520"/>
      <c r="FM35" s="521">
        <f t="shared" si="54"/>
        <v>0</v>
      </c>
      <c r="FN35" s="522">
        <f t="shared" si="165"/>
        <v>0</v>
      </c>
      <c r="FO35" s="520"/>
      <c r="FP35" s="521">
        <f t="shared" si="55"/>
        <v>0</v>
      </c>
      <c r="FQ35" s="522">
        <f t="shared" si="166"/>
        <v>0</v>
      </c>
      <c r="FR35" s="520"/>
      <c r="FS35" s="521">
        <f t="shared" si="56"/>
        <v>0</v>
      </c>
      <c r="FT35" s="522">
        <f t="shared" si="167"/>
        <v>0</v>
      </c>
      <c r="FU35" s="520"/>
      <c r="FV35" s="521">
        <f t="shared" si="57"/>
        <v>0</v>
      </c>
      <c r="FW35" s="522">
        <f t="shared" si="168"/>
        <v>0</v>
      </c>
      <c r="FX35" s="520"/>
      <c r="FY35" s="521">
        <f t="shared" si="58"/>
        <v>0</v>
      </c>
      <c r="FZ35" s="522">
        <f t="shared" si="169"/>
        <v>0</v>
      </c>
      <c r="GA35" s="520"/>
      <c r="GB35" s="521">
        <f t="shared" si="59"/>
        <v>0</v>
      </c>
      <c r="GC35" s="522">
        <f t="shared" si="170"/>
        <v>0</v>
      </c>
      <c r="GD35" s="520"/>
      <c r="GE35" s="521">
        <f t="shared" si="60"/>
        <v>0</v>
      </c>
      <c r="GF35" s="522">
        <f t="shared" si="171"/>
        <v>0</v>
      </c>
      <c r="GG35" s="520"/>
      <c r="GH35" s="521">
        <f t="shared" si="61"/>
        <v>0</v>
      </c>
      <c r="GI35" s="522">
        <f t="shared" si="172"/>
        <v>0</v>
      </c>
      <c r="GJ35" s="520"/>
      <c r="GK35" s="521">
        <f t="shared" si="62"/>
        <v>0</v>
      </c>
      <c r="GL35" s="522">
        <f t="shared" si="173"/>
        <v>0</v>
      </c>
      <c r="GM35" s="520"/>
      <c r="GN35" s="521">
        <f t="shared" si="63"/>
        <v>0</v>
      </c>
      <c r="GO35" s="522">
        <f t="shared" si="174"/>
        <v>0</v>
      </c>
      <c r="GP35" s="520"/>
      <c r="GQ35" s="521">
        <f t="shared" si="64"/>
        <v>0</v>
      </c>
      <c r="GR35" s="522">
        <f t="shared" si="175"/>
        <v>0</v>
      </c>
      <c r="GS35" s="520"/>
      <c r="GT35" s="521">
        <f t="shared" si="65"/>
        <v>0</v>
      </c>
      <c r="GU35" s="522">
        <f t="shared" si="176"/>
        <v>0</v>
      </c>
      <c r="GV35" s="520"/>
      <c r="GW35" s="521">
        <f t="shared" si="66"/>
        <v>0</v>
      </c>
      <c r="GX35" s="522">
        <f t="shared" si="177"/>
        <v>0</v>
      </c>
      <c r="GY35" s="520"/>
      <c r="GZ35" s="521">
        <f t="shared" si="67"/>
        <v>0</v>
      </c>
      <c r="HA35" s="522">
        <f t="shared" si="178"/>
        <v>0</v>
      </c>
      <c r="HB35" s="520"/>
      <c r="HC35" s="521">
        <f t="shared" si="68"/>
        <v>0</v>
      </c>
      <c r="HD35" s="522">
        <f t="shared" si="179"/>
        <v>0</v>
      </c>
      <c r="HE35" s="520"/>
      <c r="HF35" s="521">
        <f t="shared" si="69"/>
        <v>0</v>
      </c>
      <c r="HG35" s="522">
        <f t="shared" si="180"/>
        <v>0</v>
      </c>
      <c r="HH35" s="520"/>
      <c r="HI35" s="521">
        <f t="shared" si="70"/>
        <v>0</v>
      </c>
      <c r="HJ35" s="522">
        <f t="shared" si="181"/>
        <v>0</v>
      </c>
      <c r="HK35" s="520"/>
      <c r="HL35" s="521">
        <f t="shared" si="71"/>
        <v>0</v>
      </c>
      <c r="HM35" s="522">
        <f t="shared" si="182"/>
        <v>0</v>
      </c>
      <c r="HN35" s="520"/>
      <c r="HO35" s="521">
        <f t="shared" si="72"/>
        <v>0</v>
      </c>
      <c r="HP35" s="522">
        <f t="shared" si="183"/>
        <v>0</v>
      </c>
      <c r="HQ35" s="520"/>
      <c r="HR35" s="521">
        <f t="shared" si="73"/>
        <v>0</v>
      </c>
      <c r="HS35" s="522">
        <f t="shared" si="184"/>
        <v>0</v>
      </c>
      <c r="HT35" s="520"/>
      <c r="HU35" s="521">
        <f t="shared" si="74"/>
        <v>0</v>
      </c>
      <c r="HV35" s="522">
        <f t="shared" si="185"/>
        <v>0</v>
      </c>
      <c r="HW35" s="520"/>
      <c r="HX35" s="521">
        <f t="shared" si="75"/>
        <v>0</v>
      </c>
      <c r="HY35" s="522">
        <f t="shared" si="186"/>
        <v>0</v>
      </c>
      <c r="HZ35" s="520"/>
      <c r="IA35" s="521">
        <f t="shared" si="76"/>
        <v>0</v>
      </c>
      <c r="IB35" s="522">
        <f t="shared" si="187"/>
        <v>0</v>
      </c>
      <c r="IC35" s="520"/>
      <c r="ID35" s="521">
        <f t="shared" si="77"/>
        <v>0</v>
      </c>
      <c r="IE35" s="522">
        <f t="shared" si="188"/>
        <v>0</v>
      </c>
      <c r="IF35" s="520"/>
      <c r="IG35" s="521">
        <f t="shared" si="78"/>
        <v>0</v>
      </c>
      <c r="IH35" s="522">
        <f t="shared" si="189"/>
        <v>0</v>
      </c>
      <c r="II35" s="520"/>
      <c r="IJ35" s="521">
        <f t="shared" si="79"/>
        <v>0</v>
      </c>
      <c r="IK35" s="522">
        <f t="shared" si="190"/>
        <v>0</v>
      </c>
      <c r="IL35" s="520"/>
      <c r="IM35" s="521">
        <f t="shared" si="80"/>
        <v>0</v>
      </c>
      <c r="IN35" s="522">
        <f t="shared" si="191"/>
        <v>0</v>
      </c>
      <c r="IO35" s="520"/>
      <c r="IP35" s="521">
        <f t="shared" si="81"/>
        <v>0</v>
      </c>
      <c r="IQ35" s="522">
        <f t="shared" si="192"/>
        <v>0</v>
      </c>
      <c r="IR35" s="520"/>
      <c r="IS35" s="521">
        <f t="shared" si="82"/>
        <v>0</v>
      </c>
      <c r="IT35" s="522">
        <f t="shared" si="193"/>
        <v>0</v>
      </c>
      <c r="IU35" s="520"/>
      <c r="IV35" s="521">
        <f t="shared" si="83"/>
        <v>0</v>
      </c>
      <c r="IW35" s="522">
        <f t="shared" si="194"/>
        <v>0</v>
      </c>
      <c r="IX35" s="520"/>
      <c r="IY35" s="521">
        <f t="shared" si="84"/>
        <v>0</v>
      </c>
      <c r="IZ35" s="522">
        <f t="shared" si="195"/>
        <v>0</v>
      </c>
      <c r="JA35" s="520"/>
      <c r="JB35" s="521">
        <f t="shared" si="85"/>
        <v>0</v>
      </c>
      <c r="JC35" s="522">
        <f t="shared" si="196"/>
        <v>0</v>
      </c>
      <c r="JD35" s="520"/>
      <c r="JE35" s="521">
        <f t="shared" si="86"/>
        <v>0</v>
      </c>
      <c r="JF35" s="522">
        <f t="shared" si="197"/>
        <v>0</v>
      </c>
      <c r="JG35" s="520"/>
      <c r="JH35" s="521">
        <f t="shared" si="87"/>
        <v>0</v>
      </c>
      <c r="JI35" s="522">
        <f t="shared" si="198"/>
        <v>0</v>
      </c>
      <c r="JJ35" s="520"/>
      <c r="JK35" s="522" t="str">
        <f t="shared" si="88"/>
        <v>0</v>
      </c>
      <c r="JL35" s="522" t="str">
        <f t="shared" si="89"/>
        <v>0</v>
      </c>
      <c r="JM35" s="520"/>
      <c r="JN35" s="522" t="str">
        <f t="shared" si="90"/>
        <v>0</v>
      </c>
      <c r="JO35" s="522" t="str">
        <f t="shared" si="91"/>
        <v>0</v>
      </c>
      <c r="JP35" s="520"/>
      <c r="JQ35" s="522" t="str">
        <f t="shared" si="92"/>
        <v>0</v>
      </c>
      <c r="JR35" s="522" t="str">
        <f t="shared" si="93"/>
        <v>0</v>
      </c>
      <c r="JS35" s="520"/>
      <c r="JT35" s="522" t="str">
        <f t="shared" si="94"/>
        <v>0</v>
      </c>
      <c r="JU35" s="522" t="str">
        <f t="shared" si="95"/>
        <v>0</v>
      </c>
      <c r="JV35" s="520"/>
      <c r="JW35" s="522" t="str">
        <f t="shared" si="96"/>
        <v>0</v>
      </c>
      <c r="JX35" s="522" t="str">
        <f t="shared" si="97"/>
        <v>0</v>
      </c>
      <c r="JY35" s="520"/>
      <c r="JZ35" s="522" t="str">
        <f t="shared" si="98"/>
        <v>0</v>
      </c>
      <c r="KA35" s="522" t="str">
        <f t="shared" si="99"/>
        <v>0</v>
      </c>
      <c r="KB35" s="520"/>
      <c r="KC35" s="522" t="str">
        <f t="shared" si="100"/>
        <v>0</v>
      </c>
      <c r="KD35" s="522" t="str">
        <f t="shared" si="101"/>
        <v>0</v>
      </c>
      <c r="KE35" s="520"/>
      <c r="KF35" s="522" t="str">
        <f t="shared" si="102"/>
        <v>0</v>
      </c>
      <c r="KG35" s="522" t="str">
        <f t="shared" si="103"/>
        <v>0</v>
      </c>
      <c r="KH35" s="520"/>
      <c r="KI35" s="522" t="str">
        <f t="shared" si="104"/>
        <v>0</v>
      </c>
      <c r="KJ35" s="522" t="str">
        <f t="shared" si="105"/>
        <v>0</v>
      </c>
      <c r="KK35" s="520"/>
      <c r="KL35" s="522" t="str">
        <f t="shared" si="106"/>
        <v>0</v>
      </c>
      <c r="KM35" s="522" t="str">
        <f t="shared" si="107"/>
        <v>0</v>
      </c>
      <c r="KN35" s="520"/>
      <c r="KO35" s="522" t="str">
        <f t="shared" si="108"/>
        <v>0</v>
      </c>
      <c r="KP35" s="522" t="str">
        <f t="shared" si="109"/>
        <v>0</v>
      </c>
      <c r="KQ35" s="520"/>
      <c r="KR35" s="522" t="str">
        <f t="shared" si="110"/>
        <v>0</v>
      </c>
      <c r="KS35" s="522" t="str">
        <f t="shared" si="111"/>
        <v>0</v>
      </c>
      <c r="KT35" s="522">
        <f t="shared" si="201"/>
        <v>0</v>
      </c>
      <c r="KU35" s="522">
        <f t="shared" si="202"/>
        <v>0</v>
      </c>
      <c r="KV35" s="267">
        <f t="shared" si="199"/>
        <v>436.05942303474239</v>
      </c>
    </row>
    <row r="36" spans="1:308" ht="15" customHeight="1">
      <c r="A36" s="268">
        <f t="shared" si="200"/>
        <v>45897</v>
      </c>
      <c r="B36" s="269" t="str">
        <f>+Report1!B36</f>
        <v>Facial</v>
      </c>
      <c r="C36" s="269" t="str">
        <f>+Report1!C36</f>
        <v>12</v>
      </c>
      <c r="D36" s="270">
        <f>+Report1!P36</f>
        <v>39.24</v>
      </c>
      <c r="E36" s="558">
        <f>+Report1!R36</f>
        <v>39.936999999999998</v>
      </c>
      <c r="F36" s="520"/>
      <c r="G36" s="521">
        <f t="shared" si="0"/>
        <v>0</v>
      </c>
      <c r="H36" s="522">
        <f t="shared" si="112"/>
        <v>0</v>
      </c>
      <c r="I36" s="520">
        <v>255.81395348837214</v>
      </c>
      <c r="J36" s="521">
        <f t="shared" si="1"/>
        <v>6.4054374011160613</v>
      </c>
      <c r="K36" s="522">
        <f t="shared" si="113"/>
        <v>0</v>
      </c>
      <c r="L36" s="520"/>
      <c r="M36" s="521">
        <f t="shared" si="2"/>
        <v>0</v>
      </c>
      <c r="N36" s="522">
        <f t="shared" si="114"/>
        <v>0</v>
      </c>
      <c r="O36" s="520">
        <v>6.0000000000000142</v>
      </c>
      <c r="P36" s="521">
        <f t="shared" si="3"/>
        <v>0.15023662268072249</v>
      </c>
      <c r="Q36" s="522">
        <f t="shared" si="115"/>
        <v>0</v>
      </c>
      <c r="R36" s="520"/>
      <c r="S36" s="521">
        <f t="shared" si="4"/>
        <v>0</v>
      </c>
      <c r="T36" s="522">
        <f t="shared" si="116"/>
        <v>0</v>
      </c>
      <c r="U36" s="520">
        <v>7.6875</v>
      </c>
      <c r="V36" s="521">
        <f t="shared" si="5"/>
        <v>0.19249067280967525</v>
      </c>
      <c r="W36" s="522">
        <f t="shared" si="117"/>
        <v>0</v>
      </c>
      <c r="X36" s="520"/>
      <c r="Y36" s="521">
        <f t="shared" si="6"/>
        <v>0</v>
      </c>
      <c r="Z36" s="522">
        <f t="shared" si="118"/>
        <v>0</v>
      </c>
      <c r="AA36" s="520">
        <v>3.125</v>
      </c>
      <c r="AB36" s="521">
        <f t="shared" si="7"/>
        <v>7.8248240979542791E-2</v>
      </c>
      <c r="AC36" s="522">
        <f t="shared" si="119"/>
        <v>0</v>
      </c>
      <c r="AD36" s="520"/>
      <c r="AE36" s="521">
        <f t="shared" si="8"/>
        <v>0</v>
      </c>
      <c r="AF36" s="522">
        <f t="shared" si="120"/>
        <v>0</v>
      </c>
      <c r="AG36" s="520"/>
      <c r="AH36" s="521">
        <f t="shared" si="9"/>
        <v>0</v>
      </c>
      <c r="AI36" s="522">
        <f t="shared" si="121"/>
        <v>0</v>
      </c>
      <c r="AJ36" s="520"/>
      <c r="AK36" s="521">
        <f t="shared" si="10"/>
        <v>0</v>
      </c>
      <c r="AL36" s="522">
        <f t="shared" si="122"/>
        <v>0</v>
      </c>
      <c r="AM36" s="520"/>
      <c r="AN36" s="521">
        <f t="shared" si="11"/>
        <v>0</v>
      </c>
      <c r="AO36" s="522">
        <f t="shared" si="123"/>
        <v>0</v>
      </c>
      <c r="AP36" s="520">
        <v>51.265822784810041</v>
      </c>
      <c r="AQ36" s="521">
        <f t="shared" si="12"/>
        <v>1.2836673456897123</v>
      </c>
      <c r="AR36" s="522">
        <f t="shared" si="124"/>
        <v>0</v>
      </c>
      <c r="AS36" s="520"/>
      <c r="AT36" s="521">
        <f t="shared" si="13"/>
        <v>0</v>
      </c>
      <c r="AU36" s="522">
        <f t="shared" si="125"/>
        <v>0</v>
      </c>
      <c r="AV36" s="520"/>
      <c r="AW36" s="521">
        <f t="shared" si="14"/>
        <v>0</v>
      </c>
      <c r="AX36" s="522">
        <f t="shared" si="126"/>
        <v>0</v>
      </c>
      <c r="AY36" s="520">
        <v>60.666666666666629</v>
      </c>
      <c r="AZ36" s="521">
        <f t="shared" si="15"/>
        <v>1.5190591848828563</v>
      </c>
      <c r="BA36" s="522">
        <f t="shared" si="127"/>
        <v>0</v>
      </c>
      <c r="BB36" s="520"/>
      <c r="BC36" s="521">
        <f t="shared" si="16"/>
        <v>0</v>
      </c>
      <c r="BD36" s="522">
        <f t="shared" si="128"/>
        <v>0</v>
      </c>
      <c r="BE36" s="520"/>
      <c r="BF36" s="521">
        <f t="shared" si="17"/>
        <v>0</v>
      </c>
      <c r="BG36" s="522">
        <f t="shared" si="129"/>
        <v>0</v>
      </c>
      <c r="BH36" s="520"/>
      <c r="BI36" s="521">
        <f t="shared" si="18"/>
        <v>0</v>
      </c>
      <c r="BJ36" s="522">
        <f t="shared" si="130"/>
        <v>0</v>
      </c>
      <c r="BK36" s="520"/>
      <c r="BL36" s="521">
        <f t="shared" si="19"/>
        <v>0</v>
      </c>
      <c r="BM36" s="522">
        <f t="shared" si="131"/>
        <v>0</v>
      </c>
      <c r="BN36" s="520"/>
      <c r="BO36" s="521">
        <f t="shared" si="20"/>
        <v>0</v>
      </c>
      <c r="BP36" s="522">
        <f t="shared" si="132"/>
        <v>0</v>
      </c>
      <c r="BQ36" s="520"/>
      <c r="BR36" s="521">
        <f t="shared" si="21"/>
        <v>0</v>
      </c>
      <c r="BS36" s="522">
        <f t="shared" si="133"/>
        <v>0</v>
      </c>
      <c r="BT36" s="520"/>
      <c r="BU36" s="521">
        <f t="shared" si="22"/>
        <v>0</v>
      </c>
      <c r="BV36" s="522">
        <f t="shared" si="134"/>
        <v>0</v>
      </c>
      <c r="BW36" s="520"/>
      <c r="BX36" s="521">
        <f t="shared" si="23"/>
        <v>0</v>
      </c>
      <c r="BY36" s="522">
        <f t="shared" si="135"/>
        <v>0</v>
      </c>
      <c r="BZ36" s="520"/>
      <c r="CA36" s="521">
        <f t="shared" si="24"/>
        <v>0</v>
      </c>
      <c r="CB36" s="522">
        <f t="shared" si="136"/>
        <v>0</v>
      </c>
      <c r="CC36" s="520"/>
      <c r="CD36" s="521">
        <f t="shared" si="25"/>
        <v>0</v>
      </c>
      <c r="CE36" s="522">
        <f t="shared" si="137"/>
        <v>0</v>
      </c>
      <c r="CF36" s="520">
        <v>0.60000000000000142</v>
      </c>
      <c r="CG36" s="521">
        <f t="shared" si="26"/>
        <v>1.502366226807225E-2</v>
      </c>
      <c r="CH36" s="522">
        <f t="shared" si="138"/>
        <v>0</v>
      </c>
      <c r="CI36" s="520"/>
      <c r="CJ36" s="521">
        <f t="shared" si="27"/>
        <v>0</v>
      </c>
      <c r="CK36" s="522">
        <f t="shared" si="139"/>
        <v>0</v>
      </c>
      <c r="CL36" s="520"/>
      <c r="CM36" s="521">
        <f t="shared" si="28"/>
        <v>0</v>
      </c>
      <c r="CN36" s="522">
        <f t="shared" si="140"/>
        <v>0</v>
      </c>
      <c r="CO36" s="520"/>
      <c r="CP36" s="521">
        <f t="shared" si="29"/>
        <v>0</v>
      </c>
      <c r="CQ36" s="522">
        <f t="shared" si="141"/>
        <v>0</v>
      </c>
      <c r="CR36" s="520"/>
      <c r="CS36" s="521">
        <f t="shared" si="30"/>
        <v>0</v>
      </c>
      <c r="CT36" s="522">
        <f t="shared" si="142"/>
        <v>0</v>
      </c>
      <c r="CU36" s="520"/>
      <c r="CV36" s="521">
        <f t="shared" si="31"/>
        <v>0</v>
      </c>
      <c r="CW36" s="522">
        <f t="shared" si="143"/>
        <v>0</v>
      </c>
      <c r="CX36" s="520"/>
      <c r="CY36" s="521">
        <f t="shared" si="32"/>
        <v>0</v>
      </c>
      <c r="CZ36" s="522">
        <f t="shared" si="144"/>
        <v>0</v>
      </c>
      <c r="DA36" s="520"/>
      <c r="DB36" s="521">
        <f t="shared" si="33"/>
        <v>0</v>
      </c>
      <c r="DC36" s="522">
        <f t="shared" si="145"/>
        <v>0</v>
      </c>
      <c r="DD36" s="520"/>
      <c r="DE36" s="521">
        <f t="shared" si="34"/>
        <v>0</v>
      </c>
      <c r="DF36" s="522">
        <f t="shared" si="146"/>
        <v>0</v>
      </c>
      <c r="DG36" s="520"/>
      <c r="DH36" s="521">
        <f t="shared" si="35"/>
        <v>0</v>
      </c>
      <c r="DI36" s="522">
        <f t="shared" si="203"/>
        <v>0</v>
      </c>
      <c r="DJ36" s="520"/>
      <c r="DK36" s="521">
        <f t="shared" si="36"/>
        <v>0</v>
      </c>
      <c r="DL36" s="522">
        <f t="shared" si="147"/>
        <v>0</v>
      </c>
      <c r="DM36" s="520"/>
      <c r="DN36" s="521">
        <f t="shared" si="37"/>
        <v>0</v>
      </c>
      <c r="DO36" s="522">
        <f t="shared" si="148"/>
        <v>0</v>
      </c>
      <c r="DP36" s="520"/>
      <c r="DQ36" s="521">
        <f t="shared" si="38"/>
        <v>0</v>
      </c>
      <c r="DR36" s="522">
        <f t="shared" si="149"/>
        <v>0</v>
      </c>
      <c r="DS36" s="520"/>
      <c r="DT36" s="521">
        <f t="shared" si="39"/>
        <v>0</v>
      </c>
      <c r="DU36" s="522">
        <f t="shared" si="150"/>
        <v>0</v>
      </c>
      <c r="DV36" s="520"/>
      <c r="DW36" s="521">
        <f t="shared" si="40"/>
        <v>0</v>
      </c>
      <c r="DX36" s="522">
        <f t="shared" si="151"/>
        <v>0</v>
      </c>
      <c r="DY36" s="520"/>
      <c r="DZ36" s="521">
        <f t="shared" si="41"/>
        <v>0</v>
      </c>
      <c r="EA36" s="522">
        <f t="shared" si="152"/>
        <v>0</v>
      </c>
      <c r="EB36" s="520"/>
      <c r="EC36" s="521">
        <f t="shared" si="42"/>
        <v>0</v>
      </c>
      <c r="ED36" s="522">
        <f t="shared" si="153"/>
        <v>0</v>
      </c>
      <c r="EE36" s="520">
        <v>14.534883720930338</v>
      </c>
      <c r="EF36" s="521">
        <f t="shared" si="43"/>
        <v>0.36394530688159699</v>
      </c>
      <c r="EG36" s="522">
        <f t="shared" si="154"/>
        <v>0</v>
      </c>
      <c r="EH36" s="520">
        <v>23.482352941176373</v>
      </c>
      <c r="EI36" s="521">
        <f t="shared" si="44"/>
        <v>0.58798489974651014</v>
      </c>
      <c r="EJ36" s="522">
        <f t="shared" si="155"/>
        <v>0</v>
      </c>
      <c r="EK36" s="520">
        <v>3.5</v>
      </c>
      <c r="EL36" s="521">
        <f t="shared" si="45"/>
        <v>8.7638029897087924E-2</v>
      </c>
      <c r="EM36" s="522">
        <f t="shared" si="156"/>
        <v>0</v>
      </c>
      <c r="EN36" s="520"/>
      <c r="EO36" s="521">
        <f t="shared" si="46"/>
        <v>0</v>
      </c>
      <c r="EP36" s="522">
        <f t="shared" si="157"/>
        <v>0</v>
      </c>
      <c r="EQ36" s="520"/>
      <c r="ER36" s="521">
        <f t="shared" si="47"/>
        <v>0</v>
      </c>
      <c r="ES36" s="522">
        <f t="shared" si="158"/>
        <v>0</v>
      </c>
      <c r="ET36" s="520"/>
      <c r="EU36" s="521">
        <f t="shared" si="48"/>
        <v>0</v>
      </c>
      <c r="EV36" s="522">
        <f t="shared" si="159"/>
        <v>0</v>
      </c>
      <c r="EW36" s="520"/>
      <c r="EX36" s="521">
        <f t="shared" si="49"/>
        <v>0</v>
      </c>
      <c r="EY36" s="522">
        <f t="shared" si="160"/>
        <v>0</v>
      </c>
      <c r="EZ36" s="520"/>
      <c r="FA36" s="521">
        <f t="shared" si="50"/>
        <v>0</v>
      </c>
      <c r="FB36" s="522">
        <f t="shared" si="161"/>
        <v>0</v>
      </c>
      <c r="FC36" s="520"/>
      <c r="FD36" s="521">
        <f t="shared" si="51"/>
        <v>0</v>
      </c>
      <c r="FE36" s="522">
        <f t="shared" si="162"/>
        <v>0</v>
      </c>
      <c r="FF36" s="520"/>
      <c r="FG36" s="521">
        <f t="shared" si="52"/>
        <v>0</v>
      </c>
      <c r="FH36" s="522">
        <f t="shared" si="163"/>
        <v>0</v>
      </c>
      <c r="FI36" s="520"/>
      <c r="FJ36" s="521">
        <f t="shared" si="53"/>
        <v>0</v>
      </c>
      <c r="FK36" s="522">
        <f t="shared" si="164"/>
        <v>0</v>
      </c>
      <c r="FL36" s="520"/>
      <c r="FM36" s="521">
        <f t="shared" si="54"/>
        <v>0</v>
      </c>
      <c r="FN36" s="522">
        <f t="shared" si="165"/>
        <v>0</v>
      </c>
      <c r="FO36" s="520"/>
      <c r="FP36" s="521">
        <f t="shared" si="55"/>
        <v>0</v>
      </c>
      <c r="FQ36" s="522">
        <f t="shared" si="166"/>
        <v>0</v>
      </c>
      <c r="FR36" s="520"/>
      <c r="FS36" s="521">
        <f t="shared" si="56"/>
        <v>0</v>
      </c>
      <c r="FT36" s="522">
        <f t="shared" si="167"/>
        <v>0</v>
      </c>
      <c r="FU36" s="520"/>
      <c r="FV36" s="521">
        <f t="shared" si="57"/>
        <v>0</v>
      </c>
      <c r="FW36" s="522">
        <f t="shared" si="168"/>
        <v>0</v>
      </c>
      <c r="FX36" s="520"/>
      <c r="FY36" s="521">
        <f t="shared" si="58"/>
        <v>0</v>
      </c>
      <c r="FZ36" s="522">
        <f t="shared" si="169"/>
        <v>0</v>
      </c>
      <c r="GA36" s="520"/>
      <c r="GB36" s="521">
        <f t="shared" si="59"/>
        <v>0</v>
      </c>
      <c r="GC36" s="522">
        <f t="shared" si="170"/>
        <v>0</v>
      </c>
      <c r="GD36" s="520"/>
      <c r="GE36" s="521">
        <f t="shared" si="60"/>
        <v>0</v>
      </c>
      <c r="GF36" s="522">
        <f t="shared" si="171"/>
        <v>0</v>
      </c>
      <c r="GG36" s="520"/>
      <c r="GH36" s="521">
        <f t="shared" si="61"/>
        <v>0</v>
      </c>
      <c r="GI36" s="522">
        <f t="shared" si="172"/>
        <v>0</v>
      </c>
      <c r="GJ36" s="520"/>
      <c r="GK36" s="521">
        <f t="shared" si="62"/>
        <v>0</v>
      </c>
      <c r="GL36" s="522">
        <f t="shared" si="173"/>
        <v>0</v>
      </c>
      <c r="GM36" s="520"/>
      <c r="GN36" s="521">
        <f t="shared" si="63"/>
        <v>0</v>
      </c>
      <c r="GO36" s="522">
        <f t="shared" si="174"/>
        <v>0</v>
      </c>
      <c r="GP36" s="520"/>
      <c r="GQ36" s="521">
        <f t="shared" si="64"/>
        <v>0</v>
      </c>
      <c r="GR36" s="522">
        <f t="shared" si="175"/>
        <v>0</v>
      </c>
      <c r="GS36" s="520"/>
      <c r="GT36" s="521">
        <f t="shared" si="65"/>
        <v>0</v>
      </c>
      <c r="GU36" s="522">
        <f t="shared" si="176"/>
        <v>0</v>
      </c>
      <c r="GV36" s="520"/>
      <c r="GW36" s="521">
        <f t="shared" si="66"/>
        <v>0</v>
      </c>
      <c r="GX36" s="522">
        <f t="shared" si="177"/>
        <v>0</v>
      </c>
      <c r="GY36" s="520"/>
      <c r="GZ36" s="521">
        <f t="shared" si="67"/>
        <v>0</v>
      </c>
      <c r="HA36" s="522">
        <f t="shared" si="178"/>
        <v>0</v>
      </c>
      <c r="HB36" s="520"/>
      <c r="HC36" s="521">
        <f t="shared" si="68"/>
        <v>0</v>
      </c>
      <c r="HD36" s="522">
        <f t="shared" si="179"/>
        <v>0</v>
      </c>
      <c r="HE36" s="520"/>
      <c r="HF36" s="521">
        <f t="shared" si="69"/>
        <v>0</v>
      </c>
      <c r="HG36" s="522">
        <f t="shared" si="180"/>
        <v>0</v>
      </c>
      <c r="HH36" s="520"/>
      <c r="HI36" s="521">
        <f t="shared" si="70"/>
        <v>0</v>
      </c>
      <c r="HJ36" s="522">
        <f t="shared" si="181"/>
        <v>0</v>
      </c>
      <c r="HK36" s="520"/>
      <c r="HL36" s="521">
        <f t="shared" si="71"/>
        <v>0</v>
      </c>
      <c r="HM36" s="522">
        <f t="shared" si="182"/>
        <v>0</v>
      </c>
      <c r="HN36" s="520"/>
      <c r="HO36" s="521">
        <f t="shared" si="72"/>
        <v>0</v>
      </c>
      <c r="HP36" s="522">
        <f t="shared" si="183"/>
        <v>0</v>
      </c>
      <c r="HQ36" s="520"/>
      <c r="HR36" s="521">
        <f t="shared" si="73"/>
        <v>0</v>
      </c>
      <c r="HS36" s="522">
        <f t="shared" si="184"/>
        <v>0</v>
      </c>
      <c r="HT36" s="520"/>
      <c r="HU36" s="521">
        <f t="shared" si="74"/>
        <v>0</v>
      </c>
      <c r="HV36" s="522">
        <f t="shared" si="185"/>
        <v>0</v>
      </c>
      <c r="HW36" s="520"/>
      <c r="HX36" s="521">
        <f t="shared" si="75"/>
        <v>0</v>
      </c>
      <c r="HY36" s="522">
        <f t="shared" si="186"/>
        <v>0</v>
      </c>
      <c r="HZ36" s="520"/>
      <c r="IA36" s="521">
        <f t="shared" si="76"/>
        <v>0</v>
      </c>
      <c r="IB36" s="522">
        <f t="shared" si="187"/>
        <v>0</v>
      </c>
      <c r="IC36" s="520"/>
      <c r="ID36" s="521">
        <f t="shared" si="77"/>
        <v>0</v>
      </c>
      <c r="IE36" s="522">
        <f t="shared" si="188"/>
        <v>0</v>
      </c>
      <c r="IF36" s="520"/>
      <c r="IG36" s="521">
        <f t="shared" si="78"/>
        <v>0</v>
      </c>
      <c r="IH36" s="522">
        <f t="shared" si="189"/>
        <v>0</v>
      </c>
      <c r="II36" s="520"/>
      <c r="IJ36" s="521">
        <f t="shared" si="79"/>
        <v>0</v>
      </c>
      <c r="IK36" s="522">
        <f t="shared" si="190"/>
        <v>0</v>
      </c>
      <c r="IL36" s="520"/>
      <c r="IM36" s="521">
        <f t="shared" si="80"/>
        <v>0</v>
      </c>
      <c r="IN36" s="522">
        <f t="shared" si="191"/>
        <v>0</v>
      </c>
      <c r="IO36" s="520"/>
      <c r="IP36" s="521">
        <f t="shared" si="81"/>
        <v>0</v>
      </c>
      <c r="IQ36" s="522">
        <f t="shared" si="192"/>
        <v>0</v>
      </c>
      <c r="IR36" s="520"/>
      <c r="IS36" s="521">
        <f t="shared" si="82"/>
        <v>0</v>
      </c>
      <c r="IT36" s="522">
        <f t="shared" si="193"/>
        <v>0</v>
      </c>
      <c r="IU36" s="520"/>
      <c r="IV36" s="521">
        <f t="shared" si="83"/>
        <v>0</v>
      </c>
      <c r="IW36" s="522">
        <f t="shared" si="194"/>
        <v>0</v>
      </c>
      <c r="IX36" s="520"/>
      <c r="IY36" s="521">
        <f t="shared" si="84"/>
        <v>0</v>
      </c>
      <c r="IZ36" s="522">
        <f t="shared" si="195"/>
        <v>0</v>
      </c>
      <c r="JA36" s="520"/>
      <c r="JB36" s="521">
        <f t="shared" si="85"/>
        <v>0</v>
      </c>
      <c r="JC36" s="522">
        <f t="shared" si="196"/>
        <v>0</v>
      </c>
      <c r="JD36" s="520"/>
      <c r="JE36" s="521">
        <f t="shared" si="86"/>
        <v>0</v>
      </c>
      <c r="JF36" s="522">
        <f t="shared" si="197"/>
        <v>0</v>
      </c>
      <c r="JG36" s="520"/>
      <c r="JH36" s="521">
        <f t="shared" si="87"/>
        <v>0</v>
      </c>
      <c r="JI36" s="522">
        <f t="shared" si="198"/>
        <v>0</v>
      </c>
      <c r="JJ36" s="520"/>
      <c r="JK36" s="522" t="str">
        <f t="shared" si="88"/>
        <v>0</v>
      </c>
      <c r="JL36" s="522" t="str">
        <f t="shared" si="89"/>
        <v>0</v>
      </c>
      <c r="JM36" s="520"/>
      <c r="JN36" s="522" t="str">
        <f t="shared" si="90"/>
        <v>0</v>
      </c>
      <c r="JO36" s="522" t="str">
        <f t="shared" si="91"/>
        <v>0</v>
      </c>
      <c r="JP36" s="520"/>
      <c r="JQ36" s="522" t="str">
        <f t="shared" si="92"/>
        <v>0</v>
      </c>
      <c r="JR36" s="522" t="str">
        <f t="shared" si="93"/>
        <v>0</v>
      </c>
      <c r="JS36" s="520"/>
      <c r="JT36" s="522" t="str">
        <f t="shared" si="94"/>
        <v>0</v>
      </c>
      <c r="JU36" s="522" t="str">
        <f t="shared" si="95"/>
        <v>0</v>
      </c>
      <c r="JV36" s="520"/>
      <c r="JW36" s="522" t="str">
        <f t="shared" si="96"/>
        <v>0</v>
      </c>
      <c r="JX36" s="522" t="str">
        <f t="shared" si="97"/>
        <v>0</v>
      </c>
      <c r="JY36" s="520"/>
      <c r="JZ36" s="522" t="str">
        <f t="shared" si="98"/>
        <v>0</v>
      </c>
      <c r="KA36" s="522" t="str">
        <f t="shared" si="99"/>
        <v>0</v>
      </c>
      <c r="KB36" s="520"/>
      <c r="KC36" s="522" t="str">
        <f t="shared" si="100"/>
        <v>0</v>
      </c>
      <c r="KD36" s="522" t="str">
        <f t="shared" si="101"/>
        <v>0</v>
      </c>
      <c r="KE36" s="520"/>
      <c r="KF36" s="522" t="str">
        <f t="shared" si="102"/>
        <v>0</v>
      </c>
      <c r="KG36" s="522" t="str">
        <f t="shared" si="103"/>
        <v>0</v>
      </c>
      <c r="KH36" s="520"/>
      <c r="KI36" s="522" t="str">
        <f t="shared" si="104"/>
        <v>0</v>
      </c>
      <c r="KJ36" s="522" t="str">
        <f t="shared" si="105"/>
        <v>0</v>
      </c>
      <c r="KK36" s="520"/>
      <c r="KL36" s="522" t="str">
        <f t="shared" si="106"/>
        <v>0</v>
      </c>
      <c r="KM36" s="522" t="str">
        <f t="shared" si="107"/>
        <v>0</v>
      </c>
      <c r="KN36" s="520"/>
      <c r="KO36" s="522" t="str">
        <f t="shared" si="108"/>
        <v>0</v>
      </c>
      <c r="KP36" s="522" t="str">
        <f t="shared" si="109"/>
        <v>0</v>
      </c>
      <c r="KQ36" s="520"/>
      <c r="KR36" s="522" t="str">
        <f t="shared" si="110"/>
        <v>0</v>
      </c>
      <c r="KS36" s="522" t="str">
        <f t="shared" si="111"/>
        <v>0</v>
      </c>
      <c r="KT36" s="522">
        <f t="shared" si="201"/>
        <v>0</v>
      </c>
      <c r="KU36" s="522">
        <f t="shared" si="202"/>
        <v>0</v>
      </c>
      <c r="KV36" s="267">
        <f t="shared" si="199"/>
        <v>426.67617960195554</v>
      </c>
    </row>
    <row r="37" spans="1:308" ht="15" customHeight="1">
      <c r="A37" s="268">
        <f t="shared" si="200"/>
        <v>45898</v>
      </c>
      <c r="B37" s="269" t="str">
        <f>+Report1!B37</f>
        <v>Facial</v>
      </c>
      <c r="C37" s="269" t="str">
        <f>+Report1!C37</f>
        <v>12/13</v>
      </c>
      <c r="D37" s="270">
        <f>+Report1!P37</f>
        <v>41.143000000000001</v>
      </c>
      <c r="E37" s="558">
        <f>+Report1!R37</f>
        <v>37.582000000000001</v>
      </c>
      <c r="F37" s="520"/>
      <c r="G37" s="521">
        <f t="shared" si="0"/>
        <v>0</v>
      </c>
      <c r="H37" s="522">
        <f t="shared" si="112"/>
        <v>0</v>
      </c>
      <c r="I37" s="520">
        <v>255.81395348837214</v>
      </c>
      <c r="J37" s="521">
        <f t="shared" si="1"/>
        <v>6.8068211773820479</v>
      </c>
      <c r="K37" s="522">
        <f t="shared" si="113"/>
        <v>0</v>
      </c>
      <c r="L37" s="520"/>
      <c r="M37" s="521">
        <f t="shared" si="2"/>
        <v>0</v>
      </c>
      <c r="N37" s="522">
        <f t="shared" si="114"/>
        <v>0</v>
      </c>
      <c r="O37" s="520">
        <v>5.9999999999999858</v>
      </c>
      <c r="P37" s="521">
        <f t="shared" si="3"/>
        <v>0.15965089670586946</v>
      </c>
      <c r="Q37" s="522">
        <f t="shared" si="115"/>
        <v>0</v>
      </c>
      <c r="R37" s="520"/>
      <c r="S37" s="521">
        <f t="shared" si="4"/>
        <v>0</v>
      </c>
      <c r="T37" s="522">
        <f t="shared" si="116"/>
        <v>0</v>
      </c>
      <c r="U37" s="520">
        <v>7.6875</v>
      </c>
      <c r="V37" s="521">
        <f t="shared" si="5"/>
        <v>0.20455271140439571</v>
      </c>
      <c r="W37" s="522">
        <f t="shared" si="117"/>
        <v>0</v>
      </c>
      <c r="X37" s="520"/>
      <c r="Y37" s="521">
        <f t="shared" si="6"/>
        <v>0</v>
      </c>
      <c r="Z37" s="522">
        <f t="shared" si="118"/>
        <v>0</v>
      </c>
      <c r="AA37" s="520">
        <v>4.6875</v>
      </c>
      <c r="AB37" s="521">
        <f t="shared" si="7"/>
        <v>0.1247272630514608</v>
      </c>
      <c r="AC37" s="522">
        <f t="shared" si="119"/>
        <v>0</v>
      </c>
      <c r="AD37" s="520"/>
      <c r="AE37" s="521">
        <f t="shared" si="8"/>
        <v>0</v>
      </c>
      <c r="AF37" s="522">
        <f t="shared" si="120"/>
        <v>0</v>
      </c>
      <c r="AG37" s="520"/>
      <c r="AH37" s="521">
        <f t="shared" si="9"/>
        <v>0</v>
      </c>
      <c r="AI37" s="522">
        <f t="shared" si="121"/>
        <v>0</v>
      </c>
      <c r="AJ37" s="520"/>
      <c r="AK37" s="521">
        <f t="shared" si="10"/>
        <v>0</v>
      </c>
      <c r="AL37" s="522">
        <f t="shared" si="122"/>
        <v>0</v>
      </c>
      <c r="AM37" s="520"/>
      <c r="AN37" s="521">
        <f t="shared" si="11"/>
        <v>0</v>
      </c>
      <c r="AO37" s="522">
        <f t="shared" si="123"/>
        <v>0</v>
      </c>
      <c r="AP37" s="520">
        <v>45.569620253164601</v>
      </c>
      <c r="AQ37" s="521">
        <f t="shared" si="12"/>
        <v>1.2125384559939492</v>
      </c>
      <c r="AR37" s="522">
        <f t="shared" si="124"/>
        <v>0</v>
      </c>
      <c r="AS37" s="520"/>
      <c r="AT37" s="521">
        <f t="shared" si="13"/>
        <v>0</v>
      </c>
      <c r="AU37" s="522">
        <f t="shared" si="125"/>
        <v>0</v>
      </c>
      <c r="AV37" s="520"/>
      <c r="AW37" s="521">
        <f t="shared" si="14"/>
        <v>0</v>
      </c>
      <c r="AX37" s="522">
        <f t="shared" si="126"/>
        <v>0</v>
      </c>
      <c r="AY37" s="520">
        <v>60.666666666666657</v>
      </c>
      <c r="AZ37" s="521">
        <f t="shared" si="15"/>
        <v>1.6142479555815725</v>
      </c>
      <c r="BA37" s="522">
        <f t="shared" si="127"/>
        <v>0</v>
      </c>
      <c r="BB37" s="520"/>
      <c r="BC37" s="521">
        <f t="shared" si="16"/>
        <v>0</v>
      </c>
      <c r="BD37" s="522">
        <f t="shared" si="128"/>
        <v>0</v>
      </c>
      <c r="BE37" s="520"/>
      <c r="BF37" s="521">
        <f t="shared" si="17"/>
        <v>0</v>
      </c>
      <c r="BG37" s="522">
        <f t="shared" si="129"/>
        <v>0</v>
      </c>
      <c r="BH37" s="520"/>
      <c r="BI37" s="521">
        <f t="shared" si="18"/>
        <v>0</v>
      </c>
      <c r="BJ37" s="522">
        <f t="shared" si="130"/>
        <v>0</v>
      </c>
      <c r="BK37" s="520"/>
      <c r="BL37" s="521">
        <f t="shared" si="19"/>
        <v>0</v>
      </c>
      <c r="BM37" s="522">
        <f t="shared" si="131"/>
        <v>0</v>
      </c>
      <c r="BN37" s="520"/>
      <c r="BO37" s="521">
        <f t="shared" si="20"/>
        <v>0</v>
      </c>
      <c r="BP37" s="522">
        <f t="shared" si="132"/>
        <v>0</v>
      </c>
      <c r="BQ37" s="520"/>
      <c r="BR37" s="521">
        <f t="shared" si="21"/>
        <v>0</v>
      </c>
      <c r="BS37" s="522">
        <f t="shared" si="133"/>
        <v>0</v>
      </c>
      <c r="BT37" s="520"/>
      <c r="BU37" s="521">
        <f t="shared" si="22"/>
        <v>0</v>
      </c>
      <c r="BV37" s="522">
        <f t="shared" si="134"/>
        <v>0</v>
      </c>
      <c r="BW37" s="520"/>
      <c r="BX37" s="521">
        <f t="shared" si="23"/>
        <v>0</v>
      </c>
      <c r="BY37" s="522">
        <f t="shared" si="135"/>
        <v>0</v>
      </c>
      <c r="BZ37" s="520"/>
      <c r="CA37" s="521">
        <f t="shared" si="24"/>
        <v>0</v>
      </c>
      <c r="CB37" s="522">
        <f t="shared" si="136"/>
        <v>0</v>
      </c>
      <c r="CC37" s="520"/>
      <c r="CD37" s="521">
        <f t="shared" si="25"/>
        <v>0</v>
      </c>
      <c r="CE37" s="522">
        <f t="shared" si="137"/>
        <v>0</v>
      </c>
      <c r="CF37" s="520">
        <v>0.60000000000000142</v>
      </c>
      <c r="CG37" s="521">
        <f t="shared" si="26"/>
        <v>1.5965089670587022E-2</v>
      </c>
      <c r="CH37" s="522">
        <f t="shared" si="138"/>
        <v>0</v>
      </c>
      <c r="CI37" s="520"/>
      <c r="CJ37" s="521">
        <f t="shared" si="27"/>
        <v>0</v>
      </c>
      <c r="CK37" s="522">
        <f t="shared" si="139"/>
        <v>0</v>
      </c>
      <c r="CL37" s="520"/>
      <c r="CM37" s="521">
        <f t="shared" si="28"/>
        <v>0</v>
      </c>
      <c r="CN37" s="522">
        <f t="shared" si="140"/>
        <v>0</v>
      </c>
      <c r="CO37" s="520"/>
      <c r="CP37" s="521">
        <f t="shared" si="29"/>
        <v>0</v>
      </c>
      <c r="CQ37" s="522">
        <f t="shared" si="141"/>
        <v>0</v>
      </c>
      <c r="CR37" s="520"/>
      <c r="CS37" s="521">
        <f t="shared" si="30"/>
        <v>0</v>
      </c>
      <c r="CT37" s="522">
        <f t="shared" si="142"/>
        <v>0</v>
      </c>
      <c r="CU37" s="520"/>
      <c r="CV37" s="521">
        <f t="shared" si="31"/>
        <v>0</v>
      </c>
      <c r="CW37" s="522">
        <f t="shared" si="143"/>
        <v>0</v>
      </c>
      <c r="CX37" s="520"/>
      <c r="CY37" s="521">
        <f t="shared" si="32"/>
        <v>0</v>
      </c>
      <c r="CZ37" s="522">
        <f t="shared" si="144"/>
        <v>0</v>
      </c>
      <c r="DA37" s="520"/>
      <c r="DB37" s="521">
        <f t="shared" si="33"/>
        <v>0</v>
      </c>
      <c r="DC37" s="522">
        <f t="shared" si="145"/>
        <v>0</v>
      </c>
      <c r="DD37" s="520"/>
      <c r="DE37" s="521">
        <f t="shared" si="34"/>
        <v>0</v>
      </c>
      <c r="DF37" s="522">
        <f t="shared" si="146"/>
        <v>0</v>
      </c>
      <c r="DG37" s="520"/>
      <c r="DH37" s="521">
        <f t="shared" si="35"/>
        <v>0</v>
      </c>
      <c r="DI37" s="522">
        <f t="shared" si="203"/>
        <v>0</v>
      </c>
      <c r="DJ37" s="520"/>
      <c r="DK37" s="521">
        <f t="shared" si="36"/>
        <v>0</v>
      </c>
      <c r="DL37" s="522">
        <f t="shared" si="147"/>
        <v>0</v>
      </c>
      <c r="DM37" s="520"/>
      <c r="DN37" s="521">
        <f t="shared" si="37"/>
        <v>0</v>
      </c>
      <c r="DO37" s="522">
        <f t="shared" si="148"/>
        <v>0</v>
      </c>
      <c r="DP37" s="520"/>
      <c r="DQ37" s="521">
        <f t="shared" si="38"/>
        <v>0</v>
      </c>
      <c r="DR37" s="522">
        <f t="shared" si="149"/>
        <v>0</v>
      </c>
      <c r="DS37" s="520"/>
      <c r="DT37" s="521">
        <f t="shared" si="39"/>
        <v>0</v>
      </c>
      <c r="DU37" s="522">
        <f t="shared" si="150"/>
        <v>0</v>
      </c>
      <c r="DV37" s="520"/>
      <c r="DW37" s="521">
        <f t="shared" si="40"/>
        <v>0</v>
      </c>
      <c r="DX37" s="522">
        <f t="shared" si="151"/>
        <v>0</v>
      </c>
      <c r="DY37" s="520"/>
      <c r="DZ37" s="521">
        <f t="shared" si="41"/>
        <v>0</v>
      </c>
      <c r="EA37" s="522">
        <f t="shared" si="152"/>
        <v>0</v>
      </c>
      <c r="EB37" s="520"/>
      <c r="EC37" s="521">
        <f t="shared" si="42"/>
        <v>0</v>
      </c>
      <c r="ED37" s="522">
        <f t="shared" si="153"/>
        <v>0</v>
      </c>
      <c r="EE37" s="520">
        <v>14.534883720930111</v>
      </c>
      <c r="EF37" s="521">
        <f t="shared" si="43"/>
        <v>0.38675120326034035</v>
      </c>
      <c r="EG37" s="522">
        <f t="shared" si="154"/>
        <v>0</v>
      </c>
      <c r="EH37" s="520">
        <v>23.482352941176487</v>
      </c>
      <c r="EI37" s="521">
        <f t="shared" si="44"/>
        <v>0.62482978397042432</v>
      </c>
      <c r="EJ37" s="522">
        <f t="shared" si="155"/>
        <v>0</v>
      </c>
      <c r="EK37" s="520">
        <v>3.4999999999999982</v>
      </c>
      <c r="EL37" s="521">
        <f t="shared" si="45"/>
        <v>9.3129689745090685E-2</v>
      </c>
      <c r="EM37" s="522">
        <f t="shared" si="156"/>
        <v>0</v>
      </c>
      <c r="EN37" s="520"/>
      <c r="EO37" s="521">
        <f t="shared" si="46"/>
        <v>0</v>
      </c>
      <c r="EP37" s="522">
        <f t="shared" si="157"/>
        <v>0</v>
      </c>
      <c r="EQ37" s="520"/>
      <c r="ER37" s="521">
        <f t="shared" si="47"/>
        <v>0</v>
      </c>
      <c r="ES37" s="522">
        <f t="shared" si="158"/>
        <v>0</v>
      </c>
      <c r="ET37" s="520"/>
      <c r="EU37" s="521">
        <f t="shared" si="48"/>
        <v>0</v>
      </c>
      <c r="EV37" s="522">
        <f t="shared" si="159"/>
        <v>0</v>
      </c>
      <c r="EW37" s="520"/>
      <c r="EX37" s="521">
        <f t="shared" si="49"/>
        <v>0</v>
      </c>
      <c r="EY37" s="522">
        <f t="shared" si="160"/>
        <v>0</v>
      </c>
      <c r="EZ37" s="520"/>
      <c r="FA37" s="521">
        <f t="shared" si="50"/>
        <v>0</v>
      </c>
      <c r="FB37" s="522">
        <f t="shared" si="161"/>
        <v>0</v>
      </c>
      <c r="FC37" s="520"/>
      <c r="FD37" s="521">
        <f t="shared" si="51"/>
        <v>0</v>
      </c>
      <c r="FE37" s="522">
        <f t="shared" si="162"/>
        <v>0</v>
      </c>
      <c r="FF37" s="520"/>
      <c r="FG37" s="521">
        <f t="shared" si="52"/>
        <v>0</v>
      </c>
      <c r="FH37" s="522">
        <f t="shared" si="163"/>
        <v>0</v>
      </c>
      <c r="FI37" s="520"/>
      <c r="FJ37" s="521">
        <f t="shared" si="53"/>
        <v>0</v>
      </c>
      <c r="FK37" s="522">
        <f t="shared" si="164"/>
        <v>0</v>
      </c>
      <c r="FL37" s="520"/>
      <c r="FM37" s="521">
        <f t="shared" si="54"/>
        <v>0</v>
      </c>
      <c r="FN37" s="522">
        <f t="shared" si="165"/>
        <v>0</v>
      </c>
      <c r="FO37" s="520"/>
      <c r="FP37" s="521">
        <f t="shared" si="55"/>
        <v>0</v>
      </c>
      <c r="FQ37" s="522">
        <f t="shared" si="166"/>
        <v>0</v>
      </c>
      <c r="FR37" s="520"/>
      <c r="FS37" s="521">
        <f t="shared" si="56"/>
        <v>0</v>
      </c>
      <c r="FT37" s="522">
        <f t="shared" si="167"/>
        <v>0</v>
      </c>
      <c r="FU37" s="520"/>
      <c r="FV37" s="521">
        <f t="shared" si="57"/>
        <v>0</v>
      </c>
      <c r="FW37" s="522">
        <f t="shared" si="168"/>
        <v>0</v>
      </c>
      <c r="FX37" s="520"/>
      <c r="FY37" s="521">
        <f t="shared" si="58"/>
        <v>0</v>
      </c>
      <c r="FZ37" s="522">
        <f t="shared" si="169"/>
        <v>0</v>
      </c>
      <c r="GA37" s="520"/>
      <c r="GB37" s="521">
        <f t="shared" si="59"/>
        <v>0</v>
      </c>
      <c r="GC37" s="522">
        <f t="shared" si="170"/>
        <v>0</v>
      </c>
      <c r="GD37" s="520"/>
      <c r="GE37" s="521">
        <f t="shared" si="60"/>
        <v>0</v>
      </c>
      <c r="GF37" s="522">
        <f t="shared" si="171"/>
        <v>0</v>
      </c>
      <c r="GG37" s="520"/>
      <c r="GH37" s="521">
        <f t="shared" si="61"/>
        <v>0</v>
      </c>
      <c r="GI37" s="522">
        <f t="shared" si="172"/>
        <v>0</v>
      </c>
      <c r="GJ37" s="520"/>
      <c r="GK37" s="521">
        <f t="shared" si="62"/>
        <v>0</v>
      </c>
      <c r="GL37" s="522">
        <f t="shared" si="173"/>
        <v>0</v>
      </c>
      <c r="GM37" s="520"/>
      <c r="GN37" s="521">
        <f t="shared" si="63"/>
        <v>0</v>
      </c>
      <c r="GO37" s="522">
        <f t="shared" si="174"/>
        <v>0</v>
      </c>
      <c r="GP37" s="520"/>
      <c r="GQ37" s="521">
        <f t="shared" si="64"/>
        <v>0</v>
      </c>
      <c r="GR37" s="522">
        <f t="shared" si="175"/>
        <v>0</v>
      </c>
      <c r="GS37" s="520"/>
      <c r="GT37" s="521">
        <f t="shared" si="65"/>
        <v>0</v>
      </c>
      <c r="GU37" s="522">
        <f t="shared" si="176"/>
        <v>0</v>
      </c>
      <c r="GV37" s="520"/>
      <c r="GW37" s="521">
        <f t="shared" si="66"/>
        <v>0</v>
      </c>
      <c r="GX37" s="522">
        <f t="shared" si="177"/>
        <v>0</v>
      </c>
      <c r="GY37" s="520"/>
      <c r="GZ37" s="521">
        <f t="shared" si="67"/>
        <v>0</v>
      </c>
      <c r="HA37" s="522">
        <f t="shared" si="178"/>
        <v>0</v>
      </c>
      <c r="HB37" s="520"/>
      <c r="HC37" s="521">
        <f t="shared" si="68"/>
        <v>0</v>
      </c>
      <c r="HD37" s="522">
        <f t="shared" si="179"/>
        <v>0</v>
      </c>
      <c r="HE37" s="520"/>
      <c r="HF37" s="521">
        <f t="shared" si="69"/>
        <v>0</v>
      </c>
      <c r="HG37" s="522">
        <f t="shared" si="180"/>
        <v>0</v>
      </c>
      <c r="HH37" s="520"/>
      <c r="HI37" s="521">
        <f t="shared" si="70"/>
        <v>0</v>
      </c>
      <c r="HJ37" s="522">
        <f t="shared" si="181"/>
        <v>0</v>
      </c>
      <c r="HK37" s="520"/>
      <c r="HL37" s="521">
        <f t="shared" si="71"/>
        <v>0</v>
      </c>
      <c r="HM37" s="522">
        <f t="shared" si="182"/>
        <v>0</v>
      </c>
      <c r="HN37" s="520"/>
      <c r="HO37" s="521">
        <f t="shared" si="72"/>
        <v>0</v>
      </c>
      <c r="HP37" s="522">
        <f t="shared" si="183"/>
        <v>0</v>
      </c>
      <c r="HQ37" s="520"/>
      <c r="HR37" s="521">
        <f t="shared" si="73"/>
        <v>0</v>
      </c>
      <c r="HS37" s="522">
        <f t="shared" si="184"/>
        <v>0</v>
      </c>
      <c r="HT37" s="520"/>
      <c r="HU37" s="521">
        <f t="shared" si="74"/>
        <v>0</v>
      </c>
      <c r="HV37" s="522">
        <f t="shared" si="185"/>
        <v>0</v>
      </c>
      <c r="HW37" s="520"/>
      <c r="HX37" s="521">
        <f t="shared" si="75"/>
        <v>0</v>
      </c>
      <c r="HY37" s="522">
        <f t="shared" si="186"/>
        <v>0</v>
      </c>
      <c r="HZ37" s="520"/>
      <c r="IA37" s="521">
        <f t="shared" si="76"/>
        <v>0</v>
      </c>
      <c r="IB37" s="522">
        <f t="shared" si="187"/>
        <v>0</v>
      </c>
      <c r="IC37" s="520"/>
      <c r="ID37" s="521">
        <f t="shared" si="77"/>
        <v>0</v>
      </c>
      <c r="IE37" s="522">
        <f t="shared" si="188"/>
        <v>0</v>
      </c>
      <c r="IF37" s="520"/>
      <c r="IG37" s="521">
        <f t="shared" si="78"/>
        <v>0</v>
      </c>
      <c r="IH37" s="522">
        <f t="shared" si="189"/>
        <v>0</v>
      </c>
      <c r="II37" s="520"/>
      <c r="IJ37" s="521">
        <f t="shared" si="79"/>
        <v>0</v>
      </c>
      <c r="IK37" s="522">
        <f t="shared" si="190"/>
        <v>0</v>
      </c>
      <c r="IL37" s="520"/>
      <c r="IM37" s="521">
        <f t="shared" si="80"/>
        <v>0</v>
      </c>
      <c r="IN37" s="522">
        <f t="shared" si="191"/>
        <v>0</v>
      </c>
      <c r="IO37" s="520"/>
      <c r="IP37" s="521">
        <f t="shared" si="81"/>
        <v>0</v>
      </c>
      <c r="IQ37" s="522">
        <f t="shared" si="192"/>
        <v>0</v>
      </c>
      <c r="IR37" s="520"/>
      <c r="IS37" s="521">
        <f t="shared" si="82"/>
        <v>0</v>
      </c>
      <c r="IT37" s="522">
        <f t="shared" si="193"/>
        <v>0</v>
      </c>
      <c r="IU37" s="520"/>
      <c r="IV37" s="521">
        <f t="shared" si="83"/>
        <v>0</v>
      </c>
      <c r="IW37" s="522">
        <f t="shared" si="194"/>
        <v>0</v>
      </c>
      <c r="IX37" s="520"/>
      <c r="IY37" s="521">
        <f t="shared" si="84"/>
        <v>0</v>
      </c>
      <c r="IZ37" s="522">
        <f t="shared" si="195"/>
        <v>0</v>
      </c>
      <c r="JA37" s="520"/>
      <c r="JB37" s="521">
        <f t="shared" si="85"/>
        <v>0</v>
      </c>
      <c r="JC37" s="522">
        <f t="shared" si="196"/>
        <v>0</v>
      </c>
      <c r="JD37" s="520"/>
      <c r="JE37" s="521">
        <f t="shared" si="86"/>
        <v>0</v>
      </c>
      <c r="JF37" s="522">
        <f t="shared" si="197"/>
        <v>0</v>
      </c>
      <c r="JG37" s="520"/>
      <c r="JH37" s="521">
        <f t="shared" si="87"/>
        <v>0</v>
      </c>
      <c r="JI37" s="522">
        <f t="shared" si="198"/>
        <v>0</v>
      </c>
      <c r="JJ37" s="520"/>
      <c r="JK37" s="522" t="str">
        <f t="shared" si="88"/>
        <v>0</v>
      </c>
      <c r="JL37" s="522" t="str">
        <f t="shared" si="89"/>
        <v>0</v>
      </c>
      <c r="JM37" s="520"/>
      <c r="JN37" s="522" t="str">
        <f t="shared" si="90"/>
        <v>0</v>
      </c>
      <c r="JO37" s="522" t="str">
        <f t="shared" si="91"/>
        <v>0</v>
      </c>
      <c r="JP37" s="520"/>
      <c r="JQ37" s="522" t="str">
        <f t="shared" si="92"/>
        <v>0</v>
      </c>
      <c r="JR37" s="522" t="str">
        <f t="shared" si="93"/>
        <v>0</v>
      </c>
      <c r="JS37" s="520"/>
      <c r="JT37" s="522" t="str">
        <f t="shared" si="94"/>
        <v>0</v>
      </c>
      <c r="JU37" s="522" t="str">
        <f t="shared" si="95"/>
        <v>0</v>
      </c>
      <c r="JV37" s="520"/>
      <c r="JW37" s="522" t="str">
        <f t="shared" si="96"/>
        <v>0</v>
      </c>
      <c r="JX37" s="522" t="str">
        <f t="shared" si="97"/>
        <v>0</v>
      </c>
      <c r="JY37" s="520"/>
      <c r="JZ37" s="522" t="str">
        <f t="shared" si="98"/>
        <v>0</v>
      </c>
      <c r="KA37" s="522" t="str">
        <f t="shared" si="99"/>
        <v>0</v>
      </c>
      <c r="KB37" s="520"/>
      <c r="KC37" s="522" t="str">
        <f t="shared" si="100"/>
        <v>0</v>
      </c>
      <c r="KD37" s="522" t="str">
        <f t="shared" si="101"/>
        <v>0</v>
      </c>
      <c r="KE37" s="520"/>
      <c r="KF37" s="522" t="str">
        <f t="shared" si="102"/>
        <v>0</v>
      </c>
      <c r="KG37" s="522" t="str">
        <f t="shared" si="103"/>
        <v>0</v>
      </c>
      <c r="KH37" s="520"/>
      <c r="KI37" s="522" t="str">
        <f t="shared" si="104"/>
        <v>0</v>
      </c>
      <c r="KJ37" s="522" t="str">
        <f t="shared" si="105"/>
        <v>0</v>
      </c>
      <c r="KK37" s="520"/>
      <c r="KL37" s="522" t="str">
        <f t="shared" si="106"/>
        <v>0</v>
      </c>
      <c r="KM37" s="522" t="str">
        <f t="shared" si="107"/>
        <v>0</v>
      </c>
      <c r="KN37" s="520"/>
      <c r="KO37" s="522" t="str">
        <f t="shared" si="108"/>
        <v>0</v>
      </c>
      <c r="KP37" s="522" t="str">
        <f t="shared" si="109"/>
        <v>0</v>
      </c>
      <c r="KQ37" s="520"/>
      <c r="KR37" s="522" t="str">
        <f t="shared" si="110"/>
        <v>0</v>
      </c>
      <c r="KS37" s="522" t="str">
        <f t="shared" si="111"/>
        <v>0</v>
      </c>
      <c r="KT37" s="522">
        <f t="shared" si="201"/>
        <v>0</v>
      </c>
      <c r="KU37" s="522">
        <f t="shared" si="202"/>
        <v>0</v>
      </c>
      <c r="KV37" s="267">
        <f t="shared" si="199"/>
        <v>422.54247707031004</v>
      </c>
    </row>
    <row r="38" spans="1:308" ht="15" customHeight="1">
      <c r="A38" s="268">
        <f t="shared" si="200"/>
        <v>45899</v>
      </c>
      <c r="B38" s="269" t="str">
        <f>+Report1!B38</f>
        <v>Facial</v>
      </c>
      <c r="C38" s="269" t="str">
        <f>+Report1!C38</f>
        <v>13/12</v>
      </c>
      <c r="D38" s="270">
        <f>+Report1!P38</f>
        <v>43.706000000000003</v>
      </c>
      <c r="E38" s="558">
        <f>+Report1!R38</f>
        <v>39.563000000000002</v>
      </c>
      <c r="F38" s="520"/>
      <c r="G38" s="521">
        <f t="shared" si="0"/>
        <v>0</v>
      </c>
      <c r="H38" s="522">
        <f t="shared" si="112"/>
        <v>0</v>
      </c>
      <c r="I38" s="520">
        <v>223.25682325581397</v>
      </c>
      <c r="J38" s="521">
        <f t="shared" si="1"/>
        <v>5.6430711335291548</v>
      </c>
      <c r="K38" s="522">
        <f t="shared" si="113"/>
        <v>0</v>
      </c>
      <c r="L38" s="520"/>
      <c r="M38" s="521">
        <f t="shared" si="2"/>
        <v>0</v>
      </c>
      <c r="N38" s="522">
        <f t="shared" si="114"/>
        <v>0</v>
      </c>
      <c r="O38" s="520">
        <v>6.0648000000000053</v>
      </c>
      <c r="P38" s="521">
        <f t="shared" si="3"/>
        <v>0.15329474509010957</v>
      </c>
      <c r="Q38" s="522">
        <f t="shared" si="115"/>
        <v>0</v>
      </c>
      <c r="R38" s="520"/>
      <c r="S38" s="521">
        <f t="shared" si="4"/>
        <v>0</v>
      </c>
      <c r="T38" s="522">
        <f t="shared" si="116"/>
        <v>0</v>
      </c>
      <c r="U38" s="520">
        <v>7.769599999999997</v>
      </c>
      <c r="V38" s="521">
        <f t="shared" si="5"/>
        <v>0.19638551171549165</v>
      </c>
      <c r="W38" s="522">
        <f t="shared" si="117"/>
        <v>0</v>
      </c>
      <c r="X38" s="520"/>
      <c r="Y38" s="521">
        <f t="shared" si="6"/>
        <v>0</v>
      </c>
      <c r="Z38" s="522">
        <f t="shared" si="118"/>
        <v>0</v>
      </c>
      <c r="AA38" s="520">
        <v>2.3437500000000036</v>
      </c>
      <c r="AB38" s="521">
        <f t="shared" si="7"/>
        <v>5.9240957460253353E-2</v>
      </c>
      <c r="AC38" s="522">
        <f t="shared" si="119"/>
        <v>0</v>
      </c>
      <c r="AD38" s="520"/>
      <c r="AE38" s="521">
        <f t="shared" si="8"/>
        <v>0</v>
      </c>
      <c r="AF38" s="522">
        <f t="shared" si="120"/>
        <v>0</v>
      </c>
      <c r="AG38" s="520"/>
      <c r="AH38" s="521">
        <f t="shared" si="9"/>
        <v>0</v>
      </c>
      <c r="AI38" s="522">
        <f t="shared" si="121"/>
        <v>0</v>
      </c>
      <c r="AJ38" s="520">
        <v>11.880300000000005</v>
      </c>
      <c r="AK38" s="521">
        <f t="shared" si="10"/>
        <v>0.30028814801708681</v>
      </c>
      <c r="AL38" s="522">
        <f t="shared" si="122"/>
        <v>0</v>
      </c>
      <c r="AM38" s="520"/>
      <c r="AN38" s="521">
        <f t="shared" si="11"/>
        <v>0</v>
      </c>
      <c r="AO38" s="522">
        <f t="shared" si="123"/>
        <v>0</v>
      </c>
      <c r="AP38" s="520">
        <v>40.295627848101248</v>
      </c>
      <c r="AQ38" s="521">
        <f t="shared" si="12"/>
        <v>1.0185180054116534</v>
      </c>
      <c r="AR38" s="522">
        <f t="shared" si="124"/>
        <v>0</v>
      </c>
      <c r="AS38" s="520"/>
      <c r="AT38" s="521">
        <f t="shared" si="13"/>
        <v>0</v>
      </c>
      <c r="AU38" s="522">
        <f t="shared" si="125"/>
        <v>0</v>
      </c>
      <c r="AV38" s="520"/>
      <c r="AW38" s="521">
        <f t="shared" si="14"/>
        <v>0</v>
      </c>
      <c r="AX38" s="522">
        <f t="shared" si="126"/>
        <v>0</v>
      </c>
      <c r="AY38" s="520">
        <v>61.305866666666645</v>
      </c>
      <c r="AZ38" s="521">
        <f t="shared" si="15"/>
        <v>1.549575782085955</v>
      </c>
      <c r="BA38" s="522">
        <f t="shared" si="127"/>
        <v>0</v>
      </c>
      <c r="BB38" s="520"/>
      <c r="BC38" s="521">
        <f t="shared" si="16"/>
        <v>0</v>
      </c>
      <c r="BD38" s="522">
        <f t="shared" si="128"/>
        <v>0</v>
      </c>
      <c r="BE38" s="520"/>
      <c r="BF38" s="521">
        <f t="shared" si="17"/>
        <v>0</v>
      </c>
      <c r="BG38" s="522">
        <f t="shared" si="129"/>
        <v>0</v>
      </c>
      <c r="BH38" s="520"/>
      <c r="BI38" s="521">
        <f t="shared" si="18"/>
        <v>0</v>
      </c>
      <c r="BJ38" s="522">
        <f t="shared" si="130"/>
        <v>0</v>
      </c>
      <c r="BK38" s="520"/>
      <c r="BL38" s="521">
        <f t="shared" si="19"/>
        <v>0</v>
      </c>
      <c r="BM38" s="522">
        <f t="shared" si="131"/>
        <v>0</v>
      </c>
      <c r="BN38" s="520"/>
      <c r="BO38" s="521">
        <f t="shared" si="20"/>
        <v>0</v>
      </c>
      <c r="BP38" s="522">
        <f t="shared" si="132"/>
        <v>0</v>
      </c>
      <c r="BQ38" s="520"/>
      <c r="BR38" s="521">
        <f t="shared" si="21"/>
        <v>0</v>
      </c>
      <c r="BS38" s="522">
        <f t="shared" si="133"/>
        <v>0</v>
      </c>
      <c r="BT38" s="520"/>
      <c r="BU38" s="521">
        <f t="shared" si="22"/>
        <v>0</v>
      </c>
      <c r="BV38" s="522">
        <f t="shared" si="134"/>
        <v>0</v>
      </c>
      <c r="BW38" s="520"/>
      <c r="BX38" s="521">
        <f t="shared" si="23"/>
        <v>0</v>
      </c>
      <c r="BY38" s="522">
        <f t="shared" si="135"/>
        <v>0</v>
      </c>
      <c r="BZ38" s="520"/>
      <c r="CA38" s="521">
        <f t="shared" si="24"/>
        <v>0</v>
      </c>
      <c r="CB38" s="522">
        <f t="shared" si="136"/>
        <v>0</v>
      </c>
      <c r="CC38" s="520"/>
      <c r="CD38" s="521">
        <f t="shared" si="25"/>
        <v>0</v>
      </c>
      <c r="CE38" s="522">
        <f t="shared" si="137"/>
        <v>0</v>
      </c>
      <c r="CF38" s="520">
        <v>0.59999999999999964</v>
      </c>
      <c r="CG38" s="521">
        <f t="shared" si="26"/>
        <v>1.5165685109824826E-2</v>
      </c>
      <c r="CH38" s="522">
        <f t="shared" si="138"/>
        <v>0</v>
      </c>
      <c r="CI38" s="520"/>
      <c r="CJ38" s="521">
        <f t="shared" si="27"/>
        <v>0</v>
      </c>
      <c r="CK38" s="522">
        <f t="shared" si="139"/>
        <v>0</v>
      </c>
      <c r="CL38" s="520"/>
      <c r="CM38" s="521">
        <f t="shared" si="28"/>
        <v>0</v>
      </c>
      <c r="CN38" s="522">
        <f t="shared" si="140"/>
        <v>0</v>
      </c>
      <c r="CO38" s="520"/>
      <c r="CP38" s="521">
        <f t="shared" si="29"/>
        <v>0</v>
      </c>
      <c r="CQ38" s="522">
        <f t="shared" si="141"/>
        <v>0</v>
      </c>
      <c r="CR38" s="520"/>
      <c r="CS38" s="521">
        <f t="shared" si="30"/>
        <v>0</v>
      </c>
      <c r="CT38" s="522">
        <f t="shared" si="142"/>
        <v>0</v>
      </c>
      <c r="CU38" s="520"/>
      <c r="CV38" s="521">
        <f t="shared" si="31"/>
        <v>0</v>
      </c>
      <c r="CW38" s="522">
        <f t="shared" si="143"/>
        <v>0</v>
      </c>
      <c r="CX38" s="520"/>
      <c r="CY38" s="521">
        <f t="shared" si="32"/>
        <v>0</v>
      </c>
      <c r="CZ38" s="522">
        <f t="shared" si="144"/>
        <v>0</v>
      </c>
      <c r="DA38" s="520"/>
      <c r="DB38" s="521">
        <f t="shared" si="33"/>
        <v>0</v>
      </c>
      <c r="DC38" s="522">
        <f t="shared" si="145"/>
        <v>0</v>
      </c>
      <c r="DD38" s="520"/>
      <c r="DE38" s="521">
        <f t="shared" si="34"/>
        <v>0</v>
      </c>
      <c r="DF38" s="522">
        <f t="shared" si="146"/>
        <v>0</v>
      </c>
      <c r="DG38" s="520"/>
      <c r="DH38" s="521">
        <f t="shared" si="35"/>
        <v>0</v>
      </c>
      <c r="DI38" s="522">
        <f t="shared" si="203"/>
        <v>0</v>
      </c>
      <c r="DJ38" s="520"/>
      <c r="DK38" s="521">
        <f t="shared" si="36"/>
        <v>0</v>
      </c>
      <c r="DL38" s="522">
        <f t="shared" si="147"/>
        <v>0</v>
      </c>
      <c r="DM38" s="520"/>
      <c r="DN38" s="521">
        <f t="shared" si="37"/>
        <v>0</v>
      </c>
      <c r="DO38" s="522">
        <f t="shared" si="148"/>
        <v>0</v>
      </c>
      <c r="DP38" s="520"/>
      <c r="DQ38" s="521">
        <f t="shared" si="38"/>
        <v>0</v>
      </c>
      <c r="DR38" s="522">
        <f t="shared" si="149"/>
        <v>0</v>
      </c>
      <c r="DS38" s="520"/>
      <c r="DT38" s="521">
        <f t="shared" si="39"/>
        <v>0</v>
      </c>
      <c r="DU38" s="522">
        <f t="shared" si="150"/>
        <v>0</v>
      </c>
      <c r="DV38" s="520"/>
      <c r="DW38" s="521">
        <f t="shared" si="40"/>
        <v>0</v>
      </c>
      <c r="DX38" s="522">
        <f t="shared" si="151"/>
        <v>0</v>
      </c>
      <c r="DY38" s="520"/>
      <c r="DZ38" s="521">
        <f t="shared" si="41"/>
        <v>0</v>
      </c>
      <c r="EA38" s="522">
        <f t="shared" si="152"/>
        <v>0</v>
      </c>
      <c r="EB38" s="520"/>
      <c r="EC38" s="521">
        <f t="shared" si="42"/>
        <v>0</v>
      </c>
      <c r="ED38" s="522">
        <f t="shared" si="153"/>
        <v>0</v>
      </c>
      <c r="EE38" s="520">
        <v>14.534883720930225</v>
      </c>
      <c r="EF38" s="521">
        <f t="shared" si="43"/>
        <v>0.36738578269924482</v>
      </c>
      <c r="EG38" s="522">
        <f t="shared" si="154"/>
        <v>0</v>
      </c>
      <c r="EH38" s="520">
        <v>65.248823529411766</v>
      </c>
      <c r="EI38" s="521">
        <f t="shared" si="44"/>
        <v>1.6492385190559806</v>
      </c>
      <c r="EJ38" s="522">
        <f t="shared" si="155"/>
        <v>0</v>
      </c>
      <c r="EK38" s="520">
        <v>3.5</v>
      </c>
      <c r="EL38" s="521">
        <f t="shared" si="45"/>
        <v>8.8466496473978209E-2</v>
      </c>
      <c r="EM38" s="522">
        <f t="shared" si="156"/>
        <v>0</v>
      </c>
      <c r="EN38" s="520"/>
      <c r="EO38" s="521">
        <f t="shared" si="46"/>
        <v>0</v>
      </c>
      <c r="EP38" s="522">
        <f t="shared" si="157"/>
        <v>0</v>
      </c>
      <c r="EQ38" s="520"/>
      <c r="ER38" s="521">
        <f t="shared" si="47"/>
        <v>0</v>
      </c>
      <c r="ES38" s="522">
        <f t="shared" si="158"/>
        <v>0</v>
      </c>
      <c r="ET38" s="520"/>
      <c r="EU38" s="521">
        <f t="shared" si="48"/>
        <v>0</v>
      </c>
      <c r="EV38" s="522">
        <f t="shared" si="159"/>
        <v>0</v>
      </c>
      <c r="EW38" s="520"/>
      <c r="EX38" s="521">
        <f t="shared" si="49"/>
        <v>0</v>
      </c>
      <c r="EY38" s="522">
        <f t="shared" si="160"/>
        <v>0</v>
      </c>
      <c r="EZ38" s="520"/>
      <c r="FA38" s="521">
        <f t="shared" si="50"/>
        <v>0</v>
      </c>
      <c r="FB38" s="522">
        <f t="shared" si="161"/>
        <v>0</v>
      </c>
      <c r="FC38" s="520"/>
      <c r="FD38" s="521">
        <f t="shared" si="51"/>
        <v>0</v>
      </c>
      <c r="FE38" s="522">
        <f t="shared" si="162"/>
        <v>0</v>
      </c>
      <c r="FF38" s="520"/>
      <c r="FG38" s="521">
        <f t="shared" si="52"/>
        <v>0</v>
      </c>
      <c r="FH38" s="522">
        <f t="shared" si="163"/>
        <v>0</v>
      </c>
      <c r="FI38" s="520"/>
      <c r="FJ38" s="521">
        <f t="shared" si="53"/>
        <v>0</v>
      </c>
      <c r="FK38" s="522">
        <f t="shared" si="164"/>
        <v>0</v>
      </c>
      <c r="FL38" s="520"/>
      <c r="FM38" s="521">
        <f t="shared" si="54"/>
        <v>0</v>
      </c>
      <c r="FN38" s="522">
        <f t="shared" si="165"/>
        <v>0</v>
      </c>
      <c r="FO38" s="520"/>
      <c r="FP38" s="521">
        <f t="shared" si="55"/>
        <v>0</v>
      </c>
      <c r="FQ38" s="522">
        <f t="shared" si="166"/>
        <v>0</v>
      </c>
      <c r="FR38" s="520"/>
      <c r="FS38" s="521">
        <f t="shared" si="56"/>
        <v>0</v>
      </c>
      <c r="FT38" s="522">
        <f t="shared" si="167"/>
        <v>0</v>
      </c>
      <c r="FU38" s="520"/>
      <c r="FV38" s="521">
        <f t="shared" si="57"/>
        <v>0</v>
      </c>
      <c r="FW38" s="522">
        <f t="shared" si="168"/>
        <v>0</v>
      </c>
      <c r="FX38" s="520"/>
      <c r="FY38" s="521">
        <f t="shared" si="58"/>
        <v>0</v>
      </c>
      <c r="FZ38" s="522">
        <f t="shared" si="169"/>
        <v>0</v>
      </c>
      <c r="GA38" s="520"/>
      <c r="GB38" s="521">
        <f t="shared" si="59"/>
        <v>0</v>
      </c>
      <c r="GC38" s="522">
        <f t="shared" si="170"/>
        <v>0</v>
      </c>
      <c r="GD38" s="520"/>
      <c r="GE38" s="521">
        <f t="shared" si="60"/>
        <v>0</v>
      </c>
      <c r="GF38" s="522">
        <f t="shared" si="171"/>
        <v>0</v>
      </c>
      <c r="GG38" s="520"/>
      <c r="GH38" s="521">
        <f t="shared" si="61"/>
        <v>0</v>
      </c>
      <c r="GI38" s="522">
        <f t="shared" si="172"/>
        <v>0</v>
      </c>
      <c r="GJ38" s="520"/>
      <c r="GK38" s="521">
        <f t="shared" si="62"/>
        <v>0</v>
      </c>
      <c r="GL38" s="522">
        <f t="shared" si="173"/>
        <v>0</v>
      </c>
      <c r="GM38" s="520"/>
      <c r="GN38" s="521">
        <f t="shared" si="63"/>
        <v>0</v>
      </c>
      <c r="GO38" s="522">
        <f t="shared" si="174"/>
        <v>0</v>
      </c>
      <c r="GP38" s="520"/>
      <c r="GQ38" s="521">
        <f t="shared" si="64"/>
        <v>0</v>
      </c>
      <c r="GR38" s="522">
        <f t="shared" si="175"/>
        <v>0</v>
      </c>
      <c r="GS38" s="520"/>
      <c r="GT38" s="521">
        <f t="shared" si="65"/>
        <v>0</v>
      </c>
      <c r="GU38" s="522">
        <f t="shared" si="176"/>
        <v>0</v>
      </c>
      <c r="GV38" s="520"/>
      <c r="GW38" s="521">
        <f t="shared" si="66"/>
        <v>0</v>
      </c>
      <c r="GX38" s="522">
        <f t="shared" si="177"/>
        <v>0</v>
      </c>
      <c r="GY38" s="520"/>
      <c r="GZ38" s="521">
        <f t="shared" si="67"/>
        <v>0</v>
      </c>
      <c r="HA38" s="522">
        <f t="shared" si="178"/>
        <v>0</v>
      </c>
      <c r="HB38" s="520"/>
      <c r="HC38" s="521">
        <f t="shared" si="68"/>
        <v>0</v>
      </c>
      <c r="HD38" s="522">
        <f t="shared" si="179"/>
        <v>0</v>
      </c>
      <c r="HE38" s="520"/>
      <c r="HF38" s="521">
        <f t="shared" si="69"/>
        <v>0</v>
      </c>
      <c r="HG38" s="522">
        <f t="shared" si="180"/>
        <v>0</v>
      </c>
      <c r="HH38" s="520"/>
      <c r="HI38" s="521">
        <f t="shared" si="70"/>
        <v>0</v>
      </c>
      <c r="HJ38" s="522">
        <f t="shared" si="181"/>
        <v>0</v>
      </c>
      <c r="HK38" s="520"/>
      <c r="HL38" s="521">
        <f t="shared" si="71"/>
        <v>0</v>
      </c>
      <c r="HM38" s="522">
        <f t="shared" si="182"/>
        <v>0</v>
      </c>
      <c r="HN38" s="520"/>
      <c r="HO38" s="521">
        <f t="shared" si="72"/>
        <v>0</v>
      </c>
      <c r="HP38" s="522">
        <f t="shared" si="183"/>
        <v>0</v>
      </c>
      <c r="HQ38" s="520"/>
      <c r="HR38" s="521">
        <f t="shared" si="73"/>
        <v>0</v>
      </c>
      <c r="HS38" s="522">
        <f t="shared" si="184"/>
        <v>0</v>
      </c>
      <c r="HT38" s="520"/>
      <c r="HU38" s="521">
        <f t="shared" si="74"/>
        <v>0</v>
      </c>
      <c r="HV38" s="522">
        <f t="shared" si="185"/>
        <v>0</v>
      </c>
      <c r="HW38" s="520"/>
      <c r="HX38" s="521">
        <f t="shared" si="75"/>
        <v>0</v>
      </c>
      <c r="HY38" s="522">
        <f t="shared" si="186"/>
        <v>0</v>
      </c>
      <c r="HZ38" s="520"/>
      <c r="IA38" s="521">
        <f t="shared" si="76"/>
        <v>0</v>
      </c>
      <c r="IB38" s="522">
        <f t="shared" si="187"/>
        <v>0</v>
      </c>
      <c r="IC38" s="520"/>
      <c r="ID38" s="521">
        <f t="shared" si="77"/>
        <v>0</v>
      </c>
      <c r="IE38" s="522">
        <f t="shared" si="188"/>
        <v>0</v>
      </c>
      <c r="IF38" s="520"/>
      <c r="IG38" s="521">
        <f t="shared" si="78"/>
        <v>0</v>
      </c>
      <c r="IH38" s="522">
        <f t="shared" si="189"/>
        <v>0</v>
      </c>
      <c r="II38" s="520"/>
      <c r="IJ38" s="521">
        <f t="shared" si="79"/>
        <v>0</v>
      </c>
      <c r="IK38" s="522">
        <f t="shared" si="190"/>
        <v>0</v>
      </c>
      <c r="IL38" s="520"/>
      <c r="IM38" s="521">
        <f t="shared" si="80"/>
        <v>0</v>
      </c>
      <c r="IN38" s="522">
        <f t="shared" si="191"/>
        <v>0</v>
      </c>
      <c r="IO38" s="520"/>
      <c r="IP38" s="521">
        <f t="shared" si="81"/>
        <v>0</v>
      </c>
      <c r="IQ38" s="522">
        <f t="shared" si="192"/>
        <v>0</v>
      </c>
      <c r="IR38" s="520"/>
      <c r="IS38" s="521">
        <f t="shared" si="82"/>
        <v>0</v>
      </c>
      <c r="IT38" s="522">
        <f t="shared" si="193"/>
        <v>0</v>
      </c>
      <c r="IU38" s="520"/>
      <c r="IV38" s="521">
        <f t="shared" si="83"/>
        <v>0</v>
      </c>
      <c r="IW38" s="522">
        <f t="shared" si="194"/>
        <v>0</v>
      </c>
      <c r="IX38" s="520"/>
      <c r="IY38" s="521">
        <f t="shared" si="84"/>
        <v>0</v>
      </c>
      <c r="IZ38" s="522">
        <f t="shared" si="195"/>
        <v>0</v>
      </c>
      <c r="JA38" s="520"/>
      <c r="JB38" s="521">
        <f t="shared" si="85"/>
        <v>0</v>
      </c>
      <c r="JC38" s="522">
        <f t="shared" si="196"/>
        <v>0</v>
      </c>
      <c r="JD38" s="520"/>
      <c r="JE38" s="521">
        <f t="shared" si="86"/>
        <v>0</v>
      </c>
      <c r="JF38" s="522">
        <f t="shared" si="197"/>
        <v>0</v>
      </c>
      <c r="JG38" s="520"/>
      <c r="JH38" s="521">
        <f t="shared" si="87"/>
        <v>0</v>
      </c>
      <c r="JI38" s="522">
        <f t="shared" si="198"/>
        <v>0</v>
      </c>
      <c r="JJ38" s="520"/>
      <c r="JK38" s="522" t="str">
        <f t="shared" si="88"/>
        <v>0</v>
      </c>
      <c r="JL38" s="522" t="str">
        <f t="shared" si="89"/>
        <v>0</v>
      </c>
      <c r="JM38" s="520"/>
      <c r="JN38" s="522" t="str">
        <f t="shared" si="90"/>
        <v>0</v>
      </c>
      <c r="JO38" s="522" t="str">
        <f t="shared" si="91"/>
        <v>0</v>
      </c>
      <c r="JP38" s="520"/>
      <c r="JQ38" s="522" t="str">
        <f t="shared" si="92"/>
        <v>0</v>
      </c>
      <c r="JR38" s="522" t="str">
        <f t="shared" si="93"/>
        <v>0</v>
      </c>
      <c r="JS38" s="520"/>
      <c r="JT38" s="522" t="str">
        <f t="shared" si="94"/>
        <v>0</v>
      </c>
      <c r="JU38" s="522" t="str">
        <f t="shared" si="95"/>
        <v>0</v>
      </c>
      <c r="JV38" s="520"/>
      <c r="JW38" s="522" t="str">
        <f t="shared" si="96"/>
        <v>0</v>
      </c>
      <c r="JX38" s="522" t="str">
        <f t="shared" si="97"/>
        <v>0</v>
      </c>
      <c r="JY38" s="520"/>
      <c r="JZ38" s="522" t="str">
        <f t="shared" si="98"/>
        <v>0</v>
      </c>
      <c r="KA38" s="522" t="str">
        <f t="shared" si="99"/>
        <v>0</v>
      </c>
      <c r="KB38" s="520"/>
      <c r="KC38" s="522" t="str">
        <f t="shared" si="100"/>
        <v>0</v>
      </c>
      <c r="KD38" s="522" t="str">
        <f t="shared" si="101"/>
        <v>0</v>
      </c>
      <c r="KE38" s="520"/>
      <c r="KF38" s="522" t="str">
        <f t="shared" si="102"/>
        <v>0</v>
      </c>
      <c r="KG38" s="522" t="str">
        <f t="shared" si="103"/>
        <v>0</v>
      </c>
      <c r="KH38" s="520"/>
      <c r="KI38" s="522" t="str">
        <f t="shared" si="104"/>
        <v>0</v>
      </c>
      <c r="KJ38" s="522" t="str">
        <f t="shared" si="105"/>
        <v>0</v>
      </c>
      <c r="KK38" s="520"/>
      <c r="KL38" s="522" t="str">
        <f t="shared" si="106"/>
        <v>0</v>
      </c>
      <c r="KM38" s="522" t="str">
        <f t="shared" si="107"/>
        <v>0</v>
      </c>
      <c r="KN38" s="520"/>
      <c r="KO38" s="522" t="str">
        <f t="shared" si="108"/>
        <v>0</v>
      </c>
      <c r="KP38" s="522" t="str">
        <f t="shared" si="109"/>
        <v>0</v>
      </c>
      <c r="KQ38" s="520"/>
      <c r="KR38" s="522" t="str">
        <f t="shared" si="110"/>
        <v>0</v>
      </c>
      <c r="KS38" s="522" t="str">
        <f t="shared" si="111"/>
        <v>0</v>
      </c>
      <c r="KT38" s="522">
        <f t="shared" si="201"/>
        <v>0</v>
      </c>
      <c r="KU38" s="522">
        <f t="shared" si="202"/>
        <v>0</v>
      </c>
      <c r="KV38" s="267">
        <f t="shared" si="199"/>
        <v>436.8004750209239</v>
      </c>
    </row>
    <row r="39" spans="1:308" ht="15" customHeight="1">
      <c r="A39" s="268">
        <f t="shared" si="200"/>
        <v>45900</v>
      </c>
      <c r="B39" s="269" t="str">
        <f>+Report1!B39</f>
        <v>Facial</v>
      </c>
      <c r="C39" s="269" t="str">
        <f>+Report1!C39</f>
        <v>12/12,5/13</v>
      </c>
      <c r="D39" s="270">
        <f>+Report1!P39</f>
        <v>42.796999999999997</v>
      </c>
      <c r="E39" s="558">
        <f>+Report1!R39</f>
        <v>43.789000000000001</v>
      </c>
      <c r="F39" s="520"/>
      <c r="G39" s="521">
        <f t="shared" si="0"/>
        <v>0</v>
      </c>
      <c r="H39" s="522">
        <f t="shared" si="112"/>
        <v>0</v>
      </c>
      <c r="I39" s="520">
        <v>218.60639999999989</v>
      </c>
      <c r="J39" s="521">
        <f t="shared" si="1"/>
        <v>4.9922674644317038</v>
      </c>
      <c r="K39" s="522">
        <f t="shared" si="113"/>
        <v>0</v>
      </c>
      <c r="L39" s="520"/>
      <c r="M39" s="521">
        <f t="shared" si="2"/>
        <v>0</v>
      </c>
      <c r="N39" s="522">
        <f t="shared" si="114"/>
        <v>0</v>
      </c>
      <c r="O39" s="520">
        <v>5.9392000000000138</v>
      </c>
      <c r="P39" s="521">
        <f t="shared" si="3"/>
        <v>0.13563223640640373</v>
      </c>
      <c r="Q39" s="522">
        <f t="shared" si="115"/>
        <v>0</v>
      </c>
      <c r="R39" s="520"/>
      <c r="S39" s="521">
        <f t="shared" si="4"/>
        <v>0</v>
      </c>
      <c r="T39" s="522">
        <f t="shared" si="116"/>
        <v>0</v>
      </c>
      <c r="U39" s="520">
        <v>7.6013999999999839</v>
      </c>
      <c r="V39" s="521">
        <f t="shared" si="5"/>
        <v>0.17359154125465262</v>
      </c>
      <c r="W39" s="522">
        <f t="shared" si="117"/>
        <v>0</v>
      </c>
      <c r="X39" s="520"/>
      <c r="Y39" s="521">
        <f t="shared" si="6"/>
        <v>0</v>
      </c>
      <c r="Z39" s="522">
        <f t="shared" si="118"/>
        <v>0</v>
      </c>
      <c r="AA39" s="520">
        <v>2.3437500000000036</v>
      </c>
      <c r="AB39" s="521">
        <f t="shared" si="7"/>
        <v>5.3523716001735673E-2</v>
      </c>
      <c r="AC39" s="522">
        <f t="shared" si="119"/>
        <v>0</v>
      </c>
      <c r="AD39" s="520"/>
      <c r="AE39" s="521">
        <f t="shared" si="8"/>
        <v>0</v>
      </c>
      <c r="AF39" s="522">
        <f t="shared" si="120"/>
        <v>0</v>
      </c>
      <c r="AG39" s="520"/>
      <c r="AH39" s="521">
        <f t="shared" si="9"/>
        <v>0</v>
      </c>
      <c r="AI39" s="522">
        <f t="shared" si="121"/>
        <v>0</v>
      </c>
      <c r="AJ39" s="520">
        <v>11.623499999999993</v>
      </c>
      <c r="AK39" s="521">
        <f t="shared" si="10"/>
        <v>0.26544337619036729</v>
      </c>
      <c r="AL39" s="522">
        <f t="shared" si="122"/>
        <v>0</v>
      </c>
      <c r="AM39" s="520"/>
      <c r="AN39" s="521">
        <f t="shared" si="11"/>
        <v>0</v>
      </c>
      <c r="AO39" s="522">
        <f t="shared" si="123"/>
        <v>0</v>
      </c>
      <c r="AP39" s="520">
        <v>39.45089999999999</v>
      </c>
      <c r="AQ39" s="521">
        <f t="shared" si="12"/>
        <v>0.90093174084815797</v>
      </c>
      <c r="AR39" s="522">
        <f t="shared" si="124"/>
        <v>0</v>
      </c>
      <c r="AS39" s="520"/>
      <c r="AT39" s="521">
        <f t="shared" si="13"/>
        <v>0</v>
      </c>
      <c r="AU39" s="522">
        <f t="shared" si="125"/>
        <v>0</v>
      </c>
      <c r="AV39" s="520"/>
      <c r="AW39" s="521">
        <f t="shared" si="14"/>
        <v>0</v>
      </c>
      <c r="AX39" s="522">
        <f t="shared" si="126"/>
        <v>0</v>
      </c>
      <c r="AY39" s="520">
        <v>60.03</v>
      </c>
      <c r="AZ39" s="521">
        <f t="shared" si="15"/>
        <v>1.3708922332092535</v>
      </c>
      <c r="BA39" s="522">
        <f t="shared" si="127"/>
        <v>0</v>
      </c>
      <c r="BB39" s="520"/>
      <c r="BC39" s="521">
        <f t="shared" si="16"/>
        <v>0</v>
      </c>
      <c r="BD39" s="522">
        <f t="shared" si="128"/>
        <v>0</v>
      </c>
      <c r="BE39" s="520"/>
      <c r="BF39" s="521">
        <f t="shared" si="17"/>
        <v>0</v>
      </c>
      <c r="BG39" s="522">
        <f t="shared" si="129"/>
        <v>0</v>
      </c>
      <c r="BH39" s="520"/>
      <c r="BI39" s="521">
        <f t="shared" si="18"/>
        <v>0</v>
      </c>
      <c r="BJ39" s="522">
        <f t="shared" si="130"/>
        <v>0</v>
      </c>
      <c r="BK39" s="520"/>
      <c r="BL39" s="521">
        <f t="shared" si="19"/>
        <v>0</v>
      </c>
      <c r="BM39" s="522">
        <f t="shared" si="131"/>
        <v>0</v>
      </c>
      <c r="BN39" s="520"/>
      <c r="BO39" s="521">
        <f t="shared" si="20"/>
        <v>0</v>
      </c>
      <c r="BP39" s="522">
        <f t="shared" si="132"/>
        <v>0</v>
      </c>
      <c r="BQ39" s="520">
        <v>55.696202531645497</v>
      </c>
      <c r="BR39" s="521">
        <f t="shared" si="21"/>
        <v>1.2719222300496813</v>
      </c>
      <c r="BS39" s="522">
        <f t="shared" si="133"/>
        <v>0</v>
      </c>
      <c r="BT39" s="520"/>
      <c r="BU39" s="521">
        <f t="shared" si="22"/>
        <v>0</v>
      </c>
      <c r="BV39" s="522">
        <f t="shared" si="134"/>
        <v>0</v>
      </c>
      <c r="BW39" s="520"/>
      <c r="BX39" s="521">
        <f t="shared" si="23"/>
        <v>0</v>
      </c>
      <c r="BY39" s="522">
        <f t="shared" si="135"/>
        <v>0</v>
      </c>
      <c r="BZ39" s="520"/>
      <c r="CA39" s="521">
        <f t="shared" si="24"/>
        <v>0</v>
      </c>
      <c r="CB39" s="522">
        <f t="shared" si="136"/>
        <v>0</v>
      </c>
      <c r="CC39" s="520"/>
      <c r="CD39" s="521">
        <f t="shared" si="25"/>
        <v>0</v>
      </c>
      <c r="CE39" s="522">
        <f t="shared" si="137"/>
        <v>0</v>
      </c>
      <c r="CF39" s="520">
        <v>0.59999999999999964</v>
      </c>
      <c r="CG39" s="521">
        <f t="shared" si="26"/>
        <v>1.3702071296444305E-2</v>
      </c>
      <c r="CH39" s="522">
        <f t="shared" si="138"/>
        <v>0</v>
      </c>
      <c r="CI39" s="520"/>
      <c r="CJ39" s="521">
        <f t="shared" si="27"/>
        <v>0</v>
      </c>
      <c r="CK39" s="522">
        <f t="shared" si="139"/>
        <v>0</v>
      </c>
      <c r="CL39" s="520"/>
      <c r="CM39" s="521">
        <f t="shared" si="28"/>
        <v>0</v>
      </c>
      <c r="CN39" s="522">
        <f t="shared" si="140"/>
        <v>0</v>
      </c>
      <c r="CO39" s="520"/>
      <c r="CP39" s="521">
        <f t="shared" si="29"/>
        <v>0</v>
      </c>
      <c r="CQ39" s="522">
        <f t="shared" si="141"/>
        <v>0</v>
      </c>
      <c r="CR39" s="520"/>
      <c r="CS39" s="521">
        <f t="shared" si="30"/>
        <v>0</v>
      </c>
      <c r="CT39" s="522">
        <f t="shared" si="142"/>
        <v>0</v>
      </c>
      <c r="CU39" s="520"/>
      <c r="CV39" s="521">
        <f t="shared" si="31"/>
        <v>0</v>
      </c>
      <c r="CW39" s="522">
        <f t="shared" si="143"/>
        <v>0</v>
      </c>
      <c r="CX39" s="520"/>
      <c r="CY39" s="521">
        <f t="shared" si="32"/>
        <v>0</v>
      </c>
      <c r="CZ39" s="522">
        <f t="shared" si="144"/>
        <v>0</v>
      </c>
      <c r="DA39" s="520"/>
      <c r="DB39" s="521">
        <f t="shared" si="33"/>
        <v>0</v>
      </c>
      <c r="DC39" s="522">
        <f t="shared" si="145"/>
        <v>0</v>
      </c>
      <c r="DD39" s="520"/>
      <c r="DE39" s="521">
        <f t="shared" si="34"/>
        <v>0</v>
      </c>
      <c r="DF39" s="522">
        <f t="shared" si="146"/>
        <v>0</v>
      </c>
      <c r="DG39" s="520"/>
      <c r="DH39" s="521">
        <f t="shared" si="35"/>
        <v>0</v>
      </c>
      <c r="DI39" s="522">
        <f t="shared" si="203"/>
        <v>0</v>
      </c>
      <c r="DJ39" s="520"/>
      <c r="DK39" s="521">
        <f t="shared" si="36"/>
        <v>0</v>
      </c>
      <c r="DL39" s="522">
        <f t="shared" si="147"/>
        <v>0</v>
      </c>
      <c r="DM39" s="520"/>
      <c r="DN39" s="521">
        <f t="shared" si="37"/>
        <v>0</v>
      </c>
      <c r="DO39" s="522">
        <f t="shared" si="148"/>
        <v>0</v>
      </c>
      <c r="DP39" s="520"/>
      <c r="DQ39" s="521">
        <f t="shared" si="38"/>
        <v>0</v>
      </c>
      <c r="DR39" s="522">
        <f t="shared" si="149"/>
        <v>0</v>
      </c>
      <c r="DS39" s="520"/>
      <c r="DT39" s="521">
        <f t="shared" si="39"/>
        <v>0</v>
      </c>
      <c r="DU39" s="522">
        <f t="shared" si="150"/>
        <v>0</v>
      </c>
      <c r="DV39" s="520"/>
      <c r="DW39" s="521">
        <f t="shared" si="40"/>
        <v>0</v>
      </c>
      <c r="DX39" s="522">
        <f t="shared" si="151"/>
        <v>0</v>
      </c>
      <c r="DY39" s="520"/>
      <c r="DZ39" s="521">
        <f t="shared" si="41"/>
        <v>0</v>
      </c>
      <c r="EA39" s="522">
        <f t="shared" si="152"/>
        <v>0</v>
      </c>
      <c r="EB39" s="520"/>
      <c r="EC39" s="521">
        <f t="shared" si="42"/>
        <v>0</v>
      </c>
      <c r="ED39" s="522">
        <f t="shared" si="153"/>
        <v>0</v>
      </c>
      <c r="EE39" s="520">
        <v>14.534883720930225</v>
      </c>
      <c r="EF39" s="521">
        <f t="shared" si="43"/>
        <v>0.33193002171618957</v>
      </c>
      <c r="EG39" s="522">
        <f t="shared" si="154"/>
        <v>0</v>
      </c>
      <c r="EH39" s="520">
        <v>63.899999999999977</v>
      </c>
      <c r="EI39" s="521">
        <f t="shared" si="44"/>
        <v>1.4592705930713188</v>
      </c>
      <c r="EJ39" s="522">
        <f t="shared" si="155"/>
        <v>0</v>
      </c>
      <c r="EK39" s="520">
        <v>3.5</v>
      </c>
      <c r="EL39" s="521">
        <f t="shared" si="45"/>
        <v>7.9928749229258481E-2</v>
      </c>
      <c r="EM39" s="522">
        <f t="shared" si="156"/>
        <v>0</v>
      </c>
      <c r="EN39" s="520"/>
      <c r="EO39" s="521">
        <f t="shared" si="46"/>
        <v>0</v>
      </c>
      <c r="EP39" s="522">
        <f t="shared" si="157"/>
        <v>0</v>
      </c>
      <c r="EQ39" s="520"/>
      <c r="ER39" s="521">
        <f t="shared" si="47"/>
        <v>0</v>
      </c>
      <c r="ES39" s="522">
        <f t="shared" si="158"/>
        <v>0</v>
      </c>
      <c r="ET39" s="520"/>
      <c r="EU39" s="521">
        <f t="shared" si="48"/>
        <v>0</v>
      </c>
      <c r="EV39" s="522">
        <f t="shared" si="159"/>
        <v>0</v>
      </c>
      <c r="EW39" s="520"/>
      <c r="EX39" s="521">
        <f t="shared" si="49"/>
        <v>0</v>
      </c>
      <c r="EY39" s="522">
        <f t="shared" si="160"/>
        <v>0</v>
      </c>
      <c r="EZ39" s="520"/>
      <c r="FA39" s="521">
        <f t="shared" si="50"/>
        <v>0</v>
      </c>
      <c r="FB39" s="522">
        <f t="shared" si="161"/>
        <v>0</v>
      </c>
      <c r="FC39" s="520"/>
      <c r="FD39" s="521">
        <f t="shared" si="51"/>
        <v>0</v>
      </c>
      <c r="FE39" s="522">
        <f t="shared" si="162"/>
        <v>0</v>
      </c>
      <c r="FF39" s="520"/>
      <c r="FG39" s="521">
        <f t="shared" si="52"/>
        <v>0</v>
      </c>
      <c r="FH39" s="522">
        <f t="shared" si="163"/>
        <v>0</v>
      </c>
      <c r="FI39" s="520"/>
      <c r="FJ39" s="521">
        <f t="shared" si="53"/>
        <v>0</v>
      </c>
      <c r="FK39" s="522">
        <f t="shared" si="164"/>
        <v>0</v>
      </c>
      <c r="FL39" s="520"/>
      <c r="FM39" s="521">
        <f t="shared" si="54"/>
        <v>0</v>
      </c>
      <c r="FN39" s="522">
        <f t="shared" si="165"/>
        <v>0</v>
      </c>
      <c r="FO39" s="520"/>
      <c r="FP39" s="521">
        <f t="shared" si="55"/>
        <v>0</v>
      </c>
      <c r="FQ39" s="522">
        <f t="shared" si="166"/>
        <v>0</v>
      </c>
      <c r="FR39" s="520"/>
      <c r="FS39" s="521">
        <f t="shared" si="56"/>
        <v>0</v>
      </c>
      <c r="FT39" s="522">
        <f t="shared" si="167"/>
        <v>0</v>
      </c>
      <c r="FU39" s="520"/>
      <c r="FV39" s="521">
        <f t="shared" si="57"/>
        <v>0</v>
      </c>
      <c r="FW39" s="522">
        <f t="shared" si="168"/>
        <v>0</v>
      </c>
      <c r="FX39" s="520"/>
      <c r="FY39" s="521">
        <f t="shared" si="58"/>
        <v>0</v>
      </c>
      <c r="FZ39" s="522">
        <f t="shared" si="169"/>
        <v>0</v>
      </c>
      <c r="GA39" s="520"/>
      <c r="GB39" s="521">
        <f t="shared" si="59"/>
        <v>0</v>
      </c>
      <c r="GC39" s="522">
        <f t="shared" si="170"/>
        <v>0</v>
      </c>
      <c r="GD39" s="520"/>
      <c r="GE39" s="521">
        <f t="shared" si="60"/>
        <v>0</v>
      </c>
      <c r="GF39" s="522">
        <f t="shared" si="171"/>
        <v>0</v>
      </c>
      <c r="GG39" s="520"/>
      <c r="GH39" s="521">
        <f t="shared" si="61"/>
        <v>0</v>
      </c>
      <c r="GI39" s="522">
        <f t="shared" si="172"/>
        <v>0</v>
      </c>
      <c r="GJ39" s="520"/>
      <c r="GK39" s="521">
        <f t="shared" si="62"/>
        <v>0</v>
      </c>
      <c r="GL39" s="522">
        <f t="shared" si="173"/>
        <v>0</v>
      </c>
      <c r="GM39" s="520"/>
      <c r="GN39" s="521">
        <f t="shared" si="63"/>
        <v>0</v>
      </c>
      <c r="GO39" s="522">
        <f t="shared" si="174"/>
        <v>0</v>
      </c>
      <c r="GP39" s="520"/>
      <c r="GQ39" s="521">
        <f t="shared" si="64"/>
        <v>0</v>
      </c>
      <c r="GR39" s="522">
        <f t="shared" si="175"/>
        <v>0</v>
      </c>
      <c r="GS39" s="520"/>
      <c r="GT39" s="521">
        <f t="shared" si="65"/>
        <v>0</v>
      </c>
      <c r="GU39" s="522">
        <f t="shared" si="176"/>
        <v>0</v>
      </c>
      <c r="GV39" s="520"/>
      <c r="GW39" s="521">
        <f t="shared" si="66"/>
        <v>0</v>
      </c>
      <c r="GX39" s="522">
        <f t="shared" si="177"/>
        <v>0</v>
      </c>
      <c r="GY39" s="520"/>
      <c r="GZ39" s="521">
        <f t="shared" si="67"/>
        <v>0</v>
      </c>
      <c r="HA39" s="522">
        <f t="shared" si="178"/>
        <v>0</v>
      </c>
      <c r="HB39" s="520"/>
      <c r="HC39" s="521">
        <f t="shared" si="68"/>
        <v>0</v>
      </c>
      <c r="HD39" s="522">
        <f t="shared" si="179"/>
        <v>0</v>
      </c>
      <c r="HE39" s="520"/>
      <c r="HF39" s="521">
        <f t="shared" si="69"/>
        <v>0</v>
      </c>
      <c r="HG39" s="522">
        <f t="shared" si="180"/>
        <v>0</v>
      </c>
      <c r="HH39" s="520"/>
      <c r="HI39" s="521">
        <f t="shared" si="70"/>
        <v>0</v>
      </c>
      <c r="HJ39" s="522">
        <f t="shared" si="181"/>
        <v>0</v>
      </c>
      <c r="HK39" s="520"/>
      <c r="HL39" s="521">
        <f t="shared" si="71"/>
        <v>0</v>
      </c>
      <c r="HM39" s="522">
        <f t="shared" si="182"/>
        <v>0</v>
      </c>
      <c r="HN39" s="520"/>
      <c r="HO39" s="521">
        <f t="shared" si="72"/>
        <v>0</v>
      </c>
      <c r="HP39" s="522">
        <f t="shared" si="183"/>
        <v>0</v>
      </c>
      <c r="HQ39" s="520"/>
      <c r="HR39" s="521">
        <f t="shared" si="73"/>
        <v>0</v>
      </c>
      <c r="HS39" s="522">
        <f t="shared" si="184"/>
        <v>0</v>
      </c>
      <c r="HT39" s="520"/>
      <c r="HU39" s="521">
        <f t="shared" si="74"/>
        <v>0</v>
      </c>
      <c r="HV39" s="522">
        <f t="shared" si="185"/>
        <v>0</v>
      </c>
      <c r="HW39" s="520"/>
      <c r="HX39" s="521">
        <f t="shared" si="75"/>
        <v>0</v>
      </c>
      <c r="HY39" s="522">
        <f t="shared" si="186"/>
        <v>0</v>
      </c>
      <c r="HZ39" s="520"/>
      <c r="IA39" s="521">
        <f t="shared" si="76"/>
        <v>0</v>
      </c>
      <c r="IB39" s="522">
        <f t="shared" si="187"/>
        <v>0</v>
      </c>
      <c r="IC39" s="520"/>
      <c r="ID39" s="521">
        <f t="shared" si="77"/>
        <v>0</v>
      </c>
      <c r="IE39" s="522">
        <f t="shared" si="188"/>
        <v>0</v>
      </c>
      <c r="IF39" s="520"/>
      <c r="IG39" s="521">
        <f t="shared" si="78"/>
        <v>0</v>
      </c>
      <c r="IH39" s="522">
        <f t="shared" si="189"/>
        <v>0</v>
      </c>
      <c r="II39" s="520"/>
      <c r="IJ39" s="521">
        <f t="shared" si="79"/>
        <v>0</v>
      </c>
      <c r="IK39" s="522">
        <f t="shared" si="190"/>
        <v>0</v>
      </c>
      <c r="IL39" s="520"/>
      <c r="IM39" s="521">
        <f t="shared" si="80"/>
        <v>0</v>
      </c>
      <c r="IN39" s="522">
        <f t="shared" si="191"/>
        <v>0</v>
      </c>
      <c r="IO39" s="520"/>
      <c r="IP39" s="521">
        <f t="shared" si="81"/>
        <v>0</v>
      </c>
      <c r="IQ39" s="522">
        <f t="shared" si="192"/>
        <v>0</v>
      </c>
      <c r="IR39" s="520"/>
      <c r="IS39" s="521">
        <f t="shared" si="82"/>
        <v>0</v>
      </c>
      <c r="IT39" s="522">
        <f t="shared" si="193"/>
        <v>0</v>
      </c>
      <c r="IU39" s="520"/>
      <c r="IV39" s="521">
        <f t="shared" si="83"/>
        <v>0</v>
      </c>
      <c r="IW39" s="522">
        <f t="shared" si="194"/>
        <v>0</v>
      </c>
      <c r="IX39" s="520"/>
      <c r="IY39" s="521">
        <f t="shared" si="84"/>
        <v>0</v>
      </c>
      <c r="IZ39" s="522">
        <f t="shared" si="195"/>
        <v>0</v>
      </c>
      <c r="JA39" s="520"/>
      <c r="JB39" s="521">
        <f t="shared" si="85"/>
        <v>0</v>
      </c>
      <c r="JC39" s="522">
        <f t="shared" si="196"/>
        <v>0</v>
      </c>
      <c r="JD39" s="520"/>
      <c r="JE39" s="521">
        <f t="shared" si="86"/>
        <v>0</v>
      </c>
      <c r="JF39" s="522">
        <f t="shared" si="197"/>
        <v>0</v>
      </c>
      <c r="JG39" s="520"/>
      <c r="JH39" s="521">
        <f t="shared" si="87"/>
        <v>0</v>
      </c>
      <c r="JI39" s="522">
        <f t="shared" si="198"/>
        <v>0</v>
      </c>
      <c r="JJ39" s="520"/>
      <c r="JK39" s="522" t="str">
        <f t="shared" si="88"/>
        <v>0</v>
      </c>
      <c r="JL39" s="522" t="str">
        <f t="shared" si="89"/>
        <v>0</v>
      </c>
      <c r="JM39" s="520"/>
      <c r="JN39" s="522" t="str">
        <f t="shared" si="90"/>
        <v>0</v>
      </c>
      <c r="JO39" s="522" t="str">
        <f t="shared" si="91"/>
        <v>0</v>
      </c>
      <c r="JP39" s="520"/>
      <c r="JQ39" s="522" t="str">
        <f t="shared" si="92"/>
        <v>0</v>
      </c>
      <c r="JR39" s="522" t="str">
        <f t="shared" si="93"/>
        <v>0</v>
      </c>
      <c r="JS39" s="520"/>
      <c r="JT39" s="522" t="str">
        <f t="shared" si="94"/>
        <v>0</v>
      </c>
      <c r="JU39" s="522" t="str">
        <f t="shared" si="95"/>
        <v>0</v>
      </c>
      <c r="JV39" s="520"/>
      <c r="JW39" s="522" t="str">
        <f t="shared" si="96"/>
        <v>0</v>
      </c>
      <c r="JX39" s="522" t="str">
        <f t="shared" si="97"/>
        <v>0</v>
      </c>
      <c r="JY39" s="520"/>
      <c r="JZ39" s="522" t="str">
        <f t="shared" si="98"/>
        <v>0</v>
      </c>
      <c r="KA39" s="522" t="str">
        <f t="shared" si="99"/>
        <v>0</v>
      </c>
      <c r="KB39" s="520"/>
      <c r="KC39" s="522" t="str">
        <f t="shared" si="100"/>
        <v>0</v>
      </c>
      <c r="KD39" s="522" t="str">
        <f t="shared" si="101"/>
        <v>0</v>
      </c>
      <c r="KE39" s="520"/>
      <c r="KF39" s="522" t="str">
        <f t="shared" si="102"/>
        <v>0</v>
      </c>
      <c r="KG39" s="522" t="str">
        <f t="shared" si="103"/>
        <v>0</v>
      </c>
      <c r="KH39" s="520"/>
      <c r="KI39" s="522" t="str">
        <f t="shared" si="104"/>
        <v>0</v>
      </c>
      <c r="KJ39" s="522" t="str">
        <f t="shared" si="105"/>
        <v>0</v>
      </c>
      <c r="KK39" s="520"/>
      <c r="KL39" s="522" t="str">
        <f t="shared" si="106"/>
        <v>0</v>
      </c>
      <c r="KM39" s="522" t="str">
        <f t="shared" si="107"/>
        <v>0</v>
      </c>
      <c r="KN39" s="520"/>
      <c r="KO39" s="522" t="str">
        <f t="shared" si="108"/>
        <v>0</v>
      </c>
      <c r="KP39" s="522" t="str">
        <f t="shared" si="109"/>
        <v>0</v>
      </c>
      <c r="KQ39" s="520"/>
      <c r="KR39" s="522" t="str">
        <f t="shared" si="110"/>
        <v>0</v>
      </c>
      <c r="KS39" s="522" t="str">
        <f t="shared" si="111"/>
        <v>0</v>
      </c>
      <c r="KT39" s="522">
        <f t="shared" si="201"/>
        <v>0</v>
      </c>
      <c r="KU39" s="522">
        <f t="shared" si="202"/>
        <v>0</v>
      </c>
      <c r="KV39" s="267">
        <f t="shared" si="199"/>
        <v>483.8262362525756</v>
      </c>
    </row>
    <row r="40" spans="1:308" ht="15" customHeight="1" thickBot="1">
      <c r="A40" s="271"/>
      <c r="B40" s="272"/>
      <c r="C40" s="273"/>
      <c r="D40" s="273"/>
      <c r="E40" s="558"/>
      <c r="F40" s="520"/>
      <c r="G40" s="521"/>
      <c r="H40" s="522"/>
      <c r="I40" s="520"/>
      <c r="J40" s="521"/>
      <c r="K40" s="522"/>
      <c r="L40" s="520"/>
      <c r="M40" s="521"/>
      <c r="N40" s="522"/>
      <c r="O40" s="520"/>
      <c r="P40" s="521"/>
      <c r="Q40" s="522"/>
      <c r="R40" s="520"/>
      <c r="S40" s="521"/>
      <c r="T40" s="522"/>
      <c r="U40" s="520"/>
      <c r="V40" s="521"/>
      <c r="W40" s="522"/>
      <c r="X40" s="520"/>
      <c r="Y40" s="521"/>
      <c r="Z40" s="522"/>
      <c r="AA40" s="520"/>
      <c r="AB40" s="521"/>
      <c r="AC40" s="522"/>
      <c r="AD40" s="520"/>
      <c r="AE40" s="521"/>
      <c r="AF40" s="522"/>
      <c r="AG40" s="520"/>
      <c r="AH40" s="521"/>
      <c r="AI40" s="522"/>
      <c r="AJ40" s="520"/>
      <c r="AK40" s="521"/>
      <c r="AL40" s="522"/>
      <c r="AM40" s="520"/>
      <c r="AN40" s="521"/>
      <c r="AO40" s="522"/>
      <c r="AP40" s="520"/>
      <c r="AQ40" s="521"/>
      <c r="AR40" s="522"/>
      <c r="AS40" s="520"/>
      <c r="AT40" s="521"/>
      <c r="AU40" s="522"/>
      <c r="AV40" s="520"/>
      <c r="AW40" s="521"/>
      <c r="AX40" s="522"/>
      <c r="AY40" s="520"/>
      <c r="AZ40" s="521"/>
      <c r="BA40" s="522"/>
      <c r="BB40" s="520"/>
      <c r="BC40" s="521"/>
      <c r="BD40" s="522"/>
      <c r="BE40" s="520"/>
      <c r="BF40" s="521"/>
      <c r="BG40" s="522"/>
      <c r="BH40" s="520"/>
      <c r="BI40" s="521"/>
      <c r="BJ40" s="522"/>
      <c r="BK40" s="520"/>
      <c r="BL40" s="521"/>
      <c r="BM40" s="522"/>
      <c r="BN40" s="520"/>
      <c r="BO40" s="521"/>
      <c r="BP40" s="522"/>
      <c r="BQ40" s="520"/>
      <c r="BR40" s="521"/>
      <c r="BS40" s="522"/>
      <c r="BT40" s="520"/>
      <c r="BU40" s="521"/>
      <c r="BV40" s="522"/>
      <c r="BW40" s="520"/>
      <c r="BX40" s="521"/>
      <c r="BY40" s="522"/>
      <c r="BZ40" s="520"/>
      <c r="CA40" s="521"/>
      <c r="CB40" s="522"/>
      <c r="CC40" s="520"/>
      <c r="CD40" s="521"/>
      <c r="CE40" s="522"/>
      <c r="CF40" s="520"/>
      <c r="CG40" s="521"/>
      <c r="CH40" s="522"/>
      <c r="CI40" s="520"/>
      <c r="CJ40" s="521"/>
      <c r="CK40" s="522"/>
      <c r="CL40" s="520"/>
      <c r="CM40" s="521"/>
      <c r="CN40" s="522"/>
      <c r="CO40" s="520"/>
      <c r="CP40" s="521"/>
      <c r="CQ40" s="522"/>
      <c r="CR40" s="520"/>
      <c r="CS40" s="521"/>
      <c r="CT40" s="522"/>
      <c r="CU40" s="520"/>
      <c r="CV40" s="521"/>
      <c r="CW40" s="522"/>
      <c r="CX40" s="520"/>
      <c r="CY40" s="521"/>
      <c r="CZ40" s="522"/>
      <c r="DA40" s="520"/>
      <c r="DB40" s="521"/>
      <c r="DC40" s="522"/>
      <c r="DD40" s="520"/>
      <c r="DE40" s="521"/>
      <c r="DF40" s="522"/>
      <c r="DG40" s="520"/>
      <c r="DH40" s="521"/>
      <c r="DI40" s="522"/>
      <c r="DJ40" s="520"/>
      <c r="DK40" s="521"/>
      <c r="DL40" s="522"/>
      <c r="DM40" s="520"/>
      <c r="DN40" s="521"/>
      <c r="DO40" s="522"/>
      <c r="DP40" s="520"/>
      <c r="DQ40" s="521"/>
      <c r="DR40" s="522"/>
      <c r="DS40" s="520"/>
      <c r="DT40" s="521"/>
      <c r="DU40" s="522"/>
      <c r="DV40" s="520"/>
      <c r="DW40" s="521"/>
      <c r="DX40" s="522"/>
      <c r="DY40" s="520"/>
      <c r="DZ40" s="521"/>
      <c r="EA40" s="522"/>
      <c r="EB40" s="520"/>
      <c r="EC40" s="521"/>
      <c r="ED40" s="522"/>
      <c r="EE40" s="520"/>
      <c r="EF40" s="521"/>
      <c r="EG40" s="522"/>
      <c r="EH40" s="520"/>
      <c r="EI40" s="521"/>
      <c r="EJ40" s="522"/>
      <c r="EK40" s="520"/>
      <c r="EL40" s="521"/>
      <c r="EM40" s="522"/>
      <c r="EN40" s="520"/>
      <c r="EO40" s="521"/>
      <c r="EP40" s="522"/>
      <c r="EQ40" s="520"/>
      <c r="ER40" s="521"/>
      <c r="ES40" s="522"/>
      <c r="ET40" s="520"/>
      <c r="EU40" s="521"/>
      <c r="EV40" s="522"/>
      <c r="EW40" s="520"/>
      <c r="EX40" s="521"/>
      <c r="EY40" s="522"/>
      <c r="EZ40" s="520"/>
      <c r="FA40" s="521"/>
      <c r="FB40" s="522"/>
      <c r="FC40" s="520"/>
      <c r="FD40" s="521"/>
      <c r="FE40" s="522"/>
      <c r="FF40" s="520"/>
      <c r="FG40" s="521"/>
      <c r="FH40" s="522"/>
      <c r="FI40" s="520"/>
      <c r="FJ40" s="521"/>
      <c r="FK40" s="522"/>
      <c r="FL40" s="520"/>
      <c r="FM40" s="521"/>
      <c r="FN40" s="522"/>
      <c r="FO40" s="520"/>
      <c r="FP40" s="521"/>
      <c r="FQ40" s="522"/>
      <c r="FR40" s="520"/>
      <c r="FS40" s="521"/>
      <c r="FT40" s="522"/>
      <c r="FU40" s="520"/>
      <c r="FV40" s="521"/>
      <c r="FW40" s="522"/>
      <c r="FX40" s="520"/>
      <c r="FY40" s="521"/>
      <c r="FZ40" s="522"/>
      <c r="GA40" s="520"/>
      <c r="GB40" s="521"/>
      <c r="GC40" s="522"/>
      <c r="GD40" s="520"/>
      <c r="GE40" s="521"/>
      <c r="GF40" s="522"/>
      <c r="GG40" s="520"/>
      <c r="GH40" s="521"/>
      <c r="GI40" s="522"/>
      <c r="GJ40" s="520"/>
      <c r="GK40" s="521"/>
      <c r="GL40" s="522"/>
      <c r="GM40" s="520"/>
      <c r="GN40" s="521"/>
      <c r="GO40" s="522"/>
      <c r="GP40" s="520"/>
      <c r="GQ40" s="521"/>
      <c r="GR40" s="522"/>
      <c r="GS40" s="520"/>
      <c r="GT40" s="521"/>
      <c r="GU40" s="522"/>
      <c r="GV40" s="520"/>
      <c r="GW40" s="521"/>
      <c r="GX40" s="522"/>
      <c r="GY40" s="520"/>
      <c r="GZ40" s="521"/>
      <c r="HA40" s="522"/>
      <c r="HB40" s="520"/>
      <c r="HC40" s="521"/>
      <c r="HD40" s="522"/>
      <c r="HE40" s="520"/>
      <c r="HF40" s="521"/>
      <c r="HG40" s="522"/>
      <c r="HH40" s="520"/>
      <c r="HI40" s="521"/>
      <c r="HJ40" s="522"/>
      <c r="HK40" s="520"/>
      <c r="HL40" s="521"/>
      <c r="HM40" s="522"/>
      <c r="HN40" s="520"/>
      <c r="HO40" s="521"/>
      <c r="HP40" s="522"/>
      <c r="HQ40" s="520"/>
      <c r="HR40" s="521"/>
      <c r="HS40" s="522"/>
      <c r="HT40" s="520"/>
      <c r="HU40" s="521"/>
      <c r="HV40" s="522"/>
      <c r="HW40" s="520"/>
      <c r="HX40" s="521"/>
      <c r="HY40" s="522"/>
      <c r="HZ40" s="520"/>
      <c r="IA40" s="521"/>
      <c r="IB40" s="522"/>
      <c r="IC40" s="520"/>
      <c r="ID40" s="521"/>
      <c r="IE40" s="522"/>
      <c r="IF40" s="520"/>
      <c r="IG40" s="521"/>
      <c r="IH40" s="522"/>
      <c r="II40" s="520"/>
      <c r="IJ40" s="521"/>
      <c r="IK40" s="522"/>
      <c r="IL40" s="520"/>
      <c r="IM40" s="521"/>
      <c r="IN40" s="522"/>
      <c r="IO40" s="520"/>
      <c r="IP40" s="521"/>
      <c r="IQ40" s="522"/>
      <c r="IR40" s="520"/>
      <c r="IS40" s="521"/>
      <c r="IT40" s="522"/>
      <c r="IU40" s="520"/>
      <c r="IV40" s="521"/>
      <c r="IW40" s="522"/>
      <c r="IX40" s="520"/>
      <c r="IY40" s="521"/>
      <c r="IZ40" s="522"/>
      <c r="JA40" s="520"/>
      <c r="JB40" s="521"/>
      <c r="JC40" s="522"/>
      <c r="JD40" s="520"/>
      <c r="JE40" s="521"/>
      <c r="JF40" s="522"/>
      <c r="JG40" s="520"/>
      <c r="JH40" s="521"/>
      <c r="JI40" s="522"/>
      <c r="JJ40" s="520"/>
      <c r="JK40" s="522"/>
      <c r="JL40" s="522"/>
      <c r="JM40" s="520"/>
      <c r="JN40" s="522"/>
      <c r="JO40" s="522"/>
      <c r="JP40" s="520"/>
      <c r="JQ40" s="522"/>
      <c r="JR40" s="522"/>
      <c r="JS40" s="520"/>
      <c r="JT40" s="522"/>
      <c r="JU40" s="522"/>
      <c r="JV40" s="520"/>
      <c r="JW40" s="522"/>
      <c r="JX40" s="522"/>
      <c r="JY40" s="520"/>
      <c r="JZ40" s="522"/>
      <c r="KA40" s="522"/>
      <c r="KB40" s="520"/>
      <c r="KC40" s="522"/>
      <c r="KD40" s="522"/>
      <c r="KE40" s="520"/>
      <c r="KF40" s="522"/>
      <c r="KG40" s="522"/>
      <c r="KH40" s="520"/>
      <c r="KI40" s="522"/>
      <c r="KJ40" s="522"/>
      <c r="KK40" s="520"/>
      <c r="KL40" s="522"/>
      <c r="KM40" s="522"/>
      <c r="KN40" s="520"/>
      <c r="KO40" s="522"/>
      <c r="KP40" s="522"/>
      <c r="KQ40" s="520"/>
      <c r="KR40" s="522"/>
      <c r="KS40" s="522"/>
      <c r="KT40" s="522"/>
      <c r="KU40" s="522"/>
      <c r="KV40" s="267"/>
    </row>
    <row r="41" spans="1:308" s="525" customFormat="1" ht="15" customHeight="1" thickTop="1" thickBot="1">
      <c r="A41" s="707" t="s">
        <v>27</v>
      </c>
      <c r="B41" s="708"/>
      <c r="C41" s="709"/>
      <c r="D41" s="559">
        <f>SUM(D9:D40)</f>
        <v>1345.0509999999999</v>
      </c>
      <c r="E41" s="558">
        <v>0</v>
      </c>
      <c r="F41" s="523">
        <f>SUM(F9:F39)</f>
        <v>0</v>
      </c>
      <c r="G41" s="523">
        <f>IFERROR((F41/$L$41),0)</f>
        <v>0</v>
      </c>
      <c r="H41" s="523">
        <f>IFERROR(((F41*H$8)/$L$41),0)</f>
        <v>0</v>
      </c>
      <c r="I41" s="523">
        <f>SUM(I9:I39)</f>
        <v>4325.5841534883721</v>
      </c>
      <c r="J41" s="523">
        <f>IFERROR((I41/$L$41),0)</f>
        <v>0</v>
      </c>
      <c r="K41" s="523">
        <f>IFERROR(((I41*K$8)/$L$41),0)</f>
        <v>0</v>
      </c>
      <c r="L41" s="523">
        <f>SUM(L9:L39)</f>
        <v>0</v>
      </c>
      <c r="M41" s="523">
        <f>IFERROR((L41/$L$41),0)</f>
        <v>0</v>
      </c>
      <c r="N41" s="523">
        <f>IFERROR(((L41*N$8)/$L$41),0)</f>
        <v>0</v>
      </c>
      <c r="O41" s="523">
        <f>SUM(O9:O39)</f>
        <v>186.00400000000002</v>
      </c>
      <c r="P41" s="523">
        <f>IFERROR((O41/$L$41),0)</f>
        <v>0</v>
      </c>
      <c r="Q41" s="523">
        <f>IFERROR(((O41*Q$8)/$L$41),0)</f>
        <v>0</v>
      </c>
      <c r="R41" s="523">
        <f>SUM(R9:R39)</f>
        <v>0</v>
      </c>
      <c r="S41" s="523">
        <f>IFERROR((R41/$L$41),0)</f>
        <v>0</v>
      </c>
      <c r="T41" s="523">
        <f>IFERROR(((R41*T$8)/$L$41),0)</f>
        <v>0</v>
      </c>
      <c r="U41" s="523">
        <f>SUM(U9:U39)</f>
        <v>265.21474999999998</v>
      </c>
      <c r="V41" s="523">
        <f>IFERROR((U41/$L$41),0)</f>
        <v>0</v>
      </c>
      <c r="W41" s="523">
        <f>IFERROR(((U41*W$8)/$L$41),0)</f>
        <v>0</v>
      </c>
      <c r="X41" s="523">
        <f>SUM(X9:X39)</f>
        <v>0</v>
      </c>
      <c r="Y41" s="523">
        <f>IFERROR((X41/$L$41),0)</f>
        <v>0</v>
      </c>
      <c r="Z41" s="523">
        <f>IFERROR(((X41*Z$8)/$L$41),0)</f>
        <v>0</v>
      </c>
      <c r="AA41" s="523">
        <f>SUM(AA9:AA39)</f>
        <v>200</v>
      </c>
      <c r="AB41" s="523">
        <f>IFERROR((AA41/$L$41),0)</f>
        <v>0</v>
      </c>
      <c r="AC41" s="523">
        <f>IFERROR(((AA41*AC$8)/$L$41),0)</f>
        <v>0</v>
      </c>
      <c r="AD41" s="523">
        <f>SUM(AD9:AD39)</f>
        <v>0</v>
      </c>
      <c r="AE41" s="523">
        <f>IFERROR((AD41/$L$41),0)</f>
        <v>0</v>
      </c>
      <c r="AF41" s="523">
        <f>IFERROR(((AD41*AF$8)/$L$41),0)</f>
        <v>0</v>
      </c>
      <c r="AG41" s="523">
        <f>SUM(AG9:AG39)</f>
        <v>0</v>
      </c>
      <c r="AH41" s="523">
        <f>IFERROR((AG41/$L$41),0)</f>
        <v>0</v>
      </c>
      <c r="AI41" s="523">
        <f>IFERROR(((AG41*AI$8)/$L$41),0)</f>
        <v>0</v>
      </c>
      <c r="AJ41" s="523">
        <f>SUM(AJ9:AJ39)</f>
        <v>117.50379999999997</v>
      </c>
      <c r="AK41" s="523">
        <f>IFERROR((AJ41/$L$41),0)</f>
        <v>0</v>
      </c>
      <c r="AL41" s="523">
        <f>IFERROR(((AJ41*AL$8)/$L$41),0)</f>
        <v>0</v>
      </c>
      <c r="AM41" s="523">
        <f>SUM(AM9:AM39)</f>
        <v>0</v>
      </c>
      <c r="AN41" s="523">
        <f>IFERROR((AM41/$L$41),0)</f>
        <v>0</v>
      </c>
      <c r="AO41" s="523">
        <f>IFERROR(((AM41*AO$8)/$L$41),0)</f>
        <v>0</v>
      </c>
      <c r="AP41" s="523">
        <f>SUM(AP9:AP39)</f>
        <v>1347.1515911392407</v>
      </c>
      <c r="AQ41" s="523">
        <f>IFERROR((AP41/$L$41),0)</f>
        <v>0</v>
      </c>
      <c r="AR41" s="523">
        <f>IFERROR(((AP41*AR$8)/$L$41),0)</f>
        <v>0</v>
      </c>
      <c r="AS41" s="523">
        <f>SUM(AS9:AS39)</f>
        <v>0</v>
      </c>
      <c r="AT41" s="523">
        <f>IFERROR((AS41/$L$41),0)</f>
        <v>0</v>
      </c>
      <c r="AU41" s="523">
        <f>IFERROR(((AS41*AU$8)/$L$41),0)</f>
        <v>0</v>
      </c>
      <c r="AV41" s="523">
        <f>SUM(AV9:AV39)</f>
        <v>0</v>
      </c>
      <c r="AW41" s="523">
        <f>IFERROR((AV41/$L$41),0)</f>
        <v>0</v>
      </c>
      <c r="AX41" s="523">
        <f>IFERROR(((AV41*AX$8)/$L$41),0)</f>
        <v>0</v>
      </c>
      <c r="AY41" s="523">
        <f>SUM(AY9:AY39)</f>
        <v>1817.6691999999998</v>
      </c>
      <c r="AZ41" s="523">
        <f>IFERROR((AY41/$L$41),0)</f>
        <v>0</v>
      </c>
      <c r="BA41" s="523">
        <f>IFERROR(((AY41*BA$8)/$L$41),0)</f>
        <v>0</v>
      </c>
      <c r="BB41" s="523">
        <f>SUM(BB9:BB39)</f>
        <v>0</v>
      </c>
      <c r="BC41" s="523">
        <f>IFERROR((BB41/$L$41),0)</f>
        <v>0</v>
      </c>
      <c r="BD41" s="523">
        <f>IFERROR(((BB41*BD$8)/$L$41),0)</f>
        <v>0</v>
      </c>
      <c r="BE41" s="523">
        <f>SUM(BE9:BE39)</f>
        <v>0</v>
      </c>
      <c r="BF41" s="523">
        <f>IFERROR((BE41/$L$41),0)</f>
        <v>0</v>
      </c>
      <c r="BG41" s="523">
        <f>IFERROR(((BE41*BG$8)/$L$41),0)</f>
        <v>0</v>
      </c>
      <c r="BH41" s="523">
        <f>SUM(BH9:BH39)</f>
        <v>0</v>
      </c>
      <c r="BI41" s="523">
        <f>IFERROR((BH41/$L$41),0)</f>
        <v>0</v>
      </c>
      <c r="BJ41" s="523">
        <f>IFERROR(((BH41*BJ$8)/$L$41),0)</f>
        <v>0</v>
      </c>
      <c r="BK41" s="523">
        <f>SUM(BK9:BK39)</f>
        <v>0</v>
      </c>
      <c r="BL41" s="523">
        <f>IFERROR((BK41/$L$41),0)</f>
        <v>0</v>
      </c>
      <c r="BM41" s="523">
        <f>IFERROR(((BK41*BM$8)/$L$41),0)</f>
        <v>0</v>
      </c>
      <c r="BN41" s="523">
        <f>SUM(BN9:BN39)</f>
        <v>0</v>
      </c>
      <c r="BO41" s="523">
        <f>IFERROR((BN41/$L$41),0)</f>
        <v>0</v>
      </c>
      <c r="BP41" s="523">
        <f>IFERROR(((BN41*BP$8)/$L$41),0)</f>
        <v>0</v>
      </c>
      <c r="BQ41" s="523">
        <f>SUM(BQ9:BQ39)</f>
        <v>286.07594936708858</v>
      </c>
      <c r="BR41" s="523">
        <f>IFERROR((BQ41/$L$41),0)</f>
        <v>0</v>
      </c>
      <c r="BS41" s="523">
        <f>IFERROR(((BQ41*BS$8)/$L$41),0)</f>
        <v>0</v>
      </c>
      <c r="BT41" s="523">
        <f>SUM(BT9:BT39)</f>
        <v>0</v>
      </c>
      <c r="BU41" s="523">
        <f>IFERROR((BT41/$L$41),0)</f>
        <v>0</v>
      </c>
      <c r="BV41" s="523">
        <f>IFERROR(((BT41*BV$8)/$L$41),0)</f>
        <v>0</v>
      </c>
      <c r="BW41" s="523">
        <f>SUM(BW9:BW39)</f>
        <v>0</v>
      </c>
      <c r="BX41" s="523">
        <f>IFERROR((BW41/$L$41),0)</f>
        <v>0</v>
      </c>
      <c r="BY41" s="523">
        <f>IFERROR(((BW41*BY$8)/$L$41),0)</f>
        <v>0</v>
      </c>
      <c r="BZ41" s="523">
        <f>SUM(BZ9:BZ39)</f>
        <v>0</v>
      </c>
      <c r="CA41" s="523">
        <f>IFERROR((BZ41/$L$41),0)</f>
        <v>0</v>
      </c>
      <c r="CB41" s="523">
        <f>IFERROR(((BZ41*CB$8)/$L$41),0)</f>
        <v>0</v>
      </c>
      <c r="CC41" s="523">
        <f>SUM(CC9:CC39)</f>
        <v>5</v>
      </c>
      <c r="CD41" s="523">
        <f>IFERROR((CC41/$L$41),0)</f>
        <v>0</v>
      </c>
      <c r="CE41" s="523">
        <f>IFERROR(((CC41*CE$8)/$L$41),0)</f>
        <v>0</v>
      </c>
      <c r="CF41" s="523">
        <f>SUM(CF9:CF39)</f>
        <v>23.4</v>
      </c>
      <c r="CG41" s="523">
        <f>IFERROR((CF41/$L$41),0)</f>
        <v>0</v>
      </c>
      <c r="CH41" s="523">
        <f>IFERROR(((CF41*CH$8)/$L$41),0)</f>
        <v>0</v>
      </c>
      <c r="CI41" s="523">
        <f>SUM(CI9:CI39)</f>
        <v>0</v>
      </c>
      <c r="CJ41" s="523">
        <f>IFERROR((CI41/$L$41),0)</f>
        <v>0</v>
      </c>
      <c r="CK41" s="523">
        <f>IFERROR(((CI41*CK$8)/$L$41),0)</f>
        <v>0</v>
      </c>
      <c r="CL41" s="523">
        <f>SUM(CL9:CL39)</f>
        <v>0</v>
      </c>
      <c r="CM41" s="523">
        <f>IFERROR((CL41/$L$41),0)</f>
        <v>0</v>
      </c>
      <c r="CN41" s="523">
        <f>IFERROR(((CL41*CN$8)/$L$41),0)</f>
        <v>0</v>
      </c>
      <c r="CO41" s="523">
        <f>SUM(CO9:CO39)</f>
        <v>1</v>
      </c>
      <c r="CP41" s="523">
        <f>IFERROR((CO41/$L$41),0)</f>
        <v>0</v>
      </c>
      <c r="CQ41" s="523">
        <f>IFERROR(((CO41*CQ$8)/$L$41),0)</f>
        <v>0</v>
      </c>
      <c r="CR41" s="523">
        <f>SUM(CR9:CR39)</f>
        <v>1</v>
      </c>
      <c r="CS41" s="523">
        <f>IFERROR((CR41/$L$41),0)</f>
        <v>0</v>
      </c>
      <c r="CT41" s="523">
        <f>IFERROR(((CR41*CT$8)/$L$41),0)</f>
        <v>0</v>
      </c>
      <c r="CU41" s="523">
        <f>SUM(CU9:CU39)</f>
        <v>0</v>
      </c>
      <c r="CV41" s="523">
        <f>IFERROR((CU41/$L$41),0)</f>
        <v>0</v>
      </c>
      <c r="CW41" s="523">
        <f>IFERROR(((CU41*CW$8)/$L$41),0)</f>
        <v>0</v>
      </c>
      <c r="CX41" s="523">
        <f>SUM(CX9:CX39)</f>
        <v>0</v>
      </c>
      <c r="CY41" s="523">
        <f>IFERROR((CX41/$L$41),0)</f>
        <v>0</v>
      </c>
      <c r="CZ41" s="523">
        <f>IFERROR(((CX41*CZ$8)/$L$41),0)</f>
        <v>0</v>
      </c>
      <c r="DA41" s="523">
        <f>SUM(DA9:DA39)</f>
        <v>1438.953488372093</v>
      </c>
      <c r="DB41" s="523">
        <f>IFERROR((DA41/$L$41),0)</f>
        <v>0</v>
      </c>
      <c r="DC41" s="523">
        <f>IFERROR(((DA41*DC$8)/$L$41),0)</f>
        <v>0</v>
      </c>
      <c r="DD41" s="523">
        <f>SUM(DD9:DD39)</f>
        <v>0</v>
      </c>
      <c r="DE41" s="523">
        <f>IFERROR((DD41/$L$41),0)</f>
        <v>0</v>
      </c>
      <c r="DF41" s="523">
        <f>IFERROR(((DD41*DF$8)/$L$41),0)</f>
        <v>0</v>
      </c>
      <c r="DG41" s="523">
        <f>SUM(DG14:DG39)</f>
        <v>0</v>
      </c>
      <c r="DH41" s="523">
        <f>IFERROR((DG41/$L$41),0)</f>
        <v>0</v>
      </c>
      <c r="DI41" s="523">
        <f>IFERROR(((DG41*DI$8)/$L$41),0)</f>
        <v>0</v>
      </c>
      <c r="DJ41" s="523">
        <f>SUM(DJ9:DJ39)</f>
        <v>0</v>
      </c>
      <c r="DK41" s="523">
        <f>IFERROR((DJ41/$L$41),0)</f>
        <v>0</v>
      </c>
      <c r="DL41" s="523">
        <f>IFERROR(((DJ41*DL$8)/$L$41),0)</f>
        <v>0</v>
      </c>
      <c r="DM41" s="523">
        <f>SUM(DM9:DM39)</f>
        <v>0</v>
      </c>
      <c r="DN41" s="523">
        <f>IFERROR((DM41/$L$41),0)</f>
        <v>0</v>
      </c>
      <c r="DO41" s="523">
        <f>IFERROR(((DM41*DO$8)/$L$41),0)</f>
        <v>0</v>
      </c>
      <c r="DP41" s="523">
        <f>SUM(DP9:DP39)</f>
        <v>0</v>
      </c>
      <c r="DQ41" s="523">
        <f>IFERROR((DP41/$L$41),0)</f>
        <v>0</v>
      </c>
      <c r="DR41" s="523">
        <f>IFERROR(((DP41*DR$8)/$L$41),0)</f>
        <v>0</v>
      </c>
      <c r="DS41" s="523">
        <f>SUM(DS9:DS39)</f>
        <v>0</v>
      </c>
      <c r="DT41" s="523">
        <f>IFERROR((DS41/$L$41),0)</f>
        <v>0</v>
      </c>
      <c r="DU41" s="523">
        <f>IFERROR(((DS41*DU$8)/$L$41),0)</f>
        <v>0</v>
      </c>
      <c r="DV41" s="523">
        <f>SUM(DV9:DV39)</f>
        <v>0</v>
      </c>
      <c r="DW41" s="523">
        <f>IFERROR((DV41/$L$41),0)</f>
        <v>0</v>
      </c>
      <c r="DX41" s="523">
        <f>IFERROR(((DV41*DX$8)/$L$41),0)</f>
        <v>0</v>
      </c>
      <c r="DY41" s="523">
        <f>SUM(DY9:DY39)</f>
        <v>19.409638554216855</v>
      </c>
      <c r="DZ41" s="523">
        <f>IFERROR((DY41/$L$41),0)</f>
        <v>0</v>
      </c>
      <c r="EA41" s="523">
        <f>IFERROR(((DY41*EA$8)/$L$41),0)</f>
        <v>0</v>
      </c>
      <c r="EB41" s="523">
        <f>SUM(EB9:EB39)</f>
        <v>0</v>
      </c>
      <c r="EC41" s="523">
        <f>IFERROR((EB41/$L$41),0)</f>
        <v>0</v>
      </c>
      <c r="ED41" s="523">
        <f>IFERROR(((EB41*ED$8)/$L$41),0)</f>
        <v>0</v>
      </c>
      <c r="EE41" s="523">
        <f>SUM(EE9:EE39)</f>
        <v>436.04651162790685</v>
      </c>
      <c r="EF41" s="523">
        <f>IFERROR((EE41/$L$41),0)</f>
        <v>0</v>
      </c>
      <c r="EG41" s="523">
        <f>IFERROR(((EE41*EG$8)/$L$41),0)</f>
        <v>0</v>
      </c>
      <c r="EH41" s="523">
        <f>SUM(EH9:EH39)</f>
        <v>1473.5135294117649</v>
      </c>
      <c r="EI41" s="523">
        <f>IFERROR((EH41/$L$41),0)</f>
        <v>0</v>
      </c>
      <c r="EJ41" s="523">
        <f>IFERROR(((EH41*EJ$8)/$L$41),0)</f>
        <v>0</v>
      </c>
      <c r="EK41" s="523">
        <f>SUM(EK9:EK39)</f>
        <v>109.63999999999999</v>
      </c>
      <c r="EL41" s="523">
        <f>IFERROR((EK41/$L$41),0)</f>
        <v>0</v>
      </c>
      <c r="EM41" s="523">
        <f>IFERROR(((EK41*EM$8)/$L$41),0)</f>
        <v>0</v>
      </c>
      <c r="EN41" s="523">
        <f>SUM(EN9:EN39)</f>
        <v>0</v>
      </c>
      <c r="EO41" s="523">
        <f>IFERROR((EN41/$L$41),0)</f>
        <v>0</v>
      </c>
      <c r="EP41" s="523">
        <f>IFERROR(((EN41*EP$8)/$L$41),0)</f>
        <v>0</v>
      </c>
      <c r="EQ41" s="523">
        <f>SUM(EQ9:EQ39)</f>
        <v>0</v>
      </c>
      <c r="ER41" s="523">
        <f>IFERROR((EQ41/$L$41),0)</f>
        <v>0</v>
      </c>
      <c r="ES41" s="523">
        <f>IFERROR(((EQ41*ES$8)/$L$41),0)</f>
        <v>0</v>
      </c>
      <c r="ET41" s="523">
        <f>SUM(ET9:ET39)</f>
        <v>0</v>
      </c>
      <c r="EU41" s="523">
        <f>IFERROR((ET41/$L$41),0)</f>
        <v>0</v>
      </c>
      <c r="EV41" s="523">
        <f>IFERROR(((ET41*EV$8)/$L$41),0)</f>
        <v>0</v>
      </c>
      <c r="EW41" s="523">
        <f>SUM(EW9:EW39)</f>
        <v>0</v>
      </c>
      <c r="EX41" s="523">
        <f>IFERROR((EW41/$L$41),0)</f>
        <v>0</v>
      </c>
      <c r="EY41" s="523">
        <f>IFERROR(((EW41*EY$8)/$L$41),0)</f>
        <v>0</v>
      </c>
      <c r="EZ41" s="523">
        <f>SUM(EZ9:EZ39)</f>
        <v>0</v>
      </c>
      <c r="FA41" s="523">
        <f>IFERROR((EZ41/$L$41),0)</f>
        <v>0</v>
      </c>
      <c r="FB41" s="523">
        <f>IFERROR(((EZ41*FB$8)/$L$41),0)</f>
        <v>0</v>
      </c>
      <c r="FC41" s="523">
        <f>SUM(FC9:FC39)</f>
        <v>0</v>
      </c>
      <c r="FD41" s="523">
        <f>IFERROR((FC41/$L$41),0)</f>
        <v>0</v>
      </c>
      <c r="FE41" s="523">
        <f>IFERROR(((FC41*FE$8)/$L$41),0)</f>
        <v>0</v>
      </c>
      <c r="FF41" s="523">
        <f>SUM(FF9:FF39)</f>
        <v>0</v>
      </c>
      <c r="FG41" s="523">
        <f>IFERROR((FF41/$L$41),0)</f>
        <v>0</v>
      </c>
      <c r="FH41" s="523">
        <f>IFERROR(((FF41*FH$8)/$L$41),0)</f>
        <v>0</v>
      </c>
      <c r="FI41" s="523">
        <f>SUM(FI9:FI39)</f>
        <v>0</v>
      </c>
      <c r="FJ41" s="523">
        <f>IFERROR((FI41/$L$41),0)</f>
        <v>0</v>
      </c>
      <c r="FK41" s="523">
        <f>IFERROR(((FI41*FK$8)/$L$41),0)</f>
        <v>0</v>
      </c>
      <c r="FL41" s="523">
        <f>SUM(FL9:FL39)</f>
        <v>0</v>
      </c>
      <c r="FM41" s="523">
        <f>IFERROR((FL41/$L$41),0)</f>
        <v>0</v>
      </c>
      <c r="FN41" s="523">
        <f>IFERROR(((FL41*FN$8)/$L$41),0)</f>
        <v>0</v>
      </c>
      <c r="FO41" s="523">
        <f>SUM(FO9:FO39)</f>
        <v>0</v>
      </c>
      <c r="FP41" s="523">
        <f>IFERROR((FO41/$L$41),0)</f>
        <v>0</v>
      </c>
      <c r="FQ41" s="523">
        <f>IFERROR(((FO41*FQ$8)/$L$41),0)</f>
        <v>0</v>
      </c>
      <c r="FR41" s="523">
        <f>SUM(FR9:FR39)</f>
        <v>0</v>
      </c>
      <c r="FS41" s="523">
        <f>IFERROR((FR41/$L$41),0)</f>
        <v>0</v>
      </c>
      <c r="FT41" s="523">
        <f>IFERROR(((FR41*FT$8)/$L$41),0)</f>
        <v>0</v>
      </c>
      <c r="FU41" s="523">
        <f>SUM(FU9:FU39)</f>
        <v>0</v>
      </c>
      <c r="FV41" s="523">
        <f>IFERROR((FU41/$L$41),0)</f>
        <v>0</v>
      </c>
      <c r="FW41" s="523">
        <f>IFERROR(((FU41*FW$8)/$L$41),0)</f>
        <v>0</v>
      </c>
      <c r="FX41" s="523">
        <f>SUM(FX9:FX39)</f>
        <v>0</v>
      </c>
      <c r="FY41" s="523">
        <f>IFERROR((FX41/$L$41),0)</f>
        <v>0</v>
      </c>
      <c r="FZ41" s="523">
        <f>IFERROR(((FX41*FZ$8)/$L$41),0)</f>
        <v>0</v>
      </c>
      <c r="GA41" s="523">
        <f>SUM(GA9:GA39)</f>
        <v>0</v>
      </c>
      <c r="GB41" s="523">
        <f>IFERROR((GA41/$L$41),0)</f>
        <v>0</v>
      </c>
      <c r="GC41" s="523">
        <f>IFERROR(((GA41*GC$8)/$L$41),0)</f>
        <v>0</v>
      </c>
      <c r="GD41" s="523">
        <f>SUM(GD9:GD39)</f>
        <v>0</v>
      </c>
      <c r="GE41" s="523">
        <f>IFERROR((GD41/$L$41),0)</f>
        <v>0</v>
      </c>
      <c r="GF41" s="523">
        <f>IFERROR(((GD41*GF$8)/$L$41),0)</f>
        <v>0</v>
      </c>
      <c r="GG41" s="523">
        <f>SUM(GG9:GG39)</f>
        <v>0</v>
      </c>
      <c r="GH41" s="523">
        <f>IFERROR((GG41/$L$41),0)</f>
        <v>0</v>
      </c>
      <c r="GI41" s="523">
        <f>IFERROR(((GG41*GI$8)/$L$41),0)</f>
        <v>0</v>
      </c>
      <c r="GJ41" s="523">
        <f>SUM(GJ9:GJ39)</f>
        <v>0</v>
      </c>
      <c r="GK41" s="523">
        <f>IFERROR((GJ41/$L$41),0)</f>
        <v>0</v>
      </c>
      <c r="GL41" s="523">
        <f>IFERROR(((GJ41*GL$8)/$L$41),0)</f>
        <v>0</v>
      </c>
      <c r="GM41" s="523">
        <f>SUM(GM9:GM39)</f>
        <v>0</v>
      </c>
      <c r="GN41" s="523">
        <f>IFERROR((GM41/$L$41),0)</f>
        <v>0</v>
      </c>
      <c r="GO41" s="523">
        <f>IFERROR(((GM41*GO$8)/$L$41),0)</f>
        <v>0</v>
      </c>
      <c r="GP41" s="523">
        <f>SUM(GP9:GP39)</f>
        <v>0</v>
      </c>
      <c r="GQ41" s="523">
        <f>IFERROR((GP41/$L$41),0)</f>
        <v>0</v>
      </c>
      <c r="GR41" s="523">
        <f>IFERROR(((GP41*GR$8)/$L$41),0)</f>
        <v>0</v>
      </c>
      <c r="GS41" s="523">
        <f>SUM(GS9:GS39)</f>
        <v>0</v>
      </c>
      <c r="GT41" s="523">
        <f>IFERROR((GS41/$L$41),0)</f>
        <v>0</v>
      </c>
      <c r="GU41" s="523">
        <f>IFERROR(((GS41*GU$8)/$L$41),0)</f>
        <v>0</v>
      </c>
      <c r="GV41" s="523">
        <f>SUM(GV9:GV39)</f>
        <v>0</v>
      </c>
      <c r="GW41" s="523">
        <f>IFERROR((GV41/$L$41),0)</f>
        <v>0</v>
      </c>
      <c r="GX41" s="523">
        <f>IFERROR(((GV41*GX$8)/$L$41),0)</f>
        <v>0</v>
      </c>
      <c r="GY41" s="523">
        <f>SUM(GY9:GY39)</f>
        <v>0</v>
      </c>
      <c r="GZ41" s="523">
        <f>IFERROR((GY41/$L$41),0)</f>
        <v>0</v>
      </c>
      <c r="HA41" s="523">
        <f>IFERROR(((GY41*HA$8)/$L$41),0)</f>
        <v>0</v>
      </c>
      <c r="HB41" s="523">
        <f>SUM(HB9:HB39)</f>
        <v>0</v>
      </c>
      <c r="HC41" s="523">
        <f>IFERROR((HB41/$L$41),0)</f>
        <v>0</v>
      </c>
      <c r="HD41" s="523">
        <f>IFERROR(((HB41*HD$8)/$L$41),0)</f>
        <v>0</v>
      </c>
      <c r="HE41" s="523">
        <f>SUM(HE9:HE39)</f>
        <v>0</v>
      </c>
      <c r="HF41" s="523">
        <f>IFERROR((HE41/$L$41),0)</f>
        <v>0</v>
      </c>
      <c r="HG41" s="523">
        <f>IFERROR(((HE41*HG$8)/$L$41),0)</f>
        <v>0</v>
      </c>
      <c r="HH41" s="523">
        <f>SUM(HH9:HH39)</f>
        <v>0</v>
      </c>
      <c r="HI41" s="523">
        <f>IFERROR((HH41/$L$41),0)</f>
        <v>0</v>
      </c>
      <c r="HJ41" s="523">
        <f>IFERROR(((HH41*HJ$8)/$L$41),0)</f>
        <v>0</v>
      </c>
      <c r="HK41" s="523">
        <f>SUM(HK9:HK39)</f>
        <v>0</v>
      </c>
      <c r="HL41" s="523">
        <f>IFERROR((HK41/$L$41),0)</f>
        <v>0</v>
      </c>
      <c r="HM41" s="523">
        <f>IFERROR(((HK41*HM$8)/$L$41),0)</f>
        <v>0</v>
      </c>
      <c r="HN41" s="523">
        <f>SUM(HN9:HN39)</f>
        <v>0</v>
      </c>
      <c r="HO41" s="523">
        <f>IFERROR((HN41/$L$41),0)</f>
        <v>0</v>
      </c>
      <c r="HP41" s="523">
        <f>IFERROR(((HN41*HP$8)/$L$41),0)</f>
        <v>0</v>
      </c>
      <c r="HQ41" s="523">
        <f>SUM(HQ9:HQ39)</f>
        <v>0</v>
      </c>
      <c r="HR41" s="523">
        <f>IFERROR((HQ41/$L$41),0)</f>
        <v>0</v>
      </c>
      <c r="HS41" s="523">
        <f>IFERROR(((HQ41*HS$8)/$L$41),0)</f>
        <v>0</v>
      </c>
      <c r="HT41" s="523">
        <f>SUM(HT9:HT39)</f>
        <v>0</v>
      </c>
      <c r="HU41" s="523">
        <f>IFERROR((HT41/$L$41),0)</f>
        <v>0</v>
      </c>
      <c r="HV41" s="523">
        <f>IFERROR(((HT41*HV$8)/$L$41),0)</f>
        <v>0</v>
      </c>
      <c r="HW41" s="523">
        <f>SUM(HW9:HW39)</f>
        <v>0</v>
      </c>
      <c r="HX41" s="523">
        <f>IFERROR((HW41/$L$41),0)</f>
        <v>0</v>
      </c>
      <c r="HY41" s="523">
        <f>IFERROR(((HW41*HY$8)/$L$41),0)</f>
        <v>0</v>
      </c>
      <c r="HZ41" s="523">
        <f>SUM(HZ9:HZ39)</f>
        <v>0</v>
      </c>
      <c r="IA41" s="523">
        <f>IFERROR((HZ41/$L$41),0)</f>
        <v>0</v>
      </c>
      <c r="IB41" s="523">
        <f>IFERROR(((HZ41*IB$8)/$L$41),0)</f>
        <v>0</v>
      </c>
      <c r="IC41" s="523">
        <f>SUM(IC9:IC39)</f>
        <v>0</v>
      </c>
      <c r="ID41" s="523">
        <f>IFERROR((IC41/$L$41),0)</f>
        <v>0</v>
      </c>
      <c r="IE41" s="523">
        <f>IFERROR(((IC41*IE$8)/$L$41),0)</f>
        <v>0</v>
      </c>
      <c r="IF41" s="523">
        <f>SUM(IF9:IF39)</f>
        <v>0</v>
      </c>
      <c r="IG41" s="523">
        <f>IFERROR((IF41/$L$41),0)</f>
        <v>0</v>
      </c>
      <c r="IH41" s="523">
        <f>IFERROR(((IF41*IH$8)/$L$41),0)</f>
        <v>0</v>
      </c>
      <c r="II41" s="523">
        <f>SUM(II9:II39)</f>
        <v>0</v>
      </c>
      <c r="IJ41" s="523">
        <f>IFERROR((II41/$L$41),0)</f>
        <v>0</v>
      </c>
      <c r="IK41" s="523">
        <f>IFERROR(((II41*IK$8)/$L$41),0)</f>
        <v>0</v>
      </c>
      <c r="IL41" s="523">
        <f>SUM(IL9:IL39)</f>
        <v>0</v>
      </c>
      <c r="IM41" s="523">
        <f>IFERROR((IL41/$L$41),0)</f>
        <v>0</v>
      </c>
      <c r="IN41" s="523">
        <f>IFERROR(((IL41*IN$8)/$L$41),0)</f>
        <v>0</v>
      </c>
      <c r="IO41" s="523">
        <f>SUM(IO9:IO39)</f>
        <v>0</v>
      </c>
      <c r="IP41" s="523">
        <f>IFERROR((IO41/$L$41),0)</f>
        <v>0</v>
      </c>
      <c r="IQ41" s="523">
        <f>IFERROR(((IO41*IQ$8)/$L$41),0)</f>
        <v>0</v>
      </c>
      <c r="IR41" s="523">
        <f>SUM(IR9:IR39)</f>
        <v>0</v>
      </c>
      <c r="IS41" s="523">
        <f>IFERROR((IR41/$L$41),0)</f>
        <v>0</v>
      </c>
      <c r="IT41" s="523">
        <f>IFERROR(((IR41*IT$8)/$L$41),0)</f>
        <v>0</v>
      </c>
      <c r="IU41" s="523">
        <f>SUM(IU9:IU39)</f>
        <v>0</v>
      </c>
      <c r="IV41" s="523">
        <f>IFERROR((IU41/$L$41),0)</f>
        <v>0</v>
      </c>
      <c r="IW41" s="523">
        <f>IFERROR(((IU41*IW$8)/$L$41),0)</f>
        <v>0</v>
      </c>
      <c r="IX41" s="523">
        <f>SUM(IX9:IX39)</f>
        <v>0</v>
      </c>
      <c r="IY41" s="523">
        <f>IFERROR((IX41/$L$41),0)</f>
        <v>0</v>
      </c>
      <c r="IZ41" s="523">
        <f>IFERROR(((IX41*IZ$8)/$L$41),0)</f>
        <v>0</v>
      </c>
      <c r="JA41" s="523">
        <f>SUM(JA9:JA39)</f>
        <v>0</v>
      </c>
      <c r="JB41" s="523">
        <f>IFERROR((JA41/$L$41),0)</f>
        <v>0</v>
      </c>
      <c r="JC41" s="523">
        <f>IFERROR(((JA41*JC$8)/$L$41),0)</f>
        <v>0</v>
      </c>
      <c r="JD41" s="523">
        <f>SUM(JD9:JD39)</f>
        <v>0</v>
      </c>
      <c r="JE41" s="523">
        <f>IFERROR((JD41/$L$41),0)</f>
        <v>0</v>
      </c>
      <c r="JF41" s="523">
        <f>IFERROR(((JD41*JF$8)/$L$41),0)</f>
        <v>0</v>
      </c>
      <c r="JG41" s="523">
        <f>SUM(JG9:JG39)</f>
        <v>0</v>
      </c>
      <c r="JH41" s="523">
        <f>IFERROR((JG41/$L$41),0)</f>
        <v>0</v>
      </c>
      <c r="JI41" s="523">
        <f>IFERROR(((JG41*JI$8)/$L$41),0)</f>
        <v>0</v>
      </c>
      <c r="JJ41" s="523">
        <f>SUM(JJ9:JJ39)</f>
        <v>0</v>
      </c>
      <c r="JK41" s="523">
        <f>IFERROR((JJ41/$L$41),0)</f>
        <v>0</v>
      </c>
      <c r="JL41" s="523">
        <f>IFERROR(((JJ41*JL$8)/$L$41),0)</f>
        <v>0</v>
      </c>
      <c r="JM41" s="523">
        <f>SUM(JM9:JM39)</f>
        <v>0</v>
      </c>
      <c r="JN41" s="523">
        <f>IFERROR((JM41/$L$41),0)</f>
        <v>0</v>
      </c>
      <c r="JO41" s="523">
        <f>IFERROR(((JM41*JO$8)/$L$41),0)</f>
        <v>0</v>
      </c>
      <c r="JP41" s="523">
        <f>SUM(JP9:JP39)</f>
        <v>0</v>
      </c>
      <c r="JQ41" s="523">
        <f>IFERROR((JP41/$L$41),0)</f>
        <v>0</v>
      </c>
      <c r="JR41" s="523">
        <f>IFERROR(((JP41*JR$8)/$L$41),0)</f>
        <v>0</v>
      </c>
      <c r="JS41" s="523">
        <f>SUM(JS9:JS39)</f>
        <v>0</v>
      </c>
      <c r="JT41" s="523">
        <f>IFERROR((JS41/$L$41),0)</f>
        <v>0</v>
      </c>
      <c r="JU41" s="523">
        <f>IFERROR(((JS41*JU$8)/$L$41),0)</f>
        <v>0</v>
      </c>
      <c r="JV41" s="523">
        <f>SUM(JV9:JV39)</f>
        <v>0</v>
      </c>
      <c r="JW41" s="523">
        <f>IFERROR((JV41/$L$41),0)</f>
        <v>0</v>
      </c>
      <c r="JX41" s="523">
        <f>IFERROR(((JV41*JX$8)/$L$41),0)</f>
        <v>0</v>
      </c>
      <c r="JY41" s="523">
        <f>SUM(JY9:JY39)</f>
        <v>0</v>
      </c>
      <c r="JZ41" s="523">
        <f>IFERROR((JY41/$L$41),0)</f>
        <v>0</v>
      </c>
      <c r="KA41" s="523">
        <f>IFERROR(((JY41*KA$8)/$L$41),0)</f>
        <v>0</v>
      </c>
      <c r="KB41" s="523">
        <f>SUM(KB9:KB39)</f>
        <v>0</v>
      </c>
      <c r="KC41" s="523">
        <f>IFERROR((KB41/$L$41),0)</f>
        <v>0</v>
      </c>
      <c r="KD41" s="523">
        <f>IFERROR(((KB41*KD$8)/$L$41),0)</f>
        <v>0</v>
      </c>
      <c r="KE41" s="523">
        <f>SUM(KE9:KE39)</f>
        <v>0</v>
      </c>
      <c r="KF41" s="523">
        <f>IFERROR((KE41/$L$41),0)</f>
        <v>0</v>
      </c>
      <c r="KG41" s="523">
        <f>IFERROR(((KE41*KG$8)/$L$41),0)</f>
        <v>0</v>
      </c>
      <c r="KH41" s="523">
        <f>SUM(KH9:KH39)</f>
        <v>0</v>
      </c>
      <c r="KI41" s="523">
        <f>IFERROR((KH41/$L$41),0)</f>
        <v>0</v>
      </c>
      <c r="KJ41" s="523">
        <f>IFERROR(((KH41*KJ$8)/$L$41),0)</f>
        <v>0</v>
      </c>
      <c r="KK41" s="523">
        <f>SUM(KK9:KK39)</f>
        <v>0</v>
      </c>
      <c r="KL41" s="523">
        <f>IFERROR((KK41/$L$41),0)</f>
        <v>0</v>
      </c>
      <c r="KM41" s="523">
        <f>IFERROR(((KK41*KM$8)/$L$41),0)</f>
        <v>0</v>
      </c>
      <c r="KN41" s="523">
        <f>SUM(KN9:KN39)</f>
        <v>0</v>
      </c>
      <c r="KO41" s="523">
        <f>IFERROR((KN41/$L$41),0)</f>
        <v>0</v>
      </c>
      <c r="KP41" s="523">
        <f>IFERROR(((KN41*KP$8)/$L$41),0)</f>
        <v>0</v>
      </c>
      <c r="KQ41" s="523">
        <f>SUM(KQ9:KQ39)</f>
        <v>0</v>
      </c>
      <c r="KR41" s="523">
        <f>IFERROR((KQ41/$L$41),0)</f>
        <v>0</v>
      </c>
      <c r="KS41" s="523">
        <f>IFERROR(((KQ41*KS$8)/$L$41),0)</f>
        <v>0</v>
      </c>
      <c r="KT41" s="524">
        <f t="shared" si="201"/>
        <v>0</v>
      </c>
      <c r="KU41" s="524">
        <f t="shared" si="202"/>
        <v>0</v>
      </c>
      <c r="KV41" s="267">
        <f t="shared" si="199"/>
        <v>12053.166611960682</v>
      </c>
    </row>
    <row r="43" spans="1:308" ht="15" customHeight="1">
      <c r="A43" s="274" t="s">
        <v>136</v>
      </c>
      <c r="B43" s="275" t="s">
        <v>137</v>
      </c>
      <c r="C43" s="276" t="s">
        <v>148</v>
      </c>
      <c r="D43" s="264"/>
      <c r="E43" s="264"/>
    </row>
    <row r="44" spans="1:308" ht="15" customHeight="1">
      <c r="A44" s="277"/>
      <c r="B44" s="275" t="s">
        <v>138</v>
      </c>
      <c r="C44" s="276" t="s">
        <v>144</v>
      </c>
      <c r="D44" s="264"/>
      <c r="E44" s="264"/>
    </row>
    <row r="45" spans="1:308" ht="15" customHeight="1">
      <c r="A45" s="277"/>
      <c r="B45" s="278" t="s">
        <v>139</v>
      </c>
      <c r="C45" s="276" t="s">
        <v>140</v>
      </c>
      <c r="D45" s="264"/>
      <c r="E45" s="264"/>
    </row>
  </sheetData>
  <mergeCells count="210">
    <mergeCell ref="F5:GC5"/>
    <mergeCell ref="GD5:KS5"/>
    <mergeCell ref="KT5:KT8"/>
    <mergeCell ref="KU5:KU8"/>
    <mergeCell ref="A6:A8"/>
    <mergeCell ref="B6:B8"/>
    <mergeCell ref="C6:C8"/>
    <mergeCell ref="D6:D8"/>
    <mergeCell ref="E6:E8"/>
    <mergeCell ref="F6:H6"/>
    <mergeCell ref="AA6:AC6"/>
    <mergeCell ref="AD6:AF6"/>
    <mergeCell ref="AG6:AI6"/>
    <mergeCell ref="AJ6:AL6"/>
    <mergeCell ref="AM6:AO6"/>
    <mergeCell ref="AP6:AR6"/>
    <mergeCell ref="I6:K6"/>
    <mergeCell ref="L6:N6"/>
    <mergeCell ref="O6:Q6"/>
    <mergeCell ref="R6:T6"/>
    <mergeCell ref="U6:W6"/>
    <mergeCell ref="X6:Z6"/>
    <mergeCell ref="BK6:BM6"/>
    <mergeCell ref="BN6:BP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EE6:EG6"/>
    <mergeCell ref="EH6:EJ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GV6:GX6"/>
    <mergeCell ref="IO6:IQ6"/>
    <mergeCell ref="IR6:IT6"/>
    <mergeCell ref="IU6:IW6"/>
    <mergeCell ref="IX6:IZ6"/>
    <mergeCell ref="HQ6:HS6"/>
    <mergeCell ref="HT6:HV6"/>
    <mergeCell ref="HW6:HY6"/>
    <mergeCell ref="HZ6:IB6"/>
    <mergeCell ref="IC6:IE6"/>
    <mergeCell ref="IF6:IH6"/>
    <mergeCell ref="KK6:KM6"/>
    <mergeCell ref="KN6:KP6"/>
    <mergeCell ref="KQ6:KS6"/>
    <mergeCell ref="F7:G7"/>
    <mergeCell ref="I7:J7"/>
    <mergeCell ref="L7:M7"/>
    <mergeCell ref="O7:P7"/>
    <mergeCell ref="R7:S7"/>
    <mergeCell ref="U7:V7"/>
    <mergeCell ref="X7:Y7"/>
    <mergeCell ref="JS6:JU6"/>
    <mergeCell ref="JV6:JX6"/>
    <mergeCell ref="JY6:KA6"/>
    <mergeCell ref="KB6:KD6"/>
    <mergeCell ref="KE6:KG6"/>
    <mergeCell ref="KH6:KJ6"/>
    <mergeCell ref="JA6:JC6"/>
    <mergeCell ref="JD6:JF6"/>
    <mergeCell ref="JG6:JI6"/>
    <mergeCell ref="JJ6:JL6"/>
    <mergeCell ref="JM6:JO6"/>
    <mergeCell ref="JP6:JR6"/>
    <mergeCell ref="II6:IK6"/>
    <mergeCell ref="IL6:IN6"/>
    <mergeCell ref="AS7:AT7"/>
    <mergeCell ref="AV7:AW7"/>
    <mergeCell ref="AY7:AZ7"/>
    <mergeCell ref="BB7:BC7"/>
    <mergeCell ref="BE7:BF7"/>
    <mergeCell ref="BH7:BI7"/>
    <mergeCell ref="AA7:AB7"/>
    <mergeCell ref="AD7:AE7"/>
    <mergeCell ref="AG7:AH7"/>
    <mergeCell ref="AJ7:AK7"/>
    <mergeCell ref="AM7:AN7"/>
    <mergeCell ref="AP7:AQ7"/>
    <mergeCell ref="CC7:CD7"/>
    <mergeCell ref="CF7:CG7"/>
    <mergeCell ref="CI7:CJ7"/>
    <mergeCell ref="CL7:CM7"/>
    <mergeCell ref="CO7:CP7"/>
    <mergeCell ref="CR7:CS7"/>
    <mergeCell ref="BK7:BL7"/>
    <mergeCell ref="BN7:BO7"/>
    <mergeCell ref="BQ7:BR7"/>
    <mergeCell ref="BT7:BU7"/>
    <mergeCell ref="BW7:BX7"/>
    <mergeCell ref="BZ7:CA7"/>
    <mergeCell ref="DM7:DN7"/>
    <mergeCell ref="DP7:DQ7"/>
    <mergeCell ref="DS7:DT7"/>
    <mergeCell ref="DV7:DW7"/>
    <mergeCell ref="DY7:DZ7"/>
    <mergeCell ref="EB7:EC7"/>
    <mergeCell ref="CU7:CV7"/>
    <mergeCell ref="CX7:CY7"/>
    <mergeCell ref="DA7:DB7"/>
    <mergeCell ref="DD7:DE7"/>
    <mergeCell ref="DG7:DH7"/>
    <mergeCell ref="DJ7:DK7"/>
    <mergeCell ref="EW7:EX7"/>
    <mergeCell ref="EZ7:FA7"/>
    <mergeCell ref="FC7:FD7"/>
    <mergeCell ref="FF7:FG7"/>
    <mergeCell ref="FI7:FJ7"/>
    <mergeCell ref="FL7:FM7"/>
    <mergeCell ref="EE7:EF7"/>
    <mergeCell ref="EH7:EI7"/>
    <mergeCell ref="EK7:EL7"/>
    <mergeCell ref="EN7:EO7"/>
    <mergeCell ref="EQ7:ER7"/>
    <mergeCell ref="ET7:EU7"/>
    <mergeCell ref="GG7:GH7"/>
    <mergeCell ref="GJ7:GK7"/>
    <mergeCell ref="GM7:GN7"/>
    <mergeCell ref="GP7:GQ7"/>
    <mergeCell ref="GS7:GT7"/>
    <mergeCell ref="GV7:GW7"/>
    <mergeCell ref="FO7:FP7"/>
    <mergeCell ref="FR7:FS7"/>
    <mergeCell ref="FU7:FV7"/>
    <mergeCell ref="FX7:FY7"/>
    <mergeCell ref="GA7:GB7"/>
    <mergeCell ref="GD7:GE7"/>
    <mergeCell ref="HW7:HX7"/>
    <mergeCell ref="HZ7:IA7"/>
    <mergeCell ref="IC7:ID7"/>
    <mergeCell ref="IF7:IG7"/>
    <mergeCell ref="GY7:GZ7"/>
    <mergeCell ref="HB7:HC7"/>
    <mergeCell ref="HE7:HF7"/>
    <mergeCell ref="HH7:HI7"/>
    <mergeCell ref="HK7:HL7"/>
    <mergeCell ref="HN7:HO7"/>
    <mergeCell ref="KK7:KL7"/>
    <mergeCell ref="KN7:KO7"/>
    <mergeCell ref="KQ7:KR7"/>
    <mergeCell ref="A41:C41"/>
    <mergeCell ref="JS7:JT7"/>
    <mergeCell ref="JV7:JW7"/>
    <mergeCell ref="JY7:JZ7"/>
    <mergeCell ref="KB7:KC7"/>
    <mergeCell ref="KE7:KF7"/>
    <mergeCell ref="KH7:KI7"/>
    <mergeCell ref="JA7:JB7"/>
    <mergeCell ref="JD7:JE7"/>
    <mergeCell ref="JG7:JH7"/>
    <mergeCell ref="JJ7:JK7"/>
    <mergeCell ref="JM7:JN7"/>
    <mergeCell ref="JP7:JQ7"/>
    <mergeCell ref="II7:IJ7"/>
    <mergeCell ref="IL7:IM7"/>
    <mergeCell ref="IO7:IP7"/>
    <mergeCell ref="IR7:IS7"/>
    <mergeCell ref="IU7:IV7"/>
    <mergeCell ref="IX7:IY7"/>
    <mergeCell ref="HQ7:HR7"/>
    <mergeCell ref="HT7:H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U1" activePane="topRight" state="frozen"/>
      <selection pane="topRight" activeCell="AE18" sqref="AE18"/>
    </sheetView>
  </sheetViews>
  <sheetFormatPr defaultRowHeight="12.75"/>
  <cols>
    <col min="1" max="1" width="17.5703125" bestFit="1" customWidth="1"/>
    <col min="2" max="13" width="9.140625" customWidth="1"/>
    <col min="14" max="14" width="9.42578125" customWidth="1"/>
    <col min="15" max="21" width="9.140625" customWidth="1"/>
    <col min="22" max="22" width="9.28515625" customWidth="1"/>
    <col min="23" max="32" width="9.140625" customWidth="1"/>
    <col min="34" max="34" width="10.85546875" bestFit="1" customWidth="1"/>
    <col min="35" max="35" width="16.28515625" bestFit="1" customWidth="1"/>
  </cols>
  <sheetData>
    <row r="1" spans="1:35">
      <c r="C1">
        <v>3760</v>
      </c>
      <c r="D1">
        <v>3920</v>
      </c>
      <c r="E1">
        <v>3280</v>
      </c>
      <c r="F1">
        <v>4070</v>
      </c>
      <c r="G1">
        <v>3600</v>
      </c>
      <c r="H1">
        <v>5240</v>
      </c>
      <c r="I1">
        <v>4830</v>
      </c>
      <c r="J1">
        <v>3410</v>
      </c>
      <c r="K1">
        <v>4270</v>
      </c>
      <c r="L1">
        <v>4520</v>
      </c>
      <c r="M1">
        <v>4310</v>
      </c>
      <c r="N1">
        <v>4190</v>
      </c>
      <c r="O1">
        <v>4060</v>
      </c>
      <c r="P1">
        <v>3770</v>
      </c>
      <c r="Q1">
        <v>3640</v>
      </c>
      <c r="R1">
        <v>3970</v>
      </c>
      <c r="S1">
        <v>3760</v>
      </c>
      <c r="T1">
        <v>4000</v>
      </c>
      <c r="U1">
        <v>4700</v>
      </c>
      <c r="V1">
        <v>4510</v>
      </c>
      <c r="W1">
        <v>4010</v>
      </c>
      <c r="X1">
        <v>4340</v>
      </c>
      <c r="Y1">
        <v>386</v>
      </c>
      <c r="Z1">
        <v>3650</v>
      </c>
      <c r="AA1">
        <v>4400</v>
      </c>
      <c r="AD1">
        <v>4220</v>
      </c>
      <c r="AF1">
        <v>4500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54" t="s">
        <v>256</v>
      </c>
      <c r="AH2" s="455" t="s">
        <v>257</v>
      </c>
      <c r="AI2" s="481" t="s">
        <v>277</v>
      </c>
    </row>
    <row r="3" spans="1:35">
      <c r="A3" s="436" t="s">
        <v>197</v>
      </c>
      <c r="B3" s="6">
        <f>2992/1000</f>
        <v>2.992</v>
      </c>
      <c r="C3" s="6">
        <f>2937/1000</f>
        <v>2.9369999999999998</v>
      </c>
      <c r="D3" s="6">
        <f>1361/1000</f>
        <v>1.361</v>
      </c>
      <c r="E3" s="6">
        <f>2441/1000</f>
        <v>2.4409999999999998</v>
      </c>
      <c r="F3" s="6">
        <f>3662/1000</f>
        <v>3.6619999999999999</v>
      </c>
      <c r="G3" s="6">
        <f>4528/1000</f>
        <v>4.5279999999999996</v>
      </c>
      <c r="H3" s="6">
        <f>4455/1000</f>
        <v>4.4550000000000001</v>
      </c>
      <c r="I3" s="6">
        <f>6060+680+680</f>
        <v>7420</v>
      </c>
      <c r="J3" s="6">
        <f>2055/1000</f>
        <v>2.0550000000000002</v>
      </c>
      <c r="K3" s="6">
        <f>3259/1000</f>
        <v>3.2589999999999999</v>
      </c>
      <c r="L3" s="6">
        <f>1469/1000</f>
        <v>1.4690000000000001</v>
      </c>
      <c r="M3" s="6">
        <f>2929/1000</f>
        <v>2.9289999999999998</v>
      </c>
      <c r="N3" s="6">
        <f>2276/1000</f>
        <v>2.2759999999999998</v>
      </c>
      <c r="O3" s="6">
        <f>1886/1000</f>
        <v>1.8859999999999999</v>
      </c>
      <c r="P3" s="6">
        <f>3089/1000</f>
        <v>3.089</v>
      </c>
      <c r="Q3" s="6">
        <f>3649/1000</f>
        <v>3.649</v>
      </c>
      <c r="R3" s="6">
        <f>3260/1000</f>
        <v>3.26</v>
      </c>
      <c r="S3" s="6">
        <f>1923/1000</f>
        <v>1.923</v>
      </c>
      <c r="T3" s="6">
        <f>3081/1000</f>
        <v>3.081</v>
      </c>
      <c r="U3" s="6">
        <f>4413/1000</f>
        <v>4.4130000000000003</v>
      </c>
      <c r="V3" s="6">
        <f>3599/1000</f>
        <v>3.5990000000000002</v>
      </c>
      <c r="W3" s="6">
        <f>2223/1000</f>
        <v>2.2229999999999999</v>
      </c>
      <c r="X3" s="6">
        <f>3975/1000</f>
        <v>3.9750000000000001</v>
      </c>
      <c r="Y3" s="6">
        <f>4123/1000</f>
        <v>4.1230000000000002</v>
      </c>
      <c r="Z3" s="6">
        <f>5803/1000</f>
        <v>5.8029999999999999</v>
      </c>
      <c r="AA3" s="6">
        <f>3297/1000</f>
        <v>3.2970000000000002</v>
      </c>
      <c r="AB3" s="6">
        <f>4593/1000</f>
        <v>4.593</v>
      </c>
      <c r="AC3" s="6">
        <f>2192/1000</f>
        <v>2.1920000000000002</v>
      </c>
      <c r="AD3" s="6">
        <f>4827/1000</f>
        <v>4.827</v>
      </c>
      <c r="AE3" s="6">
        <f>7100/1000</f>
        <v>7.1</v>
      </c>
      <c r="AF3" s="6">
        <f>3647/1000</f>
        <v>3.6469999999999998</v>
      </c>
      <c r="AG3" s="6">
        <f>+AF3</f>
        <v>3.6469999999999998</v>
      </c>
      <c r="AH3" s="456">
        <f>+AG3/Efficiency1!$K$164</f>
        <v>2.5340755631218419E-3</v>
      </c>
      <c r="AI3" s="730">
        <f>SUM(AH3:AH4)</f>
        <v>3.2872803644445939E-3</v>
      </c>
    </row>
    <row r="4" spans="1:35">
      <c r="A4" s="436" t="s">
        <v>198</v>
      </c>
      <c r="B4" s="6">
        <f>1584/1000</f>
        <v>1.5840000000000001</v>
      </c>
      <c r="C4" s="6">
        <f>769/1000</f>
        <v>0.76900000000000002</v>
      </c>
      <c r="D4" s="6">
        <f>1960/1000</f>
        <v>1.96</v>
      </c>
      <c r="E4" s="6">
        <f>1591/1000</f>
        <v>1.591</v>
      </c>
      <c r="F4" s="6">
        <f>740/1000</f>
        <v>0.74</v>
      </c>
      <c r="G4" s="6">
        <f>1140/1000</f>
        <v>1.1399999999999999</v>
      </c>
      <c r="H4" s="6">
        <f>1432/1000</f>
        <v>1.4319999999999999</v>
      </c>
      <c r="I4" s="6">
        <f>1000/1000</f>
        <v>1</v>
      </c>
      <c r="J4" s="6">
        <f>994/1000</f>
        <v>0.99399999999999999</v>
      </c>
      <c r="K4" s="6">
        <f>447/1000</f>
        <v>0.44700000000000001</v>
      </c>
      <c r="L4" s="6">
        <f>1726/1000</f>
        <v>1.726</v>
      </c>
      <c r="M4" s="6">
        <f>351/1000</f>
        <v>0.35099999999999998</v>
      </c>
      <c r="N4" s="437">
        <f>918/1000</f>
        <v>0.91800000000000004</v>
      </c>
      <c r="O4" s="437">
        <f>370/1000</f>
        <v>0.37</v>
      </c>
      <c r="P4" s="6">
        <f>1172/1000</f>
        <v>1.1719999999999999</v>
      </c>
      <c r="Q4" s="6">
        <f>870/1000</f>
        <v>0.87</v>
      </c>
      <c r="R4" s="6">
        <f>1850/1000</f>
        <v>1.85</v>
      </c>
      <c r="S4" s="6">
        <f>1406/1000</f>
        <v>1.4059999999999999</v>
      </c>
      <c r="T4" s="6">
        <f>1807/1000</f>
        <v>1.8069999999999999</v>
      </c>
      <c r="U4" s="6">
        <f>536/1000</f>
        <v>0.53600000000000003</v>
      </c>
      <c r="V4" s="6">
        <f>1643/1000</f>
        <v>1.643</v>
      </c>
      <c r="W4" s="437">
        <f>1211/1000</f>
        <v>1.2110000000000001</v>
      </c>
      <c r="X4" s="6">
        <f>748/1000</f>
        <v>0.748</v>
      </c>
      <c r="Y4" s="6">
        <f>1247/1000</f>
        <v>1.2470000000000001</v>
      </c>
      <c r="Z4" s="6">
        <f>1692/1000</f>
        <v>1.6919999999999999</v>
      </c>
      <c r="AA4" s="6">
        <f>807/1000</f>
        <v>0.80700000000000005</v>
      </c>
      <c r="AB4" s="6">
        <f>634/1000</f>
        <v>0.63400000000000001</v>
      </c>
      <c r="AC4" s="6">
        <f>561/1000</f>
        <v>0.56100000000000005</v>
      </c>
      <c r="AD4" s="6">
        <f>1369/1000</f>
        <v>1.369</v>
      </c>
      <c r="AE4" s="6">
        <f>168/1000</f>
        <v>0.16800000000000001</v>
      </c>
      <c r="AF4" s="6">
        <f>1084/1000</f>
        <v>1.0840000000000001</v>
      </c>
      <c r="AG4" s="6">
        <f>+AF4</f>
        <v>1.0840000000000001</v>
      </c>
      <c r="AH4" s="456">
        <f>+AG4/Efficiency1!$K$164</f>
        <v>7.5320480132275212E-4</v>
      </c>
      <c r="AI4" s="731"/>
    </row>
    <row r="5" spans="1:35">
      <c r="A5" s="482"/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4"/>
      <c r="O5" s="484"/>
      <c r="P5" s="483"/>
      <c r="Q5" s="483"/>
      <c r="R5" s="483"/>
      <c r="S5" s="483"/>
      <c r="T5" s="483"/>
      <c r="U5" s="483"/>
      <c r="V5" s="483"/>
      <c r="W5" s="484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5"/>
    </row>
    <row r="6" spans="1:35">
      <c r="A6" s="436" t="s">
        <v>199</v>
      </c>
      <c r="B6" s="437">
        <v>0.56999999999999995</v>
      </c>
      <c r="C6" s="6">
        <v>0.41</v>
      </c>
      <c r="D6" s="6">
        <v>0.34200000000000003</v>
      </c>
      <c r="E6" s="6">
        <v>0.57899999999999996</v>
      </c>
      <c r="F6" s="6">
        <v>0.55000000000000004</v>
      </c>
      <c r="G6" s="6">
        <v>0.42199999999999999</v>
      </c>
      <c r="H6" s="6">
        <v>0.42599999999999999</v>
      </c>
      <c r="I6" s="6">
        <v>0.47899999999999998</v>
      </c>
      <c r="J6" s="6">
        <v>0.27900000000000003</v>
      </c>
      <c r="K6" s="6">
        <v>0.42399999999999999</v>
      </c>
      <c r="L6" s="6">
        <v>0.62</v>
      </c>
      <c r="M6" s="6">
        <v>0.52</v>
      </c>
      <c r="N6" s="6">
        <v>0.621</v>
      </c>
      <c r="O6" s="6">
        <v>0.54</v>
      </c>
      <c r="P6" s="6">
        <v>0.35499999999999998</v>
      </c>
      <c r="Q6" s="6">
        <v>0.56799999999999995</v>
      </c>
      <c r="R6" s="6">
        <v>0.48799999999999999</v>
      </c>
      <c r="S6" s="6">
        <v>0.55000000000000004</v>
      </c>
      <c r="T6" s="6">
        <v>0.312</v>
      </c>
      <c r="U6" s="6">
        <v>0.46600000000000003</v>
      </c>
      <c r="V6" s="6">
        <v>0.41199999999999998</v>
      </c>
      <c r="W6" s="437">
        <v>0.63200000000000001</v>
      </c>
      <c r="X6" s="6">
        <v>0.4</v>
      </c>
      <c r="Y6" s="6">
        <v>0.59</v>
      </c>
      <c r="Z6" s="6">
        <v>0.20899999999999999</v>
      </c>
      <c r="AA6" s="6">
        <v>0.76900000000000002</v>
      </c>
      <c r="AB6" s="437">
        <v>0.39700000000000002</v>
      </c>
      <c r="AC6" s="6">
        <v>0.38400000000000001</v>
      </c>
      <c r="AD6" s="6">
        <v>0.56000000000000005</v>
      </c>
      <c r="AE6" s="6">
        <v>0.55500000000000005</v>
      </c>
      <c r="AF6" s="6">
        <v>0.57799999999999996</v>
      </c>
      <c r="AG6" s="6">
        <f t="shared" ref="AG6:AG37" si="0">+SUM(B6:AC6)</f>
        <v>13.314</v>
      </c>
      <c r="AH6" s="486">
        <f t="shared" ref="AH6:AH36" si="1">+AG6/$AG$39</f>
        <v>0.33850127885040754</v>
      </c>
    </row>
    <row r="7" spans="1:35">
      <c r="A7" s="436" t="s">
        <v>221</v>
      </c>
      <c r="B7" s="6">
        <v>4.8000000000000001E-2</v>
      </c>
      <c r="C7" s="6">
        <v>0.30099999999999999</v>
      </c>
      <c r="D7" s="6">
        <v>0.40100000000000002</v>
      </c>
      <c r="E7" s="6">
        <v>0.47399999999999998</v>
      </c>
      <c r="F7" s="6">
        <v>0.21</v>
      </c>
      <c r="G7" s="6">
        <f>1031/1000</f>
        <v>1.0309999999999999</v>
      </c>
      <c r="H7" s="6">
        <v>0.52600000000000002</v>
      </c>
      <c r="I7" s="6">
        <v>0.58699999999999997</v>
      </c>
      <c r="J7" s="6">
        <v>1.252</v>
      </c>
      <c r="K7" s="6">
        <v>0.32</v>
      </c>
      <c r="L7" s="6">
        <v>0.185</v>
      </c>
      <c r="M7" s="6">
        <v>0.63</v>
      </c>
      <c r="N7" s="6">
        <v>0.83699999999999997</v>
      </c>
      <c r="O7" s="6">
        <v>0.64900000000000002</v>
      </c>
      <c r="P7" s="6">
        <v>0.442</v>
      </c>
      <c r="Q7" s="6">
        <v>0.35799999999999998</v>
      </c>
      <c r="R7" s="468">
        <v>0.48799999999999999</v>
      </c>
      <c r="S7" s="6">
        <v>0.20499999999999999</v>
      </c>
      <c r="T7" s="6">
        <v>0.40899999999999997</v>
      </c>
      <c r="U7" s="6">
        <v>0.59699999999999998</v>
      </c>
      <c r="V7" s="6">
        <v>0.1032</v>
      </c>
      <c r="W7" s="6">
        <v>0.54700000000000004</v>
      </c>
      <c r="X7" s="6">
        <v>0.35</v>
      </c>
      <c r="Y7" s="6">
        <v>0.55500000000000005</v>
      </c>
      <c r="Z7" s="6">
        <v>0.379</v>
      </c>
      <c r="AA7" s="6">
        <v>0.60399999999999998</v>
      </c>
      <c r="AB7" s="437">
        <v>0.34699999999999998</v>
      </c>
      <c r="AC7" s="6">
        <v>0.68100000000000005</v>
      </c>
      <c r="AD7" s="6">
        <v>0.3</v>
      </c>
      <c r="AE7" s="6">
        <v>0.41499999999999998</v>
      </c>
      <c r="AF7" s="6">
        <v>0.76100000000000001</v>
      </c>
      <c r="AG7" s="6">
        <f t="shared" si="0"/>
        <v>13.516199999999998</v>
      </c>
      <c r="AH7" s="456">
        <f t="shared" si="1"/>
        <v>0.34364210494200675</v>
      </c>
    </row>
    <row r="8" spans="1:35">
      <c r="A8" s="438" t="s">
        <v>200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56">
        <f t="shared" si="1"/>
        <v>0</v>
      </c>
    </row>
    <row r="9" spans="1:35">
      <c r="A9" s="436" t="s">
        <v>201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0.35899999999999999</v>
      </c>
      <c r="AB9" s="6"/>
      <c r="AC9" s="6"/>
      <c r="AD9" s="6"/>
      <c r="AE9" s="6"/>
      <c r="AF9" s="6"/>
      <c r="AG9" s="6">
        <f t="shared" si="0"/>
        <v>0.35899999999999999</v>
      </c>
      <c r="AH9" s="456">
        <f t="shared" si="1"/>
        <v>9.1273816364200316E-3</v>
      </c>
    </row>
    <row r="10" spans="1:35">
      <c r="A10" s="436" t="s">
        <v>202</v>
      </c>
      <c r="B10" s="6"/>
      <c r="C10" s="6"/>
      <c r="D10" s="6"/>
      <c r="E10" s="6"/>
      <c r="F10" s="6"/>
      <c r="G10" s="6"/>
      <c r="H10" s="6"/>
      <c r="I10" s="6">
        <v>0.68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0.30399999999999999</v>
      </c>
      <c r="AB10" s="6"/>
      <c r="AC10" s="6"/>
      <c r="AD10" s="6"/>
      <c r="AE10" s="6"/>
      <c r="AF10" s="6"/>
      <c r="AG10" s="6">
        <f t="shared" si="0"/>
        <v>0.98399999999999999</v>
      </c>
      <c r="AH10" s="456">
        <f t="shared" si="1"/>
        <v>2.5017670000661036E-2</v>
      </c>
    </row>
    <row r="11" spans="1:35">
      <c r="A11" s="436" t="s">
        <v>203</v>
      </c>
      <c r="B11" s="6"/>
      <c r="C11" s="6"/>
      <c r="D11" s="6">
        <v>0.3</v>
      </c>
      <c r="E11" s="6">
        <v>0.998</v>
      </c>
      <c r="F11" s="6"/>
      <c r="G11" s="6">
        <v>0.15</v>
      </c>
      <c r="H11" s="6"/>
      <c r="I11" s="6">
        <v>0.26800000000000002</v>
      </c>
      <c r="J11" s="6">
        <v>0.36599999999999999</v>
      </c>
      <c r="K11" s="6"/>
      <c r="L11" s="6"/>
      <c r="M11" s="6"/>
      <c r="N11" s="6"/>
      <c r="O11" s="6">
        <v>0.248</v>
      </c>
      <c r="P11" s="6"/>
      <c r="Q11" s="6"/>
      <c r="R11" s="6">
        <v>0.107</v>
      </c>
      <c r="S11" s="6"/>
      <c r="T11" s="6"/>
      <c r="U11" s="6">
        <v>0.15</v>
      </c>
      <c r="V11" s="6">
        <v>0.1</v>
      </c>
      <c r="W11" s="6"/>
      <c r="X11" s="6"/>
      <c r="Y11" s="6"/>
      <c r="Z11" s="6"/>
      <c r="AA11" s="6">
        <v>0.31</v>
      </c>
      <c r="AB11" s="6"/>
      <c r="AC11" s="6"/>
      <c r="AD11" s="6"/>
      <c r="AE11" s="6"/>
      <c r="AF11" s="6">
        <v>0.21199999999999999</v>
      </c>
      <c r="AG11" s="6">
        <f t="shared" si="0"/>
        <v>2.9970000000000003</v>
      </c>
      <c r="AH11" s="456">
        <f t="shared" si="1"/>
        <v>7.6197110764208473E-2</v>
      </c>
    </row>
    <row r="12" spans="1:35">
      <c r="A12" s="436" t="s">
        <v>204</v>
      </c>
      <c r="B12" s="6">
        <v>0.28000000000000003</v>
      </c>
      <c r="C12" s="6"/>
      <c r="D12" s="6"/>
      <c r="E12" s="6"/>
      <c r="F12" s="6">
        <v>1.3520000000000001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f t="shared" si="0"/>
        <v>2.032</v>
      </c>
      <c r="AH12" s="456">
        <f t="shared" si="1"/>
        <v>5.1662505529820352E-2</v>
      </c>
    </row>
    <row r="13" spans="1:35">
      <c r="A13" s="436" t="s">
        <v>205</v>
      </c>
      <c r="B13" s="6"/>
      <c r="C13" s="6">
        <v>0.246</v>
      </c>
      <c r="D13" s="6">
        <v>0.4</v>
      </c>
      <c r="E13" s="6">
        <v>0.3</v>
      </c>
      <c r="F13" s="6"/>
      <c r="G13" s="6">
        <v>0.3</v>
      </c>
      <c r="H13" s="6"/>
      <c r="I13" s="6">
        <v>0.33</v>
      </c>
      <c r="J13" s="6">
        <v>0.38</v>
      </c>
      <c r="K13" s="6"/>
      <c r="L13" s="6"/>
      <c r="M13" s="6"/>
      <c r="N13" s="6"/>
      <c r="O13" s="6"/>
      <c r="P13" s="6"/>
      <c r="Q13" s="6"/>
      <c r="R13" s="6"/>
      <c r="S13" s="6"/>
      <c r="T13" s="6">
        <v>0.505</v>
      </c>
      <c r="U13" s="6"/>
      <c r="V13" s="6"/>
      <c r="W13" s="6"/>
      <c r="X13" s="6"/>
      <c r="Y13" s="6">
        <v>0.52100000000000002</v>
      </c>
      <c r="Z13" s="6"/>
      <c r="AA13" s="6">
        <v>0.26</v>
      </c>
      <c r="AB13" s="437"/>
      <c r="AC13" s="6">
        <v>0.156</v>
      </c>
      <c r="AD13" s="6"/>
      <c r="AE13" s="6"/>
      <c r="AF13" s="6"/>
      <c r="AG13" s="6">
        <f t="shared" si="0"/>
        <v>3.3980000000000001</v>
      </c>
      <c r="AH13" s="456">
        <f t="shared" si="1"/>
        <v>8.6392319778705484E-2</v>
      </c>
    </row>
    <row r="14" spans="1:35">
      <c r="A14" s="436" t="s">
        <v>206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56">
        <f t="shared" si="1"/>
        <v>0</v>
      </c>
    </row>
    <row r="15" spans="1:35">
      <c r="A15" s="436" t="s">
        <v>278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56">
        <f t="shared" si="1"/>
        <v>0</v>
      </c>
    </row>
    <row r="16" spans="1:35">
      <c r="A16" s="436" t="s">
        <v>279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56">
        <f t="shared" si="1"/>
        <v>0</v>
      </c>
    </row>
    <row r="17" spans="1:34">
      <c r="A17" s="436" t="s">
        <v>207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0.67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0.44</v>
      </c>
      <c r="AC17" s="6">
        <v>0.51</v>
      </c>
      <c r="AD17" s="6"/>
      <c r="AE17" s="6">
        <v>0.24399999999999999</v>
      </c>
      <c r="AF17" s="6">
        <v>0.25</v>
      </c>
      <c r="AG17" s="6">
        <f t="shared" si="0"/>
        <v>1.62</v>
      </c>
      <c r="AH17" s="456">
        <f t="shared" si="1"/>
        <v>4.1187627440112687E-2</v>
      </c>
    </row>
    <row r="18" spans="1:34">
      <c r="A18" s="436" t="s">
        <v>208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37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0.20799999999999999</v>
      </c>
      <c r="AA18" s="6"/>
      <c r="AB18" s="6"/>
      <c r="AC18" s="6"/>
      <c r="AD18" s="6"/>
      <c r="AE18" s="6"/>
      <c r="AF18" s="6">
        <v>0.55200000000000005</v>
      </c>
      <c r="AG18" s="6">
        <f t="shared" si="0"/>
        <v>0.20799999999999999</v>
      </c>
      <c r="AH18" s="456">
        <f t="shared" si="1"/>
        <v>5.2882879676194056E-3</v>
      </c>
    </row>
    <row r="19" spans="1:34">
      <c r="A19" s="436" t="s">
        <v>280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0.55000000000000004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0.55000000000000004</v>
      </c>
      <c r="AH19" s="456">
        <f t="shared" si="1"/>
        <v>1.3983453760532083E-2</v>
      </c>
    </row>
    <row r="20" spans="1:34">
      <c r="A20" s="436" t="s">
        <v>281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56">
        <f t="shared" si="1"/>
        <v>0</v>
      </c>
    </row>
    <row r="21" spans="1:34">
      <c r="A21" s="436" t="s">
        <v>209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56">
        <f t="shared" si="1"/>
        <v>0</v>
      </c>
    </row>
    <row r="22" spans="1:34">
      <c r="A22" s="436" t="s">
        <v>288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56">
        <f t="shared" si="1"/>
        <v>0</v>
      </c>
    </row>
    <row r="23" spans="1:34">
      <c r="A23" s="436" t="s">
        <v>210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56">
        <f t="shared" si="1"/>
        <v>0</v>
      </c>
    </row>
    <row r="24" spans="1:34">
      <c r="A24" s="436" t="s">
        <v>282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56">
        <f t="shared" si="1"/>
        <v>0</v>
      </c>
    </row>
    <row r="25" spans="1:34">
      <c r="A25" s="436" t="s">
        <v>211</v>
      </c>
      <c r="B25" s="6"/>
      <c r="C25" s="6">
        <v>0.35399999999999998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0.35399999999999998</v>
      </c>
      <c r="AH25" s="456">
        <f t="shared" si="1"/>
        <v>9.0002593295061047E-3</v>
      </c>
    </row>
    <row r="26" spans="1:34">
      <c r="A26" s="436" t="s">
        <v>212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56">
        <f t="shared" si="1"/>
        <v>0</v>
      </c>
    </row>
    <row r="27" spans="1:34">
      <c r="A27" s="436" t="s">
        <v>213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56">
        <f t="shared" si="1"/>
        <v>0</v>
      </c>
    </row>
    <row r="28" spans="1:34">
      <c r="A28" s="436" t="s">
        <v>214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56">
        <f t="shared" si="1"/>
        <v>0</v>
      </c>
    </row>
    <row r="29" spans="1:34">
      <c r="A29" s="436" t="s">
        <v>283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56">
        <f t="shared" si="1"/>
        <v>0</v>
      </c>
    </row>
    <row r="30" spans="1:34">
      <c r="A30" s="436" t="s">
        <v>284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56">
        <f t="shared" si="1"/>
        <v>0</v>
      </c>
    </row>
    <row r="31" spans="1:34">
      <c r="A31" s="436" t="s">
        <v>215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56">
        <f t="shared" si="1"/>
        <v>0</v>
      </c>
    </row>
    <row r="32" spans="1:34">
      <c r="A32" s="436" t="s">
        <v>216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56">
        <f t="shared" si="1"/>
        <v>0</v>
      </c>
    </row>
    <row r="33" spans="1:34">
      <c r="A33" s="436" t="s">
        <v>217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56">
        <f t="shared" si="1"/>
        <v>0</v>
      </c>
    </row>
    <row r="34" spans="1:34">
      <c r="A34" s="439" t="s">
        <v>218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56">
        <f t="shared" si="1"/>
        <v>0</v>
      </c>
    </row>
    <row r="35" spans="1:34">
      <c r="A35" s="439" t="s">
        <v>219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56">
        <f t="shared" si="1"/>
        <v>0</v>
      </c>
    </row>
    <row r="36" spans="1:34">
      <c r="A36" s="439" t="s">
        <v>220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56">
        <f t="shared" si="1"/>
        <v>0</v>
      </c>
    </row>
    <row r="37" spans="1:34">
      <c r="A37" s="439" t="s">
        <v>381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56">
        <f>+AG37/$AG$39</f>
        <v>0</v>
      </c>
    </row>
    <row r="38" spans="1:34">
      <c r="A38" s="487" t="s">
        <v>285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88">
        <f>+AG39/Efficiency1!$K$164</f>
        <v>2.7329522035596635E-2</v>
      </c>
    </row>
    <row r="39" spans="1:34">
      <c r="A39" s="439" t="s">
        <v>2</v>
      </c>
      <c r="B39" s="6">
        <f>SUM(B3:B37)</f>
        <v>5.4740000000000011</v>
      </c>
      <c r="C39" s="6">
        <f t="shared" ref="C39:AC39" si="2">SUM(C3:C37)</f>
        <v>5.0170000000000003</v>
      </c>
      <c r="D39" s="6">
        <f t="shared" si="2"/>
        <v>4.7640000000000002</v>
      </c>
      <c r="E39" s="6">
        <f t="shared" si="2"/>
        <v>6.383</v>
      </c>
      <c r="F39" s="6">
        <f>SUM(F3:F37)</f>
        <v>6.5140000000000002</v>
      </c>
      <c r="G39" s="6">
        <f>SUM(G3:G37)</f>
        <v>7.5709999999999988</v>
      </c>
      <c r="H39" s="6">
        <f t="shared" si="2"/>
        <v>6.8390000000000004</v>
      </c>
      <c r="I39" s="6">
        <f t="shared" si="2"/>
        <v>7423.344000000001</v>
      </c>
      <c r="J39" s="6">
        <f t="shared" si="2"/>
        <v>5.3259999999999996</v>
      </c>
      <c r="K39" s="6">
        <f t="shared" si="2"/>
        <v>4.45</v>
      </c>
      <c r="L39" s="6">
        <f t="shared" si="2"/>
        <v>4</v>
      </c>
      <c r="M39" s="6">
        <f t="shared" si="2"/>
        <v>4.43</v>
      </c>
      <c r="N39" s="6">
        <f t="shared" si="2"/>
        <v>4.6520000000000001</v>
      </c>
      <c r="O39" s="7">
        <f t="shared" si="2"/>
        <v>4.3629999999999995</v>
      </c>
      <c r="P39" s="6">
        <f t="shared" si="2"/>
        <v>5.0579999999999998</v>
      </c>
      <c r="Q39" s="6">
        <f t="shared" si="2"/>
        <v>5.9949999999999992</v>
      </c>
      <c r="R39" s="6">
        <f>SUM(R3:R37)</f>
        <v>6.1929999999999987</v>
      </c>
      <c r="S39" s="6">
        <f t="shared" si="2"/>
        <v>4.0839999999999996</v>
      </c>
      <c r="T39" s="6">
        <f t="shared" si="2"/>
        <v>6.1139999999999999</v>
      </c>
      <c r="U39" s="6">
        <f t="shared" si="2"/>
        <v>6.5620000000000012</v>
      </c>
      <c r="V39" s="6">
        <f t="shared" si="2"/>
        <v>5.8571999999999997</v>
      </c>
      <c r="W39" s="6">
        <f t="shared" si="2"/>
        <v>4.6129999999999995</v>
      </c>
      <c r="X39" s="6">
        <f t="shared" si="2"/>
        <v>5.4729999999999999</v>
      </c>
      <c r="Y39" s="6">
        <f t="shared" si="2"/>
        <v>7.0359999999999996</v>
      </c>
      <c r="Z39" s="6">
        <f t="shared" si="2"/>
        <v>8.2910000000000004</v>
      </c>
      <c r="AA39" s="6">
        <f t="shared" si="2"/>
        <v>6.71</v>
      </c>
      <c r="AB39" s="6">
        <f t="shared" si="2"/>
        <v>6.4110000000000005</v>
      </c>
      <c r="AC39" s="6">
        <f t="shared" si="2"/>
        <v>4.484</v>
      </c>
      <c r="AD39" s="6">
        <f>SUM(AD3:AD37)</f>
        <v>7.056</v>
      </c>
      <c r="AE39" s="6">
        <f t="shared" ref="AE39:AF39" si="3">SUM(AE3:AE37)</f>
        <v>8.4819999999999993</v>
      </c>
      <c r="AF39" s="6">
        <f t="shared" si="3"/>
        <v>7.0839999999999996</v>
      </c>
      <c r="AG39" s="17">
        <f>SUM(AG6:AG38)</f>
        <v>39.3322</v>
      </c>
      <c r="AH39" s="457">
        <f>SUM(AH6:AH37)</f>
        <v>0.99999999999999989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zoomScale="85" workbookViewId="0">
      <pane xSplit="5" ySplit="9" topLeftCell="F10" activePane="bottomRight" state="frozen"/>
      <selection activeCell="DK16" sqref="DK16"/>
      <selection pane="topRight" activeCell="DK16" sqref="DK16"/>
      <selection pane="bottomLeft" activeCell="DK16" sqref="DK16"/>
      <selection pane="bottomRight" activeCell="BD35" sqref="BD35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3.140625" customWidth="1"/>
    <col min="20" max="20" width="8.28515625" bestFit="1" customWidth="1"/>
    <col min="21" max="21" width="14.42578125" bestFit="1" customWidth="1"/>
    <col min="22" max="22" width="8" bestFit="1" customWidth="1"/>
    <col min="23" max="23" width="12.7109375" hidden="1" customWidth="1"/>
    <col min="24" max="24" width="8.7109375" hidden="1" customWidth="1"/>
    <col min="25" max="25" width="12.140625" hidden="1" customWidth="1"/>
    <col min="26" max="26" width="21.42578125" hidden="1" customWidth="1"/>
    <col min="27" max="27" width="17.710937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7.710937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3.7109375" customWidth="1"/>
    <col min="40" max="40" width="8.140625" customWidth="1"/>
    <col min="41" max="41" width="13.140625" customWidth="1"/>
    <col min="42" max="42" width="8.140625" customWidth="1"/>
    <col min="43" max="43" width="12.140625" hidden="1" customWidth="1"/>
    <col min="44" max="44" width="7.7109375" hidden="1" customWidth="1"/>
    <col min="45" max="45" width="12.140625" hidden="1" customWidth="1"/>
    <col min="46" max="46" width="7.7109375" hidden="1" customWidth="1"/>
    <col min="47" max="47" width="13.28515625" hidden="1" customWidth="1"/>
    <col min="48" max="48" width="8.85546875" hidden="1" customWidth="1"/>
    <col min="49" max="49" width="15.28515625" hidden="1" customWidth="1"/>
    <col min="50" max="50" width="7.7109375" hidden="1" customWidth="1"/>
    <col min="51" max="51" width="10.28515625" hidden="1" customWidth="1"/>
    <col min="52" max="52" width="8.140625" hidden="1" customWidth="1"/>
    <col min="53" max="53" width="11.42578125" hidden="1" customWidth="1"/>
    <col min="54" max="54" width="7.7109375" hidden="1" customWidth="1"/>
    <col min="55" max="55" width="17.7109375" customWidth="1"/>
    <col min="56" max="56" width="9.28515625" customWidth="1"/>
    <col min="57" max="57" width="14.42578125" customWidth="1"/>
    <col min="58" max="58" width="10" customWidth="1"/>
    <col min="59" max="59" width="15.42578125" hidden="1" customWidth="1"/>
    <col min="60" max="60" width="8.7109375" hidden="1" customWidth="1"/>
    <col min="61" max="61" width="12.85546875" hidden="1" customWidth="1"/>
    <col min="62" max="62" width="8.42578125" hidden="1" customWidth="1"/>
    <col min="63" max="63" width="17.7109375" bestFit="1" customWidth="1"/>
    <col min="64" max="64" width="14.42578125" bestFit="1" customWidth="1"/>
    <col min="65" max="65" width="8.85546875" bestFit="1" customWidth="1"/>
    <col min="66" max="66" width="10.28515625" bestFit="1" customWidth="1"/>
    <col min="67" max="67" width="13.28515625" bestFit="1" customWidth="1"/>
    <col min="68" max="68" width="10.42578125" bestFit="1" customWidth="1"/>
    <col min="70" max="70" width="15.42578125" bestFit="1" customWidth="1"/>
    <col min="71" max="71" width="10.42578125" bestFit="1" customWidth="1"/>
    <col min="74" max="74" width="10.42578125" bestFit="1" customWidth="1"/>
  </cols>
  <sheetData>
    <row r="1" spans="1:66" ht="15.75">
      <c r="A1" s="152"/>
      <c r="AE1" s="257"/>
    </row>
    <row r="2" spans="1:66" ht="15.75">
      <c r="A2" s="152"/>
      <c r="AE2" s="257"/>
      <c r="AI2" s="19"/>
    </row>
    <row r="3" spans="1:66" ht="15">
      <c r="A3" s="154"/>
      <c r="AE3" s="257"/>
    </row>
    <row r="4" spans="1:66" ht="15.75">
      <c r="A4" s="155" t="s">
        <v>290</v>
      </c>
      <c r="G4" s="14"/>
      <c r="AA4" s="14"/>
      <c r="AE4" s="257"/>
      <c r="AV4" s="19"/>
    </row>
    <row r="5" spans="1:66" ht="15.75">
      <c r="A5" s="155"/>
      <c r="G5" s="14"/>
      <c r="AA5" s="14"/>
      <c r="AE5" s="14"/>
    </row>
    <row r="6" spans="1:66" ht="18">
      <c r="A6" s="258"/>
      <c r="AA6" s="14"/>
      <c r="AE6" s="14"/>
      <c r="BD6" s="14"/>
      <c r="BE6" s="14"/>
      <c r="BF6" s="14"/>
      <c r="BL6" s="14"/>
    </row>
    <row r="7" spans="1:66" ht="16.5" thickBot="1">
      <c r="A7" s="259"/>
      <c r="B7" s="259"/>
      <c r="C7" s="259"/>
      <c r="D7" s="259"/>
      <c r="E7" s="259"/>
      <c r="F7" s="259"/>
      <c r="G7" s="259">
        <v>250</v>
      </c>
      <c r="S7" s="259"/>
      <c r="T7" s="259"/>
      <c r="U7" s="260"/>
      <c r="V7" s="260"/>
      <c r="W7" s="259">
        <v>248.881</v>
      </c>
      <c r="X7" s="259"/>
      <c r="Y7" s="259"/>
      <c r="Z7" s="259"/>
      <c r="AA7" s="442">
        <v>250.69</v>
      </c>
      <c r="AB7" s="259"/>
      <c r="AC7" s="259"/>
      <c r="AD7" s="259"/>
      <c r="AE7" s="442">
        <v>251.53399999999999</v>
      </c>
      <c r="AF7" s="259"/>
      <c r="AG7" s="259"/>
      <c r="AH7" s="259"/>
      <c r="AI7" s="259">
        <v>238.345</v>
      </c>
      <c r="AJ7" s="259"/>
      <c r="AK7" s="259"/>
      <c r="AL7" s="259"/>
      <c r="AM7" s="259"/>
      <c r="AN7" s="259"/>
      <c r="AO7" s="259"/>
      <c r="AP7" s="259"/>
      <c r="AQ7" s="259">
        <v>251.53399999999999</v>
      </c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60"/>
      <c r="BD7" s="260"/>
      <c r="BE7" s="259"/>
      <c r="BF7" s="259"/>
      <c r="BG7" s="259"/>
      <c r="BH7" s="259"/>
      <c r="BI7" s="259"/>
      <c r="BJ7" s="259"/>
      <c r="BK7" s="259"/>
      <c r="BL7" s="259"/>
      <c r="BM7" s="259"/>
      <c r="BN7" s="259"/>
    </row>
    <row r="8" spans="1:66" ht="38.25" customHeight="1" thickTop="1">
      <c r="A8" s="539" t="s">
        <v>28</v>
      </c>
      <c r="B8" s="539" t="s">
        <v>4</v>
      </c>
      <c r="C8" s="539" t="s">
        <v>5</v>
      </c>
      <c r="D8" s="541" t="s">
        <v>40</v>
      </c>
      <c r="E8" s="543" t="s">
        <v>38</v>
      </c>
      <c r="F8" s="544"/>
      <c r="G8" s="732" t="s">
        <v>379</v>
      </c>
      <c r="H8" s="733"/>
      <c r="I8" s="733"/>
      <c r="J8" s="734"/>
      <c r="K8" s="732" t="s">
        <v>145</v>
      </c>
      <c r="L8" s="733"/>
      <c r="M8" s="733"/>
      <c r="N8" s="734"/>
      <c r="O8" s="732" t="s">
        <v>41</v>
      </c>
      <c r="P8" s="733"/>
      <c r="Q8" s="733"/>
      <c r="R8" s="734"/>
      <c r="S8" s="732" t="s">
        <v>42</v>
      </c>
      <c r="T8" s="733"/>
      <c r="U8" s="733"/>
      <c r="V8" s="734"/>
      <c r="W8" s="732" t="s">
        <v>391</v>
      </c>
      <c r="X8" s="733"/>
      <c r="Y8" s="733"/>
      <c r="Z8" s="734"/>
      <c r="AA8" s="732" t="s">
        <v>173</v>
      </c>
      <c r="AB8" s="733"/>
      <c r="AC8" s="733"/>
      <c r="AD8" s="734"/>
      <c r="AE8" s="732" t="s">
        <v>228</v>
      </c>
      <c r="AF8" s="733"/>
      <c r="AG8" s="733"/>
      <c r="AH8" s="734"/>
      <c r="AI8" s="732" t="s">
        <v>383</v>
      </c>
      <c r="AJ8" s="733"/>
      <c r="AK8" s="733"/>
      <c r="AL8" s="734"/>
      <c r="AM8" s="732" t="s">
        <v>88</v>
      </c>
      <c r="AN8" s="733"/>
      <c r="AO8" s="733"/>
      <c r="AP8" s="734"/>
      <c r="AQ8" s="732" t="s">
        <v>415</v>
      </c>
      <c r="AR8" s="733"/>
      <c r="AS8" s="733"/>
      <c r="AT8" s="734"/>
      <c r="AU8" s="732" t="s">
        <v>146</v>
      </c>
      <c r="AV8" s="733"/>
      <c r="AW8" s="733"/>
      <c r="AX8" s="734"/>
      <c r="AY8" s="732" t="s">
        <v>147</v>
      </c>
      <c r="AZ8" s="733"/>
      <c r="BA8" s="733"/>
      <c r="BB8" s="734"/>
      <c r="BC8" s="732" t="s">
        <v>89</v>
      </c>
      <c r="BD8" s="733"/>
      <c r="BE8" s="733"/>
      <c r="BF8" s="734"/>
      <c r="BG8" s="535" t="s">
        <v>43</v>
      </c>
      <c r="BH8" s="536"/>
      <c r="BI8" s="536"/>
      <c r="BJ8" s="537"/>
      <c r="BK8" s="732" t="s">
        <v>44</v>
      </c>
      <c r="BL8" s="734"/>
      <c r="BM8" s="732" t="s">
        <v>45</v>
      </c>
      <c r="BN8" s="734"/>
    </row>
    <row r="9" spans="1:66">
      <c r="A9" s="540"/>
      <c r="B9" s="540"/>
      <c r="C9" s="540"/>
      <c r="D9" s="542"/>
      <c r="E9" s="2" t="s">
        <v>36</v>
      </c>
      <c r="F9" s="538" t="s">
        <v>37</v>
      </c>
      <c r="G9" s="9" t="s">
        <v>36</v>
      </c>
      <c r="H9" s="9" t="s">
        <v>10</v>
      </c>
      <c r="I9" s="542" t="s">
        <v>37</v>
      </c>
      <c r="J9" s="542" t="s">
        <v>10</v>
      </c>
      <c r="K9" s="9" t="s">
        <v>36</v>
      </c>
      <c r="L9" s="9" t="s">
        <v>10</v>
      </c>
      <c r="M9" s="542" t="s">
        <v>37</v>
      </c>
      <c r="N9" s="542" t="s">
        <v>10</v>
      </c>
      <c r="O9" s="9" t="s">
        <v>36</v>
      </c>
      <c r="P9" s="9" t="s">
        <v>10</v>
      </c>
      <c r="Q9" s="542" t="s">
        <v>37</v>
      </c>
      <c r="R9" s="542" t="s">
        <v>10</v>
      </c>
      <c r="S9" s="542" t="s">
        <v>36</v>
      </c>
      <c r="T9" s="542" t="s">
        <v>10</v>
      </c>
      <c r="U9" s="542" t="s">
        <v>37</v>
      </c>
      <c r="V9" s="542" t="s">
        <v>10</v>
      </c>
      <c r="W9" s="542" t="s">
        <v>36</v>
      </c>
      <c r="X9" s="542" t="s">
        <v>10</v>
      </c>
      <c r="Y9" s="542" t="s">
        <v>37</v>
      </c>
      <c r="Z9" s="542" t="s">
        <v>10</v>
      </c>
      <c r="AA9" s="542" t="s">
        <v>36</v>
      </c>
      <c r="AB9" s="542" t="s">
        <v>10</v>
      </c>
      <c r="AC9" s="542" t="s">
        <v>37</v>
      </c>
      <c r="AD9" s="542" t="s">
        <v>10</v>
      </c>
      <c r="AE9" s="542" t="s">
        <v>36</v>
      </c>
      <c r="AF9" s="542" t="s">
        <v>10</v>
      </c>
      <c r="AG9" s="542" t="s">
        <v>37</v>
      </c>
      <c r="AH9" s="542" t="s">
        <v>10</v>
      </c>
      <c r="AI9" s="542" t="s">
        <v>36</v>
      </c>
      <c r="AJ9" s="542" t="s">
        <v>10</v>
      </c>
      <c r="AK9" s="542" t="s">
        <v>37</v>
      </c>
      <c r="AL9" s="542" t="s">
        <v>10</v>
      </c>
      <c r="AM9" s="542" t="s">
        <v>36</v>
      </c>
      <c r="AN9" s="542" t="s">
        <v>10</v>
      </c>
      <c r="AO9" s="542" t="s">
        <v>37</v>
      </c>
      <c r="AP9" s="542" t="s">
        <v>10</v>
      </c>
      <c r="AQ9" s="542" t="s">
        <v>36</v>
      </c>
      <c r="AR9" s="542" t="s">
        <v>10</v>
      </c>
      <c r="AS9" s="542" t="s">
        <v>37</v>
      </c>
      <c r="AT9" s="542" t="s">
        <v>10</v>
      </c>
      <c r="AU9" s="542" t="s">
        <v>36</v>
      </c>
      <c r="AV9" s="542" t="s">
        <v>10</v>
      </c>
      <c r="AW9" s="542" t="s">
        <v>37</v>
      </c>
      <c r="AX9" s="542" t="s">
        <v>10</v>
      </c>
      <c r="AY9" s="542" t="s">
        <v>36</v>
      </c>
      <c r="AZ9" s="542" t="s">
        <v>10</v>
      </c>
      <c r="BA9" s="542" t="s">
        <v>37</v>
      </c>
      <c r="BB9" s="542" t="s">
        <v>10</v>
      </c>
      <c r="BC9" s="542" t="s">
        <v>36</v>
      </c>
      <c r="BD9" s="542" t="s">
        <v>10</v>
      </c>
      <c r="BE9" s="542" t="s">
        <v>37</v>
      </c>
      <c r="BF9" s="542" t="s">
        <v>10</v>
      </c>
      <c r="BG9" s="542" t="s">
        <v>36</v>
      </c>
      <c r="BH9" s="542" t="s">
        <v>10</v>
      </c>
      <c r="BI9" s="542" t="s">
        <v>37</v>
      </c>
      <c r="BJ9" s="542" t="s">
        <v>10</v>
      </c>
      <c r="BK9" s="542" t="s">
        <v>36</v>
      </c>
      <c r="BL9" s="542" t="s">
        <v>37</v>
      </c>
      <c r="BM9" s="542" t="s">
        <v>36</v>
      </c>
      <c r="BN9" s="542" t="s">
        <v>37</v>
      </c>
    </row>
    <row r="10" spans="1:66">
      <c r="A10" s="16">
        <f>+Chem!A9</f>
        <v>45870</v>
      </c>
      <c r="B10" s="6" t="str">
        <f>+Chem!B9</f>
        <v>Toilet</v>
      </c>
      <c r="C10" s="574">
        <f>+Chem!C9</f>
        <v>13</v>
      </c>
      <c r="D10" s="8">
        <f>+Chem!D9</f>
        <v>45.581000000000003</v>
      </c>
      <c r="E10" s="7">
        <f>+Chem!E9</f>
        <v>44.627000000000002</v>
      </c>
      <c r="F10" s="7">
        <f>+E10</f>
        <v>44.627000000000002</v>
      </c>
      <c r="G10" s="100">
        <f>21.5*G7</f>
        <v>5375</v>
      </c>
      <c r="H10" s="10">
        <f t="shared" ref="H10:H40" si="0">G10/BK10*100</f>
        <v>11.050837388253933</v>
      </c>
      <c r="I10" s="8">
        <f>G10</f>
        <v>5375</v>
      </c>
      <c r="J10" s="10">
        <f t="shared" ref="J10:J40" si="1">I10/BL10*100</f>
        <v>11.050837388253933</v>
      </c>
      <c r="K10" s="100">
        <v>0</v>
      </c>
      <c r="L10" s="10">
        <f t="shared" ref="L10:L40" si="2">+K10/BK10*100</f>
        <v>0</v>
      </c>
      <c r="M10" s="10">
        <f>+K10</f>
        <v>0</v>
      </c>
      <c r="N10" s="10">
        <f t="shared" ref="N10:N40" si="3">+M10/BL10*100</f>
        <v>0</v>
      </c>
      <c r="O10" s="100"/>
      <c r="P10" s="10">
        <f t="shared" ref="P10:P40" si="4">+O10/BK10*100</f>
        <v>0</v>
      </c>
      <c r="Q10" s="10">
        <f>+O10</f>
        <v>0</v>
      </c>
      <c r="R10" s="10">
        <f t="shared" ref="R10:R40" si="5">+Q10/BL10*100</f>
        <v>0</v>
      </c>
      <c r="S10" s="10">
        <f>G10+K10+O10</f>
        <v>5375</v>
      </c>
      <c r="T10" s="10">
        <f t="shared" ref="T10:T40" si="6">S10/BK10*100</f>
        <v>11.050837388253933</v>
      </c>
      <c r="U10" s="10">
        <f>S10</f>
        <v>5375</v>
      </c>
      <c r="V10" s="10">
        <f t="shared" ref="V10:V40" si="7">U10/BL10*100</f>
        <v>11.050837388253933</v>
      </c>
      <c r="W10" s="100"/>
      <c r="X10" s="10">
        <f>W10/BK10*100</f>
        <v>0</v>
      </c>
      <c r="Y10" s="10">
        <f>W10</f>
        <v>0</v>
      </c>
      <c r="Z10" s="10">
        <f>Y10/BL10*100</f>
        <v>0</v>
      </c>
      <c r="AA10" s="100"/>
      <c r="AB10" s="10">
        <f t="shared" ref="AB10:AB40" si="8">AA10/BK10*100</f>
        <v>0</v>
      </c>
      <c r="AC10" s="10">
        <f>AA10</f>
        <v>0</v>
      </c>
      <c r="AD10" s="10">
        <f t="shared" ref="AD10:AD40" si="9">AC10/BL10*100</f>
        <v>0</v>
      </c>
      <c r="AE10" s="100"/>
      <c r="AF10" s="10">
        <f t="shared" ref="AF10:AF40" si="10">AE10/BK10*100</f>
        <v>0</v>
      </c>
      <c r="AG10" s="10">
        <f>AE10</f>
        <v>0</v>
      </c>
      <c r="AH10" s="10">
        <f t="shared" ref="AH10:AH40" si="11">AG10/BL10*100</f>
        <v>0</v>
      </c>
      <c r="AI10" s="100"/>
      <c r="AJ10" s="10">
        <f t="shared" ref="AJ10:AJ40" si="12">AI10/BK10*100</f>
        <v>0</v>
      </c>
      <c r="AK10" s="10">
        <f>AI10</f>
        <v>0</v>
      </c>
      <c r="AL10" s="10">
        <f t="shared" ref="AL10:AL40" si="13">AK10/BL10</f>
        <v>0</v>
      </c>
      <c r="AM10" s="10">
        <f>AA10+AE10+AI10+W10</f>
        <v>0</v>
      </c>
      <c r="AN10" s="10">
        <f t="shared" ref="AN10:AN39" si="14">AM10/BK10*100</f>
        <v>0</v>
      </c>
      <c r="AO10" s="10">
        <f>AM10</f>
        <v>0</v>
      </c>
      <c r="AP10" s="10">
        <f t="shared" ref="AP10:AP39" si="15">AO10/BL10*100</f>
        <v>0</v>
      </c>
      <c r="AQ10" s="100">
        <f>172*AQ7</f>
        <v>43263.847999999998</v>
      </c>
      <c r="AR10" s="10">
        <f t="shared" ref="AR10:AR39" si="16">+AQ10/BK10*100</f>
        <v>88.949162611746075</v>
      </c>
      <c r="AS10" s="10">
        <f>+AQ10</f>
        <v>43263.847999999998</v>
      </c>
      <c r="AT10" s="10">
        <f t="shared" ref="AT10:AT39" si="17">+AS10/BL10*100</f>
        <v>88.949162611746075</v>
      </c>
      <c r="AU10" s="100">
        <f>14*AV6</f>
        <v>0</v>
      </c>
      <c r="AV10" s="10">
        <f t="shared" ref="AV10:AV39" si="18">AU10/BK10*100</f>
        <v>0</v>
      </c>
      <c r="AW10" s="10">
        <f>AU10</f>
        <v>0</v>
      </c>
      <c r="AX10" s="10">
        <f t="shared" ref="AX10:AX39" si="19">AW10/BL10*100</f>
        <v>0</v>
      </c>
      <c r="AY10" s="100"/>
      <c r="AZ10" s="15">
        <f t="shared" ref="AZ10:AZ39" si="20">AY10/BK10*100</f>
        <v>0</v>
      </c>
      <c r="BA10" s="10">
        <f>AY10</f>
        <v>0</v>
      </c>
      <c r="BB10" s="10">
        <f t="shared" ref="BB10:BB39" si="21">BA10/BL10*100</f>
        <v>0</v>
      </c>
      <c r="BC10" s="10">
        <f>AQ10+AU10+AY10</f>
        <v>43263.847999999998</v>
      </c>
      <c r="BD10" s="10">
        <f t="shared" ref="BD10:BD39" si="22">BC10/BK10*100</f>
        <v>88.949162611746075</v>
      </c>
      <c r="BE10" s="10">
        <f>BC10</f>
        <v>43263.847999999998</v>
      </c>
      <c r="BF10" s="10">
        <f t="shared" ref="BF10:BF39" si="23">BE10/BL10*100</f>
        <v>88.949162611746075</v>
      </c>
      <c r="BG10" s="100">
        <v>0</v>
      </c>
      <c r="BH10" s="10">
        <f t="shared" ref="BH10:BH39" si="24">BG10/BK10*100</f>
        <v>0</v>
      </c>
      <c r="BI10" s="10">
        <f>BG10</f>
        <v>0</v>
      </c>
      <c r="BJ10" s="10">
        <f t="shared" ref="BJ10:BJ39" si="25">BI10/BL10*100</f>
        <v>0</v>
      </c>
      <c r="BK10" s="10">
        <f t="shared" ref="BK10:BK40" si="26">S10+AM10+BC10+BG10</f>
        <v>48638.847999999998</v>
      </c>
      <c r="BL10" s="10">
        <f>BK10</f>
        <v>48638.847999999998</v>
      </c>
      <c r="BM10" s="508">
        <f t="shared" ref="BM10:BM40" si="27">BK10/1000/E10</f>
        <v>1.0898973267304546</v>
      </c>
      <c r="BN10" s="10">
        <f t="shared" ref="BN10:BN40" si="28">(BL10/1000)/F10</f>
        <v>1.0898973267304546</v>
      </c>
    </row>
    <row r="11" spans="1:66">
      <c r="A11" s="16">
        <f>+Chem!A10</f>
        <v>45871</v>
      </c>
      <c r="B11" s="6" t="str">
        <f>+Chem!B10</f>
        <v>Toilet</v>
      </c>
      <c r="C11" s="574">
        <f>+Chem!C10</f>
        <v>13</v>
      </c>
      <c r="D11" s="8">
        <f>+Chem!D10</f>
        <v>47.427000000000007</v>
      </c>
      <c r="E11" s="7">
        <f>+Chem!E10</f>
        <v>45.750999999999998</v>
      </c>
      <c r="F11" s="7">
        <f t="shared" ref="F11:F39" si="29">+E11+F10</f>
        <v>90.378</v>
      </c>
      <c r="G11" s="100">
        <f>22*G7</f>
        <v>5500</v>
      </c>
      <c r="H11" s="10">
        <f t="shared" si="0"/>
        <v>11.050837388253933</v>
      </c>
      <c r="I11" s="8">
        <f t="shared" ref="I11:I39" si="30">G11+I10</f>
        <v>10875</v>
      </c>
      <c r="J11" s="10">
        <f t="shared" si="1"/>
        <v>11.050837388253933</v>
      </c>
      <c r="K11" s="100"/>
      <c r="L11" s="10">
        <f t="shared" si="2"/>
        <v>0</v>
      </c>
      <c r="M11" s="10">
        <f t="shared" ref="M11:M39" si="31">+K11+M10</f>
        <v>0</v>
      </c>
      <c r="N11" s="10">
        <f t="shared" si="3"/>
        <v>0</v>
      </c>
      <c r="O11" s="100"/>
      <c r="P11" s="10">
        <f t="shared" si="4"/>
        <v>0</v>
      </c>
      <c r="Q11" s="10">
        <f t="shared" ref="Q11:Q39" si="32">+O11+Q10</f>
        <v>0</v>
      </c>
      <c r="R11" s="10">
        <f t="shared" si="5"/>
        <v>0</v>
      </c>
      <c r="S11" s="10">
        <f t="shared" ref="S11:S40" si="33">G11+K11+O11</f>
        <v>5500</v>
      </c>
      <c r="T11" s="10">
        <f t="shared" si="6"/>
        <v>11.050837388253933</v>
      </c>
      <c r="U11" s="10">
        <f t="shared" ref="U11:U39" si="34">S11+U10</f>
        <v>10875</v>
      </c>
      <c r="V11" s="10">
        <f t="shared" si="7"/>
        <v>11.050837388253933</v>
      </c>
      <c r="W11" s="100"/>
      <c r="X11" s="10"/>
      <c r="Y11" s="10"/>
      <c r="Z11" s="10"/>
      <c r="AA11" s="100"/>
      <c r="AB11" s="10">
        <f t="shared" si="8"/>
        <v>0</v>
      </c>
      <c r="AC11" s="10">
        <f t="shared" ref="AC11:AC39" si="35">AA11+AC10</f>
        <v>0</v>
      </c>
      <c r="AD11" s="10">
        <f t="shared" si="9"/>
        <v>0</v>
      </c>
      <c r="AE11" s="100"/>
      <c r="AF11" s="10">
        <f t="shared" si="10"/>
        <v>0</v>
      </c>
      <c r="AG11" s="10">
        <f t="shared" ref="AG11:AG39" si="36">AE11+AG10</f>
        <v>0</v>
      </c>
      <c r="AH11" s="10">
        <f t="shared" si="11"/>
        <v>0</v>
      </c>
      <c r="AI11" s="100"/>
      <c r="AJ11" s="10">
        <f t="shared" si="12"/>
        <v>0</v>
      </c>
      <c r="AK11" s="10">
        <f t="shared" ref="AK11:AK39" si="37">AI11+AK10</f>
        <v>0</v>
      </c>
      <c r="AL11" s="10">
        <f t="shared" si="13"/>
        <v>0</v>
      </c>
      <c r="AM11" s="10">
        <f t="shared" ref="AM11:AM40" si="38">AA11+AE11+AI11+W11</f>
        <v>0</v>
      </c>
      <c r="AN11" s="10">
        <f t="shared" si="14"/>
        <v>0</v>
      </c>
      <c r="AO11" s="10">
        <f t="shared" ref="AO11:AO39" si="39">AM11+AO10</f>
        <v>0</v>
      </c>
      <c r="AP11" s="10">
        <f t="shared" si="15"/>
        <v>0</v>
      </c>
      <c r="AQ11" s="100">
        <f>176*AQ7</f>
        <v>44269.983999999997</v>
      </c>
      <c r="AR11" s="10">
        <f t="shared" si="16"/>
        <v>88.949162611746075</v>
      </c>
      <c r="AS11" s="10">
        <f t="shared" ref="AS11:AS39" si="40">+AQ11+AS10</f>
        <v>87533.831999999995</v>
      </c>
      <c r="AT11" s="10">
        <f t="shared" si="17"/>
        <v>88.949162611746075</v>
      </c>
      <c r="AU11" s="100"/>
      <c r="AV11" s="10">
        <f t="shared" si="18"/>
        <v>0</v>
      </c>
      <c r="AW11" s="10">
        <f t="shared" ref="AW11:AW39" si="41">AU11+AW10</f>
        <v>0</v>
      </c>
      <c r="AX11" s="10">
        <f t="shared" si="19"/>
        <v>0</v>
      </c>
      <c r="AY11" s="100"/>
      <c r="AZ11" s="15">
        <f t="shared" si="20"/>
        <v>0</v>
      </c>
      <c r="BA11" s="10">
        <f t="shared" ref="BA11:BA39" si="42">AY11+BA10</f>
        <v>0</v>
      </c>
      <c r="BB11" s="10">
        <f t="shared" si="21"/>
        <v>0</v>
      </c>
      <c r="BC11" s="10">
        <f t="shared" ref="BC11:BC39" si="43">AQ11+AU11+AY11</f>
        <v>44269.983999999997</v>
      </c>
      <c r="BD11" s="10">
        <f t="shared" si="22"/>
        <v>88.949162611746075</v>
      </c>
      <c r="BE11" s="10">
        <f t="shared" ref="BE11:BE39" si="44">BC11+BE10</f>
        <v>87533.831999999995</v>
      </c>
      <c r="BF11" s="10">
        <f t="shared" si="23"/>
        <v>88.949162611746075</v>
      </c>
      <c r="BG11" s="100">
        <v>0</v>
      </c>
      <c r="BH11" s="10">
        <f t="shared" si="24"/>
        <v>0</v>
      </c>
      <c r="BI11" s="10">
        <f t="shared" ref="BI11:BI39" si="45">BG11+BI10</f>
        <v>0</v>
      </c>
      <c r="BJ11" s="10">
        <f t="shared" si="25"/>
        <v>0</v>
      </c>
      <c r="BK11" s="10">
        <f t="shared" si="26"/>
        <v>49769.983999999997</v>
      </c>
      <c r="BL11" s="10">
        <f t="shared" ref="BL11:BL39" si="46">BK11+BL10</f>
        <v>98408.831999999995</v>
      </c>
      <c r="BM11" s="508">
        <f t="shared" si="27"/>
        <v>1.0878447247054708</v>
      </c>
      <c r="BN11" s="10">
        <f t="shared" si="28"/>
        <v>1.0888582619664076</v>
      </c>
    </row>
    <row r="12" spans="1:66">
      <c r="A12" s="16">
        <f>+Chem!A11</f>
        <v>45872</v>
      </c>
      <c r="B12" s="6" t="str">
        <f>+Chem!B11</f>
        <v>Toilet</v>
      </c>
      <c r="C12" s="574">
        <f>+Chem!C11</f>
        <v>13</v>
      </c>
      <c r="D12" s="8">
        <f>+Chem!D11</f>
        <v>29.524000000000001</v>
      </c>
      <c r="E12" s="7">
        <f>+Chem!E11</f>
        <v>29.978999999999999</v>
      </c>
      <c r="F12" s="7">
        <f t="shared" si="29"/>
        <v>120.357</v>
      </c>
      <c r="G12" s="100">
        <f>16*G7</f>
        <v>4000</v>
      </c>
      <c r="H12" s="10">
        <f t="shared" si="0"/>
        <v>11.70135337853176</v>
      </c>
      <c r="I12" s="8">
        <f t="shared" si="30"/>
        <v>14875</v>
      </c>
      <c r="J12" s="10">
        <f t="shared" si="1"/>
        <v>11.21854839420074</v>
      </c>
      <c r="K12" s="100"/>
      <c r="L12" s="10">
        <f t="shared" si="2"/>
        <v>0</v>
      </c>
      <c r="M12" s="10">
        <f t="shared" si="31"/>
        <v>0</v>
      </c>
      <c r="N12" s="10">
        <f t="shared" si="3"/>
        <v>0</v>
      </c>
      <c r="O12" s="100"/>
      <c r="P12" s="10">
        <f t="shared" si="4"/>
        <v>0</v>
      </c>
      <c r="Q12" s="10">
        <f t="shared" si="32"/>
        <v>0</v>
      </c>
      <c r="R12" s="10">
        <f t="shared" si="5"/>
        <v>0</v>
      </c>
      <c r="S12" s="10">
        <f t="shared" si="33"/>
        <v>4000</v>
      </c>
      <c r="T12" s="10">
        <f t="shared" si="6"/>
        <v>11.70135337853176</v>
      </c>
      <c r="U12" s="10">
        <f t="shared" si="34"/>
        <v>14875</v>
      </c>
      <c r="V12" s="10">
        <f t="shared" si="7"/>
        <v>11.21854839420074</v>
      </c>
      <c r="W12" s="100"/>
      <c r="X12" s="10"/>
      <c r="Y12" s="10"/>
      <c r="Z12" s="10"/>
      <c r="AA12" s="100"/>
      <c r="AB12" s="10">
        <f t="shared" si="8"/>
        <v>0</v>
      </c>
      <c r="AC12" s="10">
        <f t="shared" si="35"/>
        <v>0</v>
      </c>
      <c r="AD12" s="10">
        <f t="shared" si="9"/>
        <v>0</v>
      </c>
      <c r="AE12" s="100"/>
      <c r="AF12" s="10">
        <f t="shared" si="10"/>
        <v>0</v>
      </c>
      <c r="AG12" s="10">
        <f t="shared" si="36"/>
        <v>0</v>
      </c>
      <c r="AH12" s="10">
        <f t="shared" si="11"/>
        <v>0</v>
      </c>
      <c r="AI12" s="100"/>
      <c r="AJ12" s="10">
        <f t="shared" si="12"/>
        <v>0</v>
      </c>
      <c r="AK12" s="10">
        <f t="shared" si="37"/>
        <v>0</v>
      </c>
      <c r="AL12" s="10">
        <f t="shared" si="13"/>
        <v>0</v>
      </c>
      <c r="AM12" s="10">
        <f t="shared" si="38"/>
        <v>0</v>
      </c>
      <c r="AN12" s="10">
        <f t="shared" si="14"/>
        <v>0</v>
      </c>
      <c r="AO12" s="10">
        <f t="shared" si="39"/>
        <v>0</v>
      </c>
      <c r="AP12" s="10">
        <f t="shared" si="15"/>
        <v>0</v>
      </c>
      <c r="AQ12" s="100">
        <f>120*AQ7</f>
        <v>30184.079999999998</v>
      </c>
      <c r="AR12" s="10">
        <f t="shared" si="16"/>
        <v>88.298646621468222</v>
      </c>
      <c r="AS12" s="10">
        <f t="shared" si="40"/>
        <v>117717.912</v>
      </c>
      <c r="AT12" s="10">
        <f t="shared" si="17"/>
        <v>88.781451605799262</v>
      </c>
      <c r="AU12" s="100"/>
      <c r="AV12" s="10">
        <f t="shared" si="18"/>
        <v>0</v>
      </c>
      <c r="AW12" s="10">
        <f t="shared" si="41"/>
        <v>0</v>
      </c>
      <c r="AX12" s="10">
        <f t="shared" si="19"/>
        <v>0</v>
      </c>
      <c r="AY12" s="100"/>
      <c r="AZ12" s="15">
        <f t="shared" si="20"/>
        <v>0</v>
      </c>
      <c r="BA12" s="10">
        <f t="shared" si="42"/>
        <v>0</v>
      </c>
      <c r="BB12" s="10">
        <f t="shared" si="21"/>
        <v>0</v>
      </c>
      <c r="BC12" s="10">
        <f t="shared" si="43"/>
        <v>30184.079999999998</v>
      </c>
      <c r="BD12" s="10">
        <f t="shared" si="22"/>
        <v>88.298646621468222</v>
      </c>
      <c r="BE12" s="10">
        <f t="shared" si="44"/>
        <v>117717.912</v>
      </c>
      <c r="BF12" s="10">
        <f t="shared" si="23"/>
        <v>88.781451605799262</v>
      </c>
      <c r="BG12" s="100">
        <v>0</v>
      </c>
      <c r="BH12" s="10">
        <f t="shared" si="24"/>
        <v>0</v>
      </c>
      <c r="BI12" s="10">
        <f t="shared" si="45"/>
        <v>0</v>
      </c>
      <c r="BJ12" s="10">
        <f t="shared" si="25"/>
        <v>0</v>
      </c>
      <c r="BK12" s="10">
        <f t="shared" si="26"/>
        <v>34184.080000000002</v>
      </c>
      <c r="BL12" s="10">
        <f t="shared" si="46"/>
        <v>132592.91200000001</v>
      </c>
      <c r="BM12" s="508">
        <f t="shared" si="27"/>
        <v>1.1402675205977519</v>
      </c>
      <c r="BN12" s="10">
        <f t="shared" si="28"/>
        <v>1.1016634844670441</v>
      </c>
    </row>
    <row r="13" spans="1:66">
      <c r="A13" s="16">
        <f>+Chem!A12</f>
        <v>45873</v>
      </c>
      <c r="B13" s="6" t="str">
        <f>+Chem!B12</f>
        <v>Toilet</v>
      </c>
      <c r="C13" s="574">
        <f>+Chem!C12</f>
        <v>13</v>
      </c>
      <c r="D13" s="8">
        <f>+Chem!D12</f>
        <v>45.208999999999996</v>
      </c>
      <c r="E13" s="7">
        <f>+Chem!E12</f>
        <v>44.225000000000001</v>
      </c>
      <c r="F13" s="7">
        <f t="shared" si="29"/>
        <v>164.58199999999999</v>
      </c>
      <c r="G13" s="100">
        <f>21*G7</f>
        <v>5250</v>
      </c>
      <c r="H13" s="10">
        <f t="shared" si="0"/>
        <v>11.050837388253933</v>
      </c>
      <c r="I13" s="8">
        <f t="shared" si="30"/>
        <v>20125</v>
      </c>
      <c r="J13" s="10">
        <f t="shared" si="1"/>
        <v>11.174308868580043</v>
      </c>
      <c r="K13" s="100"/>
      <c r="L13" s="10">
        <f t="shared" si="2"/>
        <v>0</v>
      </c>
      <c r="M13" s="10">
        <f t="shared" si="31"/>
        <v>0</v>
      </c>
      <c r="N13" s="10">
        <f t="shared" si="3"/>
        <v>0</v>
      </c>
      <c r="O13" s="100"/>
      <c r="P13" s="10">
        <f t="shared" si="4"/>
        <v>0</v>
      </c>
      <c r="Q13" s="10">
        <f t="shared" si="32"/>
        <v>0</v>
      </c>
      <c r="R13" s="10">
        <f t="shared" si="5"/>
        <v>0</v>
      </c>
      <c r="S13" s="10">
        <f t="shared" si="33"/>
        <v>5250</v>
      </c>
      <c r="T13" s="10">
        <f t="shared" si="6"/>
        <v>11.050837388253933</v>
      </c>
      <c r="U13" s="10">
        <f t="shared" si="34"/>
        <v>20125</v>
      </c>
      <c r="V13" s="10">
        <f t="shared" si="7"/>
        <v>11.174308868580043</v>
      </c>
      <c r="W13" s="100"/>
      <c r="X13" s="10"/>
      <c r="Y13" s="10"/>
      <c r="Z13" s="10"/>
      <c r="AA13" s="100"/>
      <c r="AB13" s="10">
        <f t="shared" si="8"/>
        <v>0</v>
      </c>
      <c r="AC13" s="10">
        <f t="shared" si="35"/>
        <v>0</v>
      </c>
      <c r="AD13" s="10">
        <f t="shared" si="9"/>
        <v>0</v>
      </c>
      <c r="AE13" s="100"/>
      <c r="AF13" s="10">
        <f t="shared" si="10"/>
        <v>0</v>
      </c>
      <c r="AG13" s="10">
        <f t="shared" si="36"/>
        <v>0</v>
      </c>
      <c r="AH13" s="10">
        <f t="shared" si="11"/>
        <v>0</v>
      </c>
      <c r="AI13" s="100"/>
      <c r="AJ13" s="10">
        <f t="shared" si="12"/>
        <v>0</v>
      </c>
      <c r="AK13" s="10">
        <f t="shared" si="37"/>
        <v>0</v>
      </c>
      <c r="AL13" s="10">
        <f t="shared" si="13"/>
        <v>0</v>
      </c>
      <c r="AM13" s="10">
        <f t="shared" si="38"/>
        <v>0</v>
      </c>
      <c r="AN13" s="10">
        <f t="shared" si="14"/>
        <v>0</v>
      </c>
      <c r="AO13" s="10">
        <f t="shared" si="39"/>
        <v>0</v>
      </c>
      <c r="AP13" s="10">
        <f t="shared" si="15"/>
        <v>0</v>
      </c>
      <c r="AQ13" s="100">
        <f>168*AQ7</f>
        <v>42257.712</v>
      </c>
      <c r="AR13" s="10">
        <f t="shared" si="16"/>
        <v>88.949162611746075</v>
      </c>
      <c r="AS13" s="10">
        <f t="shared" si="40"/>
        <v>159975.62400000001</v>
      </c>
      <c r="AT13" s="10">
        <f t="shared" si="17"/>
        <v>88.825691131419958</v>
      </c>
      <c r="AU13" s="100"/>
      <c r="AV13" s="10">
        <f t="shared" si="18"/>
        <v>0</v>
      </c>
      <c r="AW13" s="10">
        <f t="shared" si="41"/>
        <v>0</v>
      </c>
      <c r="AX13" s="10">
        <f t="shared" si="19"/>
        <v>0</v>
      </c>
      <c r="AY13" s="100"/>
      <c r="AZ13" s="15">
        <f t="shared" si="20"/>
        <v>0</v>
      </c>
      <c r="BA13" s="10">
        <f t="shared" si="42"/>
        <v>0</v>
      </c>
      <c r="BB13" s="10">
        <f t="shared" si="21"/>
        <v>0</v>
      </c>
      <c r="BC13" s="10">
        <f t="shared" si="43"/>
        <v>42257.712</v>
      </c>
      <c r="BD13" s="10">
        <f t="shared" si="22"/>
        <v>88.949162611746075</v>
      </c>
      <c r="BE13" s="10">
        <f t="shared" si="44"/>
        <v>159975.62400000001</v>
      </c>
      <c r="BF13" s="10">
        <f t="shared" si="23"/>
        <v>88.825691131419958</v>
      </c>
      <c r="BG13" s="100">
        <v>0</v>
      </c>
      <c r="BH13" s="10">
        <f t="shared" si="24"/>
        <v>0</v>
      </c>
      <c r="BI13" s="10">
        <f t="shared" si="45"/>
        <v>0</v>
      </c>
      <c r="BJ13" s="10">
        <f t="shared" si="25"/>
        <v>0</v>
      </c>
      <c r="BK13" s="10">
        <f t="shared" si="26"/>
        <v>47507.712</v>
      </c>
      <c r="BL13" s="10">
        <f t="shared" si="46"/>
        <v>180100.62400000001</v>
      </c>
      <c r="BM13" s="508">
        <f t="shared" si="27"/>
        <v>1.0742275183719614</v>
      </c>
      <c r="BN13" s="10">
        <f t="shared" si="28"/>
        <v>1.0942911375484563</v>
      </c>
    </row>
    <row r="14" spans="1:66">
      <c r="A14" s="16">
        <f>+Chem!A13</f>
        <v>45874</v>
      </c>
      <c r="B14" s="6" t="str">
        <f>+Chem!B13</f>
        <v>Toilet</v>
      </c>
      <c r="C14" s="574">
        <f>+Chem!C13</f>
        <v>13</v>
      </c>
      <c r="D14" s="8">
        <f>+Chem!D13</f>
        <v>46.027999999999999</v>
      </c>
      <c r="E14" s="7">
        <f>+Chem!E13</f>
        <v>42.78</v>
      </c>
      <c r="F14" s="7">
        <f t="shared" si="29"/>
        <v>207.36199999999999</v>
      </c>
      <c r="G14" s="101">
        <f>21.5*G7</f>
        <v>5375</v>
      </c>
      <c r="H14" s="91">
        <f t="shared" si="0"/>
        <v>11.050837388253933</v>
      </c>
      <c r="I14" s="8">
        <f t="shared" si="30"/>
        <v>25500</v>
      </c>
      <c r="J14" s="91">
        <f t="shared" si="1"/>
        <v>11.14805406213406</v>
      </c>
      <c r="K14" s="101"/>
      <c r="L14" s="91">
        <f t="shared" si="2"/>
        <v>0</v>
      </c>
      <c r="M14" s="91">
        <f t="shared" si="31"/>
        <v>0</v>
      </c>
      <c r="N14" s="91">
        <f t="shared" si="3"/>
        <v>0</v>
      </c>
      <c r="O14" s="101"/>
      <c r="P14" s="91">
        <f t="shared" si="4"/>
        <v>0</v>
      </c>
      <c r="Q14" s="91">
        <f t="shared" si="32"/>
        <v>0</v>
      </c>
      <c r="R14" s="91">
        <f t="shared" si="5"/>
        <v>0</v>
      </c>
      <c r="S14" s="10">
        <f t="shared" si="33"/>
        <v>5375</v>
      </c>
      <c r="T14" s="91">
        <f t="shared" si="6"/>
        <v>11.050837388253933</v>
      </c>
      <c r="U14" s="91">
        <f t="shared" si="34"/>
        <v>25500</v>
      </c>
      <c r="V14" s="91">
        <f t="shared" si="7"/>
        <v>11.14805406213406</v>
      </c>
      <c r="W14" s="101"/>
      <c r="X14" s="91"/>
      <c r="Y14" s="91"/>
      <c r="Z14" s="91"/>
      <c r="AA14" s="101"/>
      <c r="AB14" s="91">
        <f t="shared" si="8"/>
        <v>0</v>
      </c>
      <c r="AC14" s="91">
        <f t="shared" si="35"/>
        <v>0</v>
      </c>
      <c r="AD14" s="91">
        <f t="shared" si="9"/>
        <v>0</v>
      </c>
      <c r="AE14" s="101"/>
      <c r="AF14" s="91">
        <f t="shared" si="10"/>
        <v>0</v>
      </c>
      <c r="AG14" s="91">
        <f t="shared" si="36"/>
        <v>0</v>
      </c>
      <c r="AH14" s="91">
        <f t="shared" si="11"/>
        <v>0</v>
      </c>
      <c r="AI14" s="101"/>
      <c r="AJ14" s="91">
        <f t="shared" si="12"/>
        <v>0</v>
      </c>
      <c r="AK14" s="91">
        <f t="shared" si="37"/>
        <v>0</v>
      </c>
      <c r="AL14" s="91">
        <f t="shared" si="13"/>
        <v>0</v>
      </c>
      <c r="AM14" s="10">
        <f t="shared" si="38"/>
        <v>0</v>
      </c>
      <c r="AN14" s="91">
        <f t="shared" si="14"/>
        <v>0</v>
      </c>
      <c r="AO14" s="91">
        <f t="shared" si="39"/>
        <v>0</v>
      </c>
      <c r="AP14" s="91">
        <f t="shared" si="15"/>
        <v>0</v>
      </c>
      <c r="AQ14" s="101">
        <f>172*AQ7</f>
        <v>43263.847999999998</v>
      </c>
      <c r="AR14" s="91">
        <f t="shared" si="16"/>
        <v>88.949162611746075</v>
      </c>
      <c r="AS14" s="91">
        <f t="shared" si="40"/>
        <v>203239.47200000001</v>
      </c>
      <c r="AT14" s="91">
        <f t="shared" si="17"/>
        <v>88.851945937865935</v>
      </c>
      <c r="AU14" s="101"/>
      <c r="AV14" s="91">
        <f t="shared" si="18"/>
        <v>0</v>
      </c>
      <c r="AW14" s="91">
        <f t="shared" si="41"/>
        <v>0</v>
      </c>
      <c r="AX14" s="91">
        <f t="shared" si="19"/>
        <v>0</v>
      </c>
      <c r="AY14" s="101"/>
      <c r="AZ14" s="92">
        <f t="shared" si="20"/>
        <v>0</v>
      </c>
      <c r="BA14" s="91">
        <f t="shared" si="42"/>
        <v>0</v>
      </c>
      <c r="BB14" s="91">
        <f t="shared" si="21"/>
        <v>0</v>
      </c>
      <c r="BC14" s="91">
        <f t="shared" si="43"/>
        <v>43263.847999999998</v>
      </c>
      <c r="BD14" s="91">
        <f t="shared" si="22"/>
        <v>88.949162611746075</v>
      </c>
      <c r="BE14" s="91">
        <f t="shared" si="44"/>
        <v>203239.47200000001</v>
      </c>
      <c r="BF14" s="91">
        <f t="shared" si="23"/>
        <v>88.851945937865935</v>
      </c>
      <c r="BG14" s="101">
        <v>0</v>
      </c>
      <c r="BH14" s="91">
        <f t="shared" si="24"/>
        <v>0</v>
      </c>
      <c r="BI14" s="91">
        <f t="shared" si="45"/>
        <v>0</v>
      </c>
      <c r="BJ14" s="91">
        <f t="shared" si="25"/>
        <v>0</v>
      </c>
      <c r="BK14" s="91">
        <f t="shared" si="26"/>
        <v>48638.847999999998</v>
      </c>
      <c r="BL14" s="91">
        <f t="shared" si="46"/>
        <v>228739.47200000001</v>
      </c>
      <c r="BM14" s="508">
        <f t="shared" si="27"/>
        <v>1.1369529686769517</v>
      </c>
      <c r="BN14" s="91">
        <f t="shared" si="28"/>
        <v>1.1030925241847591</v>
      </c>
    </row>
    <row r="15" spans="1:66">
      <c r="A15" s="16">
        <f>+Chem!A14</f>
        <v>45875</v>
      </c>
      <c r="B15" s="6" t="str">
        <f>+Chem!B14</f>
        <v>Toilet</v>
      </c>
      <c r="C15" s="574" t="str">
        <f>+Chem!C14</f>
        <v>13/15,5</v>
      </c>
      <c r="D15" s="8">
        <f>+Chem!D14</f>
        <v>45.620000000000005</v>
      </c>
      <c r="E15" s="7">
        <f>+Chem!E14</f>
        <v>42.75</v>
      </c>
      <c r="F15" s="7">
        <f t="shared" si="29"/>
        <v>250.11199999999999</v>
      </c>
      <c r="G15" s="101">
        <f>20.5*G7</f>
        <v>5125</v>
      </c>
      <c r="H15" s="91">
        <f t="shared" si="0"/>
        <v>11.050837388253933</v>
      </c>
      <c r="I15" s="8">
        <f t="shared" si="30"/>
        <v>30625</v>
      </c>
      <c r="J15" s="91">
        <f t="shared" si="1"/>
        <v>11.131666154204133</v>
      </c>
      <c r="K15" s="101"/>
      <c r="L15" s="91">
        <f t="shared" si="2"/>
        <v>0</v>
      </c>
      <c r="M15" s="91">
        <f t="shared" si="31"/>
        <v>0</v>
      </c>
      <c r="N15" s="91">
        <f t="shared" si="3"/>
        <v>0</v>
      </c>
      <c r="O15" s="101"/>
      <c r="P15" s="91">
        <f t="shared" si="4"/>
        <v>0</v>
      </c>
      <c r="Q15" s="91">
        <f t="shared" si="32"/>
        <v>0</v>
      </c>
      <c r="R15" s="91">
        <f t="shared" si="5"/>
        <v>0</v>
      </c>
      <c r="S15" s="10">
        <f t="shared" si="33"/>
        <v>5125</v>
      </c>
      <c r="T15" s="91">
        <f t="shared" si="6"/>
        <v>11.050837388253933</v>
      </c>
      <c r="U15" s="91">
        <f t="shared" si="34"/>
        <v>30625</v>
      </c>
      <c r="V15" s="91">
        <f t="shared" si="7"/>
        <v>11.131666154204133</v>
      </c>
      <c r="W15" s="101"/>
      <c r="X15" s="91"/>
      <c r="Y15" s="91"/>
      <c r="Z15" s="91"/>
      <c r="AA15" s="101"/>
      <c r="AB15" s="91">
        <f t="shared" si="8"/>
        <v>0</v>
      </c>
      <c r="AC15" s="91">
        <f t="shared" si="35"/>
        <v>0</v>
      </c>
      <c r="AD15" s="91">
        <f t="shared" si="9"/>
        <v>0</v>
      </c>
      <c r="AE15" s="101"/>
      <c r="AF15" s="91">
        <f t="shared" si="10"/>
        <v>0</v>
      </c>
      <c r="AG15" s="91">
        <f t="shared" si="36"/>
        <v>0</v>
      </c>
      <c r="AH15" s="91">
        <f t="shared" si="11"/>
        <v>0</v>
      </c>
      <c r="AI15" s="101"/>
      <c r="AJ15" s="91">
        <f t="shared" si="12"/>
        <v>0</v>
      </c>
      <c r="AK15" s="91">
        <f t="shared" si="37"/>
        <v>0</v>
      </c>
      <c r="AL15" s="91">
        <f t="shared" si="13"/>
        <v>0</v>
      </c>
      <c r="AM15" s="10">
        <f t="shared" si="38"/>
        <v>0</v>
      </c>
      <c r="AN15" s="91">
        <f t="shared" si="14"/>
        <v>0</v>
      </c>
      <c r="AO15" s="91">
        <f t="shared" si="39"/>
        <v>0</v>
      </c>
      <c r="AP15" s="91">
        <f t="shared" si="15"/>
        <v>0</v>
      </c>
      <c r="AQ15" s="101">
        <f>164*AQ7</f>
        <v>41251.576000000001</v>
      </c>
      <c r="AR15" s="91">
        <f t="shared" si="16"/>
        <v>88.949162611746075</v>
      </c>
      <c r="AS15" s="91">
        <f t="shared" si="40"/>
        <v>244491.04800000001</v>
      </c>
      <c r="AT15" s="91">
        <f t="shared" si="17"/>
        <v>88.86833384579586</v>
      </c>
      <c r="AU15" s="101"/>
      <c r="AV15" s="91">
        <f t="shared" si="18"/>
        <v>0</v>
      </c>
      <c r="AW15" s="91">
        <f t="shared" si="41"/>
        <v>0</v>
      </c>
      <c r="AX15" s="91">
        <f t="shared" si="19"/>
        <v>0</v>
      </c>
      <c r="AY15" s="101"/>
      <c r="AZ15" s="92">
        <f t="shared" si="20"/>
        <v>0</v>
      </c>
      <c r="BA15" s="91">
        <f t="shared" si="42"/>
        <v>0</v>
      </c>
      <c r="BB15" s="91">
        <f t="shared" si="21"/>
        <v>0</v>
      </c>
      <c r="BC15" s="91">
        <f t="shared" si="43"/>
        <v>41251.576000000001</v>
      </c>
      <c r="BD15" s="91">
        <f t="shared" si="22"/>
        <v>88.949162611746075</v>
      </c>
      <c r="BE15" s="91">
        <f t="shared" si="44"/>
        <v>244491.04800000001</v>
      </c>
      <c r="BF15" s="91">
        <f t="shared" si="23"/>
        <v>88.86833384579586</v>
      </c>
      <c r="BG15" s="101">
        <v>0</v>
      </c>
      <c r="BH15" s="91">
        <f t="shared" si="24"/>
        <v>0</v>
      </c>
      <c r="BI15" s="91">
        <f t="shared" si="45"/>
        <v>0</v>
      </c>
      <c r="BJ15" s="91">
        <f t="shared" si="25"/>
        <v>0</v>
      </c>
      <c r="BK15" s="91">
        <f t="shared" si="26"/>
        <v>46376.576000000001</v>
      </c>
      <c r="BL15" s="91">
        <f t="shared" si="46"/>
        <v>275116.04800000001</v>
      </c>
      <c r="BM15" s="508">
        <f t="shared" si="27"/>
        <v>1.084832187134503</v>
      </c>
      <c r="BN15" s="91">
        <f t="shared" si="28"/>
        <v>1.099971404810645</v>
      </c>
    </row>
    <row r="16" spans="1:66">
      <c r="A16" s="16">
        <f>+Chem!A15</f>
        <v>45876</v>
      </c>
      <c r="B16" s="6" t="str">
        <f>+Chem!B15</f>
        <v>Toilet</v>
      </c>
      <c r="C16" s="574" t="str">
        <f>+Chem!C15</f>
        <v>15,5</v>
      </c>
      <c r="D16" s="8">
        <f>+Chem!D15</f>
        <v>49.533999999999999</v>
      </c>
      <c r="E16" s="7">
        <f>+Chem!E15</f>
        <v>48.999000000000002</v>
      </c>
      <c r="F16" s="7">
        <f t="shared" si="29"/>
        <v>299.11099999999999</v>
      </c>
      <c r="G16" s="101">
        <f>25*G7</f>
        <v>6250</v>
      </c>
      <c r="H16" s="91">
        <f t="shared" si="0"/>
        <v>11.050837388253933</v>
      </c>
      <c r="I16" s="8">
        <f t="shared" si="30"/>
        <v>36875</v>
      </c>
      <c r="J16" s="91">
        <f t="shared" si="1"/>
        <v>11.117883246204103</v>
      </c>
      <c r="K16" s="101"/>
      <c r="L16" s="91">
        <f t="shared" si="2"/>
        <v>0</v>
      </c>
      <c r="M16" s="91">
        <f t="shared" si="31"/>
        <v>0</v>
      </c>
      <c r="N16" s="91">
        <f t="shared" si="3"/>
        <v>0</v>
      </c>
      <c r="O16" s="101"/>
      <c r="P16" s="91">
        <f t="shared" si="4"/>
        <v>0</v>
      </c>
      <c r="Q16" s="91">
        <f t="shared" si="32"/>
        <v>0</v>
      </c>
      <c r="R16" s="91">
        <f t="shared" si="5"/>
        <v>0</v>
      </c>
      <c r="S16" s="10">
        <f t="shared" si="33"/>
        <v>6250</v>
      </c>
      <c r="T16" s="91">
        <f t="shared" si="6"/>
        <v>11.050837388253933</v>
      </c>
      <c r="U16" s="91">
        <f t="shared" si="34"/>
        <v>36875</v>
      </c>
      <c r="V16" s="91">
        <f t="shared" si="7"/>
        <v>11.117883246204103</v>
      </c>
      <c r="W16" s="101"/>
      <c r="X16" s="91"/>
      <c r="Y16" s="91"/>
      <c r="Z16" s="91"/>
      <c r="AA16" s="101"/>
      <c r="AB16" s="91">
        <f t="shared" si="8"/>
        <v>0</v>
      </c>
      <c r="AC16" s="91">
        <f t="shared" si="35"/>
        <v>0</v>
      </c>
      <c r="AD16" s="91">
        <f t="shared" si="9"/>
        <v>0</v>
      </c>
      <c r="AE16" s="101"/>
      <c r="AF16" s="91">
        <f t="shared" si="10"/>
        <v>0</v>
      </c>
      <c r="AG16" s="91">
        <f t="shared" si="36"/>
        <v>0</v>
      </c>
      <c r="AH16" s="91">
        <f t="shared" si="11"/>
        <v>0</v>
      </c>
      <c r="AI16" s="101"/>
      <c r="AJ16" s="91">
        <f t="shared" si="12"/>
        <v>0</v>
      </c>
      <c r="AK16" s="91">
        <f t="shared" si="37"/>
        <v>0</v>
      </c>
      <c r="AL16" s="91">
        <f t="shared" si="13"/>
        <v>0</v>
      </c>
      <c r="AM16" s="10">
        <f t="shared" si="38"/>
        <v>0</v>
      </c>
      <c r="AN16" s="91">
        <f t="shared" si="14"/>
        <v>0</v>
      </c>
      <c r="AO16" s="91">
        <f t="shared" si="39"/>
        <v>0</v>
      </c>
      <c r="AP16" s="91">
        <f t="shared" si="15"/>
        <v>0</v>
      </c>
      <c r="AQ16" s="101">
        <f>200*AQ7</f>
        <v>50306.799999999996</v>
      </c>
      <c r="AR16" s="91">
        <f t="shared" si="16"/>
        <v>88.949162611746075</v>
      </c>
      <c r="AS16" s="91">
        <f t="shared" si="40"/>
        <v>294797.848</v>
      </c>
      <c r="AT16" s="91">
        <f t="shared" si="17"/>
        <v>88.882116753795898</v>
      </c>
      <c r="AU16" s="101"/>
      <c r="AV16" s="91">
        <f t="shared" si="18"/>
        <v>0</v>
      </c>
      <c r="AW16" s="91">
        <f t="shared" si="41"/>
        <v>0</v>
      </c>
      <c r="AX16" s="91">
        <f t="shared" si="19"/>
        <v>0</v>
      </c>
      <c r="AY16" s="101"/>
      <c r="AZ16" s="92">
        <f t="shared" si="20"/>
        <v>0</v>
      </c>
      <c r="BA16" s="91">
        <f t="shared" si="42"/>
        <v>0</v>
      </c>
      <c r="BB16" s="91">
        <f t="shared" si="21"/>
        <v>0</v>
      </c>
      <c r="BC16" s="91">
        <f t="shared" si="43"/>
        <v>50306.799999999996</v>
      </c>
      <c r="BD16" s="91">
        <f t="shared" si="22"/>
        <v>88.949162611746075</v>
      </c>
      <c r="BE16" s="91">
        <f t="shared" si="44"/>
        <v>294797.848</v>
      </c>
      <c r="BF16" s="91">
        <f t="shared" si="23"/>
        <v>88.882116753795898</v>
      </c>
      <c r="BG16" s="101">
        <v>0</v>
      </c>
      <c r="BH16" s="91">
        <f t="shared" si="24"/>
        <v>0</v>
      </c>
      <c r="BI16" s="91">
        <f t="shared" si="45"/>
        <v>0</v>
      </c>
      <c r="BJ16" s="91">
        <f t="shared" si="25"/>
        <v>0</v>
      </c>
      <c r="BK16" s="91">
        <f t="shared" si="26"/>
        <v>56556.799999999996</v>
      </c>
      <c r="BL16" s="91">
        <f t="shared" si="46"/>
        <v>331672.848</v>
      </c>
      <c r="BM16" s="508">
        <f t="shared" si="27"/>
        <v>1.1542439641625337</v>
      </c>
      <c r="BN16" s="91">
        <f t="shared" si="28"/>
        <v>1.1088620879874027</v>
      </c>
    </row>
    <row r="17" spans="1:75">
      <c r="A17" s="16">
        <f>+Chem!A16</f>
        <v>45877</v>
      </c>
      <c r="B17" s="6" t="str">
        <f>+Chem!B16</f>
        <v>Toilet/Facial</v>
      </c>
      <c r="C17" s="572" t="str">
        <f>+Chem!C16</f>
        <v>15,5/19/15</v>
      </c>
      <c r="D17" s="8">
        <f>+Chem!D16</f>
        <v>48.856999999999999</v>
      </c>
      <c r="E17" s="7">
        <f>+Chem!E16</f>
        <v>43.768999999999998</v>
      </c>
      <c r="F17" s="7">
        <f t="shared" si="29"/>
        <v>342.88</v>
      </c>
      <c r="G17" s="101">
        <f>23*G7</f>
        <v>5750</v>
      </c>
      <c r="H17" s="91">
        <f t="shared" si="0"/>
        <v>11.050837388253933</v>
      </c>
      <c r="I17" s="8">
        <f t="shared" si="30"/>
        <v>42625</v>
      </c>
      <c r="J17" s="91">
        <f t="shared" si="1"/>
        <v>11.108791505676715</v>
      </c>
      <c r="K17" s="101"/>
      <c r="L17" s="91">
        <f t="shared" si="2"/>
        <v>0</v>
      </c>
      <c r="M17" s="91">
        <f t="shared" si="31"/>
        <v>0</v>
      </c>
      <c r="N17" s="91">
        <f t="shared" si="3"/>
        <v>0</v>
      </c>
      <c r="O17" s="101"/>
      <c r="P17" s="91">
        <f t="shared" si="4"/>
        <v>0</v>
      </c>
      <c r="Q17" s="91">
        <f t="shared" si="32"/>
        <v>0</v>
      </c>
      <c r="R17" s="91">
        <f t="shared" si="5"/>
        <v>0</v>
      </c>
      <c r="S17" s="10">
        <f t="shared" si="33"/>
        <v>5750</v>
      </c>
      <c r="T17" s="91">
        <f t="shared" si="6"/>
        <v>11.050837388253933</v>
      </c>
      <c r="U17" s="91">
        <f t="shared" si="34"/>
        <v>42625</v>
      </c>
      <c r="V17" s="91">
        <f t="shared" si="7"/>
        <v>11.108791505676715</v>
      </c>
      <c r="W17" s="101"/>
      <c r="X17" s="91"/>
      <c r="Y17" s="91"/>
      <c r="Z17" s="91"/>
      <c r="AA17" s="101"/>
      <c r="AB17" s="91">
        <f t="shared" si="8"/>
        <v>0</v>
      </c>
      <c r="AC17" s="91">
        <f t="shared" si="35"/>
        <v>0</v>
      </c>
      <c r="AD17" s="91">
        <f t="shared" si="9"/>
        <v>0</v>
      </c>
      <c r="AE17" s="101"/>
      <c r="AF17" s="91">
        <f t="shared" si="10"/>
        <v>0</v>
      </c>
      <c r="AG17" s="91">
        <f t="shared" si="36"/>
        <v>0</v>
      </c>
      <c r="AH17" s="91">
        <f t="shared" si="11"/>
        <v>0</v>
      </c>
      <c r="AI17" s="101"/>
      <c r="AJ17" s="91">
        <f t="shared" si="12"/>
        <v>0</v>
      </c>
      <c r="AK17" s="91">
        <f t="shared" si="37"/>
        <v>0</v>
      </c>
      <c r="AL17" s="91">
        <f t="shared" si="13"/>
        <v>0</v>
      </c>
      <c r="AM17" s="10">
        <f t="shared" si="38"/>
        <v>0</v>
      </c>
      <c r="AN17" s="91">
        <f t="shared" si="14"/>
        <v>0</v>
      </c>
      <c r="AO17" s="91">
        <f t="shared" si="39"/>
        <v>0</v>
      </c>
      <c r="AP17" s="91">
        <f t="shared" si="15"/>
        <v>0</v>
      </c>
      <c r="AQ17" s="101">
        <f>184*AQ7</f>
        <v>46282.256000000001</v>
      </c>
      <c r="AR17" s="91">
        <f t="shared" si="16"/>
        <v>88.949162611746075</v>
      </c>
      <c r="AS17" s="91">
        <f t="shared" si="40"/>
        <v>341080.10399999999</v>
      </c>
      <c r="AT17" s="91">
        <f t="shared" si="17"/>
        <v>88.89120849432328</v>
      </c>
      <c r="AU17" s="101"/>
      <c r="AV17" s="91">
        <f t="shared" si="18"/>
        <v>0</v>
      </c>
      <c r="AW17" s="91">
        <f t="shared" si="41"/>
        <v>0</v>
      </c>
      <c r="AX17" s="91">
        <f t="shared" si="19"/>
        <v>0</v>
      </c>
      <c r="AY17" s="101"/>
      <c r="AZ17" s="92">
        <f t="shared" si="20"/>
        <v>0</v>
      </c>
      <c r="BA17" s="91">
        <f t="shared" si="42"/>
        <v>0</v>
      </c>
      <c r="BB17" s="91">
        <f t="shared" si="21"/>
        <v>0</v>
      </c>
      <c r="BC17" s="91">
        <f t="shared" si="43"/>
        <v>46282.256000000001</v>
      </c>
      <c r="BD17" s="91">
        <f t="shared" si="22"/>
        <v>88.949162611746075</v>
      </c>
      <c r="BE17" s="91">
        <f t="shared" si="44"/>
        <v>341080.10399999999</v>
      </c>
      <c r="BF17" s="91">
        <f t="shared" si="23"/>
        <v>88.89120849432328</v>
      </c>
      <c r="BG17" s="101">
        <v>0</v>
      </c>
      <c r="BH17" s="91">
        <f t="shared" si="24"/>
        <v>0</v>
      </c>
      <c r="BI17" s="91">
        <f t="shared" si="45"/>
        <v>0</v>
      </c>
      <c r="BJ17" s="91">
        <f t="shared" si="25"/>
        <v>0</v>
      </c>
      <c r="BK17" s="91">
        <f t="shared" si="26"/>
        <v>52032.256000000001</v>
      </c>
      <c r="BL17" s="91">
        <f t="shared" si="46"/>
        <v>383705.10399999999</v>
      </c>
      <c r="BM17" s="508">
        <f t="shared" si="27"/>
        <v>1.1887924330005257</v>
      </c>
      <c r="BN17" s="91">
        <f t="shared" si="28"/>
        <v>1.1190652823145124</v>
      </c>
    </row>
    <row r="18" spans="1:75">
      <c r="A18" s="16">
        <f>+Chem!A17</f>
        <v>45878</v>
      </c>
      <c r="B18" s="6" t="str">
        <f>+Chem!B17</f>
        <v>Facial</v>
      </c>
      <c r="C18" s="572" t="str">
        <f>+Chem!C17</f>
        <v>15/13,5/13/12</v>
      </c>
      <c r="D18" s="8">
        <f>+Chem!D17</f>
        <v>42.048000000000002</v>
      </c>
      <c r="E18" s="7">
        <f>+Chem!E17</f>
        <v>44.734000000000002</v>
      </c>
      <c r="F18" s="7">
        <f t="shared" si="29"/>
        <v>387.61399999999998</v>
      </c>
      <c r="G18" s="100">
        <f>23.5*G7</f>
        <v>5875</v>
      </c>
      <c r="H18" s="10">
        <f t="shared" si="0"/>
        <v>13.630447863803729</v>
      </c>
      <c r="I18" s="8">
        <f t="shared" si="30"/>
        <v>48500</v>
      </c>
      <c r="J18" s="10">
        <f t="shared" si="1"/>
        <v>11.363446369369044</v>
      </c>
      <c r="K18" s="100"/>
      <c r="L18" s="10">
        <f t="shared" si="2"/>
        <v>0</v>
      </c>
      <c r="M18" s="10">
        <f t="shared" si="31"/>
        <v>0</v>
      </c>
      <c r="N18" s="10">
        <f t="shared" si="3"/>
        <v>0</v>
      </c>
      <c r="O18" s="100"/>
      <c r="P18" s="10">
        <f t="shared" si="4"/>
        <v>0</v>
      </c>
      <c r="Q18" s="10">
        <f t="shared" si="32"/>
        <v>0</v>
      </c>
      <c r="R18" s="10">
        <f t="shared" si="5"/>
        <v>0</v>
      </c>
      <c r="S18" s="10">
        <f t="shared" si="33"/>
        <v>5875</v>
      </c>
      <c r="T18" s="10">
        <f t="shared" si="6"/>
        <v>13.630447863803729</v>
      </c>
      <c r="U18" s="10">
        <f t="shared" si="34"/>
        <v>48500</v>
      </c>
      <c r="V18" s="10">
        <f t="shared" si="7"/>
        <v>11.363446369369044</v>
      </c>
      <c r="W18" s="100"/>
      <c r="X18" s="10"/>
      <c r="Y18" s="10"/>
      <c r="Z18" s="10"/>
      <c r="AA18" s="100"/>
      <c r="AB18" s="10">
        <f t="shared" si="8"/>
        <v>0</v>
      </c>
      <c r="AC18" s="10">
        <f t="shared" si="35"/>
        <v>0</v>
      </c>
      <c r="AD18" s="10">
        <f t="shared" si="9"/>
        <v>0</v>
      </c>
      <c r="AE18" s="100"/>
      <c r="AF18" s="10">
        <f t="shared" si="10"/>
        <v>0</v>
      </c>
      <c r="AG18" s="10">
        <f t="shared" si="36"/>
        <v>0</v>
      </c>
      <c r="AH18" s="10">
        <f t="shared" si="11"/>
        <v>0</v>
      </c>
      <c r="AI18" s="100"/>
      <c r="AJ18" s="10">
        <f t="shared" si="12"/>
        <v>0</v>
      </c>
      <c r="AK18" s="10">
        <f t="shared" si="37"/>
        <v>0</v>
      </c>
      <c r="AL18" s="10">
        <f t="shared" si="13"/>
        <v>0</v>
      </c>
      <c r="AM18" s="10">
        <f t="shared" si="38"/>
        <v>0</v>
      </c>
      <c r="AN18" s="10">
        <f t="shared" si="14"/>
        <v>0</v>
      </c>
      <c r="AO18" s="10">
        <f t="shared" si="39"/>
        <v>0</v>
      </c>
      <c r="AP18" s="10">
        <f t="shared" si="15"/>
        <v>0</v>
      </c>
      <c r="AQ18" s="100">
        <f>148*AQ7</f>
        <v>37227.031999999999</v>
      </c>
      <c r="AR18" s="10">
        <f t="shared" si="16"/>
        <v>86.369552136196276</v>
      </c>
      <c r="AS18" s="10">
        <f t="shared" si="40"/>
        <v>378307.136</v>
      </c>
      <c r="AT18" s="10">
        <f t="shared" si="17"/>
        <v>88.636553630630956</v>
      </c>
      <c r="AU18" s="100"/>
      <c r="AV18" s="10">
        <f t="shared" si="18"/>
        <v>0</v>
      </c>
      <c r="AW18" s="10">
        <f t="shared" si="41"/>
        <v>0</v>
      </c>
      <c r="AX18" s="10">
        <f t="shared" si="19"/>
        <v>0</v>
      </c>
      <c r="AY18" s="100"/>
      <c r="AZ18" s="15">
        <f t="shared" si="20"/>
        <v>0</v>
      </c>
      <c r="BA18" s="10">
        <f t="shared" si="42"/>
        <v>0</v>
      </c>
      <c r="BB18" s="10">
        <f t="shared" si="21"/>
        <v>0</v>
      </c>
      <c r="BC18" s="10">
        <f t="shared" si="43"/>
        <v>37227.031999999999</v>
      </c>
      <c r="BD18" s="10">
        <f t="shared" si="22"/>
        <v>86.369552136196276</v>
      </c>
      <c r="BE18" s="10">
        <f t="shared" si="44"/>
        <v>378307.136</v>
      </c>
      <c r="BF18" s="10">
        <f t="shared" si="23"/>
        <v>88.636553630630956</v>
      </c>
      <c r="BG18" s="100">
        <v>0</v>
      </c>
      <c r="BH18" s="10">
        <f t="shared" si="24"/>
        <v>0</v>
      </c>
      <c r="BI18" s="10">
        <f t="shared" si="45"/>
        <v>0</v>
      </c>
      <c r="BJ18" s="10">
        <f t="shared" si="25"/>
        <v>0</v>
      </c>
      <c r="BK18" s="10">
        <f t="shared" si="26"/>
        <v>43102.031999999999</v>
      </c>
      <c r="BL18" s="10">
        <f t="shared" si="46"/>
        <v>426807.136</v>
      </c>
      <c r="BM18" s="508">
        <f t="shared" si="27"/>
        <v>0.96351839763937941</v>
      </c>
      <c r="BN18" s="10">
        <f t="shared" si="28"/>
        <v>1.101113829737832</v>
      </c>
    </row>
    <row r="19" spans="1:75">
      <c r="A19" s="16">
        <f>+Chem!A18</f>
        <v>45879</v>
      </c>
      <c r="B19" s="6" t="str">
        <f>+Chem!B18</f>
        <v>Facial</v>
      </c>
      <c r="C19" s="572" t="str">
        <f>+Chem!C18</f>
        <v>12</v>
      </c>
      <c r="D19" s="8">
        <f>+Chem!D18</f>
        <v>41.216999999999999</v>
      </c>
      <c r="E19" s="7">
        <f>+Chem!E18</f>
        <v>38.950000000000003</v>
      </c>
      <c r="F19" s="7">
        <f t="shared" si="29"/>
        <v>426.56399999999996</v>
      </c>
      <c r="G19" s="100">
        <f>20*G7</f>
        <v>5000</v>
      </c>
      <c r="H19" s="10">
        <f t="shared" si="0"/>
        <v>11.050837388253932</v>
      </c>
      <c r="I19" s="8">
        <f t="shared" si="30"/>
        <v>53500</v>
      </c>
      <c r="J19" s="10">
        <f t="shared" si="1"/>
        <v>11.333483327924897</v>
      </c>
      <c r="K19" s="100"/>
      <c r="L19" s="10">
        <f t="shared" si="2"/>
        <v>0</v>
      </c>
      <c r="M19" s="10">
        <f t="shared" si="31"/>
        <v>0</v>
      </c>
      <c r="N19" s="10">
        <f t="shared" si="3"/>
        <v>0</v>
      </c>
      <c r="O19" s="100"/>
      <c r="P19" s="10">
        <f t="shared" si="4"/>
        <v>0</v>
      </c>
      <c r="Q19" s="10">
        <f t="shared" si="32"/>
        <v>0</v>
      </c>
      <c r="R19" s="10">
        <f t="shared" si="5"/>
        <v>0</v>
      </c>
      <c r="S19" s="10">
        <f t="shared" si="33"/>
        <v>5000</v>
      </c>
      <c r="T19" s="10">
        <f t="shared" si="6"/>
        <v>11.050837388253932</v>
      </c>
      <c r="U19" s="10">
        <f t="shared" si="34"/>
        <v>53500</v>
      </c>
      <c r="V19" s="10">
        <f t="shared" si="7"/>
        <v>11.333483327924897</v>
      </c>
      <c r="W19" s="100"/>
      <c r="X19" s="10"/>
      <c r="Y19" s="10"/>
      <c r="Z19" s="10"/>
      <c r="AA19" s="100"/>
      <c r="AB19" s="10">
        <f t="shared" si="8"/>
        <v>0</v>
      </c>
      <c r="AC19" s="10">
        <f t="shared" si="35"/>
        <v>0</v>
      </c>
      <c r="AD19" s="10">
        <f t="shared" si="9"/>
        <v>0</v>
      </c>
      <c r="AE19" s="100"/>
      <c r="AF19" s="10">
        <f t="shared" si="10"/>
        <v>0</v>
      </c>
      <c r="AG19" s="10">
        <f t="shared" si="36"/>
        <v>0</v>
      </c>
      <c r="AH19" s="10">
        <f t="shared" si="11"/>
        <v>0</v>
      </c>
      <c r="AI19" s="100"/>
      <c r="AJ19" s="10">
        <f t="shared" si="12"/>
        <v>0</v>
      </c>
      <c r="AK19" s="10">
        <f t="shared" si="37"/>
        <v>0</v>
      </c>
      <c r="AL19" s="10">
        <f t="shared" si="13"/>
        <v>0</v>
      </c>
      <c r="AM19" s="10">
        <f t="shared" si="38"/>
        <v>0</v>
      </c>
      <c r="AN19" s="10">
        <f t="shared" si="14"/>
        <v>0</v>
      </c>
      <c r="AO19" s="10">
        <f t="shared" si="39"/>
        <v>0</v>
      </c>
      <c r="AP19" s="10">
        <f t="shared" si="15"/>
        <v>0</v>
      </c>
      <c r="AQ19" s="100">
        <f>160*AQ7</f>
        <v>40245.440000000002</v>
      </c>
      <c r="AR19" s="10">
        <f t="shared" si="16"/>
        <v>88.949162611746075</v>
      </c>
      <c r="AS19" s="10">
        <f t="shared" si="40"/>
        <v>418552.576</v>
      </c>
      <c r="AT19" s="10">
        <f t="shared" si="17"/>
        <v>88.666516672075105</v>
      </c>
      <c r="AU19" s="100"/>
      <c r="AV19" s="10">
        <f t="shared" si="18"/>
        <v>0</v>
      </c>
      <c r="AW19" s="10">
        <f t="shared" si="41"/>
        <v>0</v>
      </c>
      <c r="AX19" s="10">
        <f t="shared" si="19"/>
        <v>0</v>
      </c>
      <c r="AY19" s="100"/>
      <c r="AZ19" s="15">
        <f t="shared" si="20"/>
        <v>0</v>
      </c>
      <c r="BA19" s="10">
        <f t="shared" si="42"/>
        <v>0</v>
      </c>
      <c r="BB19" s="10">
        <f t="shared" si="21"/>
        <v>0</v>
      </c>
      <c r="BC19" s="10">
        <f t="shared" si="43"/>
        <v>40245.440000000002</v>
      </c>
      <c r="BD19" s="10">
        <f t="shared" si="22"/>
        <v>88.949162611746075</v>
      </c>
      <c r="BE19" s="10">
        <f t="shared" si="44"/>
        <v>418552.576</v>
      </c>
      <c r="BF19" s="10">
        <f t="shared" si="23"/>
        <v>88.666516672075105</v>
      </c>
      <c r="BG19" s="100"/>
      <c r="BH19" s="10">
        <f t="shared" si="24"/>
        <v>0</v>
      </c>
      <c r="BI19" s="10">
        <f t="shared" si="45"/>
        <v>0</v>
      </c>
      <c r="BJ19" s="10">
        <f t="shared" si="25"/>
        <v>0</v>
      </c>
      <c r="BK19" s="10">
        <f t="shared" si="26"/>
        <v>45245.440000000002</v>
      </c>
      <c r="BL19" s="10">
        <f t="shared" si="46"/>
        <v>472052.576</v>
      </c>
      <c r="BM19" s="508">
        <f t="shared" si="27"/>
        <v>1.161628754813864</v>
      </c>
      <c r="BN19" s="10">
        <f t="shared" si="28"/>
        <v>1.1066395101321256</v>
      </c>
    </row>
    <row r="20" spans="1:75">
      <c r="A20" s="16">
        <f>+Chem!A19</f>
        <v>45880</v>
      </c>
      <c r="B20" s="6" t="str">
        <f>+Chem!B19</f>
        <v>Facial</v>
      </c>
      <c r="C20" s="572" t="str">
        <f>+Chem!C19</f>
        <v>12/13</v>
      </c>
      <c r="D20" s="8">
        <f>+Chem!D19</f>
        <v>39.256</v>
      </c>
      <c r="E20" s="7">
        <f>+Chem!E19</f>
        <v>40.588999999999999</v>
      </c>
      <c r="F20" s="7">
        <f t="shared" si="29"/>
        <v>467.15299999999996</v>
      </c>
      <c r="G20" s="100">
        <f>20.5*G7</f>
        <v>5125</v>
      </c>
      <c r="H20" s="10">
        <f t="shared" si="0"/>
        <v>11.050837388253933</v>
      </c>
      <c r="I20" s="8">
        <f t="shared" si="30"/>
        <v>58625</v>
      </c>
      <c r="J20" s="10">
        <f t="shared" si="1"/>
        <v>11.308198964860679</v>
      </c>
      <c r="K20" s="100"/>
      <c r="L20" s="10">
        <f t="shared" si="2"/>
        <v>0</v>
      </c>
      <c r="M20" s="10">
        <f t="shared" si="31"/>
        <v>0</v>
      </c>
      <c r="N20" s="10">
        <f t="shared" si="3"/>
        <v>0</v>
      </c>
      <c r="O20" s="100"/>
      <c r="P20" s="10">
        <f t="shared" si="4"/>
        <v>0</v>
      </c>
      <c r="Q20" s="10">
        <f t="shared" si="32"/>
        <v>0</v>
      </c>
      <c r="R20" s="10">
        <f t="shared" si="5"/>
        <v>0</v>
      </c>
      <c r="S20" s="10">
        <f t="shared" si="33"/>
        <v>5125</v>
      </c>
      <c r="T20" s="10">
        <f t="shared" si="6"/>
        <v>11.050837388253933</v>
      </c>
      <c r="U20" s="10">
        <f t="shared" si="34"/>
        <v>58625</v>
      </c>
      <c r="V20" s="10">
        <f t="shared" si="7"/>
        <v>11.308198964860679</v>
      </c>
      <c r="W20" s="100"/>
      <c r="X20" s="10"/>
      <c r="Y20" s="10"/>
      <c r="Z20" s="10"/>
      <c r="AA20" s="100"/>
      <c r="AB20" s="10">
        <f t="shared" si="8"/>
        <v>0</v>
      </c>
      <c r="AC20" s="10">
        <f t="shared" si="35"/>
        <v>0</v>
      </c>
      <c r="AD20" s="10">
        <f t="shared" si="9"/>
        <v>0</v>
      </c>
      <c r="AE20" s="100"/>
      <c r="AF20" s="10">
        <f t="shared" si="10"/>
        <v>0</v>
      </c>
      <c r="AG20" s="10">
        <f t="shared" si="36"/>
        <v>0</v>
      </c>
      <c r="AH20" s="10">
        <f t="shared" si="11"/>
        <v>0</v>
      </c>
      <c r="AI20" s="100"/>
      <c r="AJ20" s="10">
        <f t="shared" si="12"/>
        <v>0</v>
      </c>
      <c r="AK20" s="10">
        <f t="shared" si="37"/>
        <v>0</v>
      </c>
      <c r="AL20" s="10">
        <f t="shared" si="13"/>
        <v>0</v>
      </c>
      <c r="AM20" s="10">
        <f t="shared" si="38"/>
        <v>0</v>
      </c>
      <c r="AN20" s="10">
        <f t="shared" si="14"/>
        <v>0</v>
      </c>
      <c r="AO20" s="10">
        <f t="shared" si="39"/>
        <v>0</v>
      </c>
      <c r="AP20" s="10">
        <f t="shared" si="15"/>
        <v>0</v>
      </c>
      <c r="AQ20" s="100">
        <f>164*AQ7</f>
        <v>41251.576000000001</v>
      </c>
      <c r="AR20" s="10">
        <f t="shared" si="16"/>
        <v>88.949162611746075</v>
      </c>
      <c r="AS20" s="10">
        <f t="shared" si="40"/>
        <v>459804.152</v>
      </c>
      <c r="AT20" s="10">
        <f t="shared" si="17"/>
        <v>88.691801035139321</v>
      </c>
      <c r="AU20" s="100"/>
      <c r="AV20" s="10">
        <f t="shared" si="18"/>
        <v>0</v>
      </c>
      <c r="AW20" s="10">
        <f t="shared" si="41"/>
        <v>0</v>
      </c>
      <c r="AX20" s="10">
        <f t="shared" si="19"/>
        <v>0</v>
      </c>
      <c r="AY20" s="100"/>
      <c r="AZ20" s="15">
        <f t="shared" si="20"/>
        <v>0</v>
      </c>
      <c r="BA20" s="10">
        <f t="shared" si="42"/>
        <v>0</v>
      </c>
      <c r="BB20" s="10">
        <f t="shared" si="21"/>
        <v>0</v>
      </c>
      <c r="BC20" s="10">
        <f t="shared" si="43"/>
        <v>41251.576000000001</v>
      </c>
      <c r="BD20" s="10">
        <f t="shared" si="22"/>
        <v>88.949162611746075</v>
      </c>
      <c r="BE20" s="10">
        <f t="shared" si="44"/>
        <v>459804.152</v>
      </c>
      <c r="BF20" s="10">
        <f t="shared" si="23"/>
        <v>88.691801035139321</v>
      </c>
      <c r="BG20" s="100"/>
      <c r="BH20" s="10">
        <f t="shared" si="24"/>
        <v>0</v>
      </c>
      <c r="BI20" s="10">
        <f t="shared" si="45"/>
        <v>0</v>
      </c>
      <c r="BJ20" s="10">
        <f t="shared" si="25"/>
        <v>0</v>
      </c>
      <c r="BK20" s="10">
        <f t="shared" si="26"/>
        <v>46376.576000000001</v>
      </c>
      <c r="BL20" s="10">
        <f t="shared" si="46"/>
        <v>518429.152</v>
      </c>
      <c r="BM20" s="508">
        <f t="shared" si="27"/>
        <v>1.1425897657000665</v>
      </c>
      <c r="BN20" s="10">
        <f t="shared" si="28"/>
        <v>1.1097630797618769</v>
      </c>
    </row>
    <row r="21" spans="1:75">
      <c r="A21" s="16">
        <f>+Chem!A20</f>
        <v>45881</v>
      </c>
      <c r="B21" s="6" t="str">
        <f>+Chem!B20</f>
        <v>Facial</v>
      </c>
      <c r="C21" s="572" t="str">
        <f>+Chem!C20</f>
        <v>13/12</v>
      </c>
      <c r="D21" s="8">
        <f>+Chem!D20</f>
        <v>43.347999999999999</v>
      </c>
      <c r="E21" s="7">
        <f>+Chem!E20</f>
        <v>41.244999999999997</v>
      </c>
      <c r="F21" s="7">
        <f t="shared" si="29"/>
        <v>508.39799999999997</v>
      </c>
      <c r="G21" s="100">
        <f>24*G7</f>
        <v>6000</v>
      </c>
      <c r="H21" s="10">
        <f t="shared" si="0"/>
        <v>13.18946905308713</v>
      </c>
      <c r="I21" s="8">
        <f t="shared" si="30"/>
        <v>64625</v>
      </c>
      <c r="J21" s="10">
        <f t="shared" si="1"/>
        <v>11.459959062632272</v>
      </c>
      <c r="K21" s="100"/>
      <c r="L21" s="10">
        <f t="shared" si="2"/>
        <v>0</v>
      </c>
      <c r="M21" s="10">
        <f t="shared" si="31"/>
        <v>0</v>
      </c>
      <c r="N21" s="10">
        <f t="shared" si="3"/>
        <v>0</v>
      </c>
      <c r="O21" s="100"/>
      <c r="P21" s="10">
        <f t="shared" si="4"/>
        <v>0</v>
      </c>
      <c r="Q21" s="10">
        <f t="shared" si="32"/>
        <v>0</v>
      </c>
      <c r="R21" s="10">
        <f t="shared" si="5"/>
        <v>0</v>
      </c>
      <c r="S21" s="10">
        <f t="shared" si="33"/>
        <v>6000</v>
      </c>
      <c r="T21" s="10">
        <f t="shared" si="6"/>
        <v>13.18946905308713</v>
      </c>
      <c r="U21" s="10">
        <f t="shared" si="34"/>
        <v>64625</v>
      </c>
      <c r="V21" s="10">
        <f t="shared" si="7"/>
        <v>11.459959062632272</v>
      </c>
      <c r="W21" s="100"/>
      <c r="X21" s="10"/>
      <c r="Y21" s="10"/>
      <c r="Z21" s="10"/>
      <c r="AA21" s="100"/>
      <c r="AB21" s="10">
        <f t="shared" si="8"/>
        <v>0</v>
      </c>
      <c r="AC21" s="10">
        <f t="shared" si="35"/>
        <v>0</v>
      </c>
      <c r="AD21" s="10">
        <f t="shared" si="9"/>
        <v>0</v>
      </c>
      <c r="AE21" s="100"/>
      <c r="AF21" s="10">
        <f t="shared" si="10"/>
        <v>0</v>
      </c>
      <c r="AG21" s="10">
        <f t="shared" si="36"/>
        <v>0</v>
      </c>
      <c r="AH21" s="10">
        <f t="shared" si="11"/>
        <v>0</v>
      </c>
      <c r="AI21" s="100"/>
      <c r="AJ21" s="10">
        <f t="shared" si="12"/>
        <v>0</v>
      </c>
      <c r="AK21" s="10">
        <f t="shared" si="37"/>
        <v>0</v>
      </c>
      <c r="AL21" s="10">
        <f t="shared" si="13"/>
        <v>0</v>
      </c>
      <c r="AM21" s="10">
        <f t="shared" si="38"/>
        <v>0</v>
      </c>
      <c r="AN21" s="10">
        <f t="shared" si="14"/>
        <v>0</v>
      </c>
      <c r="AO21" s="10">
        <f t="shared" si="39"/>
        <v>0</v>
      </c>
      <c r="AP21" s="10">
        <f t="shared" si="15"/>
        <v>0</v>
      </c>
      <c r="AQ21" s="100">
        <f>157*AQ7</f>
        <v>39490.837999999996</v>
      </c>
      <c r="AR21" s="10">
        <f t="shared" si="16"/>
        <v>86.810530946912863</v>
      </c>
      <c r="AS21" s="10">
        <f t="shared" si="40"/>
        <v>499294.99</v>
      </c>
      <c r="AT21" s="10">
        <f t="shared" si="17"/>
        <v>88.540040937367721</v>
      </c>
      <c r="AU21" s="100"/>
      <c r="AV21" s="10">
        <f t="shared" si="18"/>
        <v>0</v>
      </c>
      <c r="AW21" s="10">
        <f t="shared" si="41"/>
        <v>0</v>
      </c>
      <c r="AX21" s="10">
        <f t="shared" si="19"/>
        <v>0</v>
      </c>
      <c r="AY21" s="100"/>
      <c r="AZ21" s="15">
        <f t="shared" si="20"/>
        <v>0</v>
      </c>
      <c r="BA21" s="10">
        <f t="shared" si="42"/>
        <v>0</v>
      </c>
      <c r="BB21" s="10">
        <f t="shared" si="21"/>
        <v>0</v>
      </c>
      <c r="BC21" s="10">
        <f t="shared" si="43"/>
        <v>39490.837999999996</v>
      </c>
      <c r="BD21" s="10">
        <f t="shared" si="22"/>
        <v>86.810530946912863</v>
      </c>
      <c r="BE21" s="10">
        <f t="shared" si="44"/>
        <v>499294.99</v>
      </c>
      <c r="BF21" s="10">
        <f t="shared" si="23"/>
        <v>88.540040937367721</v>
      </c>
      <c r="BG21" s="100"/>
      <c r="BH21" s="10">
        <f t="shared" si="24"/>
        <v>0</v>
      </c>
      <c r="BI21" s="10">
        <f t="shared" si="45"/>
        <v>0</v>
      </c>
      <c r="BJ21" s="10">
        <f t="shared" si="25"/>
        <v>0</v>
      </c>
      <c r="BK21" s="10">
        <f t="shared" si="26"/>
        <v>45490.837999999996</v>
      </c>
      <c r="BL21" s="10">
        <f t="shared" si="46"/>
        <v>563919.99</v>
      </c>
      <c r="BM21" s="508">
        <f t="shared" si="27"/>
        <v>1.1029418838647109</v>
      </c>
      <c r="BN21" s="10">
        <f t="shared" si="28"/>
        <v>1.1092096939799134</v>
      </c>
      <c r="BR21" s="14"/>
      <c r="BS21" s="14"/>
      <c r="BV21" s="14"/>
      <c r="BW21" s="14"/>
    </row>
    <row r="22" spans="1:75">
      <c r="A22" s="16">
        <f>+Chem!A21</f>
        <v>45882</v>
      </c>
      <c r="B22" s="6" t="str">
        <f>+Chem!B21</f>
        <v>Facial</v>
      </c>
      <c r="C22" s="572" t="str">
        <f>+Chem!C21</f>
        <v>13/12</v>
      </c>
      <c r="D22" s="8">
        <f>+Chem!D21</f>
        <v>44.685000000000002</v>
      </c>
      <c r="E22" s="7">
        <f>+Chem!E21</f>
        <v>44.634999999999998</v>
      </c>
      <c r="F22" s="7">
        <f t="shared" si="29"/>
        <v>553.03300000000002</v>
      </c>
      <c r="G22" s="100">
        <f>21*G7</f>
        <v>5250</v>
      </c>
      <c r="H22" s="10">
        <f t="shared" si="0"/>
        <v>11.050837388253933</v>
      </c>
      <c r="I22" s="8">
        <f t="shared" si="30"/>
        <v>69875</v>
      </c>
      <c r="J22" s="10">
        <f t="shared" si="1"/>
        <v>11.428170456038643</v>
      </c>
      <c r="K22" s="100"/>
      <c r="L22" s="10">
        <f t="shared" si="2"/>
        <v>0</v>
      </c>
      <c r="M22" s="10">
        <f t="shared" si="31"/>
        <v>0</v>
      </c>
      <c r="N22" s="10">
        <f t="shared" si="3"/>
        <v>0</v>
      </c>
      <c r="O22" s="100"/>
      <c r="P22" s="10">
        <f t="shared" si="4"/>
        <v>0</v>
      </c>
      <c r="Q22" s="10">
        <f t="shared" si="32"/>
        <v>0</v>
      </c>
      <c r="R22" s="10">
        <f t="shared" si="5"/>
        <v>0</v>
      </c>
      <c r="S22" s="10">
        <f t="shared" si="33"/>
        <v>5250</v>
      </c>
      <c r="T22" s="10">
        <f t="shared" si="6"/>
        <v>11.050837388253933</v>
      </c>
      <c r="U22" s="10">
        <f t="shared" si="34"/>
        <v>69875</v>
      </c>
      <c r="V22" s="10">
        <f t="shared" si="7"/>
        <v>11.428170456038643</v>
      </c>
      <c r="W22" s="100"/>
      <c r="X22" s="10"/>
      <c r="Y22" s="10"/>
      <c r="Z22" s="10"/>
      <c r="AA22" s="100"/>
      <c r="AB22" s="10">
        <f t="shared" si="8"/>
        <v>0</v>
      </c>
      <c r="AC22" s="10">
        <f t="shared" si="35"/>
        <v>0</v>
      </c>
      <c r="AD22" s="10">
        <f t="shared" si="9"/>
        <v>0</v>
      </c>
      <c r="AE22" s="100"/>
      <c r="AF22" s="10">
        <f t="shared" si="10"/>
        <v>0</v>
      </c>
      <c r="AG22" s="10">
        <f t="shared" si="36"/>
        <v>0</v>
      </c>
      <c r="AH22" s="10">
        <f t="shared" si="11"/>
        <v>0</v>
      </c>
      <c r="AI22" s="100"/>
      <c r="AJ22" s="10">
        <f t="shared" si="12"/>
        <v>0</v>
      </c>
      <c r="AK22" s="10">
        <f t="shared" si="37"/>
        <v>0</v>
      </c>
      <c r="AL22" s="10">
        <f t="shared" si="13"/>
        <v>0</v>
      </c>
      <c r="AM22" s="10">
        <f t="shared" si="38"/>
        <v>0</v>
      </c>
      <c r="AN22" s="10">
        <f t="shared" si="14"/>
        <v>0</v>
      </c>
      <c r="AO22" s="10">
        <f t="shared" si="39"/>
        <v>0</v>
      </c>
      <c r="AP22" s="10">
        <f t="shared" si="15"/>
        <v>0</v>
      </c>
      <c r="AQ22" s="100">
        <f>168*AQ7</f>
        <v>42257.712</v>
      </c>
      <c r="AR22" s="10">
        <f t="shared" si="16"/>
        <v>88.949162611746075</v>
      </c>
      <c r="AS22" s="10">
        <f t="shared" si="40"/>
        <v>541552.70200000005</v>
      </c>
      <c r="AT22" s="10">
        <f t="shared" si="17"/>
        <v>88.571829543961357</v>
      </c>
      <c r="AU22" s="100"/>
      <c r="AV22" s="10">
        <f t="shared" si="18"/>
        <v>0</v>
      </c>
      <c r="AW22" s="10">
        <f t="shared" si="41"/>
        <v>0</v>
      </c>
      <c r="AX22" s="10">
        <f t="shared" si="19"/>
        <v>0</v>
      </c>
      <c r="AY22" s="100"/>
      <c r="AZ22" s="15">
        <f t="shared" si="20"/>
        <v>0</v>
      </c>
      <c r="BA22" s="10">
        <f t="shared" si="42"/>
        <v>0</v>
      </c>
      <c r="BB22" s="10">
        <f t="shared" si="21"/>
        <v>0</v>
      </c>
      <c r="BC22" s="10">
        <f t="shared" si="43"/>
        <v>42257.712</v>
      </c>
      <c r="BD22" s="10">
        <f t="shared" si="22"/>
        <v>88.949162611746075</v>
      </c>
      <c r="BE22" s="10">
        <f t="shared" si="44"/>
        <v>541552.70200000005</v>
      </c>
      <c r="BF22" s="10">
        <f t="shared" si="23"/>
        <v>88.571829543961357</v>
      </c>
      <c r="BG22" s="100"/>
      <c r="BH22" s="10">
        <f t="shared" si="24"/>
        <v>0</v>
      </c>
      <c r="BI22" s="10">
        <f t="shared" si="45"/>
        <v>0</v>
      </c>
      <c r="BJ22" s="10">
        <f t="shared" si="25"/>
        <v>0</v>
      </c>
      <c r="BK22" s="10">
        <f t="shared" si="26"/>
        <v>47507.712</v>
      </c>
      <c r="BL22" s="10">
        <f t="shared" si="46"/>
        <v>611427.70200000005</v>
      </c>
      <c r="BM22" s="508">
        <f t="shared" si="27"/>
        <v>1.0643600761734064</v>
      </c>
      <c r="BN22" s="10">
        <f t="shared" si="28"/>
        <v>1.1055899051232025</v>
      </c>
      <c r="BR22" s="14"/>
      <c r="BS22" s="14"/>
      <c r="BV22" s="14"/>
      <c r="BW22" s="14"/>
    </row>
    <row r="23" spans="1:75">
      <c r="A23" s="16">
        <f>+Chem!A22</f>
        <v>45883</v>
      </c>
      <c r="B23" s="6" t="str">
        <f>+Chem!B22</f>
        <v>Facial</v>
      </c>
      <c r="C23" s="572" t="str">
        <f>+Chem!C22</f>
        <v>13/12,5</v>
      </c>
      <c r="D23" s="8">
        <f>+Chem!D22</f>
        <v>43.694000000000003</v>
      </c>
      <c r="E23" s="7">
        <f>+Chem!E22</f>
        <v>42.045999999999999</v>
      </c>
      <c r="F23" s="7">
        <f t="shared" si="29"/>
        <v>595.07900000000006</v>
      </c>
      <c r="G23" s="100">
        <f>15*G7</f>
        <v>3750</v>
      </c>
      <c r="H23" s="10">
        <f t="shared" si="0"/>
        <v>11.050837388253932</v>
      </c>
      <c r="I23" s="8">
        <f t="shared" si="30"/>
        <v>73625</v>
      </c>
      <c r="J23" s="10">
        <f t="shared" si="1"/>
        <v>11.408329723497634</v>
      </c>
      <c r="K23" s="100"/>
      <c r="L23" s="10">
        <f t="shared" si="2"/>
        <v>0</v>
      </c>
      <c r="M23" s="10">
        <f t="shared" si="31"/>
        <v>0</v>
      </c>
      <c r="N23" s="10">
        <f t="shared" si="3"/>
        <v>0</v>
      </c>
      <c r="O23" s="100"/>
      <c r="P23" s="10">
        <f t="shared" si="4"/>
        <v>0</v>
      </c>
      <c r="Q23" s="10">
        <f t="shared" si="32"/>
        <v>0</v>
      </c>
      <c r="R23" s="10">
        <f t="shared" si="5"/>
        <v>0</v>
      </c>
      <c r="S23" s="10">
        <f t="shared" si="33"/>
        <v>3750</v>
      </c>
      <c r="T23" s="10">
        <f t="shared" si="6"/>
        <v>11.050837388253932</v>
      </c>
      <c r="U23" s="10">
        <f t="shared" si="34"/>
        <v>73625</v>
      </c>
      <c r="V23" s="10">
        <f t="shared" si="7"/>
        <v>11.408329723497634</v>
      </c>
      <c r="W23" s="100"/>
      <c r="X23" s="10"/>
      <c r="Y23" s="10"/>
      <c r="Z23" s="10"/>
      <c r="AA23" s="100"/>
      <c r="AB23" s="10">
        <f t="shared" si="8"/>
        <v>0</v>
      </c>
      <c r="AC23" s="10">
        <f t="shared" si="35"/>
        <v>0</v>
      </c>
      <c r="AD23" s="10">
        <f t="shared" si="9"/>
        <v>0</v>
      </c>
      <c r="AE23" s="100"/>
      <c r="AF23" s="10">
        <f t="shared" si="10"/>
        <v>0</v>
      </c>
      <c r="AG23" s="10">
        <f t="shared" si="36"/>
        <v>0</v>
      </c>
      <c r="AH23" s="10">
        <f t="shared" si="11"/>
        <v>0</v>
      </c>
      <c r="AI23" s="100"/>
      <c r="AJ23" s="10">
        <f t="shared" si="12"/>
        <v>0</v>
      </c>
      <c r="AK23" s="10">
        <f t="shared" si="37"/>
        <v>0</v>
      </c>
      <c r="AL23" s="10">
        <f t="shared" si="13"/>
        <v>0</v>
      </c>
      <c r="AM23" s="10">
        <f t="shared" si="38"/>
        <v>0</v>
      </c>
      <c r="AN23" s="10">
        <f t="shared" si="14"/>
        <v>0</v>
      </c>
      <c r="AO23" s="10">
        <f t="shared" si="39"/>
        <v>0</v>
      </c>
      <c r="AP23" s="10">
        <f t="shared" si="15"/>
        <v>0</v>
      </c>
      <c r="AQ23" s="100">
        <f>120*AQ7</f>
        <v>30184.079999999998</v>
      </c>
      <c r="AR23" s="10">
        <f t="shared" si="16"/>
        <v>88.949162611746061</v>
      </c>
      <c r="AS23" s="10">
        <f t="shared" si="40"/>
        <v>571736.78200000001</v>
      </c>
      <c r="AT23" s="10">
        <f t="shared" si="17"/>
        <v>88.59167027650237</v>
      </c>
      <c r="AU23" s="100"/>
      <c r="AV23" s="10">
        <f t="shared" si="18"/>
        <v>0</v>
      </c>
      <c r="AW23" s="10">
        <f t="shared" si="41"/>
        <v>0</v>
      </c>
      <c r="AX23" s="10">
        <f t="shared" si="19"/>
        <v>0</v>
      </c>
      <c r="AY23" s="100"/>
      <c r="AZ23" s="15">
        <f t="shared" si="20"/>
        <v>0</v>
      </c>
      <c r="BA23" s="10">
        <f t="shared" si="42"/>
        <v>0</v>
      </c>
      <c r="BB23" s="10">
        <f t="shared" si="21"/>
        <v>0</v>
      </c>
      <c r="BC23" s="10">
        <f t="shared" si="43"/>
        <v>30184.079999999998</v>
      </c>
      <c r="BD23" s="10">
        <f t="shared" si="22"/>
        <v>88.949162611746061</v>
      </c>
      <c r="BE23" s="10">
        <f t="shared" si="44"/>
        <v>571736.78200000001</v>
      </c>
      <c r="BF23" s="10">
        <f t="shared" si="23"/>
        <v>88.59167027650237</v>
      </c>
      <c r="BG23" s="100"/>
      <c r="BH23" s="10">
        <f t="shared" si="24"/>
        <v>0</v>
      </c>
      <c r="BI23" s="10">
        <f t="shared" si="45"/>
        <v>0</v>
      </c>
      <c r="BJ23" s="10">
        <f t="shared" si="25"/>
        <v>0</v>
      </c>
      <c r="BK23" s="10">
        <f t="shared" si="26"/>
        <v>33934.080000000002</v>
      </c>
      <c r="BL23" s="10">
        <f t="shared" si="46"/>
        <v>645361.78200000001</v>
      </c>
      <c r="BM23" s="508">
        <f t="shared" si="27"/>
        <v>0.80707035151976414</v>
      </c>
      <c r="BN23" s="10">
        <f t="shared" si="28"/>
        <v>1.0844976582941088</v>
      </c>
      <c r="BV23" s="14"/>
      <c r="BW23" s="14"/>
    </row>
    <row r="24" spans="1:75">
      <c r="A24" s="16">
        <f>+Chem!A23</f>
        <v>45884</v>
      </c>
      <c r="B24" s="6" t="str">
        <f>+Chem!B23</f>
        <v>Facial</v>
      </c>
      <c r="C24" s="572" t="str">
        <f>+Chem!C23</f>
        <v>13,5</v>
      </c>
      <c r="D24" s="8">
        <f>+Chem!D23</f>
        <v>46.213000000000001</v>
      </c>
      <c r="E24" s="7">
        <f>+Chem!E23</f>
        <v>44.924999999999997</v>
      </c>
      <c r="F24" s="7">
        <f t="shared" si="29"/>
        <v>640.00400000000002</v>
      </c>
      <c r="G24" s="100">
        <f>21.5*G7</f>
        <v>5375</v>
      </c>
      <c r="H24" s="10">
        <f t="shared" si="0"/>
        <v>11.050837388253933</v>
      </c>
      <c r="I24" s="8">
        <f t="shared" si="30"/>
        <v>79000</v>
      </c>
      <c r="J24" s="10">
        <f t="shared" si="1"/>
        <v>11.383274969073156</v>
      </c>
      <c r="K24" s="100"/>
      <c r="L24" s="10">
        <f t="shared" si="2"/>
        <v>0</v>
      </c>
      <c r="M24" s="10">
        <f t="shared" si="31"/>
        <v>0</v>
      </c>
      <c r="N24" s="10">
        <f t="shared" si="3"/>
        <v>0</v>
      </c>
      <c r="O24" s="100"/>
      <c r="P24" s="10">
        <f t="shared" si="4"/>
        <v>0</v>
      </c>
      <c r="Q24" s="10">
        <f t="shared" si="32"/>
        <v>0</v>
      </c>
      <c r="R24" s="10">
        <f t="shared" si="5"/>
        <v>0</v>
      </c>
      <c r="S24" s="10">
        <f t="shared" si="33"/>
        <v>5375</v>
      </c>
      <c r="T24" s="10">
        <f t="shared" si="6"/>
        <v>11.050837388253933</v>
      </c>
      <c r="U24" s="10">
        <f t="shared" si="34"/>
        <v>79000</v>
      </c>
      <c r="V24" s="10">
        <f t="shared" si="7"/>
        <v>11.383274969073156</v>
      </c>
      <c r="W24" s="100"/>
      <c r="X24" s="10"/>
      <c r="Y24" s="10"/>
      <c r="Z24" s="10"/>
      <c r="AA24" s="100"/>
      <c r="AB24" s="10">
        <f t="shared" si="8"/>
        <v>0</v>
      </c>
      <c r="AC24" s="10">
        <f t="shared" si="35"/>
        <v>0</v>
      </c>
      <c r="AD24" s="10">
        <f t="shared" si="9"/>
        <v>0</v>
      </c>
      <c r="AE24" s="100"/>
      <c r="AF24" s="10">
        <f t="shared" si="10"/>
        <v>0</v>
      </c>
      <c r="AG24" s="10">
        <f t="shared" si="36"/>
        <v>0</v>
      </c>
      <c r="AH24" s="10">
        <f t="shared" si="11"/>
        <v>0</v>
      </c>
      <c r="AI24" s="100"/>
      <c r="AJ24" s="10">
        <f t="shared" si="12"/>
        <v>0</v>
      </c>
      <c r="AK24" s="10">
        <f t="shared" si="37"/>
        <v>0</v>
      </c>
      <c r="AL24" s="10">
        <f t="shared" si="13"/>
        <v>0</v>
      </c>
      <c r="AM24" s="10">
        <f t="shared" si="38"/>
        <v>0</v>
      </c>
      <c r="AN24" s="10">
        <f t="shared" si="14"/>
        <v>0</v>
      </c>
      <c r="AO24" s="10">
        <f t="shared" si="39"/>
        <v>0</v>
      </c>
      <c r="AP24" s="10">
        <f t="shared" si="15"/>
        <v>0</v>
      </c>
      <c r="AQ24" s="100">
        <f>172*AQ7</f>
        <v>43263.847999999998</v>
      </c>
      <c r="AR24" s="10">
        <f t="shared" si="16"/>
        <v>88.949162611746075</v>
      </c>
      <c r="AS24" s="10">
        <f t="shared" si="40"/>
        <v>615000.63</v>
      </c>
      <c r="AT24" s="10">
        <f t="shared" si="17"/>
        <v>88.616725030926844</v>
      </c>
      <c r="AU24" s="100"/>
      <c r="AV24" s="10">
        <f t="shared" si="18"/>
        <v>0</v>
      </c>
      <c r="AW24" s="10">
        <f t="shared" si="41"/>
        <v>0</v>
      </c>
      <c r="AX24" s="10">
        <f t="shared" si="19"/>
        <v>0</v>
      </c>
      <c r="AY24" s="100"/>
      <c r="AZ24" s="15">
        <f t="shared" si="20"/>
        <v>0</v>
      </c>
      <c r="BA24" s="10">
        <f t="shared" si="42"/>
        <v>0</v>
      </c>
      <c r="BB24" s="10">
        <f t="shared" si="21"/>
        <v>0</v>
      </c>
      <c r="BC24" s="10">
        <f t="shared" si="43"/>
        <v>43263.847999999998</v>
      </c>
      <c r="BD24" s="10">
        <f t="shared" si="22"/>
        <v>88.949162611746075</v>
      </c>
      <c r="BE24" s="10">
        <f t="shared" si="44"/>
        <v>615000.63</v>
      </c>
      <c r="BF24" s="10">
        <f t="shared" si="23"/>
        <v>88.616725030926844</v>
      </c>
      <c r="BG24" s="100"/>
      <c r="BH24" s="10">
        <f t="shared" si="24"/>
        <v>0</v>
      </c>
      <c r="BI24" s="10">
        <f t="shared" si="45"/>
        <v>0</v>
      </c>
      <c r="BJ24" s="10">
        <f t="shared" si="25"/>
        <v>0</v>
      </c>
      <c r="BK24" s="10">
        <f t="shared" si="26"/>
        <v>48638.847999999998</v>
      </c>
      <c r="BL24" s="10">
        <f t="shared" si="46"/>
        <v>694000.63</v>
      </c>
      <c r="BM24" s="508">
        <f t="shared" si="27"/>
        <v>1.082667735114079</v>
      </c>
      <c r="BN24" s="10">
        <f t="shared" si="28"/>
        <v>1.0843692070674558</v>
      </c>
      <c r="BV24" s="14"/>
      <c r="BW24" s="14"/>
    </row>
    <row r="25" spans="1:75">
      <c r="A25" s="16">
        <f>+Chem!A24</f>
        <v>45885</v>
      </c>
      <c r="B25" s="6" t="str">
        <f>+Chem!B24</f>
        <v>Facial</v>
      </c>
      <c r="C25" s="572" t="str">
        <f>+Chem!C24</f>
        <v>13,5</v>
      </c>
      <c r="D25" s="8">
        <f>+Chem!D24</f>
        <v>47.757999999999996</v>
      </c>
      <c r="E25" s="7">
        <f>+Chem!E24</f>
        <v>45.956000000000003</v>
      </c>
      <c r="F25" s="7">
        <f t="shared" si="29"/>
        <v>685.96</v>
      </c>
      <c r="G25" s="100">
        <f>22.5*G7</f>
        <v>5625</v>
      </c>
      <c r="H25" s="10">
        <f t="shared" si="0"/>
        <v>11.050837388253933</v>
      </c>
      <c r="I25" s="8">
        <f t="shared" si="30"/>
        <v>84625</v>
      </c>
      <c r="J25" s="10">
        <f t="shared" si="1"/>
        <v>11.360558624006455</v>
      </c>
      <c r="K25" s="100"/>
      <c r="L25" s="10">
        <f t="shared" si="2"/>
        <v>0</v>
      </c>
      <c r="M25" s="10">
        <f t="shared" si="31"/>
        <v>0</v>
      </c>
      <c r="N25" s="10">
        <f t="shared" si="3"/>
        <v>0</v>
      </c>
      <c r="O25" s="100"/>
      <c r="P25" s="10">
        <f t="shared" si="4"/>
        <v>0</v>
      </c>
      <c r="Q25" s="10">
        <f t="shared" si="32"/>
        <v>0</v>
      </c>
      <c r="R25" s="10">
        <f t="shared" si="5"/>
        <v>0</v>
      </c>
      <c r="S25" s="10">
        <f t="shared" si="33"/>
        <v>5625</v>
      </c>
      <c r="T25" s="10">
        <f t="shared" si="6"/>
        <v>11.050837388253933</v>
      </c>
      <c r="U25" s="10">
        <f t="shared" si="34"/>
        <v>84625</v>
      </c>
      <c r="V25" s="10">
        <f t="shared" si="7"/>
        <v>11.360558624006455</v>
      </c>
      <c r="W25" s="100"/>
      <c r="X25" s="10"/>
      <c r="Y25" s="10"/>
      <c r="Z25" s="10"/>
      <c r="AA25" s="100"/>
      <c r="AB25" s="10">
        <f t="shared" si="8"/>
        <v>0</v>
      </c>
      <c r="AC25" s="10">
        <f t="shared" si="35"/>
        <v>0</v>
      </c>
      <c r="AD25" s="10">
        <f t="shared" si="9"/>
        <v>0</v>
      </c>
      <c r="AE25" s="100"/>
      <c r="AF25" s="10">
        <f t="shared" si="10"/>
        <v>0</v>
      </c>
      <c r="AG25" s="10">
        <f t="shared" si="36"/>
        <v>0</v>
      </c>
      <c r="AH25" s="10">
        <f t="shared" si="11"/>
        <v>0</v>
      </c>
      <c r="AI25" s="100"/>
      <c r="AJ25" s="10">
        <f t="shared" si="12"/>
        <v>0</v>
      </c>
      <c r="AK25" s="10">
        <f t="shared" si="37"/>
        <v>0</v>
      </c>
      <c r="AL25" s="10">
        <f t="shared" si="13"/>
        <v>0</v>
      </c>
      <c r="AM25" s="10">
        <f t="shared" si="38"/>
        <v>0</v>
      </c>
      <c r="AN25" s="10">
        <f t="shared" si="14"/>
        <v>0</v>
      </c>
      <c r="AO25" s="10">
        <f t="shared" si="39"/>
        <v>0</v>
      </c>
      <c r="AP25" s="10">
        <f t="shared" si="15"/>
        <v>0</v>
      </c>
      <c r="AQ25" s="100">
        <f>180*AQ7</f>
        <v>45276.119999999995</v>
      </c>
      <c r="AR25" s="10">
        <f t="shared" si="16"/>
        <v>88.949162611746075</v>
      </c>
      <c r="AS25" s="10">
        <f t="shared" si="40"/>
        <v>660276.75</v>
      </c>
      <c r="AT25" s="10">
        <f t="shared" si="17"/>
        <v>88.639441375993542</v>
      </c>
      <c r="AU25" s="100"/>
      <c r="AV25" s="10">
        <f t="shared" si="18"/>
        <v>0</v>
      </c>
      <c r="AW25" s="10">
        <f t="shared" si="41"/>
        <v>0</v>
      </c>
      <c r="AX25" s="10">
        <f t="shared" si="19"/>
        <v>0</v>
      </c>
      <c r="AY25" s="100"/>
      <c r="AZ25" s="15">
        <f t="shared" si="20"/>
        <v>0</v>
      </c>
      <c r="BA25" s="10">
        <f t="shared" si="42"/>
        <v>0</v>
      </c>
      <c r="BB25" s="10">
        <f t="shared" si="21"/>
        <v>0</v>
      </c>
      <c r="BC25" s="10">
        <f t="shared" si="43"/>
        <v>45276.119999999995</v>
      </c>
      <c r="BD25" s="10">
        <f t="shared" si="22"/>
        <v>88.949162611746075</v>
      </c>
      <c r="BE25" s="10">
        <f t="shared" si="44"/>
        <v>660276.75</v>
      </c>
      <c r="BF25" s="10">
        <f t="shared" si="23"/>
        <v>88.639441375993542</v>
      </c>
      <c r="BG25" s="100"/>
      <c r="BH25" s="10">
        <f t="shared" si="24"/>
        <v>0</v>
      </c>
      <c r="BI25" s="10">
        <f t="shared" si="45"/>
        <v>0</v>
      </c>
      <c r="BJ25" s="10">
        <f t="shared" si="25"/>
        <v>0</v>
      </c>
      <c r="BK25" s="10">
        <f t="shared" si="26"/>
        <v>50901.119999999995</v>
      </c>
      <c r="BL25" s="10">
        <f t="shared" si="46"/>
        <v>744901.75</v>
      </c>
      <c r="BM25" s="508">
        <f t="shared" si="27"/>
        <v>1.1076055357298284</v>
      </c>
      <c r="BN25" s="10">
        <f t="shared" si="28"/>
        <v>1.0859259286255758</v>
      </c>
      <c r="BV25" s="14"/>
      <c r="BW25" s="14"/>
    </row>
    <row r="26" spans="1:75">
      <c r="A26" s="16">
        <f>+Chem!A25</f>
        <v>45886</v>
      </c>
      <c r="B26" s="6" t="str">
        <f>+Chem!B25</f>
        <v>Facial</v>
      </c>
      <c r="C26" s="572" t="str">
        <f>+Chem!C25</f>
        <v>13,5/12</v>
      </c>
      <c r="D26" s="8">
        <f>+Chem!D25</f>
        <v>44.586999999999996</v>
      </c>
      <c r="E26" s="7">
        <f>+Chem!E25</f>
        <v>43.734999999999999</v>
      </c>
      <c r="F26" s="7">
        <f t="shared" si="29"/>
        <v>729.69500000000005</v>
      </c>
      <c r="G26" s="100">
        <f>22.5*G7</f>
        <v>5625</v>
      </c>
      <c r="H26" s="10">
        <f t="shared" si="0"/>
        <v>11.050837388253933</v>
      </c>
      <c r="I26" s="8">
        <f t="shared" si="30"/>
        <v>90250</v>
      </c>
      <c r="J26" s="10">
        <f t="shared" si="1"/>
        <v>11.34074824334323</v>
      </c>
      <c r="K26" s="100"/>
      <c r="L26" s="10">
        <f t="shared" si="2"/>
        <v>0</v>
      </c>
      <c r="M26" s="10">
        <f t="shared" si="31"/>
        <v>0</v>
      </c>
      <c r="N26" s="10">
        <f t="shared" si="3"/>
        <v>0</v>
      </c>
      <c r="O26" s="100"/>
      <c r="P26" s="10">
        <f t="shared" si="4"/>
        <v>0</v>
      </c>
      <c r="Q26" s="10">
        <f t="shared" si="32"/>
        <v>0</v>
      </c>
      <c r="R26" s="10">
        <f t="shared" si="5"/>
        <v>0</v>
      </c>
      <c r="S26" s="10">
        <f t="shared" si="33"/>
        <v>5625</v>
      </c>
      <c r="T26" s="10">
        <f t="shared" si="6"/>
        <v>11.050837388253933</v>
      </c>
      <c r="U26" s="10">
        <f t="shared" si="34"/>
        <v>90250</v>
      </c>
      <c r="V26" s="10">
        <f t="shared" si="7"/>
        <v>11.34074824334323</v>
      </c>
      <c r="W26" s="100"/>
      <c r="X26" s="10"/>
      <c r="Y26" s="10"/>
      <c r="Z26" s="10"/>
      <c r="AA26" s="100"/>
      <c r="AB26" s="10">
        <f t="shared" si="8"/>
        <v>0</v>
      </c>
      <c r="AC26" s="10">
        <f t="shared" si="35"/>
        <v>0</v>
      </c>
      <c r="AD26" s="10">
        <f t="shared" si="9"/>
        <v>0</v>
      </c>
      <c r="AE26" s="100"/>
      <c r="AF26" s="10">
        <f t="shared" si="10"/>
        <v>0</v>
      </c>
      <c r="AG26" s="10">
        <f t="shared" si="36"/>
        <v>0</v>
      </c>
      <c r="AH26" s="10">
        <f t="shared" si="11"/>
        <v>0</v>
      </c>
      <c r="AI26" s="100"/>
      <c r="AJ26" s="10">
        <f t="shared" si="12"/>
        <v>0</v>
      </c>
      <c r="AK26" s="10">
        <f t="shared" si="37"/>
        <v>0</v>
      </c>
      <c r="AL26" s="10">
        <f t="shared" si="13"/>
        <v>0</v>
      </c>
      <c r="AM26" s="10">
        <f t="shared" si="38"/>
        <v>0</v>
      </c>
      <c r="AN26" s="10">
        <f t="shared" si="14"/>
        <v>0</v>
      </c>
      <c r="AO26" s="10">
        <f t="shared" si="39"/>
        <v>0</v>
      </c>
      <c r="AP26" s="10">
        <f t="shared" si="15"/>
        <v>0</v>
      </c>
      <c r="AQ26" s="100">
        <f>180*AQ7</f>
        <v>45276.119999999995</v>
      </c>
      <c r="AR26" s="10">
        <f t="shared" si="16"/>
        <v>88.949162611746075</v>
      </c>
      <c r="AS26" s="10">
        <f t="shared" si="40"/>
        <v>705552.87</v>
      </c>
      <c r="AT26" s="10">
        <f t="shared" si="17"/>
        <v>88.659251756656772</v>
      </c>
      <c r="AU26" s="100"/>
      <c r="AV26" s="10">
        <f t="shared" si="18"/>
        <v>0</v>
      </c>
      <c r="AW26" s="10">
        <f t="shared" si="41"/>
        <v>0</v>
      </c>
      <c r="AX26" s="10">
        <f t="shared" si="19"/>
        <v>0</v>
      </c>
      <c r="AY26" s="100"/>
      <c r="AZ26" s="15">
        <f t="shared" si="20"/>
        <v>0</v>
      </c>
      <c r="BA26" s="10">
        <f t="shared" si="42"/>
        <v>0</v>
      </c>
      <c r="BB26" s="10">
        <f t="shared" si="21"/>
        <v>0</v>
      </c>
      <c r="BC26" s="10">
        <f t="shared" si="43"/>
        <v>45276.119999999995</v>
      </c>
      <c r="BD26" s="10">
        <f t="shared" si="22"/>
        <v>88.949162611746075</v>
      </c>
      <c r="BE26" s="10">
        <f t="shared" si="44"/>
        <v>705552.87</v>
      </c>
      <c r="BF26" s="10">
        <f t="shared" si="23"/>
        <v>88.659251756656772</v>
      </c>
      <c r="BG26" s="100"/>
      <c r="BH26" s="10">
        <f t="shared" si="24"/>
        <v>0</v>
      </c>
      <c r="BI26" s="10">
        <f t="shared" si="45"/>
        <v>0</v>
      </c>
      <c r="BJ26" s="10">
        <f t="shared" si="25"/>
        <v>0</v>
      </c>
      <c r="BK26" s="10">
        <f t="shared" si="26"/>
        <v>50901.119999999995</v>
      </c>
      <c r="BL26" s="10">
        <f t="shared" si="46"/>
        <v>795802.87</v>
      </c>
      <c r="BM26" s="508">
        <f t="shared" si="27"/>
        <v>1.1638532068137648</v>
      </c>
      <c r="BN26" s="10">
        <f t="shared" si="28"/>
        <v>1.0905965780223243</v>
      </c>
      <c r="BP26" s="14"/>
      <c r="BV26" s="14"/>
    </row>
    <row r="27" spans="1:75">
      <c r="A27" s="16">
        <f>+Chem!A26</f>
        <v>45887</v>
      </c>
      <c r="B27" s="6" t="str">
        <f>+Chem!B26</f>
        <v>Facial</v>
      </c>
      <c r="C27" s="572" t="str">
        <f>+Chem!C26</f>
        <v>12/13</v>
      </c>
      <c r="D27" s="8">
        <f>+Chem!D26</f>
        <v>41.155000000000001</v>
      </c>
      <c r="E27" s="7">
        <f>+Chem!E26</f>
        <v>43.271999999999998</v>
      </c>
      <c r="F27" s="7">
        <f t="shared" si="29"/>
        <v>772.9670000000001</v>
      </c>
      <c r="G27" s="100">
        <f>19.75*G7</f>
        <v>4937.5</v>
      </c>
      <c r="H27" s="10">
        <f t="shared" si="0"/>
        <v>11.176679960822881</v>
      </c>
      <c r="I27" s="8">
        <f t="shared" si="30"/>
        <v>95187.5</v>
      </c>
      <c r="J27" s="10">
        <f t="shared" si="1"/>
        <v>11.332119448404653</v>
      </c>
      <c r="K27" s="100"/>
      <c r="L27" s="10">
        <f t="shared" si="2"/>
        <v>0</v>
      </c>
      <c r="M27" s="10">
        <f t="shared" si="31"/>
        <v>0</v>
      </c>
      <c r="N27" s="10">
        <f t="shared" si="3"/>
        <v>0</v>
      </c>
      <c r="O27" s="100"/>
      <c r="P27" s="10">
        <f t="shared" si="4"/>
        <v>0</v>
      </c>
      <c r="Q27" s="10">
        <f t="shared" si="32"/>
        <v>0</v>
      </c>
      <c r="R27" s="10">
        <f t="shared" si="5"/>
        <v>0</v>
      </c>
      <c r="S27" s="10">
        <f t="shared" si="33"/>
        <v>4937.5</v>
      </c>
      <c r="T27" s="10">
        <f t="shared" si="6"/>
        <v>11.176679960822881</v>
      </c>
      <c r="U27" s="10">
        <f t="shared" si="34"/>
        <v>95187.5</v>
      </c>
      <c r="V27" s="10">
        <f t="shared" si="7"/>
        <v>11.332119448404653</v>
      </c>
      <c r="W27" s="100"/>
      <c r="X27" s="10"/>
      <c r="Y27" s="10"/>
      <c r="Z27" s="10"/>
      <c r="AA27" s="100"/>
      <c r="AB27" s="10">
        <f t="shared" si="8"/>
        <v>0</v>
      </c>
      <c r="AC27" s="10">
        <f t="shared" si="35"/>
        <v>0</v>
      </c>
      <c r="AD27" s="10">
        <f t="shared" si="9"/>
        <v>0</v>
      </c>
      <c r="AE27" s="100"/>
      <c r="AF27" s="10">
        <f t="shared" si="10"/>
        <v>0</v>
      </c>
      <c r="AG27" s="10">
        <f t="shared" si="36"/>
        <v>0</v>
      </c>
      <c r="AH27" s="10">
        <f t="shared" si="11"/>
        <v>0</v>
      </c>
      <c r="AI27" s="100"/>
      <c r="AJ27" s="10">
        <f t="shared" si="12"/>
        <v>0</v>
      </c>
      <c r="AK27" s="10">
        <f t="shared" si="37"/>
        <v>0</v>
      </c>
      <c r="AL27" s="10">
        <f t="shared" si="13"/>
        <v>0</v>
      </c>
      <c r="AM27" s="10">
        <f t="shared" si="38"/>
        <v>0</v>
      </c>
      <c r="AN27" s="10">
        <f t="shared" si="14"/>
        <v>0</v>
      </c>
      <c r="AO27" s="10">
        <f t="shared" si="39"/>
        <v>0</v>
      </c>
      <c r="AP27" s="10">
        <f t="shared" si="15"/>
        <v>0</v>
      </c>
      <c r="AQ27" s="100">
        <f>156*AQ7</f>
        <v>39239.303999999996</v>
      </c>
      <c r="AR27" s="10">
        <f t="shared" si="16"/>
        <v>88.823320039177119</v>
      </c>
      <c r="AS27" s="10">
        <f t="shared" si="40"/>
        <v>744792.174</v>
      </c>
      <c r="AT27" s="10">
        <f t="shared" si="17"/>
        <v>88.667880551595346</v>
      </c>
      <c r="AU27" s="100"/>
      <c r="AV27" s="10">
        <f t="shared" si="18"/>
        <v>0</v>
      </c>
      <c r="AW27" s="10">
        <f t="shared" si="41"/>
        <v>0</v>
      </c>
      <c r="AX27" s="10">
        <f t="shared" si="19"/>
        <v>0</v>
      </c>
      <c r="AY27" s="100"/>
      <c r="AZ27" s="15">
        <f t="shared" si="20"/>
        <v>0</v>
      </c>
      <c r="BA27" s="10">
        <f t="shared" si="42"/>
        <v>0</v>
      </c>
      <c r="BB27" s="10">
        <f t="shared" si="21"/>
        <v>0</v>
      </c>
      <c r="BC27" s="10">
        <f t="shared" si="43"/>
        <v>39239.303999999996</v>
      </c>
      <c r="BD27" s="10">
        <f t="shared" si="22"/>
        <v>88.823320039177119</v>
      </c>
      <c r="BE27" s="10">
        <f t="shared" si="44"/>
        <v>744792.174</v>
      </c>
      <c r="BF27" s="10">
        <f t="shared" si="23"/>
        <v>88.667880551595346</v>
      </c>
      <c r="BG27" s="100"/>
      <c r="BH27" s="10">
        <f t="shared" si="24"/>
        <v>0</v>
      </c>
      <c r="BI27" s="10">
        <f t="shared" si="45"/>
        <v>0</v>
      </c>
      <c r="BJ27" s="10">
        <f t="shared" si="25"/>
        <v>0</v>
      </c>
      <c r="BK27" s="10">
        <f t="shared" si="26"/>
        <v>44176.803999999996</v>
      </c>
      <c r="BL27" s="10">
        <f t="shared" si="46"/>
        <v>839979.674</v>
      </c>
      <c r="BM27" s="508">
        <f t="shared" si="27"/>
        <v>1.0209096875577741</v>
      </c>
      <c r="BN27" s="10">
        <f t="shared" si="28"/>
        <v>1.0866953880307955</v>
      </c>
      <c r="BV27" s="14"/>
    </row>
    <row r="28" spans="1:75">
      <c r="A28" s="16">
        <f>+Chem!A27</f>
        <v>45888</v>
      </c>
      <c r="B28" s="6" t="str">
        <f>+Chem!B27</f>
        <v>Facial</v>
      </c>
      <c r="C28" s="572" t="str">
        <f>+Chem!C27</f>
        <v>13</v>
      </c>
      <c r="D28" s="8">
        <f>+Chem!D27</f>
        <v>37.085000000000001</v>
      </c>
      <c r="E28" s="7">
        <f>+Chem!E27</f>
        <v>34.768000000000001</v>
      </c>
      <c r="F28" s="7">
        <f t="shared" si="29"/>
        <v>807.73500000000013</v>
      </c>
      <c r="G28" s="100">
        <f>17.5*G7</f>
        <v>4375</v>
      </c>
      <c r="H28" s="10">
        <f t="shared" si="0"/>
        <v>11.158642251098325</v>
      </c>
      <c r="I28" s="8">
        <f t="shared" si="30"/>
        <v>99562.5</v>
      </c>
      <c r="J28" s="10">
        <f t="shared" si="1"/>
        <v>11.324383245255005</v>
      </c>
      <c r="K28" s="100"/>
      <c r="L28" s="10">
        <f t="shared" si="2"/>
        <v>0</v>
      </c>
      <c r="M28" s="10">
        <f t="shared" si="31"/>
        <v>0</v>
      </c>
      <c r="N28" s="10">
        <f t="shared" si="3"/>
        <v>0</v>
      </c>
      <c r="O28" s="100"/>
      <c r="P28" s="10">
        <f t="shared" si="4"/>
        <v>0</v>
      </c>
      <c r="Q28" s="10">
        <f t="shared" si="32"/>
        <v>0</v>
      </c>
      <c r="R28" s="10">
        <f t="shared" si="5"/>
        <v>0</v>
      </c>
      <c r="S28" s="10">
        <f t="shared" si="33"/>
        <v>4375</v>
      </c>
      <c r="T28" s="10">
        <f t="shared" si="6"/>
        <v>11.158642251098325</v>
      </c>
      <c r="U28" s="10">
        <f t="shared" si="34"/>
        <v>99562.5</v>
      </c>
      <c r="V28" s="10">
        <f t="shared" si="7"/>
        <v>11.324383245255005</v>
      </c>
      <c r="W28" s="100"/>
      <c r="X28" s="10"/>
      <c r="Y28" s="10"/>
      <c r="Z28" s="10"/>
      <c r="AA28" s="100"/>
      <c r="AB28" s="10">
        <f t="shared" si="8"/>
        <v>0</v>
      </c>
      <c r="AC28" s="10">
        <f t="shared" si="35"/>
        <v>0</v>
      </c>
      <c r="AD28" s="10">
        <f t="shared" si="9"/>
        <v>0</v>
      </c>
      <c r="AE28" s="100"/>
      <c r="AF28" s="10">
        <f t="shared" si="10"/>
        <v>0</v>
      </c>
      <c r="AG28" s="10">
        <f t="shared" si="36"/>
        <v>0</v>
      </c>
      <c r="AH28" s="10">
        <f t="shared" si="11"/>
        <v>0</v>
      </c>
      <c r="AI28" s="100">
        <f>29*AI7</f>
        <v>6912.0050000000001</v>
      </c>
      <c r="AJ28" s="10">
        <f t="shared" si="12"/>
        <v>17.629392236069226</v>
      </c>
      <c r="AK28" s="10">
        <f t="shared" si="37"/>
        <v>6912.0050000000001</v>
      </c>
      <c r="AL28" s="10">
        <f t="shared" si="13"/>
        <v>7.8618148010665481E-3</v>
      </c>
      <c r="AM28" s="10">
        <f t="shared" si="38"/>
        <v>6912.0050000000001</v>
      </c>
      <c r="AN28" s="10">
        <f t="shared" si="14"/>
        <v>17.629392236069226</v>
      </c>
      <c r="AO28" s="10">
        <f t="shared" si="39"/>
        <v>6912.0050000000001</v>
      </c>
      <c r="AP28" s="10">
        <f t="shared" si="15"/>
        <v>0.78618148010665478</v>
      </c>
      <c r="AQ28" s="100">
        <f>111*AQ7</f>
        <v>27920.273999999998</v>
      </c>
      <c r="AR28" s="10">
        <f t="shared" si="16"/>
        <v>71.21196551283245</v>
      </c>
      <c r="AS28" s="10">
        <f t="shared" si="40"/>
        <v>772712.44799999997</v>
      </c>
      <c r="AT28" s="10">
        <f t="shared" si="17"/>
        <v>87.889435274638345</v>
      </c>
      <c r="AU28" s="100"/>
      <c r="AV28" s="10">
        <f t="shared" si="18"/>
        <v>0</v>
      </c>
      <c r="AW28" s="10">
        <f t="shared" si="41"/>
        <v>0</v>
      </c>
      <c r="AX28" s="10">
        <f t="shared" si="19"/>
        <v>0</v>
      </c>
      <c r="AY28" s="100"/>
      <c r="AZ28" s="15">
        <f t="shared" si="20"/>
        <v>0</v>
      </c>
      <c r="BA28" s="10">
        <f t="shared" si="42"/>
        <v>0</v>
      </c>
      <c r="BB28" s="10">
        <f t="shared" si="21"/>
        <v>0</v>
      </c>
      <c r="BC28" s="10">
        <f t="shared" si="43"/>
        <v>27920.273999999998</v>
      </c>
      <c r="BD28" s="10">
        <f t="shared" si="22"/>
        <v>71.21196551283245</v>
      </c>
      <c r="BE28" s="10">
        <f t="shared" si="44"/>
        <v>772712.44799999997</v>
      </c>
      <c r="BF28" s="10">
        <f t="shared" si="23"/>
        <v>87.889435274638345</v>
      </c>
      <c r="BG28" s="100"/>
      <c r="BH28" s="10">
        <f t="shared" si="24"/>
        <v>0</v>
      </c>
      <c r="BI28" s="10">
        <f t="shared" si="45"/>
        <v>0</v>
      </c>
      <c r="BJ28" s="10">
        <f t="shared" si="25"/>
        <v>0</v>
      </c>
      <c r="BK28" s="10">
        <f t="shared" si="26"/>
        <v>39207.278999999995</v>
      </c>
      <c r="BL28" s="10">
        <f t="shared" si="46"/>
        <v>879186.95299999998</v>
      </c>
      <c r="BM28" s="508">
        <f t="shared" si="27"/>
        <v>1.127682898067188</v>
      </c>
      <c r="BN28" s="10">
        <f t="shared" si="28"/>
        <v>1.0884596470377041</v>
      </c>
      <c r="BV28" s="14"/>
    </row>
    <row r="29" spans="1:75">
      <c r="A29" s="16">
        <f>+Chem!A28</f>
        <v>45889</v>
      </c>
      <c r="B29" s="6" t="str">
        <f>+Chem!B28</f>
        <v>Facial</v>
      </c>
      <c r="C29" s="572" t="str">
        <f>+Chem!C28</f>
        <v>13/12</v>
      </c>
      <c r="D29" s="8">
        <f>+Chem!D28</f>
        <v>44.22</v>
      </c>
      <c r="E29" s="7">
        <f>+Chem!E28</f>
        <v>41.040999999999997</v>
      </c>
      <c r="F29" s="7">
        <f t="shared" si="29"/>
        <v>848.77600000000007</v>
      </c>
      <c r="G29" s="100">
        <f>25.5*G7</f>
        <v>6375</v>
      </c>
      <c r="H29" s="10">
        <f t="shared" si="0"/>
        <v>13.830769524490552</v>
      </c>
      <c r="I29" s="8">
        <f t="shared" si="30"/>
        <v>105937.5</v>
      </c>
      <c r="J29" s="10">
        <f t="shared" si="1"/>
        <v>11.449239054148929</v>
      </c>
      <c r="K29" s="100"/>
      <c r="L29" s="10">
        <f t="shared" si="2"/>
        <v>0</v>
      </c>
      <c r="M29" s="10">
        <f t="shared" si="31"/>
        <v>0</v>
      </c>
      <c r="N29" s="10">
        <f t="shared" si="3"/>
        <v>0</v>
      </c>
      <c r="O29" s="100"/>
      <c r="P29" s="10">
        <f t="shared" si="4"/>
        <v>0</v>
      </c>
      <c r="Q29" s="10">
        <f t="shared" si="32"/>
        <v>0</v>
      </c>
      <c r="R29" s="10">
        <f t="shared" si="5"/>
        <v>0</v>
      </c>
      <c r="S29" s="10">
        <f t="shared" si="33"/>
        <v>6375</v>
      </c>
      <c r="T29" s="10">
        <f t="shared" si="6"/>
        <v>13.830769524490552</v>
      </c>
      <c r="U29" s="10">
        <f t="shared" si="34"/>
        <v>105937.5</v>
      </c>
      <c r="V29" s="10">
        <f t="shared" si="7"/>
        <v>11.449239054148929</v>
      </c>
      <c r="W29" s="100"/>
      <c r="X29" s="10"/>
      <c r="Y29" s="10"/>
      <c r="Z29" s="10"/>
      <c r="AA29" s="100"/>
      <c r="AB29" s="10">
        <f t="shared" si="8"/>
        <v>0</v>
      </c>
      <c r="AC29" s="10">
        <f t="shared" si="35"/>
        <v>0</v>
      </c>
      <c r="AD29" s="10">
        <f t="shared" si="9"/>
        <v>0</v>
      </c>
      <c r="AE29" s="100"/>
      <c r="AF29" s="10">
        <f t="shared" si="10"/>
        <v>0</v>
      </c>
      <c r="AG29" s="10">
        <f t="shared" si="36"/>
        <v>0</v>
      </c>
      <c r="AH29" s="10">
        <f t="shared" si="11"/>
        <v>0</v>
      </c>
      <c r="AI29" s="100">
        <f>40*AI7</f>
        <v>9533.7999999999993</v>
      </c>
      <c r="AJ29" s="10">
        <f t="shared" si="12"/>
        <v>20.683888704719688</v>
      </c>
      <c r="AK29" s="10">
        <f t="shared" si="37"/>
        <v>16445.805</v>
      </c>
      <c r="AL29" s="10">
        <f t="shared" si="13"/>
        <v>1.7773871658564509E-2</v>
      </c>
      <c r="AM29" s="10">
        <f t="shared" si="38"/>
        <v>9533.7999999999993</v>
      </c>
      <c r="AN29" s="10">
        <f t="shared" si="14"/>
        <v>20.683888704719688</v>
      </c>
      <c r="AO29" s="10">
        <f t="shared" si="39"/>
        <v>16445.805</v>
      </c>
      <c r="AP29" s="10">
        <f t="shared" si="15"/>
        <v>1.7773871658564508</v>
      </c>
      <c r="AQ29" s="100">
        <f>120*AQ7</f>
        <v>30184.079999999998</v>
      </c>
      <c r="AR29" s="10">
        <f t="shared" si="16"/>
        <v>65.485341770789759</v>
      </c>
      <c r="AS29" s="10">
        <f t="shared" si="40"/>
        <v>802896.52799999993</v>
      </c>
      <c r="AT29" s="10">
        <f t="shared" si="17"/>
        <v>86.773373779994614</v>
      </c>
      <c r="AU29" s="100"/>
      <c r="AV29" s="10">
        <f t="shared" si="18"/>
        <v>0</v>
      </c>
      <c r="AW29" s="10">
        <f t="shared" si="41"/>
        <v>0</v>
      </c>
      <c r="AX29" s="10">
        <f t="shared" si="19"/>
        <v>0</v>
      </c>
      <c r="AY29" s="100"/>
      <c r="AZ29" s="15">
        <f t="shared" si="20"/>
        <v>0</v>
      </c>
      <c r="BA29" s="10">
        <f t="shared" si="42"/>
        <v>0</v>
      </c>
      <c r="BB29" s="10">
        <f t="shared" si="21"/>
        <v>0</v>
      </c>
      <c r="BC29" s="10">
        <f t="shared" si="43"/>
        <v>30184.079999999998</v>
      </c>
      <c r="BD29" s="10">
        <f t="shared" si="22"/>
        <v>65.485341770789759</v>
      </c>
      <c r="BE29" s="10">
        <f t="shared" si="44"/>
        <v>802896.52799999993</v>
      </c>
      <c r="BF29" s="10">
        <f t="shared" si="23"/>
        <v>86.773373779994614</v>
      </c>
      <c r="BG29" s="100"/>
      <c r="BH29" s="10">
        <f t="shared" si="24"/>
        <v>0</v>
      </c>
      <c r="BI29" s="10">
        <f t="shared" si="45"/>
        <v>0</v>
      </c>
      <c r="BJ29" s="10">
        <f t="shared" si="25"/>
        <v>0</v>
      </c>
      <c r="BK29" s="10">
        <f t="shared" si="26"/>
        <v>46092.88</v>
      </c>
      <c r="BL29" s="10">
        <f t="shared" si="46"/>
        <v>925279.83299999998</v>
      </c>
      <c r="BM29" s="508">
        <f t="shared" si="27"/>
        <v>1.1230934918739797</v>
      </c>
      <c r="BN29" s="10">
        <f t="shared" si="28"/>
        <v>1.0901343028078079</v>
      </c>
      <c r="BV29" s="14"/>
    </row>
    <row r="30" spans="1:75">
      <c r="A30" s="16">
        <f>+Chem!A29</f>
        <v>45890</v>
      </c>
      <c r="B30" s="6" t="str">
        <f>+Chem!B29</f>
        <v>Facial</v>
      </c>
      <c r="C30" s="572" t="str">
        <f>+Chem!C29</f>
        <v>13/12</v>
      </c>
      <c r="D30" s="8">
        <f>+Chem!D29</f>
        <v>42.118000000000002</v>
      </c>
      <c r="E30" s="7">
        <f>+Chem!E29</f>
        <v>41.906999999999996</v>
      </c>
      <c r="F30" s="7">
        <f t="shared" si="29"/>
        <v>890.68300000000011</v>
      </c>
      <c r="G30" s="100">
        <f>20*G7</f>
        <v>5000</v>
      </c>
      <c r="H30" s="10">
        <f t="shared" si="0"/>
        <v>11.177913051887939</v>
      </c>
      <c r="I30" s="8">
        <f t="shared" si="30"/>
        <v>110937.5</v>
      </c>
      <c r="J30" s="10">
        <f t="shared" si="1"/>
        <v>11.436727130722495</v>
      </c>
      <c r="K30" s="100"/>
      <c r="L30" s="10">
        <f t="shared" si="2"/>
        <v>0</v>
      </c>
      <c r="M30" s="10">
        <f t="shared" si="31"/>
        <v>0</v>
      </c>
      <c r="N30" s="10">
        <f t="shared" si="3"/>
        <v>0</v>
      </c>
      <c r="O30" s="100"/>
      <c r="P30" s="10">
        <f t="shared" si="4"/>
        <v>0</v>
      </c>
      <c r="Q30" s="10">
        <f t="shared" si="32"/>
        <v>0</v>
      </c>
      <c r="R30" s="10">
        <f t="shared" si="5"/>
        <v>0</v>
      </c>
      <c r="S30" s="10">
        <f t="shared" si="33"/>
        <v>5000</v>
      </c>
      <c r="T30" s="10">
        <f t="shared" si="6"/>
        <v>11.177913051887939</v>
      </c>
      <c r="U30" s="10">
        <f t="shared" si="34"/>
        <v>110937.5</v>
      </c>
      <c r="V30" s="10">
        <f t="shared" si="7"/>
        <v>11.436727130722495</v>
      </c>
      <c r="W30" s="100"/>
      <c r="X30" s="10"/>
      <c r="Y30" s="10"/>
      <c r="Z30" s="10"/>
      <c r="AA30" s="100"/>
      <c r="AB30" s="10">
        <f t="shared" si="8"/>
        <v>0</v>
      </c>
      <c r="AC30" s="10">
        <f t="shared" si="35"/>
        <v>0</v>
      </c>
      <c r="AD30" s="10">
        <f t="shared" si="9"/>
        <v>0</v>
      </c>
      <c r="AE30" s="100"/>
      <c r="AF30" s="10">
        <f t="shared" si="10"/>
        <v>0</v>
      </c>
      <c r="AG30" s="10">
        <f t="shared" si="36"/>
        <v>0</v>
      </c>
      <c r="AH30" s="10">
        <f t="shared" si="11"/>
        <v>0</v>
      </c>
      <c r="AI30" s="100">
        <f>39*AI7</f>
        <v>9295.4549999999999</v>
      </c>
      <c r="AJ30" s="10">
        <f t="shared" si="12"/>
        <v>20.780757553547403</v>
      </c>
      <c r="AK30" s="10">
        <f t="shared" si="37"/>
        <v>25741.260000000002</v>
      </c>
      <c r="AL30" s="10">
        <f t="shared" si="13"/>
        <v>2.6537083188370187E-2</v>
      </c>
      <c r="AM30" s="10">
        <f t="shared" si="38"/>
        <v>9295.4549999999999</v>
      </c>
      <c r="AN30" s="10">
        <f t="shared" si="14"/>
        <v>20.780757553547403</v>
      </c>
      <c r="AO30" s="10">
        <f t="shared" si="39"/>
        <v>25741.260000000002</v>
      </c>
      <c r="AP30" s="10">
        <f t="shared" si="15"/>
        <v>2.6537083188370185</v>
      </c>
      <c r="AQ30" s="100">
        <f>121*AQ7</f>
        <v>30435.613999999998</v>
      </c>
      <c r="AR30" s="10">
        <f t="shared" si="16"/>
        <v>68.04132939456467</v>
      </c>
      <c r="AS30" s="10">
        <f t="shared" si="40"/>
        <v>833332.14199999988</v>
      </c>
      <c r="AT30" s="10">
        <f t="shared" si="17"/>
        <v>85.909564550440479</v>
      </c>
      <c r="AU30" s="100"/>
      <c r="AV30" s="10">
        <f t="shared" si="18"/>
        <v>0</v>
      </c>
      <c r="AW30" s="10">
        <f t="shared" si="41"/>
        <v>0</v>
      </c>
      <c r="AX30" s="10">
        <f t="shared" si="19"/>
        <v>0</v>
      </c>
      <c r="AY30" s="100"/>
      <c r="AZ30" s="15">
        <f t="shared" si="20"/>
        <v>0</v>
      </c>
      <c r="BA30" s="10">
        <f t="shared" si="42"/>
        <v>0</v>
      </c>
      <c r="BB30" s="10">
        <f t="shared" si="21"/>
        <v>0</v>
      </c>
      <c r="BC30" s="10">
        <f t="shared" si="43"/>
        <v>30435.613999999998</v>
      </c>
      <c r="BD30" s="10">
        <f t="shared" si="22"/>
        <v>68.04132939456467</v>
      </c>
      <c r="BE30" s="10">
        <f t="shared" si="44"/>
        <v>833332.14199999988</v>
      </c>
      <c r="BF30" s="10">
        <f t="shared" si="23"/>
        <v>85.909564550440479</v>
      </c>
      <c r="BG30" s="100"/>
      <c r="BH30" s="10">
        <f t="shared" si="24"/>
        <v>0</v>
      </c>
      <c r="BI30" s="10">
        <f t="shared" si="45"/>
        <v>0</v>
      </c>
      <c r="BJ30" s="10">
        <f t="shared" si="25"/>
        <v>0</v>
      </c>
      <c r="BK30" s="10">
        <f t="shared" si="26"/>
        <v>44731.068999999996</v>
      </c>
      <c r="BL30" s="10">
        <f t="shared" si="46"/>
        <v>970010.902</v>
      </c>
      <c r="BM30" s="508">
        <f t="shared" si="27"/>
        <v>1.0673889564989143</v>
      </c>
      <c r="BN30" s="10">
        <f t="shared" si="28"/>
        <v>1.0890641249468103</v>
      </c>
    </row>
    <row r="31" spans="1:75">
      <c r="A31" s="16">
        <f>+Chem!A30</f>
        <v>45891</v>
      </c>
      <c r="B31" s="6" t="str">
        <f>+Chem!B30</f>
        <v>Facial/Toilet</v>
      </c>
      <c r="C31" s="572" t="str">
        <f>+Chem!C30</f>
        <v>12/13</v>
      </c>
      <c r="D31" s="8">
        <f>+Chem!D30</f>
        <v>45.057000000000002</v>
      </c>
      <c r="E31" s="7">
        <f>+Chem!E30</f>
        <v>44.767000000000003</v>
      </c>
      <c r="F31" s="7">
        <f t="shared" si="29"/>
        <v>935.45000000000016</v>
      </c>
      <c r="G31" s="100">
        <f>30.5*G7</f>
        <v>7625</v>
      </c>
      <c r="H31" s="10">
        <f t="shared" si="0"/>
        <v>12.89364575265469</v>
      </c>
      <c r="I31" s="8">
        <f t="shared" si="30"/>
        <v>118562.5</v>
      </c>
      <c r="J31" s="10">
        <f t="shared" si="1"/>
        <v>11.520445611390103</v>
      </c>
      <c r="K31" s="100"/>
      <c r="L31" s="10">
        <f t="shared" si="2"/>
        <v>0</v>
      </c>
      <c r="M31" s="10">
        <f t="shared" si="31"/>
        <v>0</v>
      </c>
      <c r="N31" s="10">
        <f t="shared" si="3"/>
        <v>0</v>
      </c>
      <c r="O31" s="100"/>
      <c r="P31" s="10">
        <f t="shared" si="4"/>
        <v>0</v>
      </c>
      <c r="Q31" s="10">
        <f t="shared" si="32"/>
        <v>0</v>
      </c>
      <c r="R31" s="10">
        <f t="shared" si="5"/>
        <v>0</v>
      </c>
      <c r="S31" s="10">
        <f t="shared" si="33"/>
        <v>7625</v>
      </c>
      <c r="T31" s="10">
        <f t="shared" si="6"/>
        <v>12.89364575265469</v>
      </c>
      <c r="U31" s="10">
        <f t="shared" si="34"/>
        <v>118562.5</v>
      </c>
      <c r="V31" s="10">
        <f t="shared" si="7"/>
        <v>11.520445611390103</v>
      </c>
      <c r="W31" s="100"/>
      <c r="X31" s="10"/>
      <c r="Y31" s="10"/>
      <c r="Z31" s="10"/>
      <c r="AA31" s="100"/>
      <c r="AB31" s="10">
        <f t="shared" si="8"/>
        <v>0</v>
      </c>
      <c r="AC31" s="10">
        <f t="shared" si="35"/>
        <v>0</v>
      </c>
      <c r="AD31" s="10">
        <f t="shared" si="9"/>
        <v>0</v>
      </c>
      <c r="AE31" s="100"/>
      <c r="AF31" s="10">
        <f t="shared" si="10"/>
        <v>0</v>
      </c>
      <c r="AG31" s="10">
        <f t="shared" si="36"/>
        <v>0</v>
      </c>
      <c r="AH31" s="10">
        <f t="shared" si="11"/>
        <v>0</v>
      </c>
      <c r="AI31" s="100">
        <f>23*AI7</f>
        <v>5481.9350000000004</v>
      </c>
      <c r="AJ31" s="10">
        <f t="shared" si="12"/>
        <v>9.2697872693874217</v>
      </c>
      <c r="AK31" s="10">
        <f t="shared" si="37"/>
        <v>31223.195000000003</v>
      </c>
      <c r="AL31" s="10">
        <f t="shared" si="13"/>
        <v>3.0338860922410331E-2</v>
      </c>
      <c r="AM31" s="10">
        <f t="shared" si="38"/>
        <v>5481.9350000000004</v>
      </c>
      <c r="AN31" s="10">
        <f t="shared" si="14"/>
        <v>9.2697872693874217</v>
      </c>
      <c r="AO31" s="10">
        <f t="shared" si="39"/>
        <v>31223.195000000003</v>
      </c>
      <c r="AP31" s="10">
        <f t="shared" si="15"/>
        <v>3.0338860922410329</v>
      </c>
      <c r="AQ31" s="100">
        <f>183*AQ7</f>
        <v>46030.722000000002</v>
      </c>
      <c r="AR31" s="10">
        <f t="shared" si="16"/>
        <v>77.836566977957872</v>
      </c>
      <c r="AS31" s="10">
        <f t="shared" si="40"/>
        <v>879362.86399999983</v>
      </c>
      <c r="AT31" s="10">
        <f t="shared" si="17"/>
        <v>85.445668296368851</v>
      </c>
      <c r="AU31" s="100"/>
      <c r="AV31" s="10">
        <f t="shared" si="18"/>
        <v>0</v>
      </c>
      <c r="AW31" s="10">
        <f t="shared" si="41"/>
        <v>0</v>
      </c>
      <c r="AX31" s="10">
        <f t="shared" si="19"/>
        <v>0</v>
      </c>
      <c r="AY31" s="100"/>
      <c r="AZ31" s="15">
        <f t="shared" si="20"/>
        <v>0</v>
      </c>
      <c r="BA31" s="10">
        <f t="shared" si="42"/>
        <v>0</v>
      </c>
      <c r="BB31" s="10">
        <f t="shared" si="21"/>
        <v>0</v>
      </c>
      <c r="BC31" s="10">
        <f t="shared" si="43"/>
        <v>46030.722000000002</v>
      </c>
      <c r="BD31" s="10">
        <f t="shared" si="22"/>
        <v>77.836566977957872</v>
      </c>
      <c r="BE31" s="10">
        <f t="shared" si="44"/>
        <v>879362.86399999983</v>
      </c>
      <c r="BF31" s="10">
        <f t="shared" si="23"/>
        <v>85.445668296368851</v>
      </c>
      <c r="BG31" s="100"/>
      <c r="BH31" s="10">
        <f t="shared" si="24"/>
        <v>0</v>
      </c>
      <c r="BI31" s="10">
        <f t="shared" si="45"/>
        <v>0</v>
      </c>
      <c r="BJ31" s="10">
        <f t="shared" si="25"/>
        <v>0</v>
      </c>
      <c r="BK31" s="10">
        <f t="shared" si="26"/>
        <v>59137.657000000007</v>
      </c>
      <c r="BL31" s="10">
        <f t="shared" si="46"/>
        <v>1029148.559</v>
      </c>
      <c r="BM31" s="508">
        <f t="shared" si="27"/>
        <v>1.321010052047267</v>
      </c>
      <c r="BN31" s="10">
        <f t="shared" si="28"/>
        <v>1.1001641552194128</v>
      </c>
    </row>
    <row r="32" spans="1:75">
      <c r="A32" s="16">
        <f>+Chem!A31</f>
        <v>45892</v>
      </c>
      <c r="B32" s="6" t="str">
        <f>+Chem!B31</f>
        <v>Toilet</v>
      </c>
      <c r="C32" s="572" t="str">
        <f>+Chem!C31</f>
        <v>13</v>
      </c>
      <c r="D32" s="8">
        <f>+Chem!D31</f>
        <v>45.576999999999998</v>
      </c>
      <c r="E32" s="7">
        <f>+Chem!E31</f>
        <v>41.915999999999997</v>
      </c>
      <c r="F32" s="7">
        <f t="shared" si="29"/>
        <v>977.36600000000021</v>
      </c>
      <c r="G32" s="100">
        <f>22*G7</f>
        <v>5500</v>
      </c>
      <c r="H32" s="10">
        <f t="shared" si="0"/>
        <v>11.142371653806512</v>
      </c>
      <c r="I32" s="8">
        <f t="shared" si="30"/>
        <v>124062.5</v>
      </c>
      <c r="J32" s="10">
        <f t="shared" si="1"/>
        <v>11.503141959734133</v>
      </c>
      <c r="K32" s="100"/>
      <c r="L32" s="10">
        <f t="shared" si="2"/>
        <v>0</v>
      </c>
      <c r="M32" s="10">
        <f t="shared" si="31"/>
        <v>0</v>
      </c>
      <c r="N32" s="10">
        <f t="shared" si="3"/>
        <v>0</v>
      </c>
      <c r="O32" s="100"/>
      <c r="P32" s="10">
        <f t="shared" si="4"/>
        <v>0</v>
      </c>
      <c r="Q32" s="10">
        <f t="shared" si="32"/>
        <v>0</v>
      </c>
      <c r="R32" s="10">
        <f t="shared" si="5"/>
        <v>0</v>
      </c>
      <c r="S32" s="10">
        <f t="shared" si="33"/>
        <v>5500</v>
      </c>
      <c r="T32" s="10">
        <f t="shared" si="6"/>
        <v>11.142371653806512</v>
      </c>
      <c r="U32" s="10">
        <f t="shared" si="34"/>
        <v>124062.5</v>
      </c>
      <c r="V32" s="10">
        <f t="shared" si="7"/>
        <v>11.503141959734133</v>
      </c>
      <c r="W32" s="100"/>
      <c r="X32" s="10"/>
      <c r="Y32" s="10"/>
      <c r="Z32" s="10"/>
      <c r="AA32" s="100"/>
      <c r="AB32" s="10">
        <f t="shared" si="8"/>
        <v>0</v>
      </c>
      <c r="AC32" s="10">
        <f t="shared" si="35"/>
        <v>0</v>
      </c>
      <c r="AD32" s="10">
        <f t="shared" si="9"/>
        <v>0</v>
      </c>
      <c r="AE32" s="100"/>
      <c r="AF32" s="10">
        <f t="shared" si="10"/>
        <v>0</v>
      </c>
      <c r="AG32" s="10">
        <f t="shared" si="36"/>
        <v>0</v>
      </c>
      <c r="AH32" s="10">
        <f t="shared" si="11"/>
        <v>0</v>
      </c>
      <c r="AI32" s="100">
        <f>31*AI7</f>
        <v>7388.6949999999997</v>
      </c>
      <c r="AJ32" s="10">
        <f t="shared" si="12"/>
        <v>14.968651950294893</v>
      </c>
      <c r="AK32" s="10">
        <f t="shared" si="37"/>
        <v>38611.89</v>
      </c>
      <c r="AL32" s="10">
        <f t="shared" si="13"/>
        <v>3.5801152806338644E-2</v>
      </c>
      <c r="AM32" s="10">
        <f t="shared" si="38"/>
        <v>7388.6949999999997</v>
      </c>
      <c r="AN32" s="10">
        <f t="shared" si="14"/>
        <v>14.968651950294893</v>
      </c>
      <c r="AO32" s="10">
        <f t="shared" si="39"/>
        <v>38611.89</v>
      </c>
      <c r="AP32" s="10">
        <f t="shared" si="15"/>
        <v>3.5801152806338643</v>
      </c>
      <c r="AQ32" s="100">
        <f>145*AQ7</f>
        <v>36472.43</v>
      </c>
      <c r="AR32" s="10">
        <f t="shared" si="16"/>
        <v>73.888976395898595</v>
      </c>
      <c r="AS32" s="10">
        <f t="shared" si="40"/>
        <v>915835.29399999988</v>
      </c>
      <c r="AT32" s="10">
        <f t="shared" si="17"/>
        <v>84.916742759632001</v>
      </c>
      <c r="AU32" s="100"/>
      <c r="AV32" s="10">
        <f t="shared" si="18"/>
        <v>0</v>
      </c>
      <c r="AW32" s="10">
        <f t="shared" si="41"/>
        <v>0</v>
      </c>
      <c r="AX32" s="10">
        <f t="shared" si="19"/>
        <v>0</v>
      </c>
      <c r="AY32" s="100"/>
      <c r="AZ32" s="15">
        <f t="shared" si="20"/>
        <v>0</v>
      </c>
      <c r="BA32" s="10">
        <f t="shared" si="42"/>
        <v>0</v>
      </c>
      <c r="BB32" s="10">
        <f t="shared" si="21"/>
        <v>0</v>
      </c>
      <c r="BC32" s="10">
        <f t="shared" si="43"/>
        <v>36472.43</v>
      </c>
      <c r="BD32" s="10">
        <f t="shared" si="22"/>
        <v>73.888976395898595</v>
      </c>
      <c r="BE32" s="10">
        <f t="shared" si="44"/>
        <v>915835.29399999988</v>
      </c>
      <c r="BF32" s="10">
        <f t="shared" si="23"/>
        <v>84.916742759632001</v>
      </c>
      <c r="BG32" s="100"/>
      <c r="BH32" s="10">
        <f t="shared" si="24"/>
        <v>0</v>
      </c>
      <c r="BI32" s="10">
        <f t="shared" si="45"/>
        <v>0</v>
      </c>
      <c r="BJ32" s="10">
        <f t="shared" si="25"/>
        <v>0</v>
      </c>
      <c r="BK32" s="10">
        <f t="shared" si="26"/>
        <v>49361.125</v>
      </c>
      <c r="BL32" s="10">
        <f t="shared" si="46"/>
        <v>1078509.6839999999</v>
      </c>
      <c r="BM32" s="508">
        <f t="shared" si="27"/>
        <v>1.1776201211947706</v>
      </c>
      <c r="BN32" s="10">
        <f t="shared" si="28"/>
        <v>1.1034859858026569</v>
      </c>
    </row>
    <row r="33" spans="1:66">
      <c r="A33" s="16">
        <f>+Chem!A32</f>
        <v>45893</v>
      </c>
      <c r="B33" s="6" t="str">
        <f>+Chem!B32</f>
        <v>Toilet</v>
      </c>
      <c r="C33" s="572" t="str">
        <f>+Chem!C32</f>
        <v>13</v>
      </c>
      <c r="D33" s="8">
        <f>+Chem!D32</f>
        <v>44.153999999999996</v>
      </c>
      <c r="E33" s="7">
        <f>+Chem!E32</f>
        <v>44.848999999999997</v>
      </c>
      <c r="F33" s="7">
        <f t="shared" si="29"/>
        <v>1022.2150000000003</v>
      </c>
      <c r="G33" s="100">
        <f>22*G7</f>
        <v>5500</v>
      </c>
      <c r="H33" s="10">
        <f t="shared" si="0"/>
        <v>11.100635251007766</v>
      </c>
      <c r="I33" s="8">
        <f t="shared" si="30"/>
        <v>129562.5</v>
      </c>
      <c r="J33" s="10">
        <f t="shared" si="1"/>
        <v>11.485462981257788</v>
      </c>
      <c r="K33" s="100"/>
      <c r="L33" s="10">
        <f t="shared" si="2"/>
        <v>0</v>
      </c>
      <c r="M33" s="10">
        <f t="shared" si="31"/>
        <v>0</v>
      </c>
      <c r="N33" s="10">
        <f t="shared" si="3"/>
        <v>0</v>
      </c>
      <c r="O33" s="100"/>
      <c r="P33" s="10">
        <f t="shared" si="4"/>
        <v>0</v>
      </c>
      <c r="Q33" s="10">
        <f t="shared" si="32"/>
        <v>0</v>
      </c>
      <c r="R33" s="10">
        <f t="shared" si="5"/>
        <v>0</v>
      </c>
      <c r="S33" s="10">
        <f t="shared" si="33"/>
        <v>5500</v>
      </c>
      <c r="T33" s="10">
        <f t="shared" si="6"/>
        <v>11.100635251007766</v>
      </c>
      <c r="U33" s="10">
        <f t="shared" si="34"/>
        <v>129562.5</v>
      </c>
      <c r="V33" s="10">
        <f t="shared" si="7"/>
        <v>11.485462981257788</v>
      </c>
      <c r="W33" s="100"/>
      <c r="X33" s="10"/>
      <c r="Y33" s="10"/>
      <c r="Z33" s="10"/>
      <c r="AA33" s="100"/>
      <c r="AB33" s="10">
        <f t="shared" si="8"/>
        <v>0</v>
      </c>
      <c r="AC33" s="10">
        <f>AA33+AC32</f>
        <v>0</v>
      </c>
      <c r="AD33" s="10">
        <f t="shared" si="9"/>
        <v>0</v>
      </c>
      <c r="AE33" s="100"/>
      <c r="AF33" s="10">
        <f t="shared" si="10"/>
        <v>0</v>
      </c>
      <c r="AG33" s="10">
        <f t="shared" si="36"/>
        <v>0</v>
      </c>
      <c r="AH33" s="10">
        <f t="shared" si="11"/>
        <v>0</v>
      </c>
      <c r="AI33" s="100">
        <f>36*AI7</f>
        <v>8580.42</v>
      </c>
      <c r="AJ33" s="10">
        <f t="shared" si="12"/>
        <v>17.317838676445831</v>
      </c>
      <c r="AK33" s="10">
        <f t="shared" si="37"/>
        <v>47192.31</v>
      </c>
      <c r="AL33" s="10">
        <f t="shared" si="13"/>
        <v>4.1835062576365975E-2</v>
      </c>
      <c r="AM33" s="10">
        <f t="shared" si="38"/>
        <v>8580.42</v>
      </c>
      <c r="AN33" s="10">
        <f t="shared" si="14"/>
        <v>17.317838676445831</v>
      </c>
      <c r="AO33" s="10">
        <f t="shared" si="39"/>
        <v>47192.31</v>
      </c>
      <c r="AP33" s="10">
        <f t="shared" si="15"/>
        <v>4.1835062576365978</v>
      </c>
      <c r="AQ33" s="100">
        <f>141*AQ7</f>
        <v>35466.294000000002</v>
      </c>
      <c r="AR33" s="10">
        <f t="shared" si="16"/>
        <v>71.58152607254641</v>
      </c>
      <c r="AS33" s="10">
        <f t="shared" si="40"/>
        <v>951301.58799999987</v>
      </c>
      <c r="AT33" s="10">
        <f t="shared" si="17"/>
        <v>84.331030761105623</v>
      </c>
      <c r="AU33" s="100"/>
      <c r="AV33" s="10">
        <f t="shared" si="18"/>
        <v>0</v>
      </c>
      <c r="AW33" s="10">
        <f t="shared" si="41"/>
        <v>0</v>
      </c>
      <c r="AX33" s="10">
        <f t="shared" si="19"/>
        <v>0</v>
      </c>
      <c r="AY33" s="100"/>
      <c r="AZ33" s="15">
        <f t="shared" si="20"/>
        <v>0</v>
      </c>
      <c r="BA33" s="10">
        <f t="shared" si="42"/>
        <v>0</v>
      </c>
      <c r="BB33" s="10">
        <f t="shared" si="21"/>
        <v>0</v>
      </c>
      <c r="BC33" s="10">
        <f t="shared" si="43"/>
        <v>35466.294000000002</v>
      </c>
      <c r="BD33" s="10">
        <f t="shared" si="22"/>
        <v>71.58152607254641</v>
      </c>
      <c r="BE33" s="10">
        <f t="shared" si="44"/>
        <v>951301.58799999987</v>
      </c>
      <c r="BF33" s="10">
        <f t="shared" si="23"/>
        <v>84.331030761105623</v>
      </c>
      <c r="BG33" s="100"/>
      <c r="BH33" s="10">
        <f t="shared" si="24"/>
        <v>0</v>
      </c>
      <c r="BI33" s="10">
        <f t="shared" si="45"/>
        <v>0</v>
      </c>
      <c r="BJ33" s="10">
        <f t="shared" si="25"/>
        <v>0</v>
      </c>
      <c r="BK33" s="10">
        <f t="shared" si="26"/>
        <v>49546.714</v>
      </c>
      <c r="BL33" s="10">
        <f t="shared" si="46"/>
        <v>1128056.3979999998</v>
      </c>
      <c r="BM33" s="508">
        <f t="shared" si="27"/>
        <v>1.1047451225222413</v>
      </c>
      <c r="BN33" s="10">
        <f t="shared" si="28"/>
        <v>1.1035412295847737</v>
      </c>
    </row>
    <row r="34" spans="1:66">
      <c r="A34" s="16">
        <f>+Chem!A33</f>
        <v>45894</v>
      </c>
      <c r="B34" s="6" t="str">
        <f>+Chem!B33</f>
        <v>Toilet</v>
      </c>
      <c r="C34" s="572" t="str">
        <f>+Chem!C33</f>
        <v>13</v>
      </c>
      <c r="D34" s="8">
        <f>+Chem!D33</f>
        <v>43.957999999999998</v>
      </c>
      <c r="E34" s="7">
        <f>+Chem!E33</f>
        <v>40.912999999999997</v>
      </c>
      <c r="F34" s="7">
        <f t="shared" si="29"/>
        <v>1063.1280000000002</v>
      </c>
      <c r="G34" s="100">
        <f>37.5*G7</f>
        <v>9375</v>
      </c>
      <c r="H34" s="10">
        <f t="shared" si="0"/>
        <v>19.784784595294475</v>
      </c>
      <c r="I34" s="8">
        <f t="shared" si="30"/>
        <v>138937.5</v>
      </c>
      <c r="J34" s="10">
        <f t="shared" si="1"/>
        <v>11.820028824306341</v>
      </c>
      <c r="K34" s="100"/>
      <c r="L34" s="10">
        <f t="shared" si="2"/>
        <v>0</v>
      </c>
      <c r="M34" s="10">
        <f t="shared" si="31"/>
        <v>0</v>
      </c>
      <c r="N34" s="10">
        <f t="shared" si="3"/>
        <v>0</v>
      </c>
      <c r="O34" s="100"/>
      <c r="P34" s="10">
        <f t="shared" si="4"/>
        <v>0</v>
      </c>
      <c r="Q34" s="10">
        <f t="shared" si="32"/>
        <v>0</v>
      </c>
      <c r="R34" s="10">
        <f t="shared" si="5"/>
        <v>0</v>
      </c>
      <c r="S34" s="10">
        <f t="shared" si="33"/>
        <v>9375</v>
      </c>
      <c r="T34" s="10">
        <f t="shared" si="6"/>
        <v>19.784784595294475</v>
      </c>
      <c r="U34" s="10">
        <f t="shared" si="34"/>
        <v>138937.5</v>
      </c>
      <c r="V34" s="10">
        <f t="shared" si="7"/>
        <v>11.820028824306341</v>
      </c>
      <c r="W34" s="100"/>
      <c r="X34" s="10"/>
      <c r="Y34" s="10"/>
      <c r="Z34" s="10"/>
      <c r="AA34" s="100"/>
      <c r="AB34" s="10">
        <f t="shared" si="8"/>
        <v>0</v>
      </c>
      <c r="AC34" s="10">
        <f>AA34+AC33</f>
        <v>0</v>
      </c>
      <c r="AD34" s="10">
        <f t="shared" si="9"/>
        <v>0</v>
      </c>
      <c r="AE34" s="100"/>
      <c r="AF34" s="10">
        <f t="shared" si="10"/>
        <v>0</v>
      </c>
      <c r="AG34" s="10">
        <f t="shared" si="36"/>
        <v>0</v>
      </c>
      <c r="AH34" s="10">
        <f t="shared" si="11"/>
        <v>0</v>
      </c>
      <c r="AI34" s="100">
        <f>36*AI7</f>
        <v>8580.42</v>
      </c>
      <c r="AJ34" s="10">
        <f t="shared" si="12"/>
        <v>18.107921219963373</v>
      </c>
      <c r="AK34" s="10">
        <f t="shared" si="37"/>
        <v>55772.729999999996</v>
      </c>
      <c r="AL34" s="10">
        <f t="shared" si="13"/>
        <v>4.7448332970598646E-2</v>
      </c>
      <c r="AM34" s="10">
        <f t="shared" si="38"/>
        <v>8580.42</v>
      </c>
      <c r="AN34" s="10">
        <f t="shared" si="14"/>
        <v>18.107921219963373</v>
      </c>
      <c r="AO34" s="10">
        <f t="shared" si="39"/>
        <v>55772.729999999996</v>
      </c>
      <c r="AP34" s="10">
        <f t="shared" si="15"/>
        <v>4.7448332970598646</v>
      </c>
      <c r="AQ34" s="100">
        <f>117*AQ7</f>
        <v>29429.477999999999</v>
      </c>
      <c r="AR34" s="10">
        <f t="shared" si="16"/>
        <v>62.107294184742145</v>
      </c>
      <c r="AS34" s="10">
        <f t="shared" si="40"/>
        <v>980731.06599999988</v>
      </c>
      <c r="AT34" s="10">
        <f t="shared" si="17"/>
        <v>83.435137878633796</v>
      </c>
      <c r="AU34" s="100"/>
      <c r="AV34" s="10">
        <f t="shared" si="18"/>
        <v>0</v>
      </c>
      <c r="AW34" s="10">
        <f t="shared" si="41"/>
        <v>0</v>
      </c>
      <c r="AX34" s="10">
        <f t="shared" si="19"/>
        <v>0</v>
      </c>
      <c r="AY34" s="100"/>
      <c r="AZ34" s="15">
        <f t="shared" si="20"/>
        <v>0</v>
      </c>
      <c r="BA34" s="10">
        <f t="shared" si="42"/>
        <v>0</v>
      </c>
      <c r="BB34" s="10">
        <f t="shared" si="21"/>
        <v>0</v>
      </c>
      <c r="BC34" s="10">
        <f t="shared" si="43"/>
        <v>29429.477999999999</v>
      </c>
      <c r="BD34" s="10">
        <f t="shared" si="22"/>
        <v>62.107294184742145</v>
      </c>
      <c r="BE34" s="10">
        <f t="shared" si="44"/>
        <v>980731.06599999988</v>
      </c>
      <c r="BF34" s="10">
        <f t="shared" si="23"/>
        <v>83.435137878633796</v>
      </c>
      <c r="BG34" s="100"/>
      <c r="BH34" s="10">
        <f t="shared" si="24"/>
        <v>0</v>
      </c>
      <c r="BI34" s="10">
        <f t="shared" si="45"/>
        <v>0</v>
      </c>
      <c r="BJ34" s="10">
        <f t="shared" si="25"/>
        <v>0</v>
      </c>
      <c r="BK34" s="10">
        <f t="shared" si="26"/>
        <v>47384.898000000001</v>
      </c>
      <c r="BL34" s="10">
        <f t="shared" si="46"/>
        <v>1175441.2959999999</v>
      </c>
      <c r="BM34" s="508">
        <f t="shared" si="27"/>
        <v>1.1581868354801652</v>
      </c>
      <c r="BN34" s="10">
        <f t="shared" si="28"/>
        <v>1.1056441895989946</v>
      </c>
    </row>
    <row r="35" spans="1:66">
      <c r="A35" s="16">
        <f>+Chem!A34</f>
        <v>45895</v>
      </c>
      <c r="B35" s="6" t="str">
        <f>+Chem!B34</f>
        <v>Toilet/Facial</v>
      </c>
      <c r="C35" s="572" t="str">
        <f>+Chem!C34</f>
        <v>13/12</v>
      </c>
      <c r="D35" s="8">
        <f>+Chem!D34</f>
        <v>41.836000000000006</v>
      </c>
      <c r="E35" s="7">
        <f>+Chem!E34</f>
        <v>39.917000000000002</v>
      </c>
      <c r="F35" s="7">
        <f t="shared" si="29"/>
        <v>1103.0450000000001</v>
      </c>
      <c r="G35" s="100">
        <f>37*G7</f>
        <v>9250</v>
      </c>
      <c r="H35" s="10">
        <f t="shared" si="0"/>
        <v>21.394994834091762</v>
      </c>
      <c r="I35" s="8">
        <f t="shared" si="30"/>
        <v>148187.5</v>
      </c>
      <c r="J35" s="10">
        <f t="shared" si="1"/>
        <v>12.159715595282643</v>
      </c>
      <c r="K35" s="100"/>
      <c r="L35" s="10">
        <f t="shared" si="2"/>
        <v>0</v>
      </c>
      <c r="M35" s="10">
        <f t="shared" si="31"/>
        <v>0</v>
      </c>
      <c r="N35" s="10">
        <f t="shared" si="3"/>
        <v>0</v>
      </c>
      <c r="O35" s="100"/>
      <c r="P35" s="10">
        <f t="shared" si="4"/>
        <v>0</v>
      </c>
      <c r="Q35" s="10">
        <f t="shared" si="32"/>
        <v>0</v>
      </c>
      <c r="R35" s="10">
        <f t="shared" si="5"/>
        <v>0</v>
      </c>
      <c r="S35" s="10">
        <f t="shared" si="33"/>
        <v>9250</v>
      </c>
      <c r="T35" s="10">
        <f t="shared" si="6"/>
        <v>21.394994834091762</v>
      </c>
      <c r="U35" s="10">
        <f t="shared" si="34"/>
        <v>148187.5</v>
      </c>
      <c r="V35" s="10">
        <f t="shared" si="7"/>
        <v>12.159715595282643</v>
      </c>
      <c r="W35" s="100"/>
      <c r="X35" s="10"/>
      <c r="Y35" s="10"/>
      <c r="Z35" s="10"/>
      <c r="AA35" s="100"/>
      <c r="AB35" s="10">
        <f t="shared" si="8"/>
        <v>0</v>
      </c>
      <c r="AC35" s="10">
        <f>AA35+AC34</f>
        <v>0</v>
      </c>
      <c r="AD35" s="10">
        <f t="shared" si="9"/>
        <v>0</v>
      </c>
      <c r="AE35" s="100"/>
      <c r="AF35" s="10">
        <f t="shared" si="10"/>
        <v>0</v>
      </c>
      <c r="AG35" s="10">
        <f t="shared" si="36"/>
        <v>0</v>
      </c>
      <c r="AH35" s="10">
        <f t="shared" si="11"/>
        <v>0</v>
      </c>
      <c r="AI35" s="100">
        <f>17*AI7</f>
        <v>4051.8649999999998</v>
      </c>
      <c r="AJ35" s="10">
        <f t="shared" si="12"/>
        <v>9.3718519722634817</v>
      </c>
      <c r="AK35" s="10">
        <f t="shared" si="37"/>
        <v>59824.594999999994</v>
      </c>
      <c r="AL35" s="10">
        <f t="shared" si="13"/>
        <v>4.9089839615552452E-2</v>
      </c>
      <c r="AM35" s="10">
        <f t="shared" si="38"/>
        <v>4051.8649999999998</v>
      </c>
      <c r="AN35" s="10">
        <f t="shared" si="14"/>
        <v>9.3718519722634817</v>
      </c>
      <c r="AO35" s="10">
        <f t="shared" si="39"/>
        <v>59824.594999999994</v>
      </c>
      <c r="AP35" s="10">
        <f t="shared" si="15"/>
        <v>4.9089839615552453</v>
      </c>
      <c r="AQ35" s="100">
        <f>119*AQ7</f>
        <v>29932.545999999998</v>
      </c>
      <c r="AR35" s="10">
        <f t="shared" si="16"/>
        <v>69.233153193644753</v>
      </c>
      <c r="AS35" s="10">
        <f t="shared" si="40"/>
        <v>1010663.6119999998</v>
      </c>
      <c r="AT35" s="10">
        <f t="shared" si="17"/>
        <v>82.931300443162101</v>
      </c>
      <c r="AU35" s="100"/>
      <c r="AV35" s="10">
        <f t="shared" si="18"/>
        <v>0</v>
      </c>
      <c r="AW35" s="10">
        <f t="shared" si="41"/>
        <v>0</v>
      </c>
      <c r="AX35" s="10">
        <f t="shared" si="19"/>
        <v>0</v>
      </c>
      <c r="AY35" s="100"/>
      <c r="AZ35" s="15">
        <f t="shared" si="20"/>
        <v>0</v>
      </c>
      <c r="BA35" s="10">
        <f t="shared" si="42"/>
        <v>0</v>
      </c>
      <c r="BB35" s="10">
        <f t="shared" si="21"/>
        <v>0</v>
      </c>
      <c r="BC35" s="10">
        <f t="shared" si="43"/>
        <v>29932.545999999998</v>
      </c>
      <c r="BD35" s="10">
        <f t="shared" si="22"/>
        <v>69.233153193644753</v>
      </c>
      <c r="BE35" s="10">
        <f t="shared" si="44"/>
        <v>1010663.6119999998</v>
      </c>
      <c r="BF35" s="10">
        <f t="shared" si="23"/>
        <v>82.931300443162101</v>
      </c>
      <c r="BG35" s="100"/>
      <c r="BH35" s="10">
        <f t="shared" si="24"/>
        <v>0</v>
      </c>
      <c r="BI35" s="10">
        <f t="shared" si="45"/>
        <v>0</v>
      </c>
      <c r="BJ35" s="10">
        <f t="shared" si="25"/>
        <v>0</v>
      </c>
      <c r="BK35" s="10">
        <f t="shared" si="26"/>
        <v>43234.411</v>
      </c>
      <c r="BL35" s="10">
        <f t="shared" si="46"/>
        <v>1218675.7069999999</v>
      </c>
      <c r="BM35" s="508">
        <f t="shared" si="27"/>
        <v>1.0831077235263171</v>
      </c>
      <c r="BN35" s="10">
        <f t="shared" si="28"/>
        <v>1.1048286398107057</v>
      </c>
    </row>
    <row r="36" spans="1:66">
      <c r="A36" s="16">
        <f>+Chem!A35</f>
        <v>45896</v>
      </c>
      <c r="B36" s="6" t="str">
        <f>+Chem!B35</f>
        <v>Facial</v>
      </c>
      <c r="C36" s="572" t="str">
        <f>+Chem!C35</f>
        <v>12</v>
      </c>
      <c r="D36" s="8">
        <f>+Chem!D35</f>
        <v>42.418999999999997</v>
      </c>
      <c r="E36" s="7">
        <f>+Chem!E35</f>
        <v>40.606000000000002</v>
      </c>
      <c r="F36" s="7">
        <f t="shared" si="29"/>
        <v>1143.6510000000001</v>
      </c>
      <c r="G36" s="100">
        <f>19*G7</f>
        <v>4750</v>
      </c>
      <c r="H36" s="10">
        <f t="shared" si="0"/>
        <v>11.050837388253933</v>
      </c>
      <c r="I36" s="8">
        <f t="shared" si="30"/>
        <v>152937.5</v>
      </c>
      <c r="J36" s="10">
        <f t="shared" si="1"/>
        <v>12.12193747695866</v>
      </c>
      <c r="K36" s="100"/>
      <c r="L36" s="10">
        <f t="shared" si="2"/>
        <v>0</v>
      </c>
      <c r="M36" s="10">
        <f t="shared" si="31"/>
        <v>0</v>
      </c>
      <c r="N36" s="10">
        <f t="shared" si="3"/>
        <v>0</v>
      </c>
      <c r="O36" s="100"/>
      <c r="P36" s="10">
        <f t="shared" si="4"/>
        <v>0</v>
      </c>
      <c r="Q36" s="10">
        <f t="shared" si="32"/>
        <v>0</v>
      </c>
      <c r="R36" s="10">
        <f t="shared" si="5"/>
        <v>0</v>
      </c>
      <c r="S36" s="10">
        <f t="shared" si="33"/>
        <v>4750</v>
      </c>
      <c r="T36" s="10">
        <f t="shared" si="6"/>
        <v>11.050837388253933</v>
      </c>
      <c r="U36" s="10">
        <f t="shared" si="34"/>
        <v>152937.5</v>
      </c>
      <c r="V36" s="10">
        <f t="shared" si="7"/>
        <v>12.12193747695866</v>
      </c>
      <c r="W36" s="100"/>
      <c r="X36" s="10"/>
      <c r="Y36" s="10"/>
      <c r="Z36" s="10"/>
      <c r="AA36" s="100"/>
      <c r="AB36" s="10">
        <f t="shared" si="8"/>
        <v>0</v>
      </c>
      <c r="AC36" s="10">
        <f t="shared" si="35"/>
        <v>0</v>
      </c>
      <c r="AD36" s="10">
        <f t="shared" si="9"/>
        <v>0</v>
      </c>
      <c r="AE36" s="100"/>
      <c r="AF36" s="10">
        <f t="shared" si="10"/>
        <v>0</v>
      </c>
      <c r="AG36" s="10">
        <f t="shared" si="36"/>
        <v>0</v>
      </c>
      <c r="AH36" s="10">
        <f t="shared" si="11"/>
        <v>0</v>
      </c>
      <c r="AI36" s="100"/>
      <c r="AJ36" s="10">
        <f t="shared" si="12"/>
        <v>0</v>
      </c>
      <c r="AK36" s="10">
        <f t="shared" si="37"/>
        <v>59824.594999999994</v>
      </c>
      <c r="AL36" s="10">
        <f t="shared" si="13"/>
        <v>4.7417409083735089E-2</v>
      </c>
      <c r="AM36" s="10">
        <f t="shared" si="38"/>
        <v>0</v>
      </c>
      <c r="AN36" s="10">
        <f t="shared" si="14"/>
        <v>0</v>
      </c>
      <c r="AO36" s="10">
        <f t="shared" si="39"/>
        <v>59824.594999999994</v>
      </c>
      <c r="AP36" s="10">
        <f t="shared" si="15"/>
        <v>4.7417409083735089</v>
      </c>
      <c r="AQ36" s="100">
        <f>152*AQ7</f>
        <v>38233.167999999998</v>
      </c>
      <c r="AR36" s="10">
        <f t="shared" si="16"/>
        <v>88.949162611746075</v>
      </c>
      <c r="AS36" s="10">
        <f t="shared" si="40"/>
        <v>1048896.7799999998</v>
      </c>
      <c r="AT36" s="10">
        <f t="shared" si="17"/>
        <v>83.136321614667821</v>
      </c>
      <c r="AU36" s="100"/>
      <c r="AV36" s="10">
        <f t="shared" si="18"/>
        <v>0</v>
      </c>
      <c r="AW36" s="10">
        <f t="shared" si="41"/>
        <v>0</v>
      </c>
      <c r="AX36" s="10">
        <f t="shared" si="19"/>
        <v>0</v>
      </c>
      <c r="AY36" s="100"/>
      <c r="AZ36" s="15">
        <f t="shared" si="20"/>
        <v>0</v>
      </c>
      <c r="BA36" s="10">
        <f t="shared" si="42"/>
        <v>0</v>
      </c>
      <c r="BB36" s="10">
        <f t="shared" si="21"/>
        <v>0</v>
      </c>
      <c r="BC36" s="10">
        <f t="shared" si="43"/>
        <v>38233.167999999998</v>
      </c>
      <c r="BD36" s="10">
        <f t="shared" si="22"/>
        <v>88.949162611746075</v>
      </c>
      <c r="BE36" s="10">
        <f t="shared" si="44"/>
        <v>1048896.7799999998</v>
      </c>
      <c r="BF36" s="10">
        <f t="shared" si="23"/>
        <v>83.136321614667821</v>
      </c>
      <c r="BG36" s="100"/>
      <c r="BH36" s="10">
        <f t="shared" si="24"/>
        <v>0</v>
      </c>
      <c r="BI36" s="10">
        <f t="shared" si="45"/>
        <v>0</v>
      </c>
      <c r="BJ36" s="10">
        <f t="shared" si="25"/>
        <v>0</v>
      </c>
      <c r="BK36" s="10">
        <f t="shared" si="26"/>
        <v>42983.167999999998</v>
      </c>
      <c r="BL36" s="10">
        <f t="shared" si="46"/>
        <v>1261658.875</v>
      </c>
      <c r="BM36" s="508">
        <f t="shared" si="27"/>
        <v>1.0585422843914691</v>
      </c>
      <c r="BN36" s="10">
        <f t="shared" si="28"/>
        <v>1.1031852155946176</v>
      </c>
    </row>
    <row r="37" spans="1:66">
      <c r="A37" s="16">
        <f>+Chem!A36</f>
        <v>45897</v>
      </c>
      <c r="B37" s="6" t="str">
        <f>+Chem!B36</f>
        <v>Facial</v>
      </c>
      <c r="C37" s="572" t="str">
        <f>+Chem!C36</f>
        <v>12</v>
      </c>
      <c r="D37" s="8">
        <f>+Chem!D36</f>
        <v>39.24</v>
      </c>
      <c r="E37" s="7">
        <f>+Chem!E36</f>
        <v>39.936999999999998</v>
      </c>
      <c r="F37" s="7">
        <f t="shared" si="29"/>
        <v>1183.588</v>
      </c>
      <c r="G37" s="100">
        <f>19*G7</f>
        <v>4750</v>
      </c>
      <c r="H37" s="10">
        <f t="shared" si="0"/>
        <v>11.050837388253933</v>
      </c>
      <c r="I37" s="8">
        <f t="shared" si="30"/>
        <v>157687.5</v>
      </c>
      <c r="J37" s="10">
        <f t="shared" si="1"/>
        <v>12.086648659382503</v>
      </c>
      <c r="K37" s="100"/>
      <c r="L37" s="10">
        <f t="shared" si="2"/>
        <v>0</v>
      </c>
      <c r="M37" s="10">
        <f t="shared" si="31"/>
        <v>0</v>
      </c>
      <c r="N37" s="10">
        <f t="shared" si="3"/>
        <v>0</v>
      </c>
      <c r="O37" s="100"/>
      <c r="P37" s="10">
        <f t="shared" si="4"/>
        <v>0</v>
      </c>
      <c r="Q37" s="10">
        <f t="shared" si="32"/>
        <v>0</v>
      </c>
      <c r="R37" s="10">
        <f t="shared" si="5"/>
        <v>0</v>
      </c>
      <c r="S37" s="10">
        <f t="shared" si="33"/>
        <v>4750</v>
      </c>
      <c r="T37" s="10">
        <f t="shared" si="6"/>
        <v>11.050837388253933</v>
      </c>
      <c r="U37" s="10">
        <f t="shared" si="34"/>
        <v>157687.5</v>
      </c>
      <c r="V37" s="10">
        <f t="shared" si="7"/>
        <v>12.086648659382503</v>
      </c>
      <c r="W37" s="100"/>
      <c r="X37" s="10"/>
      <c r="Y37" s="10"/>
      <c r="Z37" s="10"/>
      <c r="AA37" s="100"/>
      <c r="AB37" s="10">
        <f t="shared" si="8"/>
        <v>0</v>
      </c>
      <c r="AC37" s="10">
        <f t="shared" si="35"/>
        <v>0</v>
      </c>
      <c r="AD37" s="10">
        <f t="shared" si="9"/>
        <v>0</v>
      </c>
      <c r="AE37" s="100"/>
      <c r="AF37" s="10">
        <f t="shared" si="10"/>
        <v>0</v>
      </c>
      <c r="AG37" s="10">
        <f t="shared" si="36"/>
        <v>0</v>
      </c>
      <c r="AH37" s="10">
        <f t="shared" si="11"/>
        <v>0</v>
      </c>
      <c r="AI37" s="100"/>
      <c r="AJ37" s="10">
        <f t="shared" si="12"/>
        <v>0</v>
      </c>
      <c r="AK37" s="10">
        <f t="shared" si="37"/>
        <v>59824.594999999994</v>
      </c>
      <c r="AL37" s="10">
        <f t="shared" si="13"/>
        <v>4.5855179450168919E-2</v>
      </c>
      <c r="AM37" s="10">
        <f t="shared" si="38"/>
        <v>0</v>
      </c>
      <c r="AN37" s="10">
        <f t="shared" si="14"/>
        <v>0</v>
      </c>
      <c r="AO37" s="10">
        <f t="shared" si="39"/>
        <v>59824.594999999994</v>
      </c>
      <c r="AP37" s="10">
        <f t="shared" si="15"/>
        <v>4.5855179450168917</v>
      </c>
      <c r="AQ37" s="100">
        <f>152*AQ7</f>
        <v>38233.167999999998</v>
      </c>
      <c r="AR37" s="10">
        <f t="shared" si="16"/>
        <v>88.949162611746075</v>
      </c>
      <c r="AS37" s="10">
        <f t="shared" si="40"/>
        <v>1087129.9479999999</v>
      </c>
      <c r="AT37" s="10">
        <f t="shared" si="17"/>
        <v>83.327833395600592</v>
      </c>
      <c r="AU37" s="100"/>
      <c r="AV37" s="10">
        <f t="shared" si="18"/>
        <v>0</v>
      </c>
      <c r="AW37" s="10">
        <f t="shared" si="41"/>
        <v>0</v>
      </c>
      <c r="AX37" s="10">
        <f t="shared" si="19"/>
        <v>0</v>
      </c>
      <c r="AY37" s="100"/>
      <c r="AZ37" s="15">
        <f t="shared" si="20"/>
        <v>0</v>
      </c>
      <c r="BA37" s="10">
        <f t="shared" si="42"/>
        <v>0</v>
      </c>
      <c r="BB37" s="10">
        <f t="shared" si="21"/>
        <v>0</v>
      </c>
      <c r="BC37" s="10">
        <f t="shared" si="43"/>
        <v>38233.167999999998</v>
      </c>
      <c r="BD37" s="10">
        <f t="shared" si="22"/>
        <v>88.949162611746075</v>
      </c>
      <c r="BE37" s="10">
        <f t="shared" si="44"/>
        <v>1087129.9479999999</v>
      </c>
      <c r="BF37" s="10">
        <f t="shared" si="23"/>
        <v>83.327833395600592</v>
      </c>
      <c r="BG37" s="100"/>
      <c r="BH37" s="10">
        <f t="shared" si="24"/>
        <v>0</v>
      </c>
      <c r="BI37" s="10">
        <f t="shared" si="45"/>
        <v>0</v>
      </c>
      <c r="BJ37" s="10">
        <f t="shared" si="25"/>
        <v>0</v>
      </c>
      <c r="BK37" s="10">
        <f t="shared" si="26"/>
        <v>42983.167999999998</v>
      </c>
      <c r="BL37" s="10">
        <f t="shared" si="46"/>
        <v>1304642.0430000001</v>
      </c>
      <c r="BM37" s="508">
        <f t="shared" si="27"/>
        <v>1.076274332073015</v>
      </c>
      <c r="BN37" s="10">
        <f t="shared" si="28"/>
        <v>1.1022771800660365</v>
      </c>
    </row>
    <row r="38" spans="1:66">
      <c r="A38" s="16">
        <f>+Chem!A37</f>
        <v>45898</v>
      </c>
      <c r="B38" s="6" t="str">
        <f>+Chem!B37</f>
        <v>Facial</v>
      </c>
      <c r="C38" s="572" t="str">
        <f>+Chem!C37</f>
        <v>12/13</v>
      </c>
      <c r="D38" s="8">
        <f>+Chem!D37</f>
        <v>41.143000000000001</v>
      </c>
      <c r="E38" s="7">
        <f>+Chem!E37</f>
        <v>37.582000000000001</v>
      </c>
      <c r="F38" s="7">
        <f t="shared" si="29"/>
        <v>1221.17</v>
      </c>
      <c r="G38" s="100">
        <f>20*G7</f>
        <v>5000</v>
      </c>
      <c r="H38" s="10">
        <f t="shared" si="0"/>
        <v>11.050837388253932</v>
      </c>
      <c r="I38" s="8">
        <f t="shared" si="30"/>
        <v>162687.5</v>
      </c>
      <c r="J38" s="10">
        <f t="shared" si="1"/>
        <v>12.051930405224743</v>
      </c>
      <c r="K38" s="100"/>
      <c r="L38" s="10">
        <f t="shared" si="2"/>
        <v>0</v>
      </c>
      <c r="M38" s="10">
        <f t="shared" si="31"/>
        <v>0</v>
      </c>
      <c r="N38" s="10">
        <f t="shared" si="3"/>
        <v>0</v>
      </c>
      <c r="O38" s="100"/>
      <c r="P38" s="10">
        <f t="shared" si="4"/>
        <v>0</v>
      </c>
      <c r="Q38" s="10">
        <f t="shared" si="32"/>
        <v>0</v>
      </c>
      <c r="R38" s="10">
        <f t="shared" si="5"/>
        <v>0</v>
      </c>
      <c r="S38" s="10">
        <f t="shared" si="33"/>
        <v>5000</v>
      </c>
      <c r="T38" s="10">
        <f t="shared" si="6"/>
        <v>11.050837388253932</v>
      </c>
      <c r="U38" s="10">
        <f t="shared" si="34"/>
        <v>162687.5</v>
      </c>
      <c r="V38" s="10">
        <f t="shared" si="7"/>
        <v>12.051930405224743</v>
      </c>
      <c r="W38" s="100"/>
      <c r="X38" s="10"/>
      <c r="Y38" s="10"/>
      <c r="Z38" s="10"/>
      <c r="AA38" s="100"/>
      <c r="AB38" s="10">
        <f t="shared" si="8"/>
        <v>0</v>
      </c>
      <c r="AC38" s="10">
        <f t="shared" si="35"/>
        <v>0</v>
      </c>
      <c r="AD38" s="10">
        <f t="shared" si="9"/>
        <v>0</v>
      </c>
      <c r="AE38" s="100"/>
      <c r="AF38" s="10">
        <f t="shared" si="10"/>
        <v>0</v>
      </c>
      <c r="AG38" s="10">
        <f t="shared" si="36"/>
        <v>0</v>
      </c>
      <c r="AH38" s="10">
        <f t="shared" si="11"/>
        <v>0</v>
      </c>
      <c r="AI38" s="100"/>
      <c r="AJ38" s="10">
        <f t="shared" si="12"/>
        <v>0</v>
      </c>
      <c r="AK38" s="10">
        <f t="shared" si="37"/>
        <v>59824.594999999994</v>
      </c>
      <c r="AL38" s="10">
        <f t="shared" si="13"/>
        <v>4.4318208556942365E-2</v>
      </c>
      <c r="AM38" s="10">
        <f t="shared" si="38"/>
        <v>0</v>
      </c>
      <c r="AN38" s="10">
        <f t="shared" si="14"/>
        <v>0</v>
      </c>
      <c r="AO38" s="10">
        <f t="shared" si="39"/>
        <v>59824.594999999994</v>
      </c>
      <c r="AP38" s="10">
        <f t="shared" si="15"/>
        <v>4.4318208556942364</v>
      </c>
      <c r="AQ38" s="100">
        <f>160*AQ7</f>
        <v>40245.440000000002</v>
      </c>
      <c r="AR38" s="10">
        <f t="shared" si="16"/>
        <v>88.949162611746075</v>
      </c>
      <c r="AS38" s="10">
        <f t="shared" si="40"/>
        <v>1127375.3879999998</v>
      </c>
      <c r="AT38" s="10">
        <f t="shared" si="17"/>
        <v>83.516248739081007</v>
      </c>
      <c r="AU38" s="100"/>
      <c r="AV38" s="10">
        <f t="shared" si="18"/>
        <v>0</v>
      </c>
      <c r="AW38" s="10">
        <f t="shared" si="41"/>
        <v>0</v>
      </c>
      <c r="AX38" s="10">
        <f t="shared" si="19"/>
        <v>0</v>
      </c>
      <c r="AY38" s="100"/>
      <c r="AZ38" s="15">
        <f t="shared" si="20"/>
        <v>0</v>
      </c>
      <c r="BA38" s="10">
        <f t="shared" si="42"/>
        <v>0</v>
      </c>
      <c r="BB38" s="10">
        <f t="shared" si="21"/>
        <v>0</v>
      </c>
      <c r="BC38" s="10">
        <f t="shared" si="43"/>
        <v>40245.440000000002</v>
      </c>
      <c r="BD38" s="10">
        <f t="shared" si="22"/>
        <v>88.949162611746075</v>
      </c>
      <c r="BE38" s="10">
        <f t="shared" si="44"/>
        <v>1127375.3879999998</v>
      </c>
      <c r="BF38" s="10">
        <f t="shared" si="23"/>
        <v>83.516248739081007</v>
      </c>
      <c r="BG38" s="100"/>
      <c r="BH38" s="10">
        <f t="shared" si="24"/>
        <v>0</v>
      </c>
      <c r="BI38" s="10">
        <f t="shared" si="45"/>
        <v>0</v>
      </c>
      <c r="BJ38" s="10">
        <f t="shared" si="25"/>
        <v>0</v>
      </c>
      <c r="BK38" s="10">
        <f t="shared" si="26"/>
        <v>45245.440000000002</v>
      </c>
      <c r="BL38" s="10">
        <f t="shared" si="46"/>
        <v>1349887.483</v>
      </c>
      <c r="BM38" s="508">
        <f t="shared" si="27"/>
        <v>1.2039125113086053</v>
      </c>
      <c r="BN38" s="10">
        <f t="shared" si="28"/>
        <v>1.1054050484371545</v>
      </c>
    </row>
    <row r="39" spans="1:66">
      <c r="A39" s="16">
        <f>+Chem!A38</f>
        <v>45899</v>
      </c>
      <c r="B39" s="6" t="str">
        <f>+Chem!B38</f>
        <v>Facial</v>
      </c>
      <c r="C39" s="572" t="str">
        <f>+Chem!C38</f>
        <v>13/12</v>
      </c>
      <c r="D39" s="8">
        <f>+Chem!D38</f>
        <v>43.706000000000003</v>
      </c>
      <c r="E39" s="7">
        <f>+Chem!E38</f>
        <v>39.563000000000002</v>
      </c>
      <c r="F39" s="7">
        <f t="shared" si="29"/>
        <v>1260.7330000000002</v>
      </c>
      <c r="G39" s="100">
        <f>20.5*G7</f>
        <v>5125</v>
      </c>
      <c r="H39" s="10">
        <f t="shared" si="0"/>
        <v>11.050837388253933</v>
      </c>
      <c r="I39" s="8">
        <f t="shared" si="30"/>
        <v>167812.5</v>
      </c>
      <c r="J39" s="10">
        <f t="shared" si="1"/>
        <v>12.018679340653286</v>
      </c>
      <c r="K39" s="100"/>
      <c r="L39" s="10">
        <f t="shared" si="2"/>
        <v>0</v>
      </c>
      <c r="M39" s="10">
        <f t="shared" si="31"/>
        <v>0</v>
      </c>
      <c r="N39" s="10">
        <f t="shared" si="3"/>
        <v>0</v>
      </c>
      <c r="O39" s="100"/>
      <c r="P39" s="10">
        <f t="shared" si="4"/>
        <v>0</v>
      </c>
      <c r="Q39" s="10">
        <f t="shared" si="32"/>
        <v>0</v>
      </c>
      <c r="R39" s="10">
        <f t="shared" si="5"/>
        <v>0</v>
      </c>
      <c r="S39" s="10">
        <f t="shared" si="33"/>
        <v>5125</v>
      </c>
      <c r="T39" s="10">
        <f t="shared" si="6"/>
        <v>11.050837388253933</v>
      </c>
      <c r="U39" s="10">
        <f t="shared" si="34"/>
        <v>167812.5</v>
      </c>
      <c r="V39" s="10">
        <f t="shared" si="7"/>
        <v>12.018679340653286</v>
      </c>
      <c r="W39" s="100"/>
      <c r="X39" s="10"/>
      <c r="Y39" s="10"/>
      <c r="Z39" s="10"/>
      <c r="AA39" s="100"/>
      <c r="AB39" s="10">
        <f t="shared" si="8"/>
        <v>0</v>
      </c>
      <c r="AC39" s="10">
        <f t="shared" si="35"/>
        <v>0</v>
      </c>
      <c r="AD39" s="10">
        <f t="shared" si="9"/>
        <v>0</v>
      </c>
      <c r="AE39" s="100"/>
      <c r="AF39" s="10">
        <f t="shared" si="10"/>
        <v>0</v>
      </c>
      <c r="AG39" s="10">
        <f t="shared" si="36"/>
        <v>0</v>
      </c>
      <c r="AH39" s="10">
        <f t="shared" si="11"/>
        <v>0</v>
      </c>
      <c r="AI39" s="100"/>
      <c r="AJ39" s="10">
        <f t="shared" si="12"/>
        <v>0</v>
      </c>
      <c r="AK39" s="10">
        <f t="shared" si="37"/>
        <v>59824.594999999994</v>
      </c>
      <c r="AL39" s="10">
        <f t="shared" si="13"/>
        <v>4.2846189883915073E-2</v>
      </c>
      <c r="AM39" s="10">
        <f t="shared" si="38"/>
        <v>0</v>
      </c>
      <c r="AN39" s="10">
        <f t="shared" si="14"/>
        <v>0</v>
      </c>
      <c r="AO39" s="10">
        <f t="shared" si="39"/>
        <v>59824.594999999994</v>
      </c>
      <c r="AP39" s="10">
        <f t="shared" si="15"/>
        <v>4.2846189883915073</v>
      </c>
      <c r="AQ39" s="100">
        <f>164*AQ7</f>
        <v>41251.576000000001</v>
      </c>
      <c r="AR39" s="10">
        <f t="shared" si="16"/>
        <v>88.949162611746075</v>
      </c>
      <c r="AS39" s="10">
        <f t="shared" si="40"/>
        <v>1168626.9639999997</v>
      </c>
      <c r="AT39" s="10">
        <f t="shared" si="17"/>
        <v>83.696701670955193</v>
      </c>
      <c r="AU39" s="100"/>
      <c r="AV39" s="10">
        <f t="shared" si="18"/>
        <v>0</v>
      </c>
      <c r="AW39" s="10">
        <f t="shared" si="41"/>
        <v>0</v>
      </c>
      <c r="AX39" s="10">
        <f t="shared" si="19"/>
        <v>0</v>
      </c>
      <c r="AY39" s="100"/>
      <c r="AZ39" s="15">
        <f t="shared" si="20"/>
        <v>0</v>
      </c>
      <c r="BA39" s="10">
        <f t="shared" si="42"/>
        <v>0</v>
      </c>
      <c r="BB39" s="10">
        <f t="shared" si="21"/>
        <v>0</v>
      </c>
      <c r="BC39" s="10">
        <f t="shared" si="43"/>
        <v>41251.576000000001</v>
      </c>
      <c r="BD39" s="10">
        <f t="shared" si="22"/>
        <v>88.949162611746075</v>
      </c>
      <c r="BE39" s="10">
        <f t="shared" si="44"/>
        <v>1168626.9639999997</v>
      </c>
      <c r="BF39" s="10">
        <f t="shared" si="23"/>
        <v>83.696701670955193</v>
      </c>
      <c r="BG39" s="100"/>
      <c r="BH39" s="10">
        <f t="shared" si="24"/>
        <v>0</v>
      </c>
      <c r="BI39" s="10">
        <f t="shared" si="45"/>
        <v>0</v>
      </c>
      <c r="BJ39" s="10">
        <f t="shared" si="25"/>
        <v>0</v>
      </c>
      <c r="BK39" s="10">
        <f t="shared" si="26"/>
        <v>46376.576000000001</v>
      </c>
      <c r="BL39" s="10">
        <f t="shared" si="46"/>
        <v>1396264.0589999999</v>
      </c>
      <c r="BM39" s="508">
        <f t="shared" si="27"/>
        <v>1.1722209134797663</v>
      </c>
      <c r="BN39" s="10">
        <f t="shared" si="28"/>
        <v>1.1075017937977349</v>
      </c>
    </row>
    <row r="40" spans="1:66">
      <c r="A40" s="16">
        <f>+Chem!A39</f>
        <v>45900</v>
      </c>
      <c r="B40" s="6" t="str">
        <f>+Chem!B39</f>
        <v>Facial</v>
      </c>
      <c r="C40" s="572" t="str">
        <f>+Chem!C39</f>
        <v>12/12,5/13</v>
      </c>
      <c r="D40" s="8">
        <f>+Chem!D39</f>
        <v>42.796999999999997</v>
      </c>
      <c r="E40" s="7">
        <f>+Chem!E39</f>
        <v>43.789000000000001</v>
      </c>
      <c r="F40" s="7">
        <f>+E40+F39</f>
        <v>1304.5220000000002</v>
      </c>
      <c r="G40" s="100">
        <f>22.5*G7</f>
        <v>5625</v>
      </c>
      <c r="H40" s="10">
        <f t="shared" si="0"/>
        <v>12.537807340107182</v>
      </c>
      <c r="I40" s="8">
        <f>G40+I39</f>
        <v>173437.5</v>
      </c>
      <c r="J40" s="10">
        <f t="shared" si="1"/>
        <v>12.034840507819498</v>
      </c>
      <c r="K40" s="100"/>
      <c r="L40" s="10">
        <f t="shared" si="2"/>
        <v>0</v>
      </c>
      <c r="M40" s="10">
        <f>+K40+M39</f>
        <v>0</v>
      </c>
      <c r="N40" s="10">
        <f t="shared" si="3"/>
        <v>0</v>
      </c>
      <c r="O40" s="100"/>
      <c r="P40" s="10">
        <f t="shared" si="4"/>
        <v>0</v>
      </c>
      <c r="Q40" s="10">
        <f>+O40+Q39</f>
        <v>0</v>
      </c>
      <c r="R40" s="10">
        <f t="shared" si="5"/>
        <v>0</v>
      </c>
      <c r="S40" s="10">
        <f t="shared" si="33"/>
        <v>5625</v>
      </c>
      <c r="T40" s="10">
        <f t="shared" si="6"/>
        <v>12.537807340107182</v>
      </c>
      <c r="U40" s="10">
        <f>S40+U39</f>
        <v>173437.5</v>
      </c>
      <c r="V40" s="10">
        <f t="shared" si="7"/>
        <v>12.034840507819498</v>
      </c>
      <c r="W40" s="100"/>
      <c r="X40" s="10"/>
      <c r="Y40" s="10"/>
      <c r="Z40" s="10"/>
      <c r="AA40" s="100"/>
      <c r="AB40" s="10">
        <f t="shared" si="8"/>
        <v>0</v>
      </c>
      <c r="AC40" s="10">
        <f>AA40+AC39</f>
        <v>0</v>
      </c>
      <c r="AD40" s="10">
        <f t="shared" si="9"/>
        <v>0</v>
      </c>
      <c r="AE40" s="100"/>
      <c r="AF40" s="10">
        <f t="shared" si="10"/>
        <v>0</v>
      </c>
      <c r="AG40" s="10">
        <f>AE40+AG39</f>
        <v>0</v>
      </c>
      <c r="AH40" s="10">
        <f t="shared" si="11"/>
        <v>0</v>
      </c>
      <c r="AI40" s="100"/>
      <c r="AJ40" s="10">
        <f t="shared" si="12"/>
        <v>0</v>
      </c>
      <c r="AK40" s="10">
        <f>AI40+AK39</f>
        <v>59824.594999999994</v>
      </c>
      <c r="AL40" s="10">
        <f t="shared" si="13"/>
        <v>4.1512329183129124E-2</v>
      </c>
      <c r="AM40" s="10">
        <f t="shared" si="38"/>
        <v>0</v>
      </c>
      <c r="AN40" s="10">
        <f>AM40/BK40*100</f>
        <v>0</v>
      </c>
      <c r="AO40" s="10">
        <f>AM40+AO39</f>
        <v>59824.594999999994</v>
      </c>
      <c r="AP40" s="10">
        <f>AO40/BL40*100</f>
        <v>4.1512329183129122</v>
      </c>
      <c r="AQ40" s="100">
        <f>156*AQ7</f>
        <v>39239.303999999996</v>
      </c>
      <c r="AR40" s="10">
        <f>+AQ40/BK40*100</f>
        <v>87.462192659892807</v>
      </c>
      <c r="AS40" s="10">
        <f>+AQ40+AS39</f>
        <v>1207866.2679999997</v>
      </c>
      <c r="AT40" s="10">
        <f>+AS40/BL40*100</f>
        <v>83.813926573867576</v>
      </c>
      <c r="AU40" s="100"/>
      <c r="AV40" s="10">
        <f>AU40/BK40*100</f>
        <v>0</v>
      </c>
      <c r="AW40" s="10">
        <f>AU40+AW39</f>
        <v>0</v>
      </c>
      <c r="AX40" s="10">
        <f>AW40/BL40*100</f>
        <v>0</v>
      </c>
      <c r="AY40" s="100"/>
      <c r="AZ40" s="15">
        <f>AY40/BK40*100</f>
        <v>0</v>
      </c>
      <c r="BA40" s="10">
        <f>AY40+BA39</f>
        <v>0</v>
      </c>
      <c r="BB40" s="10">
        <f>BA40/BL40*100</f>
        <v>0</v>
      </c>
      <c r="BC40" s="10">
        <f>AQ40+AU40+AY40</f>
        <v>39239.303999999996</v>
      </c>
      <c r="BD40" s="10">
        <f>BC40/BK40*100</f>
        <v>87.462192659892807</v>
      </c>
      <c r="BE40" s="10">
        <f>BC40+BE39</f>
        <v>1207866.2679999997</v>
      </c>
      <c r="BF40" s="10">
        <f>BE40/BL40*100</f>
        <v>83.813926573867576</v>
      </c>
      <c r="BG40" s="100"/>
      <c r="BH40" s="10">
        <f>BG40/BK40*100</f>
        <v>0</v>
      </c>
      <c r="BI40" s="10">
        <f>BG40+BI39</f>
        <v>0</v>
      </c>
      <c r="BJ40" s="10">
        <f>BI40/BL40*100</f>
        <v>0</v>
      </c>
      <c r="BK40" s="10">
        <f t="shared" si="26"/>
        <v>44864.303999999996</v>
      </c>
      <c r="BL40" s="10">
        <f>BK40+BL39</f>
        <v>1441128.3629999999</v>
      </c>
      <c r="BM40" s="508">
        <f t="shared" si="27"/>
        <v>1.0245564867889194</v>
      </c>
      <c r="BN40" s="10">
        <f t="shared" si="28"/>
        <v>1.1047175616815965</v>
      </c>
    </row>
    <row r="41" spans="1:66">
      <c r="A41" s="16"/>
      <c r="B41" s="16"/>
      <c r="C41" s="16"/>
      <c r="D41" s="8"/>
      <c r="E41" s="7"/>
      <c r="F41" s="7"/>
      <c r="G41" s="100"/>
      <c r="H41" s="10"/>
      <c r="I41" s="8"/>
      <c r="J41" s="10"/>
      <c r="K41" s="100"/>
      <c r="L41" s="10"/>
      <c r="M41" s="10"/>
      <c r="N41" s="10"/>
      <c r="O41" s="100"/>
      <c r="P41" s="10"/>
      <c r="Q41" s="10"/>
      <c r="R41" s="10"/>
      <c r="S41" s="10"/>
      <c r="T41" s="10"/>
      <c r="U41" s="10"/>
      <c r="V41" s="10"/>
      <c r="W41" s="100"/>
      <c r="X41" s="10"/>
      <c r="Y41" s="10"/>
      <c r="Z41" s="10"/>
      <c r="AA41" s="100"/>
      <c r="AB41" s="10"/>
      <c r="AC41" s="10"/>
      <c r="AD41" s="10"/>
      <c r="AE41" s="100"/>
      <c r="AF41" s="10"/>
      <c r="AG41" s="10"/>
      <c r="AH41" s="10"/>
      <c r="AI41" s="100"/>
      <c r="AJ41" s="10"/>
      <c r="AK41" s="10"/>
      <c r="AL41" s="10"/>
      <c r="AM41" s="10"/>
      <c r="AN41" s="10"/>
      <c r="AO41" s="10"/>
      <c r="AP41" s="10"/>
      <c r="AQ41" s="100"/>
      <c r="AR41" s="10"/>
      <c r="AS41" s="10"/>
      <c r="AT41" s="10"/>
      <c r="AU41" s="100"/>
      <c r="AV41" s="10"/>
      <c r="AW41" s="10"/>
      <c r="AX41" s="10"/>
      <c r="AY41" s="100"/>
      <c r="AZ41" s="15"/>
      <c r="BA41" s="10"/>
      <c r="BB41" s="10"/>
      <c r="BC41" s="10"/>
      <c r="BD41" s="10"/>
      <c r="BE41" s="10"/>
      <c r="BF41" s="10"/>
      <c r="BG41" s="100"/>
      <c r="BH41" s="10"/>
      <c r="BI41" s="10"/>
      <c r="BJ41" s="10"/>
      <c r="BK41" s="10"/>
      <c r="BL41" s="10"/>
      <c r="BM41" s="10"/>
      <c r="BN41" s="10"/>
    </row>
    <row r="42" spans="1:66" ht="13.5" thickBot="1">
      <c r="A42" s="11" t="s">
        <v>27</v>
      </c>
      <c r="B42" s="11"/>
      <c r="C42" s="12"/>
      <c r="D42" s="12">
        <f>SUM(D10:D41)</f>
        <v>1345.0509999999999</v>
      </c>
      <c r="E42" s="12">
        <f>SUM(E10:E41)</f>
        <v>1304.5220000000002</v>
      </c>
      <c r="F42" s="12"/>
      <c r="G42" s="12">
        <f>SUM(G10:G41)</f>
        <v>173437.5</v>
      </c>
      <c r="H42" s="12">
        <f>G42/BK42*100</f>
        <v>12.034840507819498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>
        <f>SUM(S10:S41)</f>
        <v>173437.5</v>
      </c>
      <c r="T42" s="18">
        <f>S42/$BK$42*100</f>
        <v>12.034840507819498</v>
      </c>
      <c r="U42" s="12"/>
      <c r="V42" s="12"/>
      <c r="W42" s="12">
        <f>SUM(W10:W41)</f>
        <v>0</v>
      </c>
      <c r="X42" s="12" t="e">
        <f>W42/BG42*100</f>
        <v>#DIV/0!</v>
      </c>
      <c r="Y42" s="12"/>
      <c r="Z42" s="12"/>
      <c r="AA42" s="12">
        <f>SUM(AA10:AA41)</f>
        <v>0</v>
      </c>
      <c r="AB42" s="12">
        <f>AA42/$BK$42*100</f>
        <v>0</v>
      </c>
      <c r="AC42" s="12"/>
      <c r="AD42" s="12"/>
      <c r="AE42" s="12">
        <f>SUM(AE10:AE41)</f>
        <v>0</v>
      </c>
      <c r="AF42" s="12">
        <f>AE42/$BK$42*100</f>
        <v>0</v>
      </c>
      <c r="AG42" s="12"/>
      <c r="AH42" s="12"/>
      <c r="AI42" s="12">
        <f>SUM(AI10:AI41)</f>
        <v>59824.594999999994</v>
      </c>
      <c r="AJ42" s="12">
        <f>AI42/$BK$42*100</f>
        <v>4.1512329183129122</v>
      </c>
      <c r="AK42" s="12"/>
      <c r="AL42" s="12"/>
      <c r="AM42" s="12">
        <f>SUM(AM10:AM41)</f>
        <v>59824.594999999994</v>
      </c>
      <c r="AN42" s="18">
        <f>AM42/$BK$42*100</f>
        <v>4.1512329183129122</v>
      </c>
      <c r="AO42" s="12"/>
      <c r="AP42" s="12"/>
      <c r="AQ42" s="12">
        <f>SUM(AQ10:AQ41)</f>
        <v>1207866.2679999997</v>
      </c>
      <c r="AR42" s="12">
        <f>AQ42/$BK$42*100</f>
        <v>83.813926573867576</v>
      </c>
      <c r="AS42" s="12"/>
      <c r="AT42" s="12"/>
      <c r="AU42" s="12">
        <f>SUM(AU10:AU41)</f>
        <v>0</v>
      </c>
      <c r="AV42" s="12">
        <f>AU42/$BK$42*100</f>
        <v>0</v>
      </c>
      <c r="AW42" s="12"/>
      <c r="AX42" s="12"/>
      <c r="AY42" s="12">
        <f>SUM(AY10:AY41)</f>
        <v>0</v>
      </c>
      <c r="AZ42" s="12">
        <f>AY42/$BK$42*100</f>
        <v>0</v>
      </c>
      <c r="BA42" s="12"/>
      <c r="BB42" s="12"/>
      <c r="BC42" s="12">
        <f>SUM(BC10:BC41)</f>
        <v>1207866.2679999997</v>
      </c>
      <c r="BD42" s="20">
        <f>BC42/$BK$42*100</f>
        <v>83.813926573867576</v>
      </c>
      <c r="BE42" s="12"/>
      <c r="BF42" s="12"/>
      <c r="BG42" s="12">
        <f>SUM(BG10:BG41)</f>
        <v>0</v>
      </c>
      <c r="BH42" s="12">
        <f>BG42/$BK$42*100</f>
        <v>0</v>
      </c>
      <c r="BI42" s="12"/>
      <c r="BJ42" s="12"/>
      <c r="BK42" s="12">
        <f>SUM(BK10:BK41)</f>
        <v>1441128.3629999999</v>
      </c>
      <c r="BL42" s="12">
        <f>BK42/$BK$42*100</f>
        <v>100</v>
      </c>
      <c r="BM42" s="12">
        <f>BK42/1000/E42</f>
        <v>1.1047175616815965</v>
      </c>
      <c r="BN42" s="12"/>
    </row>
    <row r="43" spans="1:66" ht="13.5" thickTop="1"/>
    <row r="44" spans="1:66">
      <c r="W44" s="14"/>
      <c r="AA44" s="14"/>
      <c r="AE44" s="14"/>
      <c r="BD44" s="14"/>
      <c r="BG44" s="14"/>
      <c r="BH44" s="14"/>
    </row>
    <row r="45" spans="1:66">
      <c r="E45" s="14"/>
      <c r="F45" s="14"/>
      <c r="G45" s="14"/>
      <c r="I45" s="14"/>
      <c r="AA45" s="14"/>
      <c r="AE45" s="14"/>
      <c r="BG45" s="14"/>
    </row>
  </sheetData>
  <mergeCells count="15">
    <mergeCell ref="G8:J8"/>
    <mergeCell ref="O8:R8"/>
    <mergeCell ref="K8:N8"/>
    <mergeCell ref="BK8:BL8"/>
    <mergeCell ref="BM8:BN8"/>
    <mergeCell ref="S8:V8"/>
    <mergeCell ref="W8:Z8"/>
    <mergeCell ref="AA8:AD8"/>
    <mergeCell ref="AE8:AH8"/>
    <mergeCell ref="AI8:AL8"/>
    <mergeCell ref="AM8:AP8"/>
    <mergeCell ref="BC8:BF8"/>
    <mergeCell ref="AQ8:AT8"/>
    <mergeCell ref="AU8:AX8"/>
    <mergeCell ref="AY8:BB8"/>
  </mergeCells>
  <phoneticPr fontId="32" type="noConversion"/>
  <pageMargins left="0" right="0" top="0" bottom="0" header="0" footer="0"/>
  <pageSetup paperSize="9" scale="58" firstPageNumber="4294963191" fitToWidth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"/>
  <sheetViews>
    <sheetView topLeftCell="B139" workbookViewId="0">
      <selection activeCell="C98" sqref="C98:C99"/>
    </sheetView>
  </sheetViews>
  <sheetFormatPr defaultRowHeight="12.75"/>
  <cols>
    <col min="2" max="2" width="10.85546875" style="466" bestFit="1" customWidth="1"/>
    <col min="3" max="3" width="11.85546875" style="4" customWidth="1"/>
    <col min="4" max="4" width="38.28515625" customWidth="1"/>
    <col min="5" max="6" width="23.140625" bestFit="1" customWidth="1"/>
    <col min="8" max="8" width="30.7109375" bestFit="1" customWidth="1"/>
    <col min="10" max="10" width="12" customWidth="1"/>
    <col min="13" max="13" width="10.85546875" style="466" bestFit="1" customWidth="1"/>
    <col min="14" max="14" width="11.85546875" style="4" customWidth="1"/>
    <col min="15" max="15" width="38.28515625" customWidth="1"/>
    <col min="16" max="17" width="23.140625" bestFit="1" customWidth="1"/>
    <col min="19" max="19" width="30.7109375" bestFit="1" customWidth="1"/>
    <col min="21" max="21" width="12" customWidth="1"/>
  </cols>
  <sheetData>
    <row r="1" spans="1:21" ht="30">
      <c r="A1" s="418" t="s">
        <v>187</v>
      </c>
      <c r="B1" s="459" t="s">
        <v>7</v>
      </c>
      <c r="C1" s="460" t="s">
        <v>258</v>
      </c>
      <c r="D1" s="461" t="s">
        <v>126</v>
      </c>
      <c r="E1" s="461" t="s">
        <v>259</v>
      </c>
      <c r="F1" s="461" t="s">
        <v>260</v>
      </c>
      <c r="H1" s="458" t="s">
        <v>261</v>
      </c>
      <c r="I1" s="451" t="s">
        <v>262</v>
      </c>
      <c r="J1" s="451" t="s">
        <v>263</v>
      </c>
      <c r="L1" s="418" t="s">
        <v>374</v>
      </c>
      <c r="M1" s="459" t="s">
        <v>7</v>
      </c>
      <c r="N1" s="460" t="s">
        <v>258</v>
      </c>
      <c r="O1" s="461" t="s">
        <v>126</v>
      </c>
      <c r="P1" s="461" t="s">
        <v>259</v>
      </c>
      <c r="Q1" s="461" t="s">
        <v>260</v>
      </c>
      <c r="S1" s="530" t="s">
        <v>261</v>
      </c>
      <c r="T1" s="451" t="s">
        <v>262</v>
      </c>
      <c r="U1" s="451" t="s">
        <v>263</v>
      </c>
    </row>
    <row r="2" spans="1:21">
      <c r="B2" s="333">
        <v>45870</v>
      </c>
      <c r="C2" s="4">
        <v>9</v>
      </c>
      <c r="D2" s="465" t="s">
        <v>407</v>
      </c>
      <c r="E2" t="s">
        <v>249</v>
      </c>
      <c r="F2" t="s">
        <v>246</v>
      </c>
      <c r="H2" s="6" t="s">
        <v>149</v>
      </c>
      <c r="I2" s="311">
        <f>+Efficiency1!Z164</f>
        <v>10.282034369871049</v>
      </c>
      <c r="J2" s="453">
        <f t="shared" ref="J2:J3" si="0">I2/$I$8</f>
        <v>7.144352080029919E-3</v>
      </c>
      <c r="M2" s="333">
        <v>45870</v>
      </c>
      <c r="N2" s="4">
        <v>9</v>
      </c>
      <c r="O2" s="465" t="s">
        <v>407</v>
      </c>
      <c r="P2" t="s">
        <v>249</v>
      </c>
      <c r="Q2" t="s">
        <v>246</v>
      </c>
      <c r="S2" s="6" t="s">
        <v>149</v>
      </c>
      <c r="T2" s="311">
        <f>+Efficiency2!Z164</f>
        <v>10.282034369871049</v>
      </c>
      <c r="U2" s="453">
        <f>T2/$T$8</f>
        <v>7.144352080029919E-3</v>
      </c>
    </row>
    <row r="3" spans="1:21">
      <c r="B3" s="333"/>
      <c r="C3" s="4">
        <v>14</v>
      </c>
      <c r="D3" s="465" t="s">
        <v>410</v>
      </c>
      <c r="E3" t="s">
        <v>247</v>
      </c>
      <c r="F3" t="s">
        <v>246</v>
      </c>
      <c r="H3" s="6" t="s">
        <v>240</v>
      </c>
      <c r="I3" s="311">
        <f>+Efficiency1!Y164+Efficiency1!AA164</f>
        <v>28.650128128727097</v>
      </c>
      <c r="J3" s="453">
        <f t="shared" si="0"/>
        <v>1.9907208547111886E-2</v>
      </c>
      <c r="M3" s="333"/>
      <c r="N3" s="4">
        <v>14</v>
      </c>
      <c r="O3" s="465" t="s">
        <v>410</v>
      </c>
      <c r="P3" t="s">
        <v>247</v>
      </c>
      <c r="Q3" t="s">
        <v>246</v>
      </c>
      <c r="S3" s="6" t="s">
        <v>240</v>
      </c>
      <c r="T3" s="311">
        <f>+Efficiency2!AA164+Efficiency2!Y164</f>
        <v>28.650128128727097</v>
      </c>
      <c r="U3" s="453">
        <f t="shared" ref="U3:U5" si="1">T3/$T$8</f>
        <v>1.9907208547111886E-2</v>
      </c>
    </row>
    <row r="4" spans="1:21">
      <c r="B4" s="41"/>
      <c r="C4" s="4">
        <v>39</v>
      </c>
      <c r="D4" s="465" t="s">
        <v>411</v>
      </c>
      <c r="E4" t="s">
        <v>248</v>
      </c>
      <c r="F4" t="s">
        <v>246</v>
      </c>
      <c r="H4" s="6" t="s">
        <v>264</v>
      </c>
      <c r="I4" s="311">
        <f>+Efficiency1!AB164</f>
        <v>3.1999738295033322</v>
      </c>
      <c r="J4" s="453">
        <f>I4/$I$8</f>
        <v>2.223464624067402E-3</v>
      </c>
      <c r="M4" s="41"/>
      <c r="N4" s="4">
        <v>39</v>
      </c>
      <c r="O4" s="465" t="s">
        <v>411</v>
      </c>
      <c r="P4" t="s">
        <v>248</v>
      </c>
      <c r="Q4" t="s">
        <v>246</v>
      </c>
      <c r="S4" s="6" t="s">
        <v>264</v>
      </c>
      <c r="T4" s="311">
        <f>+Efficiency2!AB164</f>
        <v>3.1999738295033322</v>
      </c>
      <c r="U4" s="453">
        <f t="shared" si="1"/>
        <v>2.223464624067402E-3</v>
      </c>
    </row>
    <row r="5" spans="1:21" ht="15" customHeight="1">
      <c r="B5" s="41"/>
      <c r="C5" s="4">
        <v>0</v>
      </c>
      <c r="D5" s="465" t="s">
        <v>380</v>
      </c>
      <c r="E5" t="s">
        <v>12</v>
      </c>
      <c r="F5" t="s">
        <v>246</v>
      </c>
      <c r="H5" s="6" t="s">
        <v>243</v>
      </c>
      <c r="I5" s="311">
        <f>+Efficiency1!AC164</f>
        <v>6.081546426498706</v>
      </c>
      <c r="J5" s="453">
        <f>I5/$I$8</f>
        <v>4.2256918523118549E-3</v>
      </c>
      <c r="M5" s="41"/>
      <c r="N5" s="4">
        <v>0</v>
      </c>
      <c r="O5" s="465" t="s">
        <v>380</v>
      </c>
      <c r="P5" t="s">
        <v>12</v>
      </c>
      <c r="Q5" t="s">
        <v>246</v>
      </c>
      <c r="S5" s="6" t="s">
        <v>243</v>
      </c>
      <c r="T5" s="311">
        <f>+Efficiency2!AC164</f>
        <v>6.081546426498706</v>
      </c>
      <c r="U5" s="453">
        <f t="shared" si="1"/>
        <v>4.2256918523118549E-3</v>
      </c>
    </row>
    <row r="6" spans="1:21" ht="15" customHeight="1">
      <c r="B6" s="333"/>
      <c r="D6" s="465"/>
      <c r="M6" s="333"/>
      <c r="O6" s="465"/>
    </row>
    <row r="7" spans="1:21" ht="12.75" customHeight="1">
      <c r="B7" s="333">
        <v>45871</v>
      </c>
      <c r="C7" s="4">
        <v>18</v>
      </c>
      <c r="D7" t="s">
        <v>436</v>
      </c>
      <c r="E7" t="s">
        <v>249</v>
      </c>
      <c r="F7" t="s">
        <v>246</v>
      </c>
      <c r="I7" s="462"/>
      <c r="J7" s="463"/>
      <c r="M7" s="333">
        <v>45871</v>
      </c>
      <c r="N7" s="4">
        <v>18</v>
      </c>
      <c r="O7" t="s">
        <v>436</v>
      </c>
      <c r="P7" t="s">
        <v>249</v>
      </c>
      <c r="Q7" t="s">
        <v>246</v>
      </c>
      <c r="T7" s="462"/>
      <c r="U7" s="463"/>
    </row>
    <row r="8" spans="1:21" ht="12.75" customHeight="1">
      <c r="B8" s="333"/>
      <c r="C8" s="4">
        <v>12</v>
      </c>
      <c r="D8" t="s">
        <v>437</v>
      </c>
      <c r="E8" t="s">
        <v>247</v>
      </c>
      <c r="F8" t="s">
        <v>246</v>
      </c>
      <c r="H8" s="464" t="s">
        <v>265</v>
      </c>
      <c r="I8" s="7">
        <f>+Efficiency1!K164</f>
        <v>1439.183603312561</v>
      </c>
      <c r="M8" s="333"/>
      <c r="N8" s="4">
        <v>12</v>
      </c>
      <c r="O8" t="s">
        <v>437</v>
      </c>
      <c r="P8" t="s">
        <v>247</v>
      </c>
      <c r="Q8" t="s">
        <v>246</v>
      </c>
      <c r="S8" s="464" t="s">
        <v>265</v>
      </c>
      <c r="T8" s="7">
        <f>+Efficiency2!K164</f>
        <v>1439.183603312561</v>
      </c>
    </row>
    <row r="9" spans="1:21" ht="12.75" customHeight="1">
      <c r="B9" s="333"/>
      <c r="C9" s="4">
        <v>50</v>
      </c>
      <c r="D9" t="s">
        <v>438</v>
      </c>
      <c r="E9" t="s">
        <v>248</v>
      </c>
      <c r="F9" t="s">
        <v>246</v>
      </c>
      <c r="H9" s="464" t="s">
        <v>266</v>
      </c>
      <c r="I9" s="7">
        <f>+Efficiency1!AD164</f>
        <v>2685</v>
      </c>
      <c r="M9" s="333"/>
      <c r="N9" s="4">
        <v>50</v>
      </c>
      <c r="O9" t="s">
        <v>438</v>
      </c>
      <c r="P9" t="s">
        <v>248</v>
      </c>
      <c r="Q9" t="s">
        <v>246</v>
      </c>
      <c r="S9" s="464" t="s">
        <v>266</v>
      </c>
      <c r="T9" s="7">
        <f>+Efficiency2!AD164</f>
        <v>2685</v>
      </c>
    </row>
    <row r="10" spans="1:21" ht="15" customHeight="1">
      <c r="B10" s="333"/>
      <c r="C10" s="4">
        <v>0</v>
      </c>
      <c r="D10" t="s">
        <v>380</v>
      </c>
      <c r="E10" t="s">
        <v>12</v>
      </c>
      <c r="F10" t="s">
        <v>246</v>
      </c>
      <c r="H10" s="464" t="s">
        <v>267</v>
      </c>
      <c r="I10" s="7">
        <f>+Efficiency1!V164</f>
        <v>86.447920557960643</v>
      </c>
      <c r="M10" s="333"/>
      <c r="N10" s="4">
        <v>0</v>
      </c>
      <c r="O10" t="s">
        <v>380</v>
      </c>
      <c r="P10" t="s">
        <v>12</v>
      </c>
      <c r="Q10" t="s">
        <v>246</v>
      </c>
      <c r="S10" s="464" t="s">
        <v>267</v>
      </c>
      <c r="T10" s="7">
        <f>+Efficiency2!V164</f>
        <v>86.447920557960643</v>
      </c>
    </row>
    <row r="11" spans="1:21" ht="12.75" customHeight="1">
      <c r="B11" s="333"/>
      <c r="H11" s="464" t="s">
        <v>268</v>
      </c>
      <c r="I11" s="456">
        <f>I10/I8</f>
        <v>6.0067332867734136E-2</v>
      </c>
      <c r="M11" s="333"/>
      <c r="S11" s="464" t="s">
        <v>268</v>
      </c>
      <c r="T11" s="456">
        <f>T10/T8</f>
        <v>6.0067332867734136E-2</v>
      </c>
    </row>
    <row r="12" spans="1:21">
      <c r="B12" s="333">
        <v>45872</v>
      </c>
      <c r="C12" s="4">
        <v>25</v>
      </c>
      <c r="D12" t="s">
        <v>433</v>
      </c>
      <c r="E12" t="s">
        <v>249</v>
      </c>
      <c r="F12" t="s">
        <v>246</v>
      </c>
      <c r="M12" s="333">
        <v>45872</v>
      </c>
      <c r="N12" s="4">
        <v>25</v>
      </c>
      <c r="O12" t="s">
        <v>433</v>
      </c>
      <c r="P12" t="s">
        <v>249</v>
      </c>
      <c r="Q12" t="s">
        <v>246</v>
      </c>
    </row>
    <row r="13" spans="1:21">
      <c r="B13" s="333"/>
      <c r="C13" s="4">
        <v>0</v>
      </c>
      <c r="D13" t="s">
        <v>286</v>
      </c>
      <c r="E13" t="s">
        <v>247</v>
      </c>
      <c r="F13" t="s">
        <v>246</v>
      </c>
      <c r="M13" s="333"/>
      <c r="N13" s="4">
        <v>0</v>
      </c>
      <c r="O13" t="s">
        <v>286</v>
      </c>
      <c r="P13" t="s">
        <v>247</v>
      </c>
      <c r="Q13" t="s">
        <v>246</v>
      </c>
    </row>
    <row r="14" spans="1:21" ht="15" customHeight="1">
      <c r="B14" s="333"/>
      <c r="C14" s="4">
        <v>29</v>
      </c>
      <c r="D14" t="s">
        <v>441</v>
      </c>
      <c r="E14" t="s">
        <v>248</v>
      </c>
      <c r="F14" t="s">
        <v>246</v>
      </c>
      <c r="M14" s="333"/>
      <c r="N14" s="4">
        <v>29</v>
      </c>
      <c r="O14" t="s">
        <v>441</v>
      </c>
      <c r="P14" t="s">
        <v>248</v>
      </c>
      <c r="Q14" t="s">
        <v>246</v>
      </c>
    </row>
    <row r="15" spans="1:21" ht="15" customHeight="1">
      <c r="B15" s="333"/>
      <c r="C15" s="4">
        <v>60</v>
      </c>
      <c r="D15" t="s">
        <v>439</v>
      </c>
      <c r="E15" t="s">
        <v>522</v>
      </c>
      <c r="F15" t="s">
        <v>244</v>
      </c>
      <c r="G15" s="509">
        <f>+summary!H42</f>
        <v>0.99999999999999989</v>
      </c>
      <c r="M15" s="333"/>
      <c r="N15" s="4">
        <v>60</v>
      </c>
      <c r="O15" t="s">
        <v>439</v>
      </c>
      <c r="P15" t="s">
        <v>522</v>
      </c>
      <c r="Q15" t="s">
        <v>244</v>
      </c>
      <c r="R15" s="509">
        <f>+summary!Q42</f>
        <v>0.99999999999999989</v>
      </c>
    </row>
    <row r="16" spans="1:21">
      <c r="B16" s="333"/>
      <c r="C16" s="4">
        <v>60</v>
      </c>
      <c r="D16" t="s">
        <v>440</v>
      </c>
      <c r="E16" t="s">
        <v>523</v>
      </c>
      <c r="F16" t="s">
        <v>252</v>
      </c>
      <c r="M16" s="333"/>
      <c r="N16" s="4">
        <v>60</v>
      </c>
      <c r="O16" t="s">
        <v>440</v>
      </c>
      <c r="P16" t="s">
        <v>523</v>
      </c>
      <c r="Q16" t="s">
        <v>252</v>
      </c>
    </row>
    <row r="17" spans="2:17">
      <c r="B17" s="333"/>
      <c r="C17" s="4">
        <v>299</v>
      </c>
      <c r="D17" t="s">
        <v>440</v>
      </c>
      <c r="E17" t="s">
        <v>524</v>
      </c>
      <c r="F17" t="s">
        <v>251</v>
      </c>
      <c r="M17" s="333"/>
      <c r="N17" s="4">
        <v>299</v>
      </c>
      <c r="O17" t="s">
        <v>440</v>
      </c>
      <c r="P17" t="s">
        <v>524</v>
      </c>
      <c r="Q17" t="s">
        <v>251</v>
      </c>
    </row>
    <row r="18" spans="2:17">
      <c r="B18" s="333"/>
      <c r="M18" s="333"/>
    </row>
    <row r="19" spans="2:17">
      <c r="B19" s="333">
        <v>45873</v>
      </c>
      <c r="C19" s="4">
        <v>0</v>
      </c>
      <c r="D19" t="s">
        <v>436</v>
      </c>
      <c r="E19" t="s">
        <v>249</v>
      </c>
      <c r="F19" t="s">
        <v>246</v>
      </c>
      <c r="M19" s="333">
        <v>45873</v>
      </c>
      <c r="N19" s="4">
        <v>0</v>
      </c>
      <c r="O19" t="s">
        <v>436</v>
      </c>
      <c r="P19" t="s">
        <v>249</v>
      </c>
      <c r="Q19" t="s">
        <v>246</v>
      </c>
    </row>
    <row r="20" spans="2:17">
      <c r="B20" s="333"/>
      <c r="C20" s="4">
        <v>0</v>
      </c>
      <c r="D20" t="s">
        <v>437</v>
      </c>
      <c r="E20" t="s">
        <v>247</v>
      </c>
      <c r="F20" t="s">
        <v>246</v>
      </c>
      <c r="M20" s="333"/>
      <c r="N20" s="4">
        <v>0</v>
      </c>
      <c r="O20" t="s">
        <v>437</v>
      </c>
      <c r="P20" t="s">
        <v>247</v>
      </c>
      <c r="Q20" t="s">
        <v>246</v>
      </c>
    </row>
    <row r="21" spans="2:17">
      <c r="B21" s="333"/>
      <c r="C21" s="4">
        <v>56</v>
      </c>
      <c r="D21" t="s">
        <v>452</v>
      </c>
      <c r="E21" t="s">
        <v>248</v>
      </c>
      <c r="F21" t="s">
        <v>246</v>
      </c>
      <c r="M21" s="333"/>
      <c r="N21" s="4">
        <v>56</v>
      </c>
      <c r="O21" t="s">
        <v>452</v>
      </c>
      <c r="P21" t="s">
        <v>248</v>
      </c>
      <c r="Q21" t="s">
        <v>246</v>
      </c>
    </row>
    <row r="22" spans="2:17">
      <c r="B22" s="333"/>
      <c r="C22" s="4">
        <v>0</v>
      </c>
      <c r="D22" t="s">
        <v>380</v>
      </c>
      <c r="E22" t="s">
        <v>12</v>
      </c>
      <c r="F22" t="s">
        <v>246</v>
      </c>
      <c r="M22" s="333"/>
      <c r="N22" s="4">
        <v>0</v>
      </c>
      <c r="O22" t="s">
        <v>380</v>
      </c>
      <c r="P22" t="s">
        <v>12</v>
      </c>
      <c r="Q22" t="s">
        <v>246</v>
      </c>
    </row>
    <row r="23" spans="2:17">
      <c r="B23" s="333"/>
      <c r="M23" s="333"/>
    </row>
    <row r="24" spans="2:17">
      <c r="B24" s="333">
        <v>45874</v>
      </c>
      <c r="C24" s="4">
        <v>0</v>
      </c>
      <c r="D24" t="s">
        <v>387</v>
      </c>
      <c r="E24" t="s">
        <v>249</v>
      </c>
      <c r="F24" t="s">
        <v>246</v>
      </c>
      <c r="M24" s="333">
        <v>45874</v>
      </c>
      <c r="N24" s="4">
        <v>0</v>
      </c>
      <c r="O24" t="s">
        <v>387</v>
      </c>
      <c r="P24" t="s">
        <v>249</v>
      </c>
      <c r="Q24" t="s">
        <v>246</v>
      </c>
    </row>
    <row r="25" spans="2:17">
      <c r="B25" s="333"/>
      <c r="C25" s="4">
        <v>6</v>
      </c>
      <c r="D25" t="s">
        <v>388</v>
      </c>
      <c r="E25" t="s">
        <v>247</v>
      </c>
      <c r="F25" t="s">
        <v>246</v>
      </c>
      <c r="M25" s="333"/>
      <c r="N25" s="4">
        <v>6</v>
      </c>
      <c r="O25" t="s">
        <v>388</v>
      </c>
      <c r="P25" t="s">
        <v>247</v>
      </c>
      <c r="Q25" t="s">
        <v>246</v>
      </c>
    </row>
    <row r="26" spans="2:17">
      <c r="B26" s="333"/>
      <c r="C26" s="4">
        <v>48</v>
      </c>
      <c r="D26" t="s">
        <v>457</v>
      </c>
      <c r="E26" t="s">
        <v>248</v>
      </c>
      <c r="F26" t="s">
        <v>246</v>
      </c>
      <c r="M26" s="333"/>
      <c r="N26" s="4">
        <v>48</v>
      </c>
      <c r="O26" t="s">
        <v>457</v>
      </c>
      <c r="P26" t="s">
        <v>248</v>
      </c>
      <c r="Q26" t="s">
        <v>246</v>
      </c>
    </row>
    <row r="27" spans="2:17">
      <c r="B27" s="333"/>
      <c r="C27" s="4">
        <v>0</v>
      </c>
      <c r="D27" t="s">
        <v>380</v>
      </c>
      <c r="E27" t="s">
        <v>12</v>
      </c>
      <c r="F27" t="s">
        <v>246</v>
      </c>
      <c r="M27" s="333"/>
      <c r="N27" s="4">
        <v>0</v>
      </c>
      <c r="O27" t="s">
        <v>380</v>
      </c>
      <c r="P27" t="s">
        <v>12</v>
      </c>
      <c r="Q27" t="s">
        <v>246</v>
      </c>
    </row>
    <row r="28" spans="2:17">
      <c r="B28" s="333"/>
      <c r="M28" s="333"/>
    </row>
    <row r="29" spans="2:17">
      <c r="B29" s="333">
        <v>45875</v>
      </c>
      <c r="C29" s="4">
        <v>12</v>
      </c>
      <c r="D29" t="s">
        <v>436</v>
      </c>
      <c r="E29" t="s">
        <v>249</v>
      </c>
      <c r="F29" t="s">
        <v>246</v>
      </c>
      <c r="M29" s="333">
        <v>45875</v>
      </c>
      <c r="N29" s="4">
        <v>12</v>
      </c>
      <c r="O29" t="s">
        <v>436</v>
      </c>
      <c r="P29" t="s">
        <v>249</v>
      </c>
      <c r="Q29" t="s">
        <v>246</v>
      </c>
    </row>
    <row r="30" spans="2:17">
      <c r="B30" s="333"/>
      <c r="C30" s="4">
        <v>0</v>
      </c>
      <c r="D30" t="s">
        <v>388</v>
      </c>
      <c r="E30" t="s">
        <v>247</v>
      </c>
      <c r="F30" t="s">
        <v>246</v>
      </c>
      <c r="M30" s="333"/>
      <c r="N30" s="4">
        <v>0</v>
      </c>
      <c r="O30" t="s">
        <v>388</v>
      </c>
      <c r="P30" t="s">
        <v>247</v>
      </c>
      <c r="Q30" t="s">
        <v>246</v>
      </c>
    </row>
    <row r="31" spans="2:17">
      <c r="B31" s="333"/>
      <c r="C31" s="4">
        <v>37</v>
      </c>
      <c r="D31" t="s">
        <v>438</v>
      </c>
      <c r="E31" t="s">
        <v>248</v>
      </c>
      <c r="F31" t="s">
        <v>246</v>
      </c>
      <c r="M31" s="333"/>
      <c r="N31" s="4">
        <v>37</v>
      </c>
      <c r="O31" t="s">
        <v>438</v>
      </c>
      <c r="P31" t="s">
        <v>248</v>
      </c>
      <c r="Q31" t="s">
        <v>246</v>
      </c>
    </row>
    <row r="32" spans="2:17">
      <c r="B32" s="333"/>
      <c r="C32" s="4">
        <v>0</v>
      </c>
      <c r="D32" t="s">
        <v>380</v>
      </c>
      <c r="E32" t="s">
        <v>12</v>
      </c>
      <c r="F32" t="s">
        <v>246</v>
      </c>
      <c r="M32" s="333"/>
      <c r="N32" s="4">
        <v>0</v>
      </c>
      <c r="O32" t="s">
        <v>380</v>
      </c>
      <c r="P32" t="s">
        <v>12</v>
      </c>
      <c r="Q32" t="s">
        <v>246</v>
      </c>
    </row>
    <row r="33" spans="2:17">
      <c r="B33" s="333"/>
      <c r="M33" s="333"/>
    </row>
    <row r="34" spans="2:17">
      <c r="B34" s="333">
        <v>45876</v>
      </c>
      <c r="C34" s="4">
        <v>34</v>
      </c>
      <c r="D34" t="s">
        <v>474</v>
      </c>
      <c r="E34" t="s">
        <v>249</v>
      </c>
      <c r="F34" t="s">
        <v>246</v>
      </c>
      <c r="M34" s="333">
        <v>45876</v>
      </c>
      <c r="N34" s="4">
        <v>34</v>
      </c>
      <c r="O34" t="s">
        <v>474</v>
      </c>
      <c r="P34" t="s">
        <v>249</v>
      </c>
      <c r="Q34" t="s">
        <v>246</v>
      </c>
    </row>
    <row r="35" spans="2:17">
      <c r="B35" s="333"/>
      <c r="C35" s="4">
        <v>0</v>
      </c>
      <c r="D35" t="s">
        <v>286</v>
      </c>
      <c r="E35" t="s">
        <v>247</v>
      </c>
      <c r="F35" t="s">
        <v>246</v>
      </c>
      <c r="M35" s="333"/>
      <c r="N35" s="4">
        <v>0</v>
      </c>
      <c r="O35" t="s">
        <v>286</v>
      </c>
      <c r="P35" t="s">
        <v>247</v>
      </c>
      <c r="Q35" t="s">
        <v>246</v>
      </c>
    </row>
    <row r="36" spans="2:17">
      <c r="B36" s="333"/>
      <c r="C36" s="4">
        <v>63</v>
      </c>
      <c r="D36" t="s">
        <v>438</v>
      </c>
      <c r="E36" t="s">
        <v>248</v>
      </c>
      <c r="F36" t="s">
        <v>246</v>
      </c>
      <c r="M36" s="333"/>
      <c r="N36" s="4">
        <v>63</v>
      </c>
      <c r="O36" t="s">
        <v>438</v>
      </c>
      <c r="P36" t="s">
        <v>248</v>
      </c>
      <c r="Q36" t="s">
        <v>246</v>
      </c>
    </row>
    <row r="37" spans="2:17">
      <c r="B37" s="333"/>
      <c r="C37" s="4">
        <v>0</v>
      </c>
      <c r="D37" t="s">
        <v>380</v>
      </c>
      <c r="E37" t="s">
        <v>12</v>
      </c>
      <c r="F37" t="s">
        <v>246</v>
      </c>
      <c r="M37" s="333"/>
      <c r="N37" s="4">
        <v>0</v>
      </c>
      <c r="O37" t="s">
        <v>380</v>
      </c>
      <c r="P37" t="s">
        <v>12</v>
      </c>
      <c r="Q37" t="s">
        <v>246</v>
      </c>
    </row>
    <row r="38" spans="2:17">
      <c r="B38" s="333"/>
      <c r="M38" s="333"/>
    </row>
    <row r="39" spans="2:17">
      <c r="B39" s="333">
        <v>45877</v>
      </c>
      <c r="C39" s="4">
        <v>34</v>
      </c>
      <c r="D39" t="s">
        <v>474</v>
      </c>
      <c r="E39" t="s">
        <v>249</v>
      </c>
      <c r="F39" t="s">
        <v>246</v>
      </c>
      <c r="M39" s="333">
        <v>45877</v>
      </c>
      <c r="N39" s="4">
        <v>34</v>
      </c>
      <c r="O39" t="s">
        <v>474</v>
      </c>
      <c r="P39" t="s">
        <v>249</v>
      </c>
      <c r="Q39" t="s">
        <v>246</v>
      </c>
    </row>
    <row r="40" spans="2:17">
      <c r="B40" s="333"/>
      <c r="C40" s="4">
        <v>0</v>
      </c>
      <c r="D40" t="s">
        <v>286</v>
      </c>
      <c r="E40" t="s">
        <v>247</v>
      </c>
      <c r="F40" t="s">
        <v>246</v>
      </c>
      <c r="M40" s="333"/>
      <c r="N40" s="4">
        <v>0</v>
      </c>
      <c r="O40" t="s">
        <v>286</v>
      </c>
      <c r="P40" t="s">
        <v>247</v>
      </c>
      <c r="Q40" t="s">
        <v>246</v>
      </c>
    </row>
    <row r="41" spans="2:17">
      <c r="B41" s="333"/>
      <c r="C41" s="4">
        <v>51</v>
      </c>
      <c r="D41" t="s">
        <v>491</v>
      </c>
      <c r="E41" t="s">
        <v>248</v>
      </c>
      <c r="F41" t="s">
        <v>246</v>
      </c>
      <c r="M41" s="333"/>
      <c r="N41" s="4">
        <v>51</v>
      </c>
      <c r="O41" t="s">
        <v>491</v>
      </c>
      <c r="P41" t="s">
        <v>248</v>
      </c>
      <c r="Q41" t="s">
        <v>246</v>
      </c>
    </row>
    <row r="42" spans="2:17">
      <c r="B42" s="333"/>
      <c r="C42" s="4">
        <v>0</v>
      </c>
      <c r="D42" t="s">
        <v>380</v>
      </c>
      <c r="E42" t="s">
        <v>12</v>
      </c>
      <c r="F42" t="s">
        <v>246</v>
      </c>
      <c r="M42" s="333"/>
      <c r="N42" s="4">
        <v>0</v>
      </c>
      <c r="O42" t="s">
        <v>380</v>
      </c>
      <c r="P42" t="s">
        <v>12</v>
      </c>
      <c r="Q42" t="s">
        <v>246</v>
      </c>
    </row>
    <row r="43" spans="2:17">
      <c r="B43" s="333"/>
      <c r="M43" s="333"/>
    </row>
    <row r="44" spans="2:17">
      <c r="B44" s="333">
        <v>45878</v>
      </c>
      <c r="C44" s="4">
        <v>24</v>
      </c>
      <c r="D44" t="s">
        <v>511</v>
      </c>
      <c r="E44" t="s">
        <v>249</v>
      </c>
      <c r="F44" t="s">
        <v>246</v>
      </c>
      <c r="M44" s="333">
        <v>45878</v>
      </c>
      <c r="N44" s="4">
        <v>24</v>
      </c>
      <c r="O44" t="s">
        <v>511</v>
      </c>
      <c r="P44" t="s">
        <v>249</v>
      </c>
      <c r="Q44" t="s">
        <v>246</v>
      </c>
    </row>
    <row r="45" spans="2:17">
      <c r="B45" s="333"/>
      <c r="C45" s="4">
        <v>12</v>
      </c>
      <c r="D45" t="s">
        <v>512</v>
      </c>
      <c r="E45" t="s">
        <v>247</v>
      </c>
      <c r="F45" t="s">
        <v>246</v>
      </c>
      <c r="M45" s="333"/>
      <c r="N45" s="4">
        <v>12</v>
      </c>
      <c r="O45" t="s">
        <v>512</v>
      </c>
      <c r="P45" t="s">
        <v>247</v>
      </c>
      <c r="Q45" t="s">
        <v>246</v>
      </c>
    </row>
    <row r="46" spans="2:17">
      <c r="B46" s="333"/>
      <c r="C46" s="4">
        <v>43</v>
      </c>
      <c r="D46" t="s">
        <v>411</v>
      </c>
      <c r="E46" t="s">
        <v>248</v>
      </c>
      <c r="F46" t="s">
        <v>246</v>
      </c>
      <c r="M46" s="333"/>
      <c r="N46" s="4">
        <v>43</v>
      </c>
      <c r="O46" t="s">
        <v>411</v>
      </c>
      <c r="P46" t="s">
        <v>248</v>
      </c>
      <c r="Q46" t="s">
        <v>246</v>
      </c>
    </row>
    <row r="47" spans="2:17">
      <c r="B47" s="333"/>
      <c r="C47" s="4">
        <v>0</v>
      </c>
      <c r="D47" t="s">
        <v>380</v>
      </c>
      <c r="E47" t="s">
        <v>12</v>
      </c>
      <c r="F47" t="s">
        <v>246</v>
      </c>
      <c r="M47" s="333"/>
      <c r="N47" s="4">
        <v>0</v>
      </c>
      <c r="O47" t="s">
        <v>380</v>
      </c>
      <c r="P47" t="s">
        <v>12</v>
      </c>
      <c r="Q47" t="s">
        <v>246</v>
      </c>
    </row>
    <row r="48" spans="2:17">
      <c r="B48" s="333"/>
      <c r="M48" s="333"/>
    </row>
    <row r="49" spans="2:17">
      <c r="B49" s="333"/>
      <c r="M49" s="333"/>
    </row>
    <row r="50" spans="2:17">
      <c r="B50" s="333">
        <v>45879</v>
      </c>
      <c r="C50" s="4">
        <v>15</v>
      </c>
      <c r="D50" t="s">
        <v>433</v>
      </c>
      <c r="E50" t="s">
        <v>249</v>
      </c>
      <c r="F50" t="s">
        <v>246</v>
      </c>
      <c r="M50" s="333">
        <v>45879</v>
      </c>
      <c r="N50" s="4">
        <v>15</v>
      </c>
      <c r="O50" t="s">
        <v>433</v>
      </c>
      <c r="P50" t="s">
        <v>249</v>
      </c>
      <c r="Q50" t="s">
        <v>246</v>
      </c>
    </row>
    <row r="51" spans="2:17">
      <c r="B51" s="333"/>
      <c r="C51" s="4">
        <v>14</v>
      </c>
      <c r="D51" t="s">
        <v>406</v>
      </c>
      <c r="E51" t="s">
        <v>247</v>
      </c>
      <c r="F51" t="s">
        <v>246</v>
      </c>
      <c r="M51" s="333"/>
      <c r="N51" s="4">
        <v>14</v>
      </c>
      <c r="O51" t="s">
        <v>406</v>
      </c>
      <c r="P51" t="s">
        <v>247</v>
      </c>
      <c r="Q51" t="s">
        <v>246</v>
      </c>
    </row>
    <row r="52" spans="2:17">
      <c r="B52" s="333"/>
      <c r="C52" s="4">
        <v>45</v>
      </c>
      <c r="D52" t="s">
        <v>513</v>
      </c>
      <c r="E52" t="s">
        <v>248</v>
      </c>
      <c r="F52" t="s">
        <v>246</v>
      </c>
      <c r="M52" s="333"/>
      <c r="N52" s="4">
        <v>45</v>
      </c>
      <c r="O52" t="s">
        <v>513</v>
      </c>
      <c r="P52" t="s">
        <v>248</v>
      </c>
      <c r="Q52" t="s">
        <v>246</v>
      </c>
    </row>
    <row r="53" spans="2:17">
      <c r="B53" s="333"/>
      <c r="C53" s="4">
        <v>0</v>
      </c>
      <c r="D53" t="s">
        <v>380</v>
      </c>
      <c r="E53" t="s">
        <v>12</v>
      </c>
      <c r="F53" t="s">
        <v>246</v>
      </c>
      <c r="M53" s="333"/>
      <c r="N53" s="4">
        <v>0</v>
      </c>
      <c r="O53" t="s">
        <v>380</v>
      </c>
      <c r="P53" t="s">
        <v>12</v>
      </c>
      <c r="Q53" t="s">
        <v>246</v>
      </c>
    </row>
    <row r="54" spans="2:17">
      <c r="B54" s="333"/>
      <c r="M54" s="333"/>
    </row>
    <row r="55" spans="2:17">
      <c r="B55" s="333">
        <v>45880</v>
      </c>
      <c r="C55" s="4">
        <v>17</v>
      </c>
      <c r="D55" t="s">
        <v>474</v>
      </c>
      <c r="E55" t="s">
        <v>249</v>
      </c>
      <c r="F55" t="s">
        <v>246</v>
      </c>
      <c r="M55" s="333">
        <v>45880</v>
      </c>
      <c r="N55" s="4">
        <v>17</v>
      </c>
      <c r="O55" t="s">
        <v>474</v>
      </c>
      <c r="P55" t="s">
        <v>249</v>
      </c>
      <c r="Q55" t="s">
        <v>246</v>
      </c>
    </row>
    <row r="56" spans="2:17">
      <c r="B56" s="333"/>
      <c r="C56" s="4">
        <v>15</v>
      </c>
      <c r="D56" t="s">
        <v>406</v>
      </c>
      <c r="E56" t="s">
        <v>247</v>
      </c>
      <c r="F56" t="s">
        <v>246</v>
      </c>
      <c r="M56" s="333"/>
      <c r="N56" s="4">
        <v>15</v>
      </c>
      <c r="O56" t="s">
        <v>406</v>
      </c>
      <c r="P56" t="s">
        <v>247</v>
      </c>
      <c r="Q56" t="s">
        <v>246</v>
      </c>
    </row>
    <row r="57" spans="2:17">
      <c r="B57" s="333"/>
      <c r="C57" s="4">
        <v>27</v>
      </c>
      <c r="D57" t="s">
        <v>513</v>
      </c>
      <c r="E57" t="s">
        <v>248</v>
      </c>
      <c r="F57" t="s">
        <v>246</v>
      </c>
      <c r="M57" s="333"/>
      <c r="N57" s="4">
        <v>27</v>
      </c>
      <c r="O57" t="s">
        <v>513</v>
      </c>
      <c r="P57" t="s">
        <v>248</v>
      </c>
      <c r="Q57" t="s">
        <v>246</v>
      </c>
    </row>
    <row r="58" spans="2:17">
      <c r="B58" s="333"/>
      <c r="C58" s="4">
        <v>0</v>
      </c>
      <c r="D58" t="s">
        <v>380</v>
      </c>
      <c r="E58" t="s">
        <v>12</v>
      </c>
      <c r="F58" t="s">
        <v>246</v>
      </c>
      <c r="M58" s="333"/>
      <c r="N58" s="4">
        <v>0</v>
      </c>
      <c r="O58" t="s">
        <v>380</v>
      </c>
      <c r="P58" t="s">
        <v>12</v>
      </c>
      <c r="Q58" t="s">
        <v>246</v>
      </c>
    </row>
    <row r="59" spans="2:17">
      <c r="B59" s="333"/>
      <c r="M59" s="333"/>
    </row>
    <row r="60" spans="2:17">
      <c r="B60" s="333">
        <v>45881</v>
      </c>
      <c r="C60" s="4">
        <v>10</v>
      </c>
      <c r="D60" t="s">
        <v>433</v>
      </c>
      <c r="E60" t="s">
        <v>249</v>
      </c>
      <c r="F60" t="s">
        <v>246</v>
      </c>
      <c r="M60" s="333">
        <v>45881</v>
      </c>
      <c r="N60" s="4">
        <v>10</v>
      </c>
      <c r="O60" t="s">
        <v>433</v>
      </c>
      <c r="P60" t="s">
        <v>249</v>
      </c>
      <c r="Q60" t="s">
        <v>246</v>
      </c>
    </row>
    <row r="61" spans="2:17">
      <c r="B61" s="333"/>
      <c r="C61" s="4">
        <v>12</v>
      </c>
      <c r="D61" t="s">
        <v>536</v>
      </c>
      <c r="E61" t="s">
        <v>247</v>
      </c>
      <c r="F61" t="s">
        <v>246</v>
      </c>
      <c r="M61" s="333"/>
      <c r="N61" s="4">
        <v>12</v>
      </c>
      <c r="O61" t="s">
        <v>536</v>
      </c>
      <c r="P61" t="s">
        <v>247</v>
      </c>
      <c r="Q61" t="s">
        <v>246</v>
      </c>
    </row>
    <row r="62" spans="2:17">
      <c r="B62" s="333"/>
      <c r="C62" s="4">
        <v>39</v>
      </c>
      <c r="D62" t="s">
        <v>491</v>
      </c>
      <c r="E62" t="s">
        <v>248</v>
      </c>
      <c r="F62" t="s">
        <v>246</v>
      </c>
      <c r="M62" s="333"/>
      <c r="N62" s="4">
        <v>39</v>
      </c>
      <c r="O62" t="s">
        <v>491</v>
      </c>
      <c r="P62" t="s">
        <v>248</v>
      </c>
      <c r="Q62" t="s">
        <v>246</v>
      </c>
    </row>
    <row r="63" spans="2:17">
      <c r="B63" s="333"/>
      <c r="C63" s="4">
        <v>0</v>
      </c>
      <c r="D63" t="s">
        <v>380</v>
      </c>
      <c r="E63" t="s">
        <v>12</v>
      </c>
      <c r="F63" t="s">
        <v>246</v>
      </c>
      <c r="M63" s="333"/>
      <c r="N63" s="4">
        <v>0</v>
      </c>
      <c r="O63" t="s">
        <v>380</v>
      </c>
      <c r="P63" t="s">
        <v>12</v>
      </c>
      <c r="Q63" t="s">
        <v>246</v>
      </c>
    </row>
    <row r="64" spans="2:17">
      <c r="B64" s="333"/>
      <c r="M64" s="333"/>
    </row>
    <row r="65" spans="2:17">
      <c r="B65" s="333">
        <v>45882</v>
      </c>
      <c r="C65" s="4">
        <v>18</v>
      </c>
      <c r="D65" t="s">
        <v>544</v>
      </c>
      <c r="E65" t="s">
        <v>249</v>
      </c>
      <c r="F65" t="s">
        <v>246</v>
      </c>
      <c r="M65" s="333">
        <v>45882</v>
      </c>
      <c r="N65" s="4">
        <v>18</v>
      </c>
      <c r="O65" t="s">
        <v>544</v>
      </c>
      <c r="P65" t="s">
        <v>249</v>
      </c>
      <c r="Q65" t="s">
        <v>246</v>
      </c>
    </row>
    <row r="66" spans="2:17" ht="12.75" customHeight="1">
      <c r="B66" s="333"/>
      <c r="C66" s="4">
        <v>0</v>
      </c>
      <c r="D66" t="s">
        <v>286</v>
      </c>
      <c r="E66" t="s">
        <v>247</v>
      </c>
      <c r="F66" t="s">
        <v>246</v>
      </c>
      <c r="M66" s="333"/>
      <c r="N66" s="4">
        <v>0</v>
      </c>
      <c r="O66" t="s">
        <v>286</v>
      </c>
      <c r="P66" t="s">
        <v>247</v>
      </c>
      <c r="Q66" t="s">
        <v>246</v>
      </c>
    </row>
    <row r="67" spans="2:17" ht="12.75" customHeight="1">
      <c r="B67" s="333"/>
      <c r="C67" s="4">
        <v>44</v>
      </c>
      <c r="D67" t="s">
        <v>452</v>
      </c>
      <c r="E67" t="s">
        <v>248</v>
      </c>
      <c r="F67" t="s">
        <v>246</v>
      </c>
      <c r="M67" s="333"/>
      <c r="N67" s="4">
        <v>44</v>
      </c>
      <c r="O67" t="s">
        <v>452</v>
      </c>
      <c r="P67" t="s">
        <v>248</v>
      </c>
      <c r="Q67" t="s">
        <v>246</v>
      </c>
    </row>
    <row r="68" spans="2:17" ht="12.75" customHeight="1">
      <c r="B68" s="333"/>
      <c r="C68" s="4">
        <v>0</v>
      </c>
      <c r="D68" t="s">
        <v>380</v>
      </c>
      <c r="E68" t="s">
        <v>12</v>
      </c>
      <c r="F68" t="s">
        <v>246</v>
      </c>
      <c r="M68" s="333"/>
      <c r="N68" s="4">
        <v>0</v>
      </c>
      <c r="O68" t="s">
        <v>380</v>
      </c>
      <c r="P68" t="s">
        <v>12</v>
      </c>
      <c r="Q68" t="s">
        <v>246</v>
      </c>
    </row>
    <row r="69" spans="2:17" ht="12.75" customHeight="1">
      <c r="B69" s="333"/>
      <c r="M69" s="333"/>
    </row>
    <row r="70" spans="2:17">
      <c r="B70" s="333">
        <v>45883</v>
      </c>
      <c r="C70" s="4">
        <v>21</v>
      </c>
      <c r="D70" t="s">
        <v>544</v>
      </c>
      <c r="E70" t="s">
        <v>249</v>
      </c>
      <c r="F70" t="s">
        <v>246</v>
      </c>
      <c r="M70" s="333">
        <v>45883</v>
      </c>
      <c r="N70" s="4">
        <v>21</v>
      </c>
      <c r="O70" t="s">
        <v>544</v>
      </c>
      <c r="P70" t="s">
        <v>249</v>
      </c>
      <c r="Q70" t="s">
        <v>246</v>
      </c>
    </row>
    <row r="71" spans="2:17">
      <c r="B71" s="333"/>
      <c r="C71" s="4">
        <v>0</v>
      </c>
      <c r="D71" t="s">
        <v>286</v>
      </c>
      <c r="E71" t="s">
        <v>247</v>
      </c>
      <c r="F71" t="s">
        <v>246</v>
      </c>
      <c r="M71" s="333"/>
      <c r="N71" s="4">
        <v>0</v>
      </c>
      <c r="O71" t="s">
        <v>286</v>
      </c>
      <c r="P71" t="s">
        <v>247</v>
      </c>
      <c r="Q71" t="s">
        <v>246</v>
      </c>
    </row>
    <row r="72" spans="2:17">
      <c r="B72" s="333"/>
      <c r="C72" s="4">
        <v>45</v>
      </c>
      <c r="D72" t="s">
        <v>452</v>
      </c>
      <c r="E72" t="s">
        <v>248</v>
      </c>
      <c r="F72" t="s">
        <v>246</v>
      </c>
      <c r="M72" s="333"/>
      <c r="N72" s="4">
        <v>45</v>
      </c>
      <c r="O72" t="s">
        <v>452</v>
      </c>
      <c r="P72" t="s">
        <v>248</v>
      </c>
      <c r="Q72" t="s">
        <v>246</v>
      </c>
    </row>
    <row r="73" spans="2:17">
      <c r="B73" s="333"/>
      <c r="C73" s="4">
        <v>0</v>
      </c>
      <c r="D73" t="s">
        <v>380</v>
      </c>
      <c r="E73" t="s">
        <v>12</v>
      </c>
      <c r="F73" t="s">
        <v>246</v>
      </c>
      <c r="M73" s="333"/>
      <c r="N73" s="4">
        <v>0</v>
      </c>
      <c r="O73" t="s">
        <v>380</v>
      </c>
      <c r="P73" t="s">
        <v>12</v>
      </c>
      <c r="Q73" t="s">
        <v>246</v>
      </c>
    </row>
    <row r="74" spans="2:17">
      <c r="B74" s="333"/>
      <c r="M74" s="333"/>
    </row>
    <row r="75" spans="2:17">
      <c r="B75" s="333">
        <v>45884</v>
      </c>
      <c r="C75" s="4">
        <v>14</v>
      </c>
      <c r="D75" t="s">
        <v>436</v>
      </c>
      <c r="E75" t="s">
        <v>249</v>
      </c>
      <c r="F75" t="s">
        <v>246</v>
      </c>
      <c r="M75" s="333">
        <v>45884</v>
      </c>
      <c r="N75" s="4">
        <v>14</v>
      </c>
      <c r="O75" t="s">
        <v>436</v>
      </c>
      <c r="P75" t="s">
        <v>249</v>
      </c>
      <c r="Q75" t="s">
        <v>246</v>
      </c>
    </row>
    <row r="76" spans="2:17">
      <c r="B76" s="333"/>
      <c r="C76" s="4">
        <v>7</v>
      </c>
      <c r="D76" t="s">
        <v>429</v>
      </c>
      <c r="E76" t="s">
        <v>247</v>
      </c>
      <c r="F76" t="s">
        <v>246</v>
      </c>
      <c r="M76" s="333"/>
      <c r="N76" s="4">
        <v>7</v>
      </c>
      <c r="O76" t="s">
        <v>429</v>
      </c>
      <c r="P76" t="s">
        <v>247</v>
      </c>
      <c r="Q76" t="s">
        <v>246</v>
      </c>
    </row>
    <row r="77" spans="2:17">
      <c r="B77" s="333"/>
      <c r="C77" s="4">
        <v>32</v>
      </c>
      <c r="D77" t="s">
        <v>411</v>
      </c>
      <c r="E77" t="s">
        <v>248</v>
      </c>
      <c r="F77" t="s">
        <v>246</v>
      </c>
      <c r="M77" s="333"/>
      <c r="N77" s="4">
        <v>32</v>
      </c>
      <c r="O77" t="s">
        <v>411</v>
      </c>
      <c r="P77" t="s">
        <v>248</v>
      </c>
      <c r="Q77" t="s">
        <v>246</v>
      </c>
    </row>
    <row r="78" spans="2:17">
      <c r="B78" s="333"/>
      <c r="C78" s="4">
        <v>0</v>
      </c>
      <c r="D78" t="s">
        <v>380</v>
      </c>
      <c r="E78" t="s">
        <v>12</v>
      </c>
      <c r="F78" t="s">
        <v>246</v>
      </c>
      <c r="M78" s="333"/>
      <c r="N78" s="4">
        <v>0</v>
      </c>
      <c r="O78" t="s">
        <v>380</v>
      </c>
      <c r="P78" t="s">
        <v>12</v>
      </c>
      <c r="Q78" t="s">
        <v>246</v>
      </c>
    </row>
    <row r="79" spans="2:17">
      <c r="B79" s="333"/>
      <c r="M79" s="333"/>
    </row>
    <row r="80" spans="2:17">
      <c r="B80" s="333">
        <v>45885</v>
      </c>
      <c r="C80" s="4">
        <v>8</v>
      </c>
      <c r="D80" t="s">
        <v>563</v>
      </c>
      <c r="E80" t="s">
        <v>249</v>
      </c>
      <c r="F80" t="s">
        <v>246</v>
      </c>
      <c r="M80" s="333">
        <v>45885</v>
      </c>
      <c r="N80" s="4">
        <v>8</v>
      </c>
      <c r="O80" t="s">
        <v>563</v>
      </c>
      <c r="P80" t="s">
        <v>249</v>
      </c>
      <c r="Q80" t="s">
        <v>246</v>
      </c>
    </row>
    <row r="81" spans="2:17">
      <c r="B81" s="333"/>
      <c r="C81" s="4">
        <v>16</v>
      </c>
      <c r="D81" t="s">
        <v>512</v>
      </c>
      <c r="E81" t="s">
        <v>247</v>
      </c>
      <c r="F81" t="s">
        <v>246</v>
      </c>
      <c r="M81" s="333"/>
      <c r="N81" s="4">
        <v>16</v>
      </c>
      <c r="O81" t="s">
        <v>512</v>
      </c>
      <c r="P81" t="s">
        <v>247</v>
      </c>
      <c r="Q81" t="s">
        <v>246</v>
      </c>
    </row>
    <row r="82" spans="2:17">
      <c r="B82" s="333"/>
      <c r="C82" s="4">
        <v>38</v>
      </c>
      <c r="D82" t="s">
        <v>566</v>
      </c>
      <c r="E82" t="s">
        <v>248</v>
      </c>
      <c r="F82" t="s">
        <v>246</v>
      </c>
      <c r="M82" s="333"/>
      <c r="N82" s="4">
        <v>38</v>
      </c>
      <c r="O82" t="s">
        <v>566</v>
      </c>
      <c r="P82" t="s">
        <v>248</v>
      </c>
      <c r="Q82" t="s">
        <v>246</v>
      </c>
    </row>
    <row r="83" spans="2:17">
      <c r="B83" s="333"/>
      <c r="C83" s="4">
        <v>0</v>
      </c>
      <c r="D83" t="s">
        <v>380</v>
      </c>
      <c r="E83" t="s">
        <v>12</v>
      </c>
      <c r="F83" t="s">
        <v>246</v>
      </c>
      <c r="M83" s="333"/>
      <c r="N83" s="4">
        <v>0</v>
      </c>
      <c r="O83" t="s">
        <v>380</v>
      </c>
      <c r="P83" t="s">
        <v>12</v>
      </c>
      <c r="Q83" t="s">
        <v>246</v>
      </c>
    </row>
    <row r="84" spans="2:17">
      <c r="B84" s="333"/>
      <c r="M84" s="333"/>
    </row>
    <row r="85" spans="2:17">
      <c r="B85" s="333">
        <v>45886</v>
      </c>
      <c r="C85" s="4">
        <v>9</v>
      </c>
      <c r="D85" t="s">
        <v>407</v>
      </c>
      <c r="E85" t="s">
        <v>249</v>
      </c>
      <c r="F85" t="s">
        <v>246</v>
      </c>
      <c r="M85" s="333">
        <v>45886</v>
      </c>
      <c r="N85" s="4">
        <v>9</v>
      </c>
      <c r="O85" t="s">
        <v>407</v>
      </c>
      <c r="P85" t="s">
        <v>249</v>
      </c>
      <c r="Q85" t="s">
        <v>246</v>
      </c>
    </row>
    <row r="86" spans="2:17">
      <c r="B86" s="333"/>
      <c r="C86" s="4">
        <v>16</v>
      </c>
      <c r="D86" t="s">
        <v>406</v>
      </c>
      <c r="E86" t="s">
        <v>247</v>
      </c>
      <c r="F86" t="s">
        <v>246</v>
      </c>
      <c r="M86" s="333"/>
      <c r="N86" s="4">
        <v>16</v>
      </c>
      <c r="O86" t="s">
        <v>406</v>
      </c>
      <c r="P86" t="s">
        <v>247</v>
      </c>
      <c r="Q86" t="s">
        <v>246</v>
      </c>
    </row>
    <row r="87" spans="2:17">
      <c r="B87" s="333"/>
      <c r="C87" s="4">
        <v>39</v>
      </c>
      <c r="D87" t="s">
        <v>567</v>
      </c>
      <c r="E87" t="s">
        <v>248</v>
      </c>
      <c r="F87" t="s">
        <v>246</v>
      </c>
      <c r="M87" s="333"/>
      <c r="N87" s="4">
        <v>39</v>
      </c>
      <c r="O87" t="s">
        <v>567</v>
      </c>
      <c r="P87" t="s">
        <v>248</v>
      </c>
      <c r="Q87" t="s">
        <v>246</v>
      </c>
    </row>
    <row r="88" spans="2:17">
      <c r="B88" s="333"/>
      <c r="C88" s="4">
        <v>0</v>
      </c>
      <c r="D88" t="s">
        <v>380</v>
      </c>
      <c r="E88" t="s">
        <v>12</v>
      </c>
      <c r="F88" t="s">
        <v>246</v>
      </c>
      <c r="M88" s="333"/>
      <c r="N88" s="4">
        <v>0</v>
      </c>
      <c r="O88" t="s">
        <v>380</v>
      </c>
      <c r="P88" t="s">
        <v>12</v>
      </c>
      <c r="Q88" t="s">
        <v>246</v>
      </c>
    </row>
    <row r="89" spans="2:17">
      <c r="B89" s="333"/>
      <c r="M89" s="333"/>
    </row>
    <row r="90" spans="2:17">
      <c r="B90" s="333">
        <v>45887</v>
      </c>
      <c r="C90" s="4">
        <v>0</v>
      </c>
      <c r="D90" t="s">
        <v>387</v>
      </c>
      <c r="E90" t="s">
        <v>249</v>
      </c>
      <c r="F90" t="s">
        <v>246</v>
      </c>
      <c r="M90" s="333">
        <v>45887</v>
      </c>
      <c r="N90" s="4">
        <v>0</v>
      </c>
      <c r="O90" t="s">
        <v>387</v>
      </c>
      <c r="P90" t="s">
        <v>249</v>
      </c>
      <c r="Q90" t="s">
        <v>246</v>
      </c>
    </row>
    <row r="91" spans="2:17">
      <c r="B91" s="333"/>
      <c r="C91" s="4">
        <v>8</v>
      </c>
      <c r="D91" t="s">
        <v>429</v>
      </c>
      <c r="E91" t="s">
        <v>247</v>
      </c>
      <c r="F91" t="s">
        <v>246</v>
      </c>
      <c r="M91" s="333"/>
      <c r="N91" s="4">
        <v>8</v>
      </c>
      <c r="O91" t="s">
        <v>429</v>
      </c>
      <c r="P91" t="s">
        <v>247</v>
      </c>
      <c r="Q91" t="s">
        <v>246</v>
      </c>
    </row>
    <row r="92" spans="2:17">
      <c r="B92" s="333"/>
      <c r="C92" s="4">
        <v>46</v>
      </c>
      <c r="D92" t="s">
        <v>567</v>
      </c>
      <c r="E92" t="s">
        <v>248</v>
      </c>
      <c r="F92" t="s">
        <v>246</v>
      </c>
      <c r="M92" s="333"/>
      <c r="N92" s="4">
        <v>46</v>
      </c>
      <c r="O92" t="s">
        <v>567</v>
      </c>
      <c r="P92" t="s">
        <v>248</v>
      </c>
      <c r="Q92" t="s">
        <v>246</v>
      </c>
    </row>
    <row r="93" spans="2:17">
      <c r="B93" s="333"/>
      <c r="C93" s="4">
        <v>0</v>
      </c>
      <c r="D93" t="s">
        <v>380</v>
      </c>
      <c r="E93" t="s">
        <v>12</v>
      </c>
      <c r="F93" t="s">
        <v>246</v>
      </c>
      <c r="M93" s="333"/>
      <c r="N93" s="4">
        <v>0</v>
      </c>
      <c r="O93" t="s">
        <v>380</v>
      </c>
      <c r="P93" t="s">
        <v>12</v>
      </c>
      <c r="Q93" t="s">
        <v>246</v>
      </c>
    </row>
    <row r="94" spans="2:17">
      <c r="B94" s="333"/>
      <c r="M94" s="333"/>
    </row>
    <row r="95" spans="2:17">
      <c r="B95" s="333">
        <v>45888</v>
      </c>
      <c r="C95" s="4">
        <v>24</v>
      </c>
      <c r="D95" t="s">
        <v>544</v>
      </c>
      <c r="E95" t="s">
        <v>249</v>
      </c>
      <c r="F95" t="s">
        <v>246</v>
      </c>
      <c r="M95" s="333">
        <v>45888</v>
      </c>
      <c r="N95" s="4">
        <v>24</v>
      </c>
      <c r="O95" t="s">
        <v>544</v>
      </c>
      <c r="P95" t="s">
        <v>249</v>
      </c>
      <c r="Q95" t="s">
        <v>246</v>
      </c>
    </row>
    <row r="96" spans="2:17">
      <c r="B96" s="333"/>
      <c r="C96" s="4">
        <v>0</v>
      </c>
      <c r="D96" t="s">
        <v>286</v>
      </c>
      <c r="E96" t="s">
        <v>247</v>
      </c>
      <c r="F96" t="s">
        <v>246</v>
      </c>
      <c r="M96" s="333"/>
      <c r="N96" s="4">
        <v>0</v>
      </c>
      <c r="O96" t="s">
        <v>286</v>
      </c>
      <c r="P96" t="s">
        <v>247</v>
      </c>
      <c r="Q96" t="s">
        <v>246</v>
      </c>
    </row>
    <row r="97" spans="2:17">
      <c r="B97" s="333"/>
      <c r="C97" s="4">
        <v>29</v>
      </c>
      <c r="D97" t="s">
        <v>513</v>
      </c>
      <c r="E97" t="s">
        <v>248</v>
      </c>
      <c r="F97" t="s">
        <v>246</v>
      </c>
      <c r="M97" s="333"/>
      <c r="N97" s="4">
        <v>29</v>
      </c>
      <c r="O97" t="s">
        <v>513</v>
      </c>
      <c r="P97" t="s">
        <v>248</v>
      </c>
      <c r="Q97" t="s">
        <v>246</v>
      </c>
    </row>
    <row r="98" spans="2:17">
      <c r="B98" s="333"/>
      <c r="C98" s="4">
        <v>90</v>
      </c>
      <c r="D98" t="s">
        <v>585</v>
      </c>
      <c r="E98" t="s">
        <v>651</v>
      </c>
      <c r="F98" t="s">
        <v>244</v>
      </c>
      <c r="M98" s="333"/>
      <c r="N98" s="4">
        <v>90</v>
      </c>
      <c r="O98" t="s">
        <v>585</v>
      </c>
      <c r="P98" t="s">
        <v>651</v>
      </c>
      <c r="Q98" t="s">
        <v>244</v>
      </c>
    </row>
    <row r="99" spans="2:17">
      <c r="B99" s="333"/>
      <c r="C99" s="4">
        <v>115</v>
      </c>
      <c r="D99" t="s">
        <v>584</v>
      </c>
      <c r="E99" t="s">
        <v>652</v>
      </c>
      <c r="F99" t="s">
        <v>252</v>
      </c>
      <c r="M99" s="333"/>
      <c r="N99" s="4">
        <v>115</v>
      </c>
      <c r="O99" t="s">
        <v>584</v>
      </c>
      <c r="P99" t="s">
        <v>652</v>
      </c>
      <c r="Q99" t="s">
        <v>252</v>
      </c>
    </row>
    <row r="100" spans="2:17">
      <c r="B100" s="333"/>
      <c r="M100" s="333"/>
    </row>
    <row r="101" spans="2:17">
      <c r="B101" s="333">
        <v>45889</v>
      </c>
      <c r="C101" s="4">
        <v>32</v>
      </c>
      <c r="D101" t="s">
        <v>590</v>
      </c>
      <c r="E101" t="s">
        <v>249</v>
      </c>
      <c r="F101" t="s">
        <v>246</v>
      </c>
      <c r="M101" s="333">
        <v>45889</v>
      </c>
      <c r="N101" s="4">
        <v>32</v>
      </c>
      <c r="O101" t="s">
        <v>590</v>
      </c>
      <c r="P101" t="s">
        <v>249</v>
      </c>
      <c r="Q101" t="s">
        <v>246</v>
      </c>
    </row>
    <row r="102" spans="2:17">
      <c r="B102" s="333"/>
      <c r="C102" s="4">
        <v>0</v>
      </c>
      <c r="D102" t="s">
        <v>286</v>
      </c>
      <c r="E102" t="s">
        <v>247</v>
      </c>
      <c r="F102" t="s">
        <v>246</v>
      </c>
      <c r="M102" s="333"/>
      <c r="N102" s="4">
        <v>0</v>
      </c>
      <c r="O102" t="s">
        <v>286</v>
      </c>
      <c r="P102" t="s">
        <v>247</v>
      </c>
      <c r="Q102" t="s">
        <v>246</v>
      </c>
    </row>
    <row r="103" spans="2:17">
      <c r="B103" s="333"/>
      <c r="C103" s="4">
        <v>47</v>
      </c>
      <c r="D103" t="s">
        <v>491</v>
      </c>
      <c r="E103" t="s">
        <v>248</v>
      </c>
      <c r="F103" t="s">
        <v>246</v>
      </c>
      <c r="M103" s="333"/>
      <c r="N103" s="4">
        <v>47</v>
      </c>
      <c r="O103" t="s">
        <v>491</v>
      </c>
      <c r="P103" t="s">
        <v>248</v>
      </c>
      <c r="Q103" t="s">
        <v>246</v>
      </c>
    </row>
    <row r="104" spans="2:17">
      <c r="B104" s="333"/>
      <c r="M104" s="333"/>
    </row>
    <row r="105" spans="2:17">
      <c r="B105" s="333">
        <v>45890</v>
      </c>
      <c r="C105" s="4">
        <v>24</v>
      </c>
      <c r="D105" t="s">
        <v>511</v>
      </c>
      <c r="E105" t="s">
        <v>249</v>
      </c>
      <c r="F105" t="s">
        <v>246</v>
      </c>
      <c r="M105" s="333">
        <v>45890</v>
      </c>
      <c r="N105" s="4">
        <v>24</v>
      </c>
      <c r="O105" t="s">
        <v>511</v>
      </c>
      <c r="P105" t="s">
        <v>249</v>
      </c>
      <c r="Q105" t="s">
        <v>246</v>
      </c>
    </row>
    <row r="106" spans="2:17">
      <c r="B106" s="333"/>
      <c r="C106" s="4">
        <v>6</v>
      </c>
      <c r="D106" t="s">
        <v>388</v>
      </c>
      <c r="E106" t="s">
        <v>247</v>
      </c>
      <c r="F106" t="s">
        <v>246</v>
      </c>
      <c r="M106" s="333"/>
      <c r="N106" s="4">
        <v>6</v>
      </c>
      <c r="O106" t="s">
        <v>388</v>
      </c>
      <c r="P106" t="s">
        <v>247</v>
      </c>
      <c r="Q106" t="s">
        <v>246</v>
      </c>
    </row>
    <row r="107" spans="2:17">
      <c r="B107" s="333"/>
      <c r="C107" s="4">
        <v>40</v>
      </c>
      <c r="D107" t="s">
        <v>594</v>
      </c>
      <c r="E107" t="s">
        <v>248</v>
      </c>
      <c r="F107" t="s">
        <v>246</v>
      </c>
      <c r="M107" s="333"/>
      <c r="N107" s="4">
        <v>40</v>
      </c>
      <c r="O107" t="s">
        <v>594</v>
      </c>
      <c r="P107" t="s">
        <v>248</v>
      </c>
      <c r="Q107" t="s">
        <v>246</v>
      </c>
    </row>
    <row r="108" spans="2:17">
      <c r="B108" s="333"/>
      <c r="M108" s="333"/>
    </row>
    <row r="109" spans="2:17">
      <c r="B109" s="333">
        <v>45891</v>
      </c>
      <c r="C109" s="4">
        <v>16</v>
      </c>
      <c r="D109" t="s">
        <v>511</v>
      </c>
      <c r="E109" t="s">
        <v>249</v>
      </c>
      <c r="F109" t="s">
        <v>246</v>
      </c>
      <c r="M109" s="333">
        <v>45891</v>
      </c>
      <c r="N109" s="4">
        <v>16</v>
      </c>
      <c r="O109" t="s">
        <v>511</v>
      </c>
      <c r="P109" t="s">
        <v>249</v>
      </c>
      <c r="Q109" t="s">
        <v>246</v>
      </c>
    </row>
    <row r="110" spans="2:17">
      <c r="B110" s="333"/>
      <c r="C110" s="4">
        <v>6</v>
      </c>
      <c r="D110" t="s">
        <v>508</v>
      </c>
      <c r="E110" t="s">
        <v>247</v>
      </c>
      <c r="F110" t="s">
        <v>246</v>
      </c>
      <c r="M110" s="333"/>
      <c r="N110" s="4">
        <v>6</v>
      </c>
      <c r="O110" t="s">
        <v>508</v>
      </c>
      <c r="P110" t="s">
        <v>247</v>
      </c>
      <c r="Q110" t="s">
        <v>246</v>
      </c>
    </row>
    <row r="111" spans="2:17">
      <c r="B111" s="333"/>
      <c r="C111" s="4">
        <v>45</v>
      </c>
      <c r="D111" t="s">
        <v>411</v>
      </c>
      <c r="E111" t="s">
        <v>248</v>
      </c>
      <c r="F111" t="s">
        <v>246</v>
      </c>
      <c r="M111" s="333"/>
      <c r="N111" s="4">
        <v>45</v>
      </c>
      <c r="O111" t="s">
        <v>411</v>
      </c>
      <c r="P111" t="s">
        <v>248</v>
      </c>
      <c r="Q111" t="s">
        <v>246</v>
      </c>
    </row>
    <row r="112" spans="2:17">
      <c r="B112" s="333"/>
      <c r="M112" s="333"/>
    </row>
    <row r="113" spans="2:17">
      <c r="B113" s="333">
        <v>45892</v>
      </c>
      <c r="C113" s="4">
        <v>16</v>
      </c>
      <c r="D113" t="s">
        <v>608</v>
      </c>
      <c r="E113" t="s">
        <v>249</v>
      </c>
      <c r="F113" t="s">
        <v>246</v>
      </c>
      <c r="M113" s="333">
        <v>45892</v>
      </c>
      <c r="N113" s="4">
        <v>16</v>
      </c>
      <c r="O113" t="s">
        <v>608</v>
      </c>
      <c r="P113" t="s">
        <v>249</v>
      </c>
      <c r="Q113" t="s">
        <v>246</v>
      </c>
    </row>
    <row r="114" spans="2:17">
      <c r="B114" s="333"/>
      <c r="C114" s="4">
        <v>2</v>
      </c>
      <c r="D114" t="s">
        <v>607</v>
      </c>
      <c r="E114" t="s">
        <v>247</v>
      </c>
      <c r="F114" t="s">
        <v>246</v>
      </c>
      <c r="M114" s="333"/>
      <c r="N114" s="4">
        <v>2</v>
      </c>
      <c r="O114" t="s">
        <v>607</v>
      </c>
      <c r="P114" t="s">
        <v>247</v>
      </c>
      <c r="Q114" t="s">
        <v>246</v>
      </c>
    </row>
    <row r="115" spans="2:17">
      <c r="B115" s="333"/>
      <c r="C115" s="4">
        <v>43</v>
      </c>
      <c r="D115" t="s">
        <v>567</v>
      </c>
      <c r="E115" t="s">
        <v>248</v>
      </c>
      <c r="F115" t="s">
        <v>246</v>
      </c>
      <c r="M115" s="333"/>
      <c r="N115" s="4">
        <v>43</v>
      </c>
      <c r="O115" t="s">
        <v>567</v>
      </c>
      <c r="P115" t="s">
        <v>248</v>
      </c>
      <c r="Q115" t="s">
        <v>246</v>
      </c>
    </row>
    <row r="116" spans="2:17">
      <c r="B116" s="333"/>
      <c r="C116" s="4">
        <v>0</v>
      </c>
      <c r="D116" t="s">
        <v>380</v>
      </c>
      <c r="E116" t="s">
        <v>12</v>
      </c>
      <c r="F116" t="s">
        <v>246</v>
      </c>
      <c r="M116" s="333"/>
      <c r="N116" s="4">
        <v>0</v>
      </c>
      <c r="O116" t="s">
        <v>380</v>
      </c>
      <c r="P116" t="s">
        <v>12</v>
      </c>
      <c r="Q116" t="s">
        <v>246</v>
      </c>
    </row>
    <row r="117" spans="2:17">
      <c r="B117" s="333"/>
      <c r="M117" s="333"/>
    </row>
    <row r="118" spans="2:17">
      <c r="B118" s="333">
        <v>45893</v>
      </c>
      <c r="C118" s="4">
        <v>14</v>
      </c>
      <c r="D118" t="s">
        <v>436</v>
      </c>
      <c r="E118" t="s">
        <v>249</v>
      </c>
      <c r="F118" t="s">
        <v>246</v>
      </c>
      <c r="M118" s="333">
        <v>45893</v>
      </c>
      <c r="N118" s="4">
        <v>14</v>
      </c>
      <c r="O118" t="s">
        <v>436</v>
      </c>
      <c r="P118" t="s">
        <v>249</v>
      </c>
      <c r="Q118" t="s">
        <v>246</v>
      </c>
    </row>
    <row r="119" spans="2:17">
      <c r="B119" s="333"/>
      <c r="C119" s="4">
        <v>4</v>
      </c>
      <c r="D119" t="s">
        <v>508</v>
      </c>
      <c r="E119" t="s">
        <v>247</v>
      </c>
      <c r="F119" t="s">
        <v>246</v>
      </c>
      <c r="M119" s="333"/>
      <c r="N119" s="4">
        <v>4</v>
      </c>
      <c r="O119" t="s">
        <v>508</v>
      </c>
      <c r="P119" t="s">
        <v>247</v>
      </c>
      <c r="Q119" t="s">
        <v>246</v>
      </c>
    </row>
    <row r="120" spans="2:17">
      <c r="B120" s="333"/>
      <c r="C120" s="4">
        <v>39</v>
      </c>
      <c r="D120" t="s">
        <v>411</v>
      </c>
      <c r="E120" t="s">
        <v>248</v>
      </c>
      <c r="F120" t="s">
        <v>246</v>
      </c>
      <c r="M120" s="333"/>
      <c r="N120" s="4">
        <v>39</v>
      </c>
      <c r="O120" t="s">
        <v>411</v>
      </c>
      <c r="P120" t="s">
        <v>248</v>
      </c>
      <c r="Q120" t="s">
        <v>246</v>
      </c>
    </row>
    <row r="121" spans="2:17">
      <c r="B121" s="333"/>
      <c r="C121" s="4">
        <v>0</v>
      </c>
      <c r="D121" t="s">
        <v>380</v>
      </c>
      <c r="E121" t="s">
        <v>12</v>
      </c>
      <c r="F121" t="s">
        <v>246</v>
      </c>
      <c r="M121" s="333"/>
      <c r="N121" s="4">
        <v>0</v>
      </c>
      <c r="O121" t="s">
        <v>380</v>
      </c>
      <c r="P121" t="s">
        <v>12</v>
      </c>
      <c r="Q121" t="s">
        <v>246</v>
      </c>
    </row>
    <row r="122" spans="2:17">
      <c r="B122" s="333"/>
      <c r="M122" s="333"/>
    </row>
    <row r="123" spans="2:17">
      <c r="B123" s="333">
        <v>45894</v>
      </c>
      <c r="C123" s="4">
        <v>14</v>
      </c>
      <c r="D123" t="s">
        <v>436</v>
      </c>
      <c r="E123" t="s">
        <v>249</v>
      </c>
      <c r="F123" t="s">
        <v>246</v>
      </c>
      <c r="M123" s="333">
        <v>45894</v>
      </c>
      <c r="N123" s="4">
        <v>14</v>
      </c>
      <c r="O123" t="s">
        <v>436</v>
      </c>
      <c r="P123" t="s">
        <v>249</v>
      </c>
      <c r="Q123" t="s">
        <v>246</v>
      </c>
    </row>
    <row r="124" spans="2:17">
      <c r="B124" s="333"/>
      <c r="C124" s="4">
        <v>0</v>
      </c>
      <c r="D124" t="s">
        <v>286</v>
      </c>
      <c r="E124" t="s">
        <v>247</v>
      </c>
      <c r="F124" t="s">
        <v>246</v>
      </c>
      <c r="M124" s="333"/>
      <c r="N124" s="4">
        <v>0</v>
      </c>
      <c r="O124" t="s">
        <v>286</v>
      </c>
      <c r="P124" t="s">
        <v>247</v>
      </c>
      <c r="Q124" t="s">
        <v>246</v>
      </c>
    </row>
    <row r="125" spans="2:17">
      <c r="B125" s="333"/>
      <c r="C125" s="4">
        <v>52</v>
      </c>
      <c r="D125" t="s">
        <v>567</v>
      </c>
      <c r="E125" t="s">
        <v>248</v>
      </c>
      <c r="F125" t="s">
        <v>246</v>
      </c>
      <c r="M125" s="333"/>
      <c r="N125" s="4">
        <v>52</v>
      </c>
      <c r="O125" t="s">
        <v>567</v>
      </c>
      <c r="P125" t="s">
        <v>248</v>
      </c>
      <c r="Q125" t="s">
        <v>246</v>
      </c>
    </row>
    <row r="126" spans="2:17">
      <c r="B126" s="333"/>
      <c r="C126" s="4">
        <v>0</v>
      </c>
      <c r="D126" t="s">
        <v>380</v>
      </c>
      <c r="E126" t="s">
        <v>12</v>
      </c>
      <c r="F126" t="s">
        <v>246</v>
      </c>
      <c r="M126" s="333"/>
      <c r="N126" s="4">
        <v>0</v>
      </c>
      <c r="O126" t="s">
        <v>380</v>
      </c>
      <c r="P126" t="s">
        <v>12</v>
      </c>
      <c r="Q126" t="s">
        <v>246</v>
      </c>
    </row>
    <row r="127" spans="2:17">
      <c r="B127" s="333"/>
      <c r="M127" s="333"/>
    </row>
    <row r="128" spans="2:17">
      <c r="B128" s="333">
        <v>45895</v>
      </c>
      <c r="C128" s="4">
        <v>12</v>
      </c>
      <c r="D128" t="s">
        <v>436</v>
      </c>
      <c r="E128" t="s">
        <v>249</v>
      </c>
      <c r="F128" t="s">
        <v>246</v>
      </c>
      <c r="M128" s="333">
        <v>45895</v>
      </c>
      <c r="N128" s="4">
        <v>12</v>
      </c>
      <c r="O128" t="s">
        <v>436</v>
      </c>
      <c r="P128" t="s">
        <v>249</v>
      </c>
      <c r="Q128" t="s">
        <v>246</v>
      </c>
    </row>
    <row r="129" spans="2:18">
      <c r="B129" s="333"/>
      <c r="C129" s="4">
        <v>0</v>
      </c>
      <c r="D129" t="s">
        <v>286</v>
      </c>
      <c r="E129" t="s">
        <v>247</v>
      </c>
      <c r="F129" t="s">
        <v>246</v>
      </c>
      <c r="M129" s="333"/>
      <c r="N129" s="4">
        <v>0</v>
      </c>
      <c r="O129" t="s">
        <v>286</v>
      </c>
      <c r="P129" t="s">
        <v>247</v>
      </c>
      <c r="Q129" t="s">
        <v>246</v>
      </c>
    </row>
    <row r="130" spans="2:18">
      <c r="B130" s="333"/>
      <c r="C130" s="4">
        <v>67</v>
      </c>
      <c r="D130" t="s">
        <v>438</v>
      </c>
      <c r="E130" t="s">
        <v>248</v>
      </c>
      <c r="F130" t="s">
        <v>246</v>
      </c>
      <c r="M130" s="333"/>
      <c r="N130" s="4">
        <v>67</v>
      </c>
      <c r="O130" t="s">
        <v>438</v>
      </c>
      <c r="P130" t="s">
        <v>248</v>
      </c>
      <c r="Q130" t="s">
        <v>246</v>
      </c>
    </row>
    <row r="131" spans="2:18">
      <c r="B131" s="333"/>
      <c r="C131" s="4">
        <v>0</v>
      </c>
      <c r="D131" t="s">
        <v>380</v>
      </c>
      <c r="E131" t="s">
        <v>12</v>
      </c>
      <c r="F131" t="s">
        <v>246</v>
      </c>
      <c r="M131" s="333"/>
      <c r="N131" s="4">
        <v>0</v>
      </c>
      <c r="O131" t="s">
        <v>380</v>
      </c>
      <c r="P131" t="s">
        <v>12</v>
      </c>
      <c r="Q131" t="s">
        <v>246</v>
      </c>
    </row>
    <row r="132" spans="2:18">
      <c r="B132" s="333"/>
      <c r="M132" s="333"/>
    </row>
    <row r="133" spans="2:18">
      <c r="B133" s="333">
        <v>45896</v>
      </c>
      <c r="C133" s="4">
        <v>9</v>
      </c>
      <c r="D133" t="s">
        <v>407</v>
      </c>
      <c r="E133" t="s">
        <v>249</v>
      </c>
      <c r="F133" t="s">
        <v>246</v>
      </c>
      <c r="M133" s="333">
        <v>45896</v>
      </c>
      <c r="N133" s="4">
        <v>9</v>
      </c>
      <c r="O133" t="s">
        <v>407</v>
      </c>
      <c r="P133" t="s">
        <v>249</v>
      </c>
      <c r="Q133" t="s">
        <v>246</v>
      </c>
    </row>
    <row r="134" spans="2:18">
      <c r="B134" s="333"/>
      <c r="C134" s="4">
        <v>16</v>
      </c>
      <c r="D134" t="s">
        <v>512</v>
      </c>
      <c r="E134" t="s">
        <v>247</v>
      </c>
      <c r="F134" t="s">
        <v>246</v>
      </c>
      <c r="M134" s="333"/>
      <c r="N134" s="4">
        <v>16</v>
      </c>
      <c r="O134" t="s">
        <v>512</v>
      </c>
      <c r="P134" t="s">
        <v>247</v>
      </c>
      <c r="Q134" t="s">
        <v>246</v>
      </c>
    </row>
    <row r="135" spans="2:18">
      <c r="B135" s="333"/>
      <c r="C135" s="4">
        <v>47</v>
      </c>
      <c r="D135" t="s">
        <v>626</v>
      </c>
      <c r="E135" t="s">
        <v>248</v>
      </c>
      <c r="F135" t="s">
        <v>246</v>
      </c>
      <c r="M135" s="333"/>
      <c r="N135" s="4">
        <v>47</v>
      </c>
      <c r="O135" t="s">
        <v>626</v>
      </c>
      <c r="P135" t="s">
        <v>248</v>
      </c>
      <c r="Q135" t="s">
        <v>246</v>
      </c>
    </row>
    <row r="136" spans="2:18">
      <c r="B136" s="333"/>
      <c r="C136" s="4">
        <v>0</v>
      </c>
      <c r="D136" t="s">
        <v>380</v>
      </c>
      <c r="E136" t="s">
        <v>12</v>
      </c>
      <c r="F136" t="s">
        <v>246</v>
      </c>
      <c r="M136" s="333"/>
      <c r="N136" s="4">
        <v>0</v>
      </c>
      <c r="O136" t="s">
        <v>380</v>
      </c>
      <c r="P136" t="s">
        <v>12</v>
      </c>
      <c r="Q136" t="s">
        <v>246</v>
      </c>
    </row>
    <row r="137" spans="2:18">
      <c r="B137" s="333"/>
      <c r="M137" s="333"/>
    </row>
    <row r="138" spans="2:18" ht="12.75" customHeight="1">
      <c r="B138" s="333">
        <v>45897</v>
      </c>
      <c r="C138" s="4">
        <v>36</v>
      </c>
      <c r="D138" t="s">
        <v>544</v>
      </c>
      <c r="E138" t="s">
        <v>249</v>
      </c>
      <c r="F138" t="s">
        <v>246</v>
      </c>
      <c r="M138" s="333">
        <v>45897</v>
      </c>
      <c r="N138" s="4">
        <v>36</v>
      </c>
      <c r="O138" t="s">
        <v>544</v>
      </c>
      <c r="P138" t="s">
        <v>249</v>
      </c>
      <c r="Q138" t="s">
        <v>246</v>
      </c>
    </row>
    <row r="139" spans="2:18">
      <c r="B139" s="333"/>
      <c r="C139" s="4">
        <v>9</v>
      </c>
      <c r="D139" t="s">
        <v>388</v>
      </c>
      <c r="E139" t="s">
        <v>247</v>
      </c>
      <c r="F139" t="s">
        <v>246</v>
      </c>
      <c r="M139" s="333"/>
      <c r="N139" s="4">
        <v>9</v>
      </c>
      <c r="O139" t="s">
        <v>388</v>
      </c>
      <c r="P139" t="s">
        <v>247</v>
      </c>
      <c r="Q139" t="s">
        <v>246</v>
      </c>
    </row>
    <row r="140" spans="2:18">
      <c r="B140" s="333"/>
      <c r="C140" s="4">
        <v>49</v>
      </c>
      <c r="D140" t="s">
        <v>567</v>
      </c>
      <c r="E140" t="s">
        <v>248</v>
      </c>
      <c r="F140" t="s">
        <v>246</v>
      </c>
      <c r="M140" s="333"/>
      <c r="N140" s="4">
        <v>49</v>
      </c>
      <c r="O140" t="s">
        <v>567</v>
      </c>
      <c r="P140" t="s">
        <v>248</v>
      </c>
      <c r="Q140" t="s">
        <v>246</v>
      </c>
    </row>
    <row r="141" spans="2:18">
      <c r="B141" s="333"/>
      <c r="C141" s="4">
        <v>0</v>
      </c>
      <c r="D141" t="s">
        <v>380</v>
      </c>
      <c r="E141" t="s">
        <v>12</v>
      </c>
      <c r="F141" t="s">
        <v>246</v>
      </c>
      <c r="M141" s="333"/>
      <c r="N141" s="4">
        <v>0</v>
      </c>
      <c r="O141" t="s">
        <v>380</v>
      </c>
      <c r="P141" t="s">
        <v>12</v>
      </c>
      <c r="Q141" t="s">
        <v>246</v>
      </c>
    </row>
    <row r="142" spans="2:18">
      <c r="B142" s="333"/>
      <c r="M142" s="333"/>
    </row>
    <row r="143" spans="2:18">
      <c r="B143" s="333">
        <v>45898</v>
      </c>
      <c r="C143" s="4">
        <v>0</v>
      </c>
      <c r="D143" t="s">
        <v>387</v>
      </c>
      <c r="E143" t="s">
        <v>249</v>
      </c>
      <c r="F143" t="s">
        <v>246</v>
      </c>
      <c r="M143" s="333">
        <v>45898</v>
      </c>
      <c r="N143" s="4">
        <v>0</v>
      </c>
      <c r="O143" t="s">
        <v>387</v>
      </c>
      <c r="P143" t="s">
        <v>249</v>
      </c>
      <c r="Q143" t="s">
        <v>246</v>
      </c>
    </row>
    <row r="144" spans="2:18">
      <c r="B144" s="333"/>
      <c r="C144" s="4">
        <v>24</v>
      </c>
      <c r="D144" t="s">
        <v>640</v>
      </c>
      <c r="E144" t="s">
        <v>247</v>
      </c>
      <c r="F144" t="s">
        <v>246</v>
      </c>
      <c r="M144" s="333"/>
      <c r="N144" s="4">
        <v>24</v>
      </c>
      <c r="O144" t="s">
        <v>640</v>
      </c>
      <c r="P144" t="s">
        <v>247</v>
      </c>
      <c r="Q144" t="s">
        <v>246</v>
      </c>
      <c r="R144" s="509">
        <f>+summary!Q52</f>
        <v>0</v>
      </c>
    </row>
    <row r="145" spans="2:17">
      <c r="B145" s="333"/>
      <c r="C145" s="4">
        <v>33</v>
      </c>
      <c r="D145" t="s">
        <v>457</v>
      </c>
      <c r="E145" t="s">
        <v>248</v>
      </c>
      <c r="F145" t="s">
        <v>246</v>
      </c>
      <c r="G145" s="509">
        <f>+summary!H52</f>
        <v>0</v>
      </c>
      <c r="M145" s="333"/>
      <c r="N145" s="4">
        <v>33</v>
      </c>
      <c r="O145" t="s">
        <v>457</v>
      </c>
      <c r="P145" t="s">
        <v>248</v>
      </c>
      <c r="Q145" t="s">
        <v>246</v>
      </c>
    </row>
    <row r="146" spans="2:17">
      <c r="B146" s="333"/>
      <c r="C146" s="4">
        <v>0</v>
      </c>
      <c r="D146" t="s">
        <v>380</v>
      </c>
      <c r="E146" t="s">
        <v>12</v>
      </c>
      <c r="F146" t="s">
        <v>246</v>
      </c>
      <c r="M146" s="333"/>
      <c r="N146" s="4">
        <v>0</v>
      </c>
      <c r="O146" t="s">
        <v>380</v>
      </c>
      <c r="P146" t="s">
        <v>12</v>
      </c>
      <c r="Q146" t="s">
        <v>246</v>
      </c>
    </row>
    <row r="147" spans="2:17">
      <c r="B147" s="333"/>
      <c r="M147" s="333"/>
    </row>
    <row r="148" spans="2:17">
      <c r="B148" s="333">
        <v>45899</v>
      </c>
      <c r="C148" s="4">
        <v>12</v>
      </c>
      <c r="D148" t="s">
        <v>436</v>
      </c>
      <c r="E148" t="s">
        <v>249</v>
      </c>
      <c r="F148" t="s">
        <v>246</v>
      </c>
      <c r="M148" s="333">
        <v>45899</v>
      </c>
      <c r="N148" s="4">
        <v>12</v>
      </c>
      <c r="O148" t="s">
        <v>436</v>
      </c>
      <c r="P148" t="s">
        <v>249</v>
      </c>
      <c r="Q148" t="s">
        <v>246</v>
      </c>
    </row>
    <row r="149" spans="2:17">
      <c r="B149" s="333"/>
      <c r="C149" s="4">
        <v>0</v>
      </c>
      <c r="D149" t="s">
        <v>286</v>
      </c>
      <c r="E149" t="s">
        <v>247</v>
      </c>
      <c r="F149" t="s">
        <v>246</v>
      </c>
      <c r="M149" s="333"/>
      <c r="N149" s="4">
        <v>0</v>
      </c>
      <c r="O149" t="s">
        <v>286</v>
      </c>
      <c r="P149" t="s">
        <v>247</v>
      </c>
      <c r="Q149" t="s">
        <v>246</v>
      </c>
    </row>
    <row r="150" spans="2:17">
      <c r="B150" s="333"/>
      <c r="C150" s="4">
        <v>51</v>
      </c>
      <c r="D150" t="s">
        <v>566</v>
      </c>
      <c r="E150" t="s">
        <v>248</v>
      </c>
      <c r="F150" t="s">
        <v>246</v>
      </c>
      <c r="M150" s="333"/>
      <c r="N150" s="4">
        <v>51</v>
      </c>
      <c r="O150" t="s">
        <v>566</v>
      </c>
      <c r="P150" t="s">
        <v>248</v>
      </c>
      <c r="Q150" t="s">
        <v>246</v>
      </c>
    </row>
    <row r="151" spans="2:17">
      <c r="B151" s="333"/>
      <c r="C151" s="4">
        <v>0</v>
      </c>
      <c r="D151" t="s">
        <v>380</v>
      </c>
      <c r="E151" t="s">
        <v>12</v>
      </c>
      <c r="F151" t="s">
        <v>246</v>
      </c>
      <c r="M151" s="333"/>
      <c r="N151" s="4">
        <v>0</v>
      </c>
      <c r="O151" t="s">
        <v>380</v>
      </c>
      <c r="P151" t="s">
        <v>12</v>
      </c>
      <c r="Q151" t="s">
        <v>246</v>
      </c>
    </row>
    <row r="152" spans="2:17">
      <c r="B152" s="333"/>
      <c r="M152" s="333"/>
    </row>
    <row r="153" spans="2:17">
      <c r="B153" s="333">
        <v>45900</v>
      </c>
      <c r="C153" s="4">
        <v>21</v>
      </c>
      <c r="D153" t="s">
        <v>544</v>
      </c>
      <c r="E153" t="s">
        <v>249</v>
      </c>
      <c r="F153" t="s">
        <v>246</v>
      </c>
      <c r="M153" s="333">
        <v>45900</v>
      </c>
      <c r="N153" s="4">
        <v>21</v>
      </c>
      <c r="O153" t="s">
        <v>544</v>
      </c>
      <c r="P153" t="s">
        <v>249</v>
      </c>
      <c r="Q153" t="s">
        <v>246</v>
      </c>
    </row>
    <row r="154" spans="2:17">
      <c r="B154" s="333"/>
      <c r="C154" s="4">
        <v>0</v>
      </c>
      <c r="D154" t="s">
        <v>286</v>
      </c>
      <c r="E154" t="s">
        <v>247</v>
      </c>
      <c r="F154" t="s">
        <v>246</v>
      </c>
      <c r="M154" s="333"/>
      <c r="N154" s="4">
        <v>0</v>
      </c>
      <c r="O154" t="s">
        <v>286</v>
      </c>
      <c r="P154" t="s">
        <v>247</v>
      </c>
      <c r="Q154" t="s">
        <v>246</v>
      </c>
    </row>
    <row r="155" spans="2:17">
      <c r="B155" s="333"/>
      <c r="C155" s="4">
        <v>51</v>
      </c>
      <c r="D155" t="s">
        <v>566</v>
      </c>
      <c r="E155" t="s">
        <v>248</v>
      </c>
      <c r="F155" t="s">
        <v>246</v>
      </c>
      <c r="M155" s="333"/>
      <c r="N155" s="4">
        <v>51</v>
      </c>
      <c r="O155" t="s">
        <v>566</v>
      </c>
      <c r="P155" t="s">
        <v>248</v>
      </c>
      <c r="Q155" t="s">
        <v>246</v>
      </c>
    </row>
    <row r="156" spans="2:17">
      <c r="B156" s="601"/>
      <c r="C156" s="4">
        <v>0</v>
      </c>
      <c r="D156" t="s">
        <v>380</v>
      </c>
      <c r="E156" t="s">
        <v>12</v>
      </c>
      <c r="F156" t="s">
        <v>246</v>
      </c>
      <c r="M156" s="601"/>
      <c r="N156" s="4">
        <v>0</v>
      </c>
      <c r="O156" t="s">
        <v>380</v>
      </c>
      <c r="P156" t="s">
        <v>12</v>
      </c>
      <c r="Q156" t="s">
        <v>246</v>
      </c>
    </row>
  </sheetData>
  <autoFilter ref="B1:F121"/>
  <conditionalFormatting sqref="G1:G7 R1:R7 R9:R76 R144 G9:G68 G70:G115 G117:G1048576">
    <cfRule type="cellIs" dxfId="7" priority="2" operator="greaterThan">
      <formula>0</formula>
    </cfRule>
  </conditionalFormatting>
  <conditionalFormatting sqref="R78:R104 R106:R143 R145:R1048576">
    <cfRule type="cellIs" dxfId="6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28" workbookViewId="0">
      <selection activeCell="N47" sqref="N47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9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9" customWidth="1"/>
    <col min="13" max="17" width="13.5703125" customWidth="1"/>
  </cols>
  <sheetData>
    <row r="1" spans="1:17" ht="15">
      <c r="A1" s="418" t="s">
        <v>269</v>
      </c>
      <c r="E1" s="449"/>
      <c r="F1" s="1"/>
      <c r="J1" s="418" t="s">
        <v>375</v>
      </c>
      <c r="N1" s="449"/>
      <c r="O1" s="1"/>
    </row>
    <row r="2" spans="1:17" ht="30">
      <c r="A2" s="754" t="s">
        <v>230</v>
      </c>
      <c r="B2" s="754" t="s">
        <v>231</v>
      </c>
      <c r="C2" s="755" t="s">
        <v>232</v>
      </c>
      <c r="D2" s="450" t="s">
        <v>233</v>
      </c>
      <c r="E2" s="548" t="s">
        <v>234</v>
      </c>
      <c r="F2" s="452" t="s">
        <v>235</v>
      </c>
      <c r="G2" s="548" t="s">
        <v>236</v>
      </c>
      <c r="H2" s="548" t="s">
        <v>237</v>
      </c>
      <c r="J2" s="754" t="s">
        <v>230</v>
      </c>
      <c r="K2" s="754" t="s">
        <v>231</v>
      </c>
      <c r="L2" s="753" t="s">
        <v>232</v>
      </c>
      <c r="M2" s="450" t="s">
        <v>233</v>
      </c>
      <c r="N2" s="548" t="s">
        <v>234</v>
      </c>
      <c r="O2" s="452" t="s">
        <v>235</v>
      </c>
      <c r="P2" s="548" t="s">
        <v>236</v>
      </c>
      <c r="Q2" s="548" t="s">
        <v>237</v>
      </c>
    </row>
    <row r="3" spans="1:17" ht="15">
      <c r="A3" s="754"/>
      <c r="B3" s="754"/>
      <c r="C3" s="756"/>
      <c r="D3" s="450" t="s">
        <v>655</v>
      </c>
      <c r="E3" s="450" t="str">
        <f>+D3</f>
        <v>AGUSTUS</v>
      </c>
      <c r="F3" s="450" t="str">
        <f>+E3</f>
        <v>AGUSTUS</v>
      </c>
      <c r="G3" s="450" t="str">
        <f>+F3</f>
        <v>AGUSTUS</v>
      </c>
      <c r="H3" s="450" t="str">
        <f>+G3</f>
        <v>AGUSTUS</v>
      </c>
      <c r="J3" s="754"/>
      <c r="K3" s="754"/>
      <c r="L3" s="753"/>
      <c r="M3" s="450" t="str">
        <f>+H3</f>
        <v>AGUSTUS</v>
      </c>
      <c r="N3" s="450" t="str">
        <f>+M3</f>
        <v>AGUSTUS</v>
      </c>
      <c r="O3" s="450" t="str">
        <f>+N3</f>
        <v>AGUSTUS</v>
      </c>
      <c r="P3" s="450" t="str">
        <f>+O3</f>
        <v>AGUSTUS</v>
      </c>
      <c r="Q3" s="450" t="str">
        <f>+P3</f>
        <v>AGUSTUS</v>
      </c>
    </row>
    <row r="4" spans="1:17" ht="15">
      <c r="A4" s="738" t="s">
        <v>238</v>
      </c>
      <c r="B4" s="547" t="s">
        <v>303</v>
      </c>
      <c r="C4" s="550"/>
      <c r="D4" s="7">
        <f>SUMIFS(Sheet1!$C$2:$C$180,Sheet1!$F$2:$F$180,B4,Sheet1!$E$2:$E$180,C4)</f>
        <v>0</v>
      </c>
      <c r="E4" s="7">
        <f>D4/Sheet1!$I$9*Sheet1!$I$10</f>
        <v>0</v>
      </c>
      <c r="F4" s="467">
        <f>D4/Sheet1!$I$9*Sheet1!$I$11</f>
        <v>0</v>
      </c>
      <c r="G4" s="546">
        <f>F4</f>
        <v>0</v>
      </c>
      <c r="H4" s="752">
        <f>SUM(G4:G11)</f>
        <v>0</v>
      </c>
      <c r="J4" s="738" t="s">
        <v>238</v>
      </c>
      <c r="K4" s="547" t="s">
        <v>303</v>
      </c>
      <c r="L4" s="550"/>
      <c r="M4" s="7">
        <f>SUMIFS(Sheet1!$N$2:$N$180,Sheet1!$Q$2:$Q$180,K4,Sheet1!$P$2:$P$180,L4)</f>
        <v>0</v>
      </c>
      <c r="N4" s="7">
        <f>M4/Sheet1!$T$9*Sheet1!$T$10</f>
        <v>0</v>
      </c>
      <c r="O4" s="467">
        <f>M4/Sheet1!$T$9*Sheet1!$T$11</f>
        <v>0</v>
      </c>
      <c r="P4" s="546">
        <f>O4</f>
        <v>0</v>
      </c>
      <c r="Q4" s="752">
        <f>SUM(P4:P11)</f>
        <v>0</v>
      </c>
    </row>
    <row r="5" spans="1:17" ht="15">
      <c r="A5" s="738"/>
      <c r="B5" s="547" t="s">
        <v>239</v>
      </c>
      <c r="C5" s="550"/>
      <c r="D5" s="7">
        <f>SUMIFS(Sheet1!$C$2:$C$180,Sheet1!$F$2:$F$180,B5,Sheet1!$E$2:$E$180,C5)</f>
        <v>0</v>
      </c>
      <c r="E5" s="7">
        <f>D5/Sheet1!$I$9*Sheet1!$I$10</f>
        <v>0</v>
      </c>
      <c r="F5" s="467">
        <f>D5/Sheet1!$I$9*Sheet1!$I$11</f>
        <v>0</v>
      </c>
      <c r="G5" s="551">
        <f t="shared" ref="G5:G14" si="0">F5</f>
        <v>0</v>
      </c>
      <c r="H5" s="738"/>
      <c r="J5" s="738"/>
      <c r="K5" s="547" t="s">
        <v>239</v>
      </c>
      <c r="L5" s="550"/>
      <c r="M5" s="7">
        <f>SUMIFS(Sheet1!$N$2:$N$180,Sheet1!$Q$2:$Q$180,K5,Sheet1!$P$2:$P$180,L5)</f>
        <v>0</v>
      </c>
      <c r="N5" s="7">
        <f>M5/Sheet1!$T$9*Sheet1!$T$10</f>
        <v>0</v>
      </c>
      <c r="O5" s="467">
        <f>M5/Sheet1!$T$9*Sheet1!$T$11</f>
        <v>0</v>
      </c>
      <c r="P5" s="551">
        <f t="shared" ref="P5:P14" si="1">O5</f>
        <v>0</v>
      </c>
      <c r="Q5" s="738"/>
    </row>
    <row r="6" spans="1:17" ht="15">
      <c r="A6" s="738"/>
      <c r="B6" s="741" t="s">
        <v>310</v>
      </c>
      <c r="C6" s="550"/>
      <c r="D6" s="7">
        <f>SUMIFS(Sheet1!$C$2:$C$180,Sheet1!$F$2:$F$180,B6,Sheet1!$E$2:$E$180,C6)</f>
        <v>0</v>
      </c>
      <c r="E6" s="7">
        <f>D6/Sheet1!$I$9*Sheet1!$I$10</f>
        <v>0</v>
      </c>
      <c r="F6" s="467">
        <f>D6/Sheet1!$I$9*Sheet1!$I$11</f>
        <v>0</v>
      </c>
      <c r="G6" s="551">
        <f t="shared" si="0"/>
        <v>0</v>
      </c>
      <c r="H6" s="738"/>
      <c r="J6" s="738"/>
      <c r="K6" s="741" t="s">
        <v>310</v>
      </c>
      <c r="L6" s="550"/>
      <c r="M6" s="7">
        <f>SUMIFS(Sheet1!$N$2:$N$180,Sheet1!$Q$2:$Q$180,K6,Sheet1!$P$2:$P$180,L6)</f>
        <v>0</v>
      </c>
      <c r="N6" s="7">
        <f>M6/Sheet1!$T$9*Sheet1!$T$10</f>
        <v>0</v>
      </c>
      <c r="O6" s="467">
        <f>M6/Sheet1!$T$9*Sheet1!$T$11</f>
        <v>0</v>
      </c>
      <c r="P6" s="551">
        <f t="shared" si="1"/>
        <v>0</v>
      </c>
      <c r="Q6" s="738"/>
    </row>
    <row r="7" spans="1:17" ht="15">
      <c r="A7" s="738"/>
      <c r="B7" s="742"/>
      <c r="C7" s="550"/>
      <c r="D7" s="7">
        <f>SUMIFS(Sheet1!$C$2:$C$180,Sheet1!$F$2:$F$180,B6,Sheet1!$E$2:$E$180,C7)</f>
        <v>0</v>
      </c>
      <c r="E7" s="7">
        <f>D7/Sheet1!$I$9*Sheet1!$I$10</f>
        <v>0</v>
      </c>
      <c r="F7" s="467">
        <f>D7/Sheet1!$I$9*Sheet1!$I$11</f>
        <v>0</v>
      </c>
      <c r="G7" s="551">
        <f t="shared" si="0"/>
        <v>0</v>
      </c>
      <c r="H7" s="738"/>
      <c r="J7" s="738"/>
      <c r="K7" s="742"/>
      <c r="L7" s="550"/>
      <c r="M7" s="7">
        <f>SUMIFS(Sheet1!$N$2:$N$180,Sheet1!$Q$2:$Q$180,K6,Sheet1!$P$2:$P$180,L7)</f>
        <v>0</v>
      </c>
      <c r="N7" s="7">
        <f>M7/Sheet1!$T$9*Sheet1!$T$10</f>
        <v>0</v>
      </c>
      <c r="O7" s="467">
        <f>M7/Sheet1!$T$9*Sheet1!$T$11</f>
        <v>0</v>
      </c>
      <c r="P7" s="551">
        <f t="shared" si="1"/>
        <v>0</v>
      </c>
      <c r="Q7" s="738"/>
    </row>
    <row r="8" spans="1:17">
      <c r="A8" s="738"/>
      <c r="B8" s="741" t="s">
        <v>309</v>
      </c>
      <c r="C8" s="550"/>
      <c r="D8" s="7">
        <f>SUMIFS(Sheet1!$C$2:$C$180,Sheet1!$F$2:$F$180,B8,Sheet1!$E$2:$E$180,C8)</f>
        <v>0</v>
      </c>
      <c r="E8" s="7">
        <f>D8/Sheet1!$I$9*Sheet1!$I$10</f>
        <v>0</v>
      </c>
      <c r="F8" s="467">
        <f>D8/Sheet1!$I$9*Sheet1!$I$11</f>
        <v>0</v>
      </c>
      <c r="G8" s="552">
        <f t="shared" si="0"/>
        <v>0</v>
      </c>
      <c r="H8" s="738"/>
      <c r="J8" s="738"/>
      <c r="K8" s="741" t="s">
        <v>309</v>
      </c>
      <c r="L8" s="550"/>
      <c r="M8" s="7">
        <f>SUMIFS(Sheet1!$N$2:$N$180,Sheet1!$Q$2:$Q$180,K8,Sheet1!$P$2:$P$180,L8)</f>
        <v>0</v>
      </c>
      <c r="N8" s="7">
        <f>M8/Sheet1!$T$9*Sheet1!$T$10</f>
        <v>0</v>
      </c>
      <c r="O8" s="467">
        <f>M8/Sheet1!$T$9*Sheet1!$T$11</f>
        <v>0</v>
      </c>
      <c r="P8" s="552">
        <f t="shared" si="1"/>
        <v>0</v>
      </c>
      <c r="Q8" s="738"/>
    </row>
    <row r="9" spans="1:17">
      <c r="A9" s="738"/>
      <c r="B9" s="742"/>
      <c r="C9" s="550"/>
      <c r="D9" s="7">
        <f>SUMIFS(Sheet1!$C$2:$C$180,Sheet1!$F$2:$F$180,B8,Sheet1!$E$2:$E$180,C9)</f>
        <v>0</v>
      </c>
      <c r="E9" s="7">
        <f>D9/Sheet1!$I$9*Sheet1!$I$10</f>
        <v>0</v>
      </c>
      <c r="F9" s="467">
        <f>D9/Sheet1!$I$9*Sheet1!$I$11</f>
        <v>0</v>
      </c>
      <c r="G9" s="552">
        <f t="shared" si="0"/>
        <v>0</v>
      </c>
      <c r="H9" s="738"/>
      <c r="J9" s="738"/>
      <c r="K9" s="742"/>
      <c r="L9" s="550"/>
      <c r="M9" s="7">
        <f>SUMIFS(Sheet1!$N$2:$N$180,Sheet1!$Q$2:$Q$180,K8,Sheet1!$P$2:$P$180,L9)</f>
        <v>0</v>
      </c>
      <c r="N9" s="7">
        <f>M9/Sheet1!$T$9*Sheet1!$T$10</f>
        <v>0</v>
      </c>
      <c r="O9" s="467">
        <f>M9/Sheet1!$T$9*Sheet1!$T$11</f>
        <v>0</v>
      </c>
      <c r="P9" s="552">
        <f t="shared" si="1"/>
        <v>0</v>
      </c>
      <c r="Q9" s="738"/>
    </row>
    <row r="10" spans="1:17" ht="15" customHeight="1">
      <c r="A10" s="738"/>
      <c r="B10" s="741" t="s">
        <v>376</v>
      </c>
      <c r="C10" s="550"/>
      <c r="D10" s="7">
        <f>SUMIFS(Sheet1!$C$2:$C$180,Sheet1!$F$2:$F$180,B10,Sheet1!$E$2:$E$180,C10)</f>
        <v>0</v>
      </c>
      <c r="E10" s="7">
        <f>D10/Sheet1!$I$9*Sheet1!$I$10</f>
        <v>0</v>
      </c>
      <c r="F10" s="467">
        <f>D10/Sheet1!$I$9*Sheet1!$I$11</f>
        <v>0</v>
      </c>
      <c r="G10" s="552">
        <f t="shared" si="0"/>
        <v>0</v>
      </c>
      <c r="H10" s="738"/>
      <c r="J10" s="738"/>
      <c r="K10" s="741" t="s">
        <v>376</v>
      </c>
      <c r="L10" s="550"/>
      <c r="M10" s="7">
        <f>SUMIFS(Sheet1!$N$2:$N$180,Sheet1!$Q$2:$Q$180,K10,Sheet1!$P$2:$P$180,L10)</f>
        <v>0</v>
      </c>
      <c r="N10" s="7">
        <f>M10/Sheet1!$T$9*Sheet1!$T$10</f>
        <v>0</v>
      </c>
      <c r="O10" s="467">
        <f>M10/Sheet1!$T$9*Sheet1!$T$11</f>
        <v>0</v>
      </c>
      <c r="P10" s="552">
        <f t="shared" si="1"/>
        <v>0</v>
      </c>
      <c r="Q10" s="738"/>
    </row>
    <row r="11" spans="1:17" ht="15" customHeight="1">
      <c r="A11" s="738"/>
      <c r="B11" s="742"/>
      <c r="C11" s="550"/>
      <c r="D11" s="7">
        <f>SUMIFS(Sheet1!$C$2:$C$180,Sheet1!$F$2:$F$180,B10,Sheet1!$E$2:$E$180,C11)</f>
        <v>0</v>
      </c>
      <c r="E11" s="7">
        <f>D11/Sheet1!$I$9*Sheet1!$I$10</f>
        <v>0</v>
      </c>
      <c r="F11" s="467">
        <f>D11/Sheet1!$I$9*Sheet1!$I$11</f>
        <v>0</v>
      </c>
      <c r="G11" s="552">
        <f t="shared" si="0"/>
        <v>0</v>
      </c>
      <c r="H11" s="738"/>
      <c r="J11" s="738"/>
      <c r="K11" s="742"/>
      <c r="L11" s="550"/>
      <c r="M11" s="7">
        <f>SUMIFS(Sheet1!$N$2:$N$180,Sheet1!$Q$2:$Q$180,K10,Sheet1!$P$2:$P$180,L11)</f>
        <v>0</v>
      </c>
      <c r="N11" s="7">
        <f>M11/Sheet1!$T$9*Sheet1!$T$10</f>
        <v>0</v>
      </c>
      <c r="O11" s="467">
        <f>M11/Sheet1!$T$9*Sheet1!$T$11</f>
        <v>0</v>
      </c>
      <c r="P11" s="552">
        <f t="shared" si="1"/>
        <v>0</v>
      </c>
      <c r="Q11" s="738"/>
    </row>
    <row r="12" spans="1:17" ht="15">
      <c r="A12" s="738" t="s">
        <v>9</v>
      </c>
      <c r="B12" s="547" t="s">
        <v>149</v>
      </c>
      <c r="C12" s="550" t="s">
        <v>149</v>
      </c>
      <c r="D12" s="7"/>
      <c r="E12" s="7">
        <f>+Sheet1!I2</f>
        <v>10.282034369871049</v>
      </c>
      <c r="F12" s="467">
        <f>E12/Sheet1!$I$8</f>
        <v>7.144352080029919E-3</v>
      </c>
      <c r="G12" s="551">
        <f t="shared" si="0"/>
        <v>7.144352080029919E-3</v>
      </c>
      <c r="H12" s="746">
        <f>SUM(G12:G13)</f>
        <v>2.7051560627141806E-2</v>
      </c>
      <c r="J12" s="738" t="s">
        <v>9</v>
      </c>
      <c r="K12" s="547" t="s">
        <v>149</v>
      </c>
      <c r="L12" s="550" t="s">
        <v>149</v>
      </c>
      <c r="M12" s="7"/>
      <c r="N12" s="7">
        <f>+Sheet1!T2</f>
        <v>10.282034369871049</v>
      </c>
      <c r="O12" s="467">
        <f>+Sheet1!U2</f>
        <v>7.144352080029919E-3</v>
      </c>
      <c r="P12" s="551">
        <f t="shared" si="1"/>
        <v>7.144352080029919E-3</v>
      </c>
      <c r="Q12" s="746">
        <f>SUM(P12:P13)</f>
        <v>2.7051560627141806E-2</v>
      </c>
    </row>
    <row r="13" spans="1:17" ht="15">
      <c r="A13" s="738"/>
      <c r="B13" s="547" t="s">
        <v>240</v>
      </c>
      <c r="C13" s="550" t="s">
        <v>241</v>
      </c>
      <c r="D13" s="7"/>
      <c r="E13" s="7">
        <f>+Sheet1!I3</f>
        <v>28.650128128727097</v>
      </c>
      <c r="F13" s="467">
        <f>E13/Sheet1!$I$8</f>
        <v>1.9907208547111886E-2</v>
      </c>
      <c r="G13" s="551">
        <f t="shared" si="0"/>
        <v>1.9907208547111886E-2</v>
      </c>
      <c r="H13" s="747"/>
      <c r="J13" s="738"/>
      <c r="K13" s="547" t="s">
        <v>240</v>
      </c>
      <c r="L13" s="550" t="s">
        <v>241</v>
      </c>
      <c r="M13" s="7"/>
      <c r="N13" s="7">
        <f>+Sheet1!T3</f>
        <v>28.650128128727097</v>
      </c>
      <c r="O13" s="467">
        <f>+Sheet1!U3</f>
        <v>1.9907208547111886E-2</v>
      </c>
      <c r="P13" s="551">
        <f t="shared" si="1"/>
        <v>1.9907208547111886E-2</v>
      </c>
      <c r="Q13" s="747"/>
    </row>
    <row r="14" spans="1:17" ht="15">
      <c r="A14" s="748" t="s">
        <v>11</v>
      </c>
      <c r="B14" s="547" t="s">
        <v>242</v>
      </c>
      <c r="C14" s="550" t="s">
        <v>242</v>
      </c>
      <c r="D14" s="7"/>
      <c r="E14" s="7">
        <f>+Sheet1!I4</f>
        <v>3.1999738295033322</v>
      </c>
      <c r="F14" s="467">
        <f>E14/Sheet1!$I$8</f>
        <v>2.223464624067402E-3</v>
      </c>
      <c r="G14" s="551">
        <f t="shared" si="0"/>
        <v>2.223464624067402E-3</v>
      </c>
      <c r="H14" s="744">
        <f>SUM(G14:G23)</f>
        <v>5.5912423876960334E-2</v>
      </c>
      <c r="J14" s="748" t="s">
        <v>11</v>
      </c>
      <c r="K14" s="547" t="s">
        <v>242</v>
      </c>
      <c r="L14" s="550" t="s">
        <v>242</v>
      </c>
      <c r="M14" s="7"/>
      <c r="N14" s="7">
        <f>+Sheet1!T4</f>
        <v>3.1999738295033322</v>
      </c>
      <c r="O14" s="467">
        <f>+Sheet1!U4</f>
        <v>2.223464624067402E-3</v>
      </c>
      <c r="P14" s="551">
        <f t="shared" si="1"/>
        <v>2.223464624067402E-3</v>
      </c>
      <c r="Q14" s="744">
        <f>SUM(P14:P23)</f>
        <v>5.5912423876960334E-2</v>
      </c>
    </row>
    <row r="15" spans="1:17" ht="15">
      <c r="A15" s="749"/>
      <c r="B15" s="547" t="s">
        <v>243</v>
      </c>
      <c r="C15" s="550" t="s">
        <v>243</v>
      </c>
      <c r="D15" s="7"/>
      <c r="E15" s="7">
        <f>+Sheet1!I5</f>
        <v>6.081546426498706</v>
      </c>
      <c r="F15" s="467">
        <f>E15/Sheet1!$I$8</f>
        <v>4.2256918523118549E-3</v>
      </c>
      <c r="G15" s="551">
        <f>F15</f>
        <v>4.2256918523118549E-3</v>
      </c>
      <c r="H15" s="744"/>
      <c r="J15" s="749"/>
      <c r="K15" s="547" t="s">
        <v>243</v>
      </c>
      <c r="L15" s="550" t="s">
        <v>243</v>
      </c>
      <c r="M15" s="7"/>
      <c r="N15" s="7">
        <f>+Sheet1!T5</f>
        <v>6.081546426498706</v>
      </c>
      <c r="O15" s="467">
        <f>+Sheet1!U5</f>
        <v>4.2256918523118549E-3</v>
      </c>
      <c r="P15" s="551">
        <f>O15</f>
        <v>4.2256918523118549E-3</v>
      </c>
      <c r="Q15" s="744"/>
    </row>
    <row r="16" spans="1:17">
      <c r="A16" s="749"/>
      <c r="B16" s="745" t="s">
        <v>244</v>
      </c>
      <c r="C16" t="s">
        <v>522</v>
      </c>
      <c r="D16" s="7">
        <f>SUMIFS(Sheet1!$C$2:$C$180,Sheet1!$F$2:$F$180,B16,Sheet1!$E$2:$E$180,C16)</f>
        <v>60</v>
      </c>
      <c r="E16" s="7">
        <f>D16/Sheet1!$I$9*Sheet1!$I$10</f>
        <v>1.9317971074404614</v>
      </c>
      <c r="F16" s="467">
        <f>D16/Sheet1!$I$9*Sheet1!$I$11</f>
        <v>1.342286767994059E-3</v>
      </c>
      <c r="G16" s="743">
        <f>SUM(F16:F17)</f>
        <v>3.355716919985147E-3</v>
      </c>
      <c r="H16" s="744"/>
      <c r="J16" s="749"/>
      <c r="K16" s="745" t="s">
        <v>244</v>
      </c>
      <c r="L16" t="s">
        <v>522</v>
      </c>
      <c r="M16" s="7">
        <f>SUMIFS(Sheet1!$N$2:$N$180,Sheet1!$Q$2:$Q$180,K16,Sheet1!$P$2:$P$180,L16)</f>
        <v>60</v>
      </c>
      <c r="N16" s="7">
        <f>M16/Sheet1!$T$9*Sheet1!$T$10</f>
        <v>1.9317971074404614</v>
      </c>
      <c r="O16" s="467">
        <f>M16/Sheet1!$T$9*Sheet1!$T$11</f>
        <v>1.342286767994059E-3</v>
      </c>
      <c r="P16" s="743">
        <f>SUM(O16:O17)</f>
        <v>3.355716919985147E-3</v>
      </c>
      <c r="Q16" s="744"/>
    </row>
    <row r="17" spans="1:17">
      <c r="A17" s="749"/>
      <c r="B17" s="745"/>
      <c r="C17" t="s">
        <v>651</v>
      </c>
      <c r="D17" s="7">
        <f>SUMIFS(Sheet1!$C$2:$C$180,Sheet1!$F$2:$F$180,B16,Sheet1!$E$2:$E$180,C17)</f>
        <v>90</v>
      </c>
      <c r="E17" s="7">
        <f>D17/Sheet1!$I$9*Sheet1!$I$10</f>
        <v>2.8976956611606921</v>
      </c>
      <c r="F17" s="467">
        <f>D17/Sheet1!$I$9*Sheet1!$I$11</f>
        <v>2.0134301519910882E-3</v>
      </c>
      <c r="G17" s="743"/>
      <c r="H17" s="744"/>
      <c r="J17" s="749"/>
      <c r="K17" s="745"/>
      <c r="L17" t="s">
        <v>651</v>
      </c>
      <c r="M17" s="7">
        <f>SUMIFS(Sheet1!$N$2:$N$180,Sheet1!$Q$2:$Q$180,K16,Sheet1!$P$2:$P$180,L17)</f>
        <v>90</v>
      </c>
      <c r="N17" s="7">
        <f>M17/Sheet1!$T$9*Sheet1!$T$10</f>
        <v>2.8976956611606921</v>
      </c>
      <c r="O17" s="467">
        <f>M17/Sheet1!$T$9*Sheet1!$T$11</f>
        <v>2.0134301519910882E-3</v>
      </c>
      <c r="P17" s="743"/>
      <c r="Q17" s="744"/>
    </row>
    <row r="18" spans="1:17" ht="15">
      <c r="A18" s="749"/>
      <c r="B18" s="547" t="s">
        <v>245</v>
      </c>
      <c r="C18" s="550" t="s">
        <v>222</v>
      </c>
      <c r="D18" s="7">
        <f>SUMIFS(Sheet1!$C$2:$C$180,Sheet1!$F$2:$F$180,B18,Sheet1!$E$2:$E$180,C18)</f>
        <v>0</v>
      </c>
      <c r="E18" s="7">
        <f>D18/Sheet1!$I$9*Sheet1!$I$10</f>
        <v>0</v>
      </c>
      <c r="F18" s="467">
        <f>D18/Sheet1!$I$9*Sheet1!$I$11</f>
        <v>0</v>
      </c>
      <c r="G18" s="551">
        <f>F18</f>
        <v>0</v>
      </c>
      <c r="H18" s="744"/>
      <c r="J18" s="749"/>
      <c r="K18" s="547" t="s">
        <v>245</v>
      </c>
      <c r="L18" s="550" t="s">
        <v>222</v>
      </c>
      <c r="M18" s="7">
        <f>SUMIFS(Sheet1!$N$2:$N$180,Sheet1!$Q$2:$Q$180,K18,Sheet1!$P$2:$P$180,L18)</f>
        <v>0</v>
      </c>
      <c r="N18" s="7">
        <f>M18/Sheet1!$T$9*Sheet1!$T$10</f>
        <v>0</v>
      </c>
      <c r="O18" s="467">
        <f>M18/Sheet1!$T$9*Sheet1!$T$11</f>
        <v>0</v>
      </c>
      <c r="P18" s="551">
        <f>O18</f>
        <v>0</v>
      </c>
      <c r="Q18" s="744"/>
    </row>
    <row r="19" spans="1:17">
      <c r="A19" s="749"/>
      <c r="B19" s="741" t="s">
        <v>246</v>
      </c>
      <c r="C19" s="550" t="s">
        <v>247</v>
      </c>
      <c r="D19" s="7">
        <f>SUMIFS(Sheet1!$C$2:$C$180,Sheet1!$F$2:$F$180,B19,Sheet1!$E$2:$E$180,C19)</f>
        <v>199</v>
      </c>
      <c r="E19" s="7">
        <f>D19/Sheet1!$I$9*Sheet1!$I$10</f>
        <v>6.407127073010864</v>
      </c>
      <c r="F19" s="467">
        <f>D19/Sheet1!$I$9*Sheet1!$I$11</f>
        <v>4.4519177805136291E-3</v>
      </c>
      <c r="G19" s="739">
        <f>SUM(F19:F23)</f>
        <v>4.6107550480595928E-2</v>
      </c>
      <c r="H19" s="744"/>
      <c r="J19" s="749"/>
      <c r="K19" s="741" t="s">
        <v>246</v>
      </c>
      <c r="L19" s="550" t="s">
        <v>247</v>
      </c>
      <c r="M19" s="7">
        <f>SUMIFS(Sheet1!$N$2:$N$180,Sheet1!$Q$2:$Q$180,$K$19,Sheet1!$P$2:$P$180,L19)</f>
        <v>199</v>
      </c>
      <c r="N19" s="7">
        <f>M19/Sheet1!$T$9*Sheet1!$T$10</f>
        <v>6.407127073010864</v>
      </c>
      <c r="O19" s="467">
        <f>M19/Sheet1!$T$9*Sheet1!$T$11</f>
        <v>4.4519177805136291E-3</v>
      </c>
      <c r="P19" s="739">
        <f>SUM(O19:O23)</f>
        <v>4.6107550480595928E-2</v>
      </c>
      <c r="Q19" s="744"/>
    </row>
    <row r="20" spans="1:17">
      <c r="A20" s="749"/>
      <c r="B20" s="750"/>
      <c r="C20" s="550" t="s">
        <v>248</v>
      </c>
      <c r="D20" s="7">
        <f>SUMIFS(Sheet1!$C$2:$C$180,Sheet1!$F$2:$F$180,B19,Sheet1!$E$2:$E$180,C20)</f>
        <v>1364</v>
      </c>
      <c r="E20" s="7">
        <f>D20/Sheet1!$I$9*Sheet1!$I$10</f>
        <v>43.916187575813154</v>
      </c>
      <c r="F20" s="467">
        <f>D20/Sheet1!$I$9*Sheet1!$I$11</f>
        <v>3.0514652525731607E-2</v>
      </c>
      <c r="G20" s="751"/>
      <c r="H20" s="744"/>
      <c r="J20" s="749"/>
      <c r="K20" s="750"/>
      <c r="L20" s="550" t="s">
        <v>248</v>
      </c>
      <c r="M20" s="7">
        <f>SUMIFS(Sheet1!$N$2:$N$180,Sheet1!$Q$2:$Q$180,$K$19,Sheet1!$P$2:$P$180,L20)</f>
        <v>1364</v>
      </c>
      <c r="N20" s="7">
        <f>M20/Sheet1!$T$9*Sheet1!$T$10</f>
        <v>43.916187575813154</v>
      </c>
      <c r="O20" s="467">
        <f>M20/Sheet1!$T$9*Sheet1!$T$11</f>
        <v>3.0514652525731607E-2</v>
      </c>
      <c r="P20" s="751"/>
      <c r="Q20" s="744"/>
    </row>
    <row r="21" spans="1:17">
      <c r="A21" s="749"/>
      <c r="B21" s="750"/>
      <c r="C21" s="550" t="s">
        <v>249</v>
      </c>
      <c r="D21" s="7">
        <f>SUMIFS(Sheet1!$C$2:$C$180,Sheet1!$F$2:$F$180,B19,Sheet1!$E$2:$E$180,C21)</f>
        <v>498</v>
      </c>
      <c r="E21" s="7">
        <f>D21/Sheet1!$I$9*Sheet1!$I$10</f>
        <v>16.03391599175583</v>
      </c>
      <c r="F21" s="467">
        <f>D21/Sheet1!$I$9*Sheet1!$I$11</f>
        <v>1.1140980174350688E-2</v>
      </c>
      <c r="G21" s="751"/>
      <c r="H21" s="744"/>
      <c r="J21" s="749"/>
      <c r="K21" s="750"/>
      <c r="L21" s="550" t="s">
        <v>249</v>
      </c>
      <c r="M21" s="7">
        <f>SUMIFS(Sheet1!$N$2:$N$180,Sheet1!$Q$2:$Q$180,$K$19,Sheet1!$P$2:$P$180,L21)</f>
        <v>498</v>
      </c>
      <c r="N21" s="7">
        <f>M21/Sheet1!$T$9*Sheet1!$T$10</f>
        <v>16.03391599175583</v>
      </c>
      <c r="O21" s="467">
        <f>M21/Sheet1!$T$9*Sheet1!$T$11</f>
        <v>1.1140980174350688E-2</v>
      </c>
      <c r="P21" s="751"/>
      <c r="Q21" s="744"/>
    </row>
    <row r="22" spans="1:17">
      <c r="A22" s="749"/>
      <c r="B22" s="750"/>
      <c r="C22" s="550" t="s">
        <v>12</v>
      </c>
      <c r="D22" s="7">
        <f>SUMIFS(Sheet1!$C$2:$C$180,Sheet1!$F$2:$F$180,B19,Sheet1!$E$2:$E$180,C22)</f>
        <v>0</v>
      </c>
      <c r="E22" s="7">
        <f>D22/Sheet1!$I$9*Sheet1!$I$10</f>
        <v>0</v>
      </c>
      <c r="F22" s="467">
        <f>D22/Sheet1!$I$9*Sheet1!$I$11</f>
        <v>0</v>
      </c>
      <c r="G22" s="751"/>
      <c r="H22" s="744"/>
      <c r="J22" s="749"/>
      <c r="K22" s="750"/>
      <c r="L22" s="550" t="s">
        <v>12</v>
      </c>
      <c r="M22" s="7">
        <f>SUMIFS(Sheet1!$N$2:$N$180,Sheet1!$Q$2:$Q$180,$K$19,Sheet1!$P$2:$P$180,L22)</f>
        <v>0</v>
      </c>
      <c r="N22" s="7">
        <f>M22/Sheet1!$T$9*Sheet1!$T$10</f>
        <v>0</v>
      </c>
      <c r="O22" s="467">
        <f>M22/Sheet1!$T$9*Sheet1!$T$11</f>
        <v>0</v>
      </c>
      <c r="P22" s="751"/>
      <c r="Q22" s="744"/>
    </row>
    <row r="23" spans="1:17">
      <c r="A23" s="749"/>
      <c r="B23" s="742"/>
      <c r="C23" s="550"/>
      <c r="D23" s="7">
        <f>SUMIFS(Sheet1!$C$2:$C$180,Sheet1!$F$2:$F$180,B19,Sheet1!$E$2:$E$180,C23)</f>
        <v>0</v>
      </c>
      <c r="E23" s="7">
        <f>D23/Sheet1!$I$9*Sheet1!$I$10</f>
        <v>0</v>
      </c>
      <c r="F23" s="467">
        <f>D23/Sheet1!$I$9*Sheet1!$I$11</f>
        <v>0</v>
      </c>
      <c r="G23" s="740"/>
      <c r="H23" s="744"/>
      <c r="J23" s="749"/>
      <c r="K23" s="742"/>
      <c r="L23" s="550"/>
      <c r="M23" s="7">
        <f>SUMIFS(Sheet1!$N$2:$N$180,Sheet1!$Q$2:$Q$180,$K$19,Sheet1!$P$2:$P$180,L23)</f>
        <v>0</v>
      </c>
      <c r="N23" s="7">
        <f>M23/Sheet1!$T$9*Sheet1!$T$10</f>
        <v>0</v>
      </c>
      <c r="O23" s="467">
        <f>M23/Sheet1!$T$9*Sheet1!$T$11</f>
        <v>0</v>
      </c>
      <c r="P23" s="740"/>
      <c r="Q23" s="744"/>
    </row>
    <row r="24" spans="1:17" ht="12.75" customHeight="1">
      <c r="A24" s="738" t="s">
        <v>250</v>
      </c>
      <c r="B24" s="745" t="s">
        <v>251</v>
      </c>
      <c r="C24" t="s">
        <v>524</v>
      </c>
      <c r="D24" s="7">
        <f>SUMIFS(Sheet1!$C$2:$C$180,Sheet1!$F$2:$F$180,B24,Sheet1!$E$2:$E$180,C24)</f>
        <v>299</v>
      </c>
      <c r="E24" s="7">
        <f>D24/Sheet1!$I$9*Sheet1!$I$10</f>
        <v>9.626788918744964</v>
      </c>
      <c r="F24" s="467">
        <f>D24/Sheet1!$I$9*Sheet1!$I$11</f>
        <v>6.6890623938370601E-3</v>
      </c>
      <c r="G24" s="743">
        <f>SUM(F24:F30)</f>
        <v>6.6890623938370601E-3</v>
      </c>
      <c r="H24" s="744">
        <f>SUM(G24:G37)</f>
        <v>1.0604065467153066E-2</v>
      </c>
      <c r="J24" s="738" t="s">
        <v>250</v>
      </c>
      <c r="K24" s="745" t="s">
        <v>251</v>
      </c>
      <c r="L24" t="s">
        <v>524</v>
      </c>
      <c r="M24" s="7">
        <f>SUMIFS(Sheet1!$N$2:$N$180,Sheet1!$Q$2:$Q$180,$K$24,Sheet1!$P$2:$P$180,L24)</f>
        <v>299</v>
      </c>
      <c r="N24" s="7">
        <f>M24/Sheet1!$T$9*Sheet1!$T$10</f>
        <v>9.626788918744964</v>
      </c>
      <c r="O24" s="467">
        <f>M24/Sheet1!$T$9*Sheet1!$T$11</f>
        <v>6.6890623938370601E-3</v>
      </c>
      <c r="P24" s="743">
        <f>SUM(O24:O30)</f>
        <v>6.6890623938370601E-3</v>
      </c>
      <c r="Q24" s="744">
        <f>SUM(P24:P37)</f>
        <v>1.0604065467153066E-2</v>
      </c>
    </row>
    <row r="25" spans="1:17" ht="12.75" customHeight="1">
      <c r="A25" s="738"/>
      <c r="B25" s="745"/>
      <c r="C25" s="553"/>
      <c r="D25" s="7">
        <f>SUMIFS(Sheet1!$C$2:$C$180,Sheet1!$F$2:$F$180,B24,Sheet1!$E$2:$E$180,C25)</f>
        <v>0</v>
      </c>
      <c r="E25" s="7">
        <f>D25/Sheet1!$I$9*Sheet1!$I$10</f>
        <v>0</v>
      </c>
      <c r="F25" s="467">
        <f>D25/Sheet1!$I$9*Sheet1!$I$11</f>
        <v>0</v>
      </c>
      <c r="G25" s="743"/>
      <c r="H25" s="744"/>
      <c r="J25" s="738"/>
      <c r="K25" s="745"/>
      <c r="L25" s="553"/>
      <c r="M25" s="7">
        <f>SUMIFS(Sheet1!$N$2:$N$180,Sheet1!$Q$2:$Q$180,$K$24,Sheet1!$P$2:$P$180,L25)</f>
        <v>0</v>
      </c>
      <c r="N25" s="7">
        <f>M25/Sheet1!$T$9*Sheet1!$T$10</f>
        <v>0</v>
      </c>
      <c r="O25" s="467">
        <f>M25/Sheet1!$T$9*Sheet1!$T$11</f>
        <v>0</v>
      </c>
      <c r="P25" s="743"/>
      <c r="Q25" s="744"/>
    </row>
    <row r="26" spans="1:17" ht="12.75" customHeight="1">
      <c r="A26" s="738"/>
      <c r="B26" s="745"/>
      <c r="C26" s="531"/>
      <c r="D26" s="7">
        <f>SUMIFS(Sheet1!$C$2:$C$180,Sheet1!$F$2:$F$180,B24,Sheet1!$E$2:$E$180,C26)</f>
        <v>0</v>
      </c>
      <c r="E26" s="7">
        <f>D26/Sheet1!$I$9*Sheet1!$I$10</f>
        <v>0</v>
      </c>
      <c r="F26" s="467">
        <f>D26/Sheet1!$I$9*Sheet1!$I$11</f>
        <v>0</v>
      </c>
      <c r="G26" s="743"/>
      <c r="H26" s="744"/>
      <c r="J26" s="738"/>
      <c r="K26" s="745"/>
      <c r="L26" s="531"/>
      <c r="M26" s="7">
        <f>SUMIFS(Sheet1!$N$2:$N$180,Sheet1!$Q$2:$Q$180,$K$24,Sheet1!$P$2:$P$180,L26)</f>
        <v>0</v>
      </c>
      <c r="N26" s="7">
        <f>M26/Sheet1!$T$9*Sheet1!$T$10</f>
        <v>0</v>
      </c>
      <c r="O26" s="467">
        <f>M26/Sheet1!$T$9*Sheet1!$T$11</f>
        <v>0</v>
      </c>
      <c r="P26" s="743"/>
      <c r="Q26" s="744"/>
    </row>
    <row r="27" spans="1:17" ht="12.75" customHeight="1">
      <c r="A27" s="738"/>
      <c r="B27" s="745"/>
      <c r="D27" s="7">
        <f>SUMIFS(Sheet1!$C$2:$C$180,Sheet1!$F$2:$F$180,B24,Sheet1!$E$2:$E$180,C27)</f>
        <v>0</v>
      </c>
      <c r="E27" s="7">
        <f>D27/Sheet1!$I$9*Sheet1!$I$10</f>
        <v>0</v>
      </c>
      <c r="F27" s="467">
        <f>D27/Sheet1!$I$9*Sheet1!$I$11</f>
        <v>0</v>
      </c>
      <c r="G27" s="743"/>
      <c r="H27" s="744"/>
      <c r="J27" s="738"/>
      <c r="K27" s="745"/>
      <c r="M27" s="7">
        <f>SUMIFS(Sheet1!$N$2:$N$180,Sheet1!$Q$2:$Q$180,$K$24,Sheet1!$P$2:$P$180,L27)</f>
        <v>0</v>
      </c>
      <c r="N27" s="7">
        <f>M27/Sheet1!$T$9*Sheet1!$T$10</f>
        <v>0</v>
      </c>
      <c r="O27" s="467">
        <f>M27/Sheet1!$T$9*Sheet1!$T$11</f>
        <v>0</v>
      </c>
      <c r="P27" s="743"/>
      <c r="Q27" s="744"/>
    </row>
    <row r="28" spans="1:17" ht="12.75" customHeight="1">
      <c r="A28" s="738"/>
      <c r="B28" s="745"/>
      <c r="C28" s="550"/>
      <c r="D28" s="7">
        <f>SUMIFS(Sheet1!$C$2:$C$180,Sheet1!$F$2:$F$180,B24,Sheet1!$E$2:$E$180,C28)</f>
        <v>0</v>
      </c>
      <c r="E28" s="7">
        <f>D28/Sheet1!$I$9*Sheet1!$I$10</f>
        <v>0</v>
      </c>
      <c r="F28" s="467">
        <f>D28/Sheet1!$I$9*Sheet1!$I$11</f>
        <v>0</v>
      </c>
      <c r="G28" s="743"/>
      <c r="H28" s="744"/>
      <c r="J28" s="738"/>
      <c r="K28" s="745"/>
      <c r="L28" s="550"/>
      <c r="M28" s="7">
        <f>SUMIFS(Sheet1!$N$2:$N$180,Sheet1!$Q$2:$Q$180,$K$24,Sheet1!$P$2:$P$180,L28)</f>
        <v>0</v>
      </c>
      <c r="N28" s="7">
        <f>M28/Sheet1!$T$9*Sheet1!$T$10</f>
        <v>0</v>
      </c>
      <c r="O28" s="467">
        <f>M28/Sheet1!$T$9*Sheet1!$T$11</f>
        <v>0</v>
      </c>
      <c r="P28" s="743"/>
      <c r="Q28" s="744"/>
    </row>
    <row r="29" spans="1:17" ht="12.75" customHeight="1">
      <c r="A29" s="738"/>
      <c r="B29" s="745"/>
      <c r="C29" s="550"/>
      <c r="D29" s="7">
        <f>SUMIFS(Sheet1!$C$2:$C$180,Sheet1!$F$2:$F$180,B24,Sheet1!$E$2:$E$180,C29)</f>
        <v>0</v>
      </c>
      <c r="E29" s="7">
        <f>D29/Sheet1!$I$9*Sheet1!$I$10</f>
        <v>0</v>
      </c>
      <c r="F29" s="467">
        <f>D29/Sheet1!$I$9*Sheet1!$I$11</f>
        <v>0</v>
      </c>
      <c r="G29" s="743"/>
      <c r="H29" s="744"/>
      <c r="J29" s="738"/>
      <c r="K29" s="745"/>
      <c r="L29" s="550"/>
      <c r="M29" s="7">
        <f>SUMIFS(Sheet1!$N$2:$N$180,Sheet1!$Q$2:$Q$180,$K$24,Sheet1!$P$2:$P$180,L29)</f>
        <v>0</v>
      </c>
      <c r="N29" s="7">
        <f>M29/Sheet1!$T$9*Sheet1!$T$10</f>
        <v>0</v>
      </c>
      <c r="O29" s="467">
        <f>M29/Sheet1!$T$9*Sheet1!$T$11</f>
        <v>0</v>
      </c>
      <c r="P29" s="743"/>
      <c r="Q29" s="744"/>
    </row>
    <row r="30" spans="1:17" ht="12.75" customHeight="1">
      <c r="A30" s="738"/>
      <c r="B30" s="745"/>
      <c r="C30" s="550"/>
      <c r="D30" s="7">
        <f>SUMIFS(Sheet1!$C$2:$C$180,Sheet1!$F$2:$F$180,B24,Sheet1!$E$2:$E$180,C30)</f>
        <v>0</v>
      </c>
      <c r="E30" s="7">
        <f>D30/Sheet1!$I$9*Sheet1!$I$10</f>
        <v>0</v>
      </c>
      <c r="F30" s="467">
        <f>D30/Sheet1!$I$9*Sheet1!$I$11</f>
        <v>0</v>
      </c>
      <c r="G30" s="743"/>
      <c r="H30" s="744"/>
      <c r="J30" s="738"/>
      <c r="K30" s="745"/>
      <c r="L30" s="550"/>
      <c r="M30" s="7">
        <f>SUMIFS(Sheet1!$N$2:$N$180,Sheet1!$Q$2:$Q$180,$K$24,Sheet1!$P$2:$P$180,L30)</f>
        <v>0</v>
      </c>
      <c r="N30" s="7">
        <f>M30/Sheet1!$T$9*Sheet1!$T$10</f>
        <v>0</v>
      </c>
      <c r="O30" s="467">
        <f>M30/Sheet1!$T$9*Sheet1!$T$11</f>
        <v>0</v>
      </c>
      <c r="P30" s="743"/>
      <c r="Q30" s="744"/>
    </row>
    <row r="31" spans="1:17" ht="12.75" customHeight="1">
      <c r="A31" s="738"/>
      <c r="B31" s="741" t="s">
        <v>252</v>
      </c>
      <c r="C31" t="s">
        <v>523</v>
      </c>
      <c r="D31" s="7">
        <f>SUMIFS(Sheet1!$C$2:$C$180,Sheet1!$F$2:$F$180,B31,Sheet1!$E$2:$E$180,C31)</f>
        <v>60</v>
      </c>
      <c r="E31" s="7">
        <f>D31/Sheet1!$I$9*Sheet1!$I$10</f>
        <v>1.9317971074404614</v>
      </c>
      <c r="F31" s="467">
        <f>D31/Sheet1!$I$9*Sheet1!$I$11</f>
        <v>1.342286767994059E-3</v>
      </c>
      <c r="G31" s="739">
        <f>SUM(F31:F32)</f>
        <v>3.9150030733160054E-3</v>
      </c>
      <c r="H31" s="744"/>
      <c r="J31" s="738"/>
      <c r="K31" s="741" t="s">
        <v>252</v>
      </c>
      <c r="L31" t="s">
        <v>523</v>
      </c>
      <c r="M31" s="7">
        <f>SUMIFS(Sheet1!$N$2:$N$180,Sheet1!$Q$2:$Q$180,$K$31,Sheet1!$P$2:$P$180,L31)</f>
        <v>60</v>
      </c>
      <c r="N31" s="7">
        <f>M31/Sheet1!$T$9*Sheet1!$T$10</f>
        <v>1.9317971074404614</v>
      </c>
      <c r="O31" s="467">
        <f>M31/Sheet1!$T$9*Sheet1!$T$11</f>
        <v>1.342286767994059E-3</v>
      </c>
      <c r="P31" s="739">
        <f>SUM(O31:O32)</f>
        <v>3.9150030733160054E-3</v>
      </c>
      <c r="Q31" s="744"/>
    </row>
    <row r="32" spans="1:17" ht="12.75" customHeight="1">
      <c r="A32" s="738"/>
      <c r="B32" s="742"/>
      <c r="C32" s="550" t="s">
        <v>652</v>
      </c>
      <c r="D32" s="7">
        <f>SUMIFS(Sheet1!$C$2:$C$180,Sheet1!$F$2:$F$180,B31,Sheet1!$E$2:$E$180,C32)</f>
        <v>115</v>
      </c>
      <c r="E32" s="7">
        <f>D32/Sheet1!$I$9*Sheet1!$I$10</f>
        <v>3.702611122594218</v>
      </c>
      <c r="F32" s="467">
        <f>D32/Sheet1!$I$9*Sheet1!$I$11</f>
        <v>2.5727163053219466E-3</v>
      </c>
      <c r="G32" s="740"/>
      <c r="H32" s="744"/>
      <c r="J32" s="738"/>
      <c r="K32" s="742"/>
      <c r="L32" s="550" t="s">
        <v>652</v>
      </c>
      <c r="M32" s="7">
        <f>SUMIFS(Sheet1!$N$2:$N$180,Sheet1!$Q$2:$Q$180,$K$31,Sheet1!$P$2:$P$180,L32)</f>
        <v>115</v>
      </c>
      <c r="N32" s="7">
        <f>M32/Sheet1!$T$9*Sheet1!$T$10</f>
        <v>3.702611122594218</v>
      </c>
      <c r="O32" s="467">
        <f>M32/Sheet1!$T$9*Sheet1!$T$11</f>
        <v>2.5727163053219466E-3</v>
      </c>
      <c r="P32" s="740"/>
      <c r="Q32" s="744"/>
    </row>
    <row r="33" spans="1:17" ht="12.75" customHeight="1">
      <c r="A33" s="738"/>
      <c r="B33" s="745" t="s">
        <v>253</v>
      </c>
      <c r="C33" s="550"/>
      <c r="D33" s="7">
        <f>SUMIFS(Sheet1!$C$2:$C$180,Sheet1!$F$2:$F$180,B33,Sheet1!$E$2:$E$180,C33)</f>
        <v>0</v>
      </c>
      <c r="E33" s="7">
        <f>D33/Sheet1!$I$9*Sheet1!$I$10</f>
        <v>0</v>
      </c>
      <c r="F33" s="467">
        <f>D33/Sheet1!$I$9*Sheet1!$I$11</f>
        <v>0</v>
      </c>
      <c r="G33" s="743">
        <f>SUM(F33:F35)</f>
        <v>0</v>
      </c>
      <c r="H33" s="744"/>
      <c r="J33" s="738"/>
      <c r="K33" s="745" t="s">
        <v>253</v>
      </c>
      <c r="L33" s="550"/>
      <c r="M33" s="7">
        <f>SUMIFS(Sheet1!$N$2:$N$180,Sheet1!$Q$2:$Q$180,$K$33,Sheet1!$P$2:$P$180,L33)</f>
        <v>0</v>
      </c>
      <c r="N33" s="7">
        <f>M33/Sheet1!$T$9*Sheet1!$T$10</f>
        <v>0</v>
      </c>
      <c r="O33" s="467">
        <f>M33/Sheet1!$T$9*Sheet1!$T$11</f>
        <v>0</v>
      </c>
      <c r="P33" s="743">
        <f>SUM(O33:O35)</f>
        <v>0</v>
      </c>
      <c r="Q33" s="744"/>
    </row>
    <row r="34" spans="1:17" ht="12.75" customHeight="1">
      <c r="A34" s="738"/>
      <c r="B34" s="745"/>
      <c r="C34" s="550"/>
      <c r="D34" s="7">
        <f>SUMIFS(Sheet1!$C$2:$C$180,Sheet1!$F$2:$F$180,B33,Sheet1!$E$2:$E$180,C34)</f>
        <v>0</v>
      </c>
      <c r="E34" s="7">
        <f>D34/Sheet1!$I$9*Sheet1!$I$10</f>
        <v>0</v>
      </c>
      <c r="F34" s="467">
        <f>D34/Sheet1!$I$9*Sheet1!$I$11</f>
        <v>0</v>
      </c>
      <c r="G34" s="743"/>
      <c r="H34" s="744"/>
      <c r="J34" s="738"/>
      <c r="K34" s="745"/>
      <c r="L34" s="550"/>
      <c r="M34" s="7">
        <f>SUMIFS(Sheet1!$N$2:$N$180,Sheet1!$Q$2:$Q$180,$K$33,Sheet1!$P$2:$P$180,L34)</f>
        <v>0</v>
      </c>
      <c r="N34" s="7">
        <f>M34/Sheet1!$T$9*Sheet1!$T$10</f>
        <v>0</v>
      </c>
      <c r="O34" s="467">
        <f>M34/Sheet1!$T$9*Sheet1!$T$11</f>
        <v>0</v>
      </c>
      <c r="P34" s="743"/>
      <c r="Q34" s="744"/>
    </row>
    <row r="35" spans="1:17" ht="12.75" customHeight="1">
      <c r="A35" s="738"/>
      <c r="B35" s="745"/>
      <c r="C35" s="550"/>
      <c r="D35" s="7">
        <f>SUMIFS(Sheet1!$C$2:$C$180,Sheet1!$F$2:$F$180,B33,Sheet1!$E$2:$E$180,C35)</f>
        <v>0</v>
      </c>
      <c r="E35" s="7">
        <f>D35/Sheet1!$I$9*Sheet1!$I$10</f>
        <v>0</v>
      </c>
      <c r="F35" s="467">
        <f>D35/Sheet1!$I$9*Sheet1!$I$11</f>
        <v>0</v>
      </c>
      <c r="G35" s="743"/>
      <c r="H35" s="744"/>
      <c r="J35" s="738"/>
      <c r="K35" s="745"/>
      <c r="L35" s="550"/>
      <c r="M35" s="7">
        <f>SUMIFS(Sheet1!$N$2:$N$180,Sheet1!$Q$2:$Q$180,$K$33,Sheet1!$P$2:$P$180,L35)</f>
        <v>0</v>
      </c>
      <c r="N35" s="7">
        <f>M35/Sheet1!$T$9*Sheet1!$T$10</f>
        <v>0</v>
      </c>
      <c r="O35" s="467">
        <f>M35/Sheet1!$T$9*Sheet1!$T$11</f>
        <v>0</v>
      </c>
      <c r="P35" s="743"/>
      <c r="Q35" s="744"/>
    </row>
    <row r="36" spans="1:17" ht="12.75" customHeight="1">
      <c r="A36" s="738"/>
      <c r="B36" s="741" t="s">
        <v>254</v>
      </c>
      <c r="C36" s="550"/>
      <c r="D36" s="7">
        <f>SUMIFS(Sheet1!$C$2:$C$180,Sheet1!$F$2:$F$180,B36,Sheet1!$E$2:$E$180,C36)</f>
        <v>0</v>
      </c>
      <c r="E36" s="7">
        <f>D36/Sheet1!$I$9*Sheet1!$I$10</f>
        <v>0</v>
      </c>
      <c r="F36" s="467">
        <f>D36/Sheet1!$I$9*Sheet1!$I$11</f>
        <v>0</v>
      </c>
      <c r="G36" s="739">
        <f>SUM(F36:F37)</f>
        <v>0</v>
      </c>
      <c r="H36" s="744"/>
      <c r="J36" s="738"/>
      <c r="K36" s="741" t="s">
        <v>254</v>
      </c>
      <c r="L36" s="550"/>
      <c r="M36" s="7">
        <f>SUMIFS(Sheet1!$N$2:$N$180,Sheet1!$Q$2:$Q$180,$K$36,Sheet1!$P$2:$P$180,L36)</f>
        <v>0</v>
      </c>
      <c r="N36" s="7">
        <f>M36/Sheet1!$T$9*Sheet1!$T$10</f>
        <v>0</v>
      </c>
      <c r="O36" s="467">
        <f>M36/Sheet1!$T$9*Sheet1!$T$11</f>
        <v>0</v>
      </c>
      <c r="P36" s="739">
        <f>SUM(O36:O37)</f>
        <v>0</v>
      </c>
      <c r="Q36" s="744"/>
    </row>
    <row r="37" spans="1:17" ht="12.75" customHeight="1">
      <c r="A37" s="738"/>
      <c r="B37" s="742"/>
      <c r="C37" s="550"/>
      <c r="D37" s="7">
        <f>SUMIFS(Sheet1!$C$2:$C$180,Sheet1!$F$2:$F$180,B36,Sheet1!$E$2:$E$180,C37)</f>
        <v>0</v>
      </c>
      <c r="E37" s="7">
        <f>D37/Sheet1!$I$9*Sheet1!$I$10</f>
        <v>0</v>
      </c>
      <c r="F37" s="467">
        <f>D37/Sheet1!$I$9*Sheet1!$I$11</f>
        <v>0</v>
      </c>
      <c r="G37" s="740"/>
      <c r="H37" s="744"/>
      <c r="J37" s="738"/>
      <c r="K37" s="742"/>
      <c r="L37" s="550"/>
      <c r="M37" s="7">
        <f>SUMIFS(Sheet1!$N$2:$N$180,Sheet1!$Q$2:$Q$180,$K$36,Sheet1!$P$2:$P$180,L37)</f>
        <v>0</v>
      </c>
      <c r="N37" s="7">
        <f>M37/Sheet1!$T$9*Sheet1!$T$10</f>
        <v>0</v>
      </c>
      <c r="O37" s="467">
        <f>M37/Sheet1!$T$9*Sheet1!$T$11</f>
        <v>0</v>
      </c>
      <c r="P37" s="740"/>
      <c r="Q37" s="744"/>
    </row>
    <row r="38" spans="1:17" ht="12.75" customHeight="1">
      <c r="A38" s="738" t="s">
        <v>392</v>
      </c>
      <c r="B38" s="741" t="s">
        <v>255</v>
      </c>
      <c r="C38"/>
      <c r="D38" s="7">
        <f>SUMIFS(Sheet1!$C$2:$C$180,Sheet1!$F$2:$F$180,B38,Sheet1!$E$2:$E$180,C38)</f>
        <v>0</v>
      </c>
      <c r="E38" s="7">
        <f>D38/Sheet1!$I$9*Sheet1!$I$10</f>
        <v>0</v>
      </c>
      <c r="F38" s="467">
        <f>D38/Sheet1!$I$9*Sheet1!$I$11</f>
        <v>0</v>
      </c>
      <c r="G38" s="739">
        <f>SUM(F38:F39)</f>
        <v>0</v>
      </c>
      <c r="H38" s="735">
        <f>SUM(G38:G39)</f>
        <v>0</v>
      </c>
      <c r="J38" s="738" t="s">
        <v>392</v>
      </c>
      <c r="K38" s="741" t="s">
        <v>255</v>
      </c>
      <c r="L38"/>
      <c r="M38" s="7">
        <f>SUMIFS(Sheet1!$N$2:$N$180,Sheet1!$Q$2:$Q$180,K38,Sheet1!$P$2:$P$180,L38)</f>
        <v>0</v>
      </c>
      <c r="N38" s="7">
        <f>M38/Sheet1!$T$9*Sheet1!$T$10</f>
        <v>0</v>
      </c>
      <c r="O38" s="467">
        <f>M38/Sheet1!$T$9*Sheet1!$T$11</f>
        <v>0</v>
      </c>
      <c r="P38" s="739">
        <f>SUM(O38:O39)</f>
        <v>0</v>
      </c>
      <c r="Q38" s="735">
        <f>SUM(P38:P39)</f>
        <v>0</v>
      </c>
    </row>
    <row r="39" spans="1:17" ht="12.75" customHeight="1">
      <c r="A39" s="738"/>
      <c r="B39" s="742"/>
      <c r="C39" s="553"/>
      <c r="D39" s="7">
        <f>SUMIFS(Sheet1!$C$2:$C$180,Sheet1!$F$2:$F$180,B38,Sheet1!$E$2:$E$180,C39)</f>
        <v>0</v>
      </c>
      <c r="E39" s="7">
        <f>D39/Sheet1!$I$9*Sheet1!$I$10</f>
        <v>0</v>
      </c>
      <c r="F39" s="467">
        <f>D39/Sheet1!$I$9*Sheet1!$I$11</f>
        <v>0</v>
      </c>
      <c r="G39" s="740"/>
      <c r="H39" s="736"/>
      <c r="J39" s="738"/>
      <c r="K39" s="742"/>
      <c r="L39" s="553"/>
      <c r="M39" s="7">
        <f>SUMIFS(Sheet1!$N$2:$N$180,Sheet1!$Q$2:$Q$180,K38,Sheet1!$P$2:$P$180,L39)</f>
        <v>0</v>
      </c>
      <c r="N39" s="7">
        <f>M39/Sheet1!$T$9*Sheet1!$T$10</f>
        <v>0</v>
      </c>
      <c r="O39" s="467">
        <f>M39/Sheet1!$T$9*Sheet1!$T$11</f>
        <v>0</v>
      </c>
      <c r="P39" s="740"/>
      <c r="Q39" s="736"/>
    </row>
    <row r="40" spans="1:17" ht="15">
      <c r="A40" s="554"/>
      <c r="B40" s="737" t="s">
        <v>2</v>
      </c>
      <c r="C40" s="737"/>
      <c r="D40" s="311">
        <f>SUM(D4:D39)</f>
        <v>2685</v>
      </c>
      <c r="E40" s="311">
        <f>SUM(E4:E39)</f>
        <v>134.66160331256083</v>
      </c>
      <c r="F40" s="453">
        <f>SUM(F4:F39)</f>
        <v>9.3568049971255202E-2</v>
      </c>
      <c r="G40" s="453">
        <f>SUM(G4:G39)</f>
        <v>9.3568049971255202E-2</v>
      </c>
      <c r="H40" s="453">
        <f>SUM(H4:H39)</f>
        <v>9.3568049971255202E-2</v>
      </c>
      <c r="J40" s="554"/>
      <c r="K40" s="737" t="s">
        <v>2</v>
      </c>
      <c r="L40" s="737"/>
      <c r="M40" s="311">
        <f>SUM(M4:M39)</f>
        <v>2685</v>
      </c>
      <c r="N40" s="311">
        <f>SUM(N4:N39)</f>
        <v>134.66160331256083</v>
      </c>
      <c r="O40" s="453">
        <f>SUM(O4:O39)</f>
        <v>9.3568049971255202E-2</v>
      </c>
      <c r="P40" s="453">
        <f>SUM(P4:P39)</f>
        <v>9.3568049971255202E-2</v>
      </c>
      <c r="Q40" s="453">
        <f>SUM(Q4:Q39)</f>
        <v>9.3568049971255202E-2</v>
      </c>
    </row>
    <row r="41" spans="1:17" ht="15">
      <c r="A41" s="554"/>
      <c r="B41" s="737" t="s">
        <v>1</v>
      </c>
      <c r="C41" s="737"/>
      <c r="D41" s="737"/>
      <c r="E41" s="737"/>
      <c r="F41" s="555">
        <f>+Efficiency1!X164</f>
        <v>0.90643195002874466</v>
      </c>
      <c r="G41" s="555">
        <f>+F41</f>
        <v>0.90643195002874466</v>
      </c>
      <c r="H41" s="555">
        <f>+G41</f>
        <v>0.90643195002874466</v>
      </c>
      <c r="J41" s="554"/>
      <c r="K41" s="737" t="s">
        <v>1</v>
      </c>
      <c r="L41" s="737"/>
      <c r="M41" s="737"/>
      <c r="N41" s="737"/>
      <c r="O41" s="555">
        <f>+Efficiency2!X164</f>
        <v>0.90643195002874466</v>
      </c>
      <c r="P41" s="555">
        <f>+O41</f>
        <v>0.90643195002874466</v>
      </c>
      <c r="Q41" s="555">
        <f>+P41</f>
        <v>0.90643195002874466</v>
      </c>
    </row>
    <row r="42" spans="1:17" ht="15">
      <c r="A42" s="554"/>
      <c r="B42" s="737" t="s">
        <v>56</v>
      </c>
      <c r="C42" s="737"/>
      <c r="D42" s="737"/>
      <c r="E42" s="737"/>
      <c r="F42" s="469">
        <f>SUM(F40:F41)</f>
        <v>0.99999999999999989</v>
      </c>
      <c r="G42" s="469">
        <f>SUM(G40:G41)</f>
        <v>0.99999999999999989</v>
      </c>
      <c r="H42" s="546">
        <f>SUM(H40:H41)</f>
        <v>0.99999999999999989</v>
      </c>
      <c r="J42" s="554"/>
      <c r="K42" s="737" t="s">
        <v>56</v>
      </c>
      <c r="L42" s="737"/>
      <c r="M42" s="737"/>
      <c r="N42" s="737"/>
      <c r="O42" s="469">
        <f>SUM(O40:O41)</f>
        <v>0.99999999999999989</v>
      </c>
      <c r="P42" s="469">
        <f>SUM(P40:P41)</f>
        <v>0.99999999999999989</v>
      </c>
      <c r="Q42" s="546">
        <f>SUM(Q40:Q41)</f>
        <v>0.99999999999999989</v>
      </c>
    </row>
  </sheetData>
  <mergeCells count="66">
    <mergeCell ref="L2:L3"/>
    <mergeCell ref="A2:A3"/>
    <mergeCell ref="B2:B3"/>
    <mergeCell ref="C2:C3"/>
    <mergeCell ref="J2:J3"/>
    <mergeCell ref="K2:K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24:A37"/>
    <mergeCell ref="A38:A39"/>
    <mergeCell ref="A12:A13"/>
    <mergeCell ref="H12:H13"/>
    <mergeCell ref="J12:J13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38:Q39"/>
    <mergeCell ref="B40:C40"/>
    <mergeCell ref="K40:L40"/>
    <mergeCell ref="B41:E41"/>
    <mergeCell ref="K41:N41"/>
    <mergeCell ref="J38:J39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topLeftCell="A40" zoomScale="80" zoomScaleNormal="80" workbookViewId="0">
      <selection activeCell="H42" sqref="H4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42578125" style="153" customWidth="1"/>
    <col min="14" max="15" width="0" style="153" hidden="1" customWidth="1"/>
    <col min="16" max="16" width="10.28515625" style="153" hidden="1" customWidth="1"/>
    <col min="17" max="17" width="9.28515625" style="153" hidden="1" customWidth="1"/>
    <col min="18" max="24" width="0" style="153" hidden="1" customWidth="1"/>
    <col min="25" max="16384" width="9.140625" style="153"/>
  </cols>
  <sheetData>
    <row r="1" spans="1:30" ht="15.75">
      <c r="A1" s="152"/>
    </row>
    <row r="2" spans="1:30" ht="15.75">
      <c r="A2" s="152" t="s">
        <v>184</v>
      </c>
    </row>
    <row r="3" spans="1:30" ht="15">
      <c r="A3" s="154"/>
    </row>
    <row r="4" spans="1:30" ht="20.25">
      <c r="A4" s="155" t="s">
        <v>3</v>
      </c>
      <c r="B4" s="156"/>
      <c r="F4" s="157" t="s">
        <v>28</v>
      </c>
      <c r="G4" s="158">
        <v>31</v>
      </c>
      <c r="H4" s="158" t="str">
        <f>+'1'!H4</f>
        <v>.08.25</v>
      </c>
      <c r="J4" s="153">
        <f>633+453+560</f>
        <v>1646</v>
      </c>
    </row>
    <row r="5" spans="1:30" ht="13.5" thickBot="1">
      <c r="C5" s="159"/>
      <c r="D5" s="159"/>
    </row>
    <row r="6" spans="1:30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86" t="s">
        <v>91</v>
      </c>
      <c r="O6" s="419" t="s">
        <v>191</v>
      </c>
      <c r="P6" s="419" t="s">
        <v>191</v>
      </c>
      <c r="Q6" s="419" t="s">
        <v>192</v>
      </c>
      <c r="R6" s="419" t="s">
        <v>193</v>
      </c>
      <c r="S6" s="419" t="s">
        <v>194</v>
      </c>
      <c r="T6" s="419" t="s">
        <v>189</v>
      </c>
      <c r="U6" s="420" t="s">
        <v>195</v>
      </c>
      <c r="V6" s="419" t="s">
        <v>196</v>
      </c>
      <c r="W6" s="419" t="s">
        <v>190</v>
      </c>
      <c r="Y6" s="153" t="s">
        <v>390</v>
      </c>
      <c r="Z6" s="153">
        <v>1230</v>
      </c>
      <c r="AA6" s="153">
        <f>+Z6-Z6*0.23</f>
        <v>947.09999999999991</v>
      </c>
      <c r="AB6" s="153">
        <v>180</v>
      </c>
      <c r="AC6" s="153">
        <f t="shared" ref="AC6:AC9" si="0">+Z6*AB6</f>
        <v>221400</v>
      </c>
      <c r="AD6" s="153">
        <f t="shared" ref="AD6:AD9" si="1">+AA6*AB6</f>
        <v>170477.99999999997</v>
      </c>
    </row>
    <row r="7" spans="1:30" ht="13.5" customHeight="1" thickBot="1">
      <c r="A7" s="769"/>
      <c r="B7" s="220" t="s">
        <v>521</v>
      </c>
      <c r="C7" s="221">
        <f>7903+7137</f>
        <v>15040</v>
      </c>
      <c r="D7" s="222"/>
      <c r="E7" s="223"/>
      <c r="F7" s="233">
        <v>9</v>
      </c>
      <c r="G7" s="234" t="s">
        <v>11</v>
      </c>
      <c r="H7" s="235" t="s">
        <v>407</v>
      </c>
      <c r="I7" s="772" t="s">
        <v>405</v>
      </c>
      <c r="J7" s="219" t="str">
        <f>+'30'!J7</f>
        <v>T 13 VP OW</v>
      </c>
      <c r="K7" s="243"/>
      <c r="L7" s="247"/>
      <c r="M7" s="121">
        <f>+L7+'30'!M7+K7</f>
        <v>431302</v>
      </c>
      <c r="N7" s="421">
        <v>14.5</v>
      </c>
      <c r="O7" s="204">
        <v>1200</v>
      </c>
      <c r="P7" s="204">
        <v>1120</v>
      </c>
      <c r="Q7" s="204">
        <v>896</v>
      </c>
      <c r="R7" s="422">
        <f>1-(Q7/P7)</f>
        <v>0.19999999999999996</v>
      </c>
      <c r="S7" s="423">
        <v>45</v>
      </c>
      <c r="T7" s="424">
        <v>256.5</v>
      </c>
      <c r="U7" s="425">
        <f>(O7*(1-R7)*N7*T7*S7)/100000000</f>
        <v>1.606716</v>
      </c>
      <c r="V7" s="426">
        <f>+C14/1000</f>
        <v>18.053000000000001</v>
      </c>
      <c r="W7" s="427">
        <f>SUM(V7:V9)/SUM(U7:U9)</f>
        <v>0.86430477302292874</v>
      </c>
      <c r="Y7" s="153" t="s">
        <v>552</v>
      </c>
      <c r="Z7" s="153">
        <v>1230</v>
      </c>
      <c r="AA7" s="153">
        <f>+Z7-Z7*0.23</f>
        <v>947.09999999999991</v>
      </c>
      <c r="AB7" s="153">
        <f>480-AB6</f>
        <v>300</v>
      </c>
      <c r="AC7" s="153">
        <f t="shared" si="0"/>
        <v>369000</v>
      </c>
      <c r="AD7" s="153">
        <f t="shared" si="1"/>
        <v>284130</v>
      </c>
    </row>
    <row r="8" spans="1:30" ht="13.5" thickBot="1">
      <c r="A8" s="770"/>
      <c r="B8" s="220" t="s">
        <v>555</v>
      </c>
      <c r="C8" s="221">
        <f>1390+1623</f>
        <v>3013</v>
      </c>
      <c r="D8" s="222"/>
      <c r="E8" s="224"/>
      <c r="F8" s="236"/>
      <c r="G8" s="237" t="s">
        <v>11</v>
      </c>
      <c r="H8" s="235" t="s">
        <v>286</v>
      </c>
      <c r="I8" s="773"/>
      <c r="J8" s="219" t="str">
        <f>+'30'!J8</f>
        <v>T 15,5 VP OW</v>
      </c>
      <c r="K8" s="244"/>
      <c r="L8" s="244"/>
      <c r="M8" s="121">
        <f>+L8+'30'!M8+K8</f>
        <v>79695</v>
      </c>
      <c r="N8" s="421">
        <v>18</v>
      </c>
      <c r="O8" s="204">
        <v>1200</v>
      </c>
      <c r="P8" s="204">
        <v>930</v>
      </c>
      <c r="Q8" s="204">
        <v>744</v>
      </c>
      <c r="R8" s="422">
        <f>1-(Q8/P8)</f>
        <v>0.19999999999999996</v>
      </c>
      <c r="S8" s="423">
        <f>480-S7</f>
        <v>435</v>
      </c>
      <c r="T8" s="424">
        <v>256.5</v>
      </c>
      <c r="U8" s="425">
        <f>(O8*(1-R8)*N8*T8*S8)/100000000</f>
        <v>19.280591999999999</v>
      </c>
      <c r="V8" s="426"/>
      <c r="W8" s="428"/>
      <c r="AA8" s="153">
        <f t="shared" ref="AA8" si="2">+Z8-Z8*0.23</f>
        <v>0</v>
      </c>
      <c r="AC8" s="153">
        <f t="shared" si="0"/>
        <v>0</v>
      </c>
      <c r="AD8" s="153">
        <f t="shared" si="1"/>
        <v>0</v>
      </c>
    </row>
    <row r="9" spans="1:30" ht="13.5" thickBot="1">
      <c r="A9" s="770"/>
      <c r="B9" s="220"/>
      <c r="C9" s="221"/>
      <c r="D9" s="222"/>
      <c r="E9" s="225"/>
      <c r="F9" s="233">
        <f>26-9</f>
        <v>17</v>
      </c>
      <c r="G9" s="237" t="s">
        <v>11</v>
      </c>
      <c r="H9" s="238" t="s">
        <v>408</v>
      </c>
      <c r="I9" s="773"/>
      <c r="J9" s="219" t="str">
        <f>+'30'!J9</f>
        <v>T 19 VP OW</v>
      </c>
      <c r="K9" s="244"/>
      <c r="L9" s="244"/>
      <c r="M9" s="121">
        <f>+L9+'30'!M9+K9</f>
        <v>10916</v>
      </c>
      <c r="N9" s="429"/>
      <c r="AA9" s="153">
        <f t="shared" ref="AA9" si="3">+Z9-Z9*0.25</f>
        <v>0</v>
      </c>
      <c r="AC9" s="153">
        <f t="shared" si="0"/>
        <v>0</v>
      </c>
      <c r="AD9" s="153">
        <f t="shared" si="1"/>
        <v>0</v>
      </c>
    </row>
    <row r="10" spans="1:30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644</v>
      </c>
      <c r="I10" s="773"/>
      <c r="J10" s="219" t="str">
        <f>+'30'!J10</f>
        <v>F 15 VP OW</v>
      </c>
      <c r="K10" s="244"/>
      <c r="L10" s="244"/>
      <c r="M10" s="121">
        <f>+L10+'30'!M10+K10</f>
        <v>10380</v>
      </c>
      <c r="N10" s="429"/>
      <c r="AB10" s="153">
        <f>SUM(AB5:AB9)</f>
        <v>480</v>
      </c>
      <c r="AC10" s="153">
        <f>SUM(AC5:AC9)</f>
        <v>590400</v>
      </c>
      <c r="AD10" s="153">
        <f>SUM(AD5:AD9)</f>
        <v>454608</v>
      </c>
    </row>
    <row r="11" spans="1:30" ht="13.5" thickBot="1">
      <c r="A11" s="770"/>
      <c r="B11" s="220"/>
      <c r="C11" s="221"/>
      <c r="D11" s="222"/>
      <c r="E11" s="224"/>
      <c r="F11" s="233"/>
      <c r="G11" s="237"/>
      <c r="H11" s="238" t="s">
        <v>645</v>
      </c>
      <c r="I11" s="773"/>
      <c r="J11" s="219" t="str">
        <f>+'30'!J11</f>
        <v>F 13,5 VP OW</v>
      </c>
      <c r="K11" s="244"/>
      <c r="L11" s="244"/>
      <c r="M11" s="121">
        <f>+L11+'30'!M11+K11</f>
        <v>131921</v>
      </c>
      <c r="N11" s="429"/>
      <c r="Z11" s="153" t="s">
        <v>404</v>
      </c>
      <c r="AC11" s="153">
        <f>+AC10/AB10</f>
        <v>1230</v>
      </c>
      <c r="AD11" s="153">
        <f>+AD10/AB10</f>
        <v>947.1</v>
      </c>
    </row>
    <row r="12" spans="1:30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+'30'!J12</f>
        <v>F 13 VP OW</v>
      </c>
      <c r="K12" s="244">
        <f>++C26</f>
        <v>7444</v>
      </c>
      <c r="L12" s="244"/>
      <c r="M12" s="121">
        <f>+L12+'30'!M12+K12</f>
        <v>232028</v>
      </c>
      <c r="N12" s="429"/>
      <c r="AB12" s="153">
        <f>+Y12*AA12</f>
        <v>0</v>
      </c>
      <c r="AC12" s="153">
        <f>+Z12*AA12</f>
        <v>0</v>
      </c>
    </row>
    <row r="13" spans="1:30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+'30'!J13</f>
        <v>F 12 VP OW</v>
      </c>
      <c r="K13" s="244">
        <f>+C7+C17+C27</f>
        <v>15607</v>
      </c>
      <c r="L13" s="244"/>
      <c r="M13" s="121">
        <f>+L13+'30'!M13+K13</f>
        <v>365364</v>
      </c>
      <c r="N13" s="430"/>
      <c r="O13" s="431"/>
      <c r="P13" s="431"/>
      <c r="Q13" s="431"/>
      <c r="R13" s="431"/>
      <c r="S13" s="431"/>
      <c r="T13" s="431"/>
      <c r="U13" s="431"/>
      <c r="V13" s="431"/>
      <c r="W13" s="431"/>
    </row>
    <row r="14" spans="1:30" ht="13.5" thickBot="1">
      <c r="A14" s="771"/>
      <c r="B14" s="170" t="s">
        <v>2</v>
      </c>
      <c r="C14" s="103">
        <f>SUM(C7:C13)</f>
        <v>18053</v>
      </c>
      <c r="D14" s="115">
        <f>SUM(D7:D13)</f>
        <v>0</v>
      </c>
      <c r="E14" s="116">
        <f>SUM(E5:E13)</f>
        <v>0</v>
      </c>
      <c r="F14" s="120">
        <f>SUM(F7:F13)</f>
        <v>26</v>
      </c>
      <c r="G14" s="163"/>
      <c r="H14" s="171"/>
      <c r="I14" s="172"/>
      <c r="J14" s="219" t="str">
        <f>+'30'!J14</f>
        <v>F 12,5 VP OW</v>
      </c>
      <c r="K14" s="244">
        <f>+C8+C16+C25</f>
        <v>20738</v>
      </c>
      <c r="L14" s="244"/>
      <c r="M14" s="121">
        <f>+L14+'30'!M14+K14</f>
        <v>42916</v>
      </c>
      <c r="AA14" s="153">
        <f>+Z14-Z14*0.23</f>
        <v>0</v>
      </c>
      <c r="AC14" s="153">
        <f t="shared" ref="AC14:AC17" si="4">+Z14*AB14</f>
        <v>0</v>
      </c>
      <c r="AD14" s="153">
        <f t="shared" ref="AD14:AD17" si="5">+AA14*AB14</f>
        <v>0</v>
      </c>
    </row>
    <row r="15" spans="1:30" ht="13.5" customHeight="1" thickBot="1">
      <c r="A15" s="769"/>
      <c r="B15" s="170"/>
      <c r="C15" s="117">
        <f>C14/($C$23+$D$23+$E$23)</f>
        <v>1.7250836120401338</v>
      </c>
      <c r="D15" s="118">
        <f>D14/($C$23+$D$23+$E$23)</f>
        <v>0</v>
      </c>
      <c r="E15" s="119">
        <f>E14/($C$23+$D$23+$E$23)</f>
        <v>0</v>
      </c>
      <c r="F15" s="233">
        <v>6</v>
      </c>
      <c r="G15" s="234" t="s">
        <v>11</v>
      </c>
      <c r="H15" s="235" t="s">
        <v>407</v>
      </c>
      <c r="I15" s="772" t="s">
        <v>405</v>
      </c>
      <c r="J15" s="219">
        <f>+'30'!J15</f>
        <v>0</v>
      </c>
      <c r="K15" s="244"/>
      <c r="L15" s="244"/>
      <c r="M15" s="121">
        <f>+L15+'30'!M15+K15</f>
        <v>0</v>
      </c>
      <c r="N15" s="421">
        <v>18</v>
      </c>
      <c r="O15" s="204">
        <v>1200</v>
      </c>
      <c r="P15" s="204">
        <v>850</v>
      </c>
      <c r="Q15" s="204">
        <v>680</v>
      </c>
      <c r="R15" s="422">
        <f>1-(Q15/P15)</f>
        <v>0.19999999999999996</v>
      </c>
      <c r="S15" s="423">
        <v>480</v>
      </c>
      <c r="T15" s="424">
        <v>256.5</v>
      </c>
      <c r="U15" s="425">
        <f>(O15*(1-R15)*N15*T15*S15)/100000000</f>
        <v>21.275136</v>
      </c>
      <c r="V15" s="426">
        <f>+C23/1000</f>
        <v>10.255000000000001</v>
      </c>
      <c r="W15" s="427">
        <f>SUM(V15:V17)/SUM(U15:U17)</f>
        <v>0.48201807029576688</v>
      </c>
      <c r="Y15" s="153" t="s">
        <v>552</v>
      </c>
      <c r="Z15" s="153">
        <v>1230</v>
      </c>
      <c r="AA15" s="153">
        <f>+Z15-Z15*0.23</f>
        <v>947.09999999999991</v>
      </c>
      <c r="AB15" s="153">
        <f>480-AB14</f>
        <v>480</v>
      </c>
      <c r="AC15" s="153">
        <f t="shared" si="4"/>
        <v>590400</v>
      </c>
      <c r="AD15" s="153">
        <f t="shared" si="5"/>
        <v>454607.99999999994</v>
      </c>
    </row>
    <row r="16" spans="1:30" ht="13.5" thickBot="1">
      <c r="A16" s="775"/>
      <c r="B16" s="220" t="s">
        <v>555</v>
      </c>
      <c r="C16" s="227">
        <f>4598+5376</f>
        <v>9974</v>
      </c>
      <c r="D16" s="228">
        <v>210</v>
      </c>
      <c r="E16" s="229"/>
      <c r="F16" s="233"/>
      <c r="G16" s="237" t="s">
        <v>11</v>
      </c>
      <c r="H16" s="235" t="s">
        <v>286</v>
      </c>
      <c r="I16" s="773"/>
      <c r="J16" s="219">
        <f>+'30'!J16</f>
        <v>0</v>
      </c>
      <c r="K16" s="234"/>
      <c r="L16" s="234"/>
      <c r="M16" s="121">
        <f>+L16+'30'!M16+K16</f>
        <v>0</v>
      </c>
      <c r="N16" s="432"/>
      <c r="O16" s="204"/>
      <c r="P16" s="204"/>
      <c r="Q16" s="433"/>
      <c r="R16" s="422"/>
      <c r="S16" s="204"/>
      <c r="T16" s="424"/>
      <c r="U16" s="425"/>
      <c r="V16" s="426"/>
      <c r="W16" s="428"/>
      <c r="AA16" s="153">
        <f t="shared" ref="AA16" si="6">+Z16-Z16*0.23</f>
        <v>0</v>
      </c>
      <c r="AC16" s="153">
        <f t="shared" si="4"/>
        <v>0</v>
      </c>
      <c r="AD16" s="153">
        <f t="shared" si="5"/>
        <v>0</v>
      </c>
    </row>
    <row r="17" spans="1:30" ht="13.5" thickBot="1">
      <c r="A17" s="775"/>
      <c r="B17" s="220" t="s">
        <v>521</v>
      </c>
      <c r="C17" s="221">
        <v>281</v>
      </c>
      <c r="D17" s="222"/>
      <c r="E17" s="230"/>
      <c r="F17" s="233">
        <f>24-6</f>
        <v>18</v>
      </c>
      <c r="G17" s="237" t="s">
        <v>11</v>
      </c>
      <c r="H17" s="238" t="s">
        <v>408</v>
      </c>
      <c r="I17" s="773"/>
      <c r="J17" s="219">
        <f>+'30'!J17</f>
        <v>0</v>
      </c>
      <c r="K17" s="234"/>
      <c r="L17" s="234"/>
      <c r="M17" s="121">
        <f>+L17+'30'!M17+K17</f>
        <v>0</v>
      </c>
      <c r="N17" s="429"/>
      <c r="O17" s="204"/>
      <c r="R17" s="422"/>
      <c r="T17" s="424"/>
      <c r="U17" s="425"/>
      <c r="AA17" s="153">
        <f t="shared" ref="AA17" si="7">+Z17-Z17*0.25</f>
        <v>0</v>
      </c>
      <c r="AC17" s="153">
        <f t="shared" si="4"/>
        <v>0</v>
      </c>
      <c r="AD17" s="153">
        <f t="shared" si="5"/>
        <v>0</v>
      </c>
    </row>
    <row r="18" spans="1:30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641</v>
      </c>
      <c r="I18" s="773"/>
      <c r="J18" s="219">
        <f>+'30'!J18</f>
        <v>0</v>
      </c>
      <c r="K18" s="244"/>
      <c r="L18" s="244"/>
      <c r="M18" s="121">
        <f>+L18+'30'!M18+K18</f>
        <v>0</v>
      </c>
      <c r="N18" s="429"/>
      <c r="AB18" s="153">
        <f>SUM(AB13:AB17)</f>
        <v>480</v>
      </c>
      <c r="AC18" s="153">
        <f>SUM(AC13:AC17)</f>
        <v>590400</v>
      </c>
      <c r="AD18" s="153">
        <f>SUM(AD13:AD17)</f>
        <v>454607.99999999994</v>
      </c>
    </row>
    <row r="19" spans="1:30" ht="13.5" thickBot="1">
      <c r="A19" s="775"/>
      <c r="B19" s="220"/>
      <c r="C19" s="221"/>
      <c r="D19" s="222"/>
      <c r="E19" s="230"/>
      <c r="F19" s="240"/>
      <c r="G19" s="237"/>
      <c r="H19" s="238" t="s">
        <v>643</v>
      </c>
      <c r="I19" s="773"/>
      <c r="J19" s="219">
        <f>+'30'!J19</f>
        <v>0</v>
      </c>
      <c r="K19" s="244"/>
      <c r="L19" s="244"/>
      <c r="M19" s="121">
        <f>+L19+'30'!M19+K19</f>
        <v>0</v>
      </c>
      <c r="N19" s="429"/>
      <c r="Z19" s="153" t="s">
        <v>404</v>
      </c>
      <c r="AC19" s="153">
        <f>+AC18/AB18</f>
        <v>1230</v>
      </c>
      <c r="AD19" s="153">
        <f>+AD18/AB18</f>
        <v>947.09999999999991</v>
      </c>
    </row>
    <row r="20" spans="1:30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+'30'!J20</f>
        <v>0</v>
      </c>
      <c r="K20" s="245"/>
      <c r="L20" s="245"/>
      <c r="M20" s="121">
        <f>+L20+'30'!M20+K20</f>
        <v>0</v>
      </c>
      <c r="N20" s="429"/>
      <c r="AB20" s="153">
        <f>+Y20*AA20</f>
        <v>0</v>
      </c>
      <c r="AC20" s="153">
        <f>+Z20*AA20</f>
        <v>0</v>
      </c>
    </row>
    <row r="21" spans="1:30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+'30'!J21</f>
        <v>0</v>
      </c>
      <c r="K21" s="244"/>
      <c r="L21" s="244"/>
      <c r="M21" s="121">
        <f>+L21+'30'!M21+K21</f>
        <v>0</v>
      </c>
      <c r="N21" s="430"/>
      <c r="O21" s="431"/>
      <c r="P21" s="431"/>
      <c r="Q21" s="431"/>
      <c r="R21" s="431"/>
      <c r="S21" s="431"/>
      <c r="T21" s="431"/>
      <c r="U21" s="431"/>
      <c r="V21" s="431"/>
      <c r="W21" s="431"/>
    </row>
    <row r="22" spans="1:30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+'30'!J22</f>
        <v>0</v>
      </c>
      <c r="K22" s="244"/>
      <c r="L22" s="244"/>
      <c r="M22" s="121">
        <f>+L22+'30'!M22+K22</f>
        <v>0</v>
      </c>
    </row>
    <row r="23" spans="1:30" ht="13.5" thickBot="1">
      <c r="A23" s="776"/>
      <c r="B23" s="173" t="s">
        <v>2</v>
      </c>
      <c r="C23" s="104">
        <f>SUM(C16:C22)</f>
        <v>10255</v>
      </c>
      <c r="D23" s="115">
        <f>SUM(D16:D22)</f>
        <v>210</v>
      </c>
      <c r="E23" s="116">
        <f>SUM(E18:E22)</f>
        <v>0</v>
      </c>
      <c r="F23" s="120">
        <f>SUM(F15:F22)</f>
        <v>24</v>
      </c>
      <c r="G23" s="163"/>
      <c r="H23" s="171"/>
      <c r="I23" s="174"/>
      <c r="J23" s="219">
        <f>+'30'!J23</f>
        <v>0</v>
      </c>
      <c r="K23" s="244"/>
      <c r="L23" s="244"/>
      <c r="M23" s="121">
        <f>+L23+'30'!M23+K23</f>
        <v>0</v>
      </c>
      <c r="N23" s="434"/>
      <c r="O23" s="435"/>
      <c r="P23" s="435"/>
      <c r="Q23" s="435"/>
      <c r="R23" s="435"/>
      <c r="S23" s="435"/>
      <c r="T23" s="435"/>
      <c r="U23" s="435"/>
      <c r="V23" s="435"/>
      <c r="W23" s="435"/>
    </row>
    <row r="24" spans="1:30" ht="13.5" customHeight="1" thickBot="1">
      <c r="A24" s="769"/>
      <c r="B24" s="175"/>
      <c r="C24" s="117">
        <f>C23/($C$23+$D$23+$E$23)</f>
        <v>0.97993311036789299</v>
      </c>
      <c r="D24" s="118">
        <f>D23/($C$23+$D$23+$E$23)</f>
        <v>2.0066889632107024E-2</v>
      </c>
      <c r="E24" s="119">
        <f>E23/($C$23+$D$23+$E$23)</f>
        <v>0</v>
      </c>
      <c r="F24" s="241">
        <v>6</v>
      </c>
      <c r="G24" s="234" t="s">
        <v>11</v>
      </c>
      <c r="H24" s="235" t="s">
        <v>407</v>
      </c>
      <c r="I24" s="772" t="s">
        <v>405</v>
      </c>
      <c r="J24" s="219">
        <f>+'30'!J24</f>
        <v>0</v>
      </c>
      <c r="K24" s="244"/>
      <c r="L24" s="244"/>
      <c r="M24" s="121">
        <f>+L24+'30'!M24+K24</f>
        <v>0</v>
      </c>
      <c r="N24" s="421">
        <v>18</v>
      </c>
      <c r="O24" s="204">
        <v>1200</v>
      </c>
      <c r="P24" s="204">
        <v>770</v>
      </c>
      <c r="Q24" s="204">
        <v>616</v>
      </c>
      <c r="R24" s="422">
        <f>1-(Q24/P24)</f>
        <v>0.19999999999999996</v>
      </c>
      <c r="S24" s="423">
        <v>480</v>
      </c>
      <c r="T24" s="424">
        <v>256.5</v>
      </c>
      <c r="U24" s="425">
        <f>(O24*(1-R24)*N24*T24*S24)/100000000</f>
        <v>21.275136</v>
      </c>
      <c r="V24" s="426">
        <f>+C32/1000</f>
        <v>15.481</v>
      </c>
      <c r="W24" s="427">
        <f>SUM(V24:V25)/SUM(U24:U25)</f>
        <v>0.72765692308617913</v>
      </c>
      <c r="Y24" s="153" t="s">
        <v>552</v>
      </c>
      <c r="Z24" s="153">
        <v>1230</v>
      </c>
      <c r="AA24" s="153">
        <f>+Z24-Z24*0.23</f>
        <v>947.09999999999991</v>
      </c>
      <c r="AB24" s="153">
        <v>60</v>
      </c>
      <c r="AC24" s="153">
        <f t="shared" ref="AC24:AC26" si="8">+Z24*AB24</f>
        <v>73800</v>
      </c>
      <c r="AD24" s="153">
        <f t="shared" ref="AD24:AD26" si="9">+AA24*AB24</f>
        <v>56825.999999999993</v>
      </c>
    </row>
    <row r="25" spans="1:30" ht="13.5" thickBot="1">
      <c r="A25" s="775"/>
      <c r="B25" s="220" t="s">
        <v>555</v>
      </c>
      <c r="C25" s="231">
        <f>3439+4312</f>
        <v>7751</v>
      </c>
      <c r="D25" s="222">
        <v>500</v>
      </c>
      <c r="E25" s="230"/>
      <c r="F25" s="236"/>
      <c r="G25" s="237" t="s">
        <v>11</v>
      </c>
      <c r="H25" s="235" t="s">
        <v>286</v>
      </c>
      <c r="I25" s="773"/>
      <c r="J25" s="219">
        <f>+'30'!J25</f>
        <v>0</v>
      </c>
      <c r="K25" s="244"/>
      <c r="L25" s="244"/>
      <c r="M25" s="121">
        <f>+L25+'30'!M25+K25</f>
        <v>0</v>
      </c>
      <c r="N25" s="421"/>
      <c r="O25" s="204"/>
      <c r="P25" s="204"/>
      <c r="Q25" s="204"/>
      <c r="R25" s="422"/>
      <c r="S25" s="423"/>
      <c r="T25" s="424"/>
      <c r="U25" s="425"/>
      <c r="V25" s="426"/>
      <c r="W25" s="427"/>
      <c r="Y25" s="153" t="s">
        <v>503</v>
      </c>
      <c r="Z25" s="153">
        <v>1230</v>
      </c>
      <c r="AA25" s="153">
        <f t="shared" ref="AA25:AA26" si="10">+Z25-Z25*0.23</f>
        <v>947.09999999999991</v>
      </c>
      <c r="AB25" s="153">
        <f>480-AB24-AB26</f>
        <v>385</v>
      </c>
      <c r="AC25" s="153">
        <f t="shared" si="8"/>
        <v>473550</v>
      </c>
      <c r="AD25" s="153">
        <f t="shared" si="9"/>
        <v>364633.49999999994</v>
      </c>
    </row>
    <row r="26" spans="1:30" ht="13.5" thickBot="1">
      <c r="A26" s="775"/>
      <c r="B26" s="220" t="s">
        <v>520</v>
      </c>
      <c r="C26" s="231">
        <f>3474+3970</f>
        <v>7444</v>
      </c>
      <c r="D26" s="222"/>
      <c r="E26" s="232"/>
      <c r="F26" s="236">
        <f>24-8</f>
        <v>16</v>
      </c>
      <c r="G26" s="237" t="s">
        <v>11</v>
      </c>
      <c r="H26" s="238" t="s">
        <v>389</v>
      </c>
      <c r="I26" s="773"/>
      <c r="J26" s="219">
        <f>+'30'!J26</f>
        <v>0</v>
      </c>
      <c r="K26" s="244"/>
      <c r="L26" s="244"/>
      <c r="M26" s="121">
        <f>+L26+'30'!M26+K26</f>
        <v>0</v>
      </c>
      <c r="Y26" s="153" t="s">
        <v>390</v>
      </c>
      <c r="Z26" s="153">
        <v>1230</v>
      </c>
      <c r="AA26" s="153">
        <f t="shared" si="10"/>
        <v>947.09999999999991</v>
      </c>
      <c r="AB26" s="153">
        <f>60-25</f>
        <v>35</v>
      </c>
      <c r="AC26" s="153">
        <f t="shared" si="8"/>
        <v>43050</v>
      </c>
      <c r="AD26" s="153">
        <f t="shared" si="9"/>
        <v>33148.5</v>
      </c>
    </row>
    <row r="27" spans="1:30" ht="26.25" thickBot="1">
      <c r="A27" s="775"/>
      <c r="B27" s="220" t="s">
        <v>521</v>
      </c>
      <c r="C27" s="221">
        <v>286</v>
      </c>
      <c r="D27" s="222"/>
      <c r="E27" s="230"/>
      <c r="F27" s="236"/>
      <c r="G27" s="242" t="s">
        <v>12</v>
      </c>
      <c r="H27" s="238" t="s">
        <v>641</v>
      </c>
      <c r="I27" s="773"/>
      <c r="J27" s="219">
        <f>+'30'!J27</f>
        <v>0</v>
      </c>
      <c r="K27" s="244"/>
      <c r="L27" s="244"/>
      <c r="M27" s="121">
        <f>+L27+'30'!M27+K27</f>
        <v>0</v>
      </c>
      <c r="AB27" s="153">
        <f>SUM(AB22:AB26)</f>
        <v>480</v>
      </c>
      <c r="AC27" s="153">
        <f>SUM(AC22:AC26)</f>
        <v>590400</v>
      </c>
      <c r="AD27" s="153">
        <f>SUM(AD22:AD26)</f>
        <v>454607.99999999994</v>
      </c>
    </row>
    <row r="28" spans="1:30" ht="51.75" thickBot="1">
      <c r="A28" s="775"/>
      <c r="B28" s="220"/>
      <c r="C28" s="221"/>
      <c r="D28" s="222"/>
      <c r="E28" s="230"/>
      <c r="F28" s="236"/>
      <c r="G28" s="237"/>
      <c r="H28" s="238" t="s">
        <v>642</v>
      </c>
      <c r="I28" s="773"/>
      <c r="J28" s="219">
        <f>+'30'!J28</f>
        <v>0</v>
      </c>
      <c r="K28" s="244"/>
      <c r="L28" s="244"/>
      <c r="M28" s="121">
        <f>+L28+'30'!M28+K28</f>
        <v>0</v>
      </c>
      <c r="Z28" s="153" t="s">
        <v>404</v>
      </c>
      <c r="AC28" s="153">
        <f>+AC27/AB27</f>
        <v>1230</v>
      </c>
      <c r="AD28" s="153">
        <f>+AD27/AB27</f>
        <v>947.09999999999991</v>
      </c>
    </row>
    <row r="29" spans="1:30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+'30'!J29</f>
        <v>0</v>
      </c>
      <c r="K29" s="244"/>
      <c r="L29" s="244"/>
      <c r="M29" s="121">
        <f>+L29+'30'!M29+K29</f>
        <v>0</v>
      </c>
      <c r="AB29" s="153">
        <f>+Y29*AA29</f>
        <v>0</v>
      </c>
      <c r="AC29" s="153">
        <f>+Z29*AA29</f>
        <v>0</v>
      </c>
    </row>
    <row r="30" spans="1:30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+'30'!J30</f>
        <v>0</v>
      </c>
      <c r="K30" s="244"/>
      <c r="L30" s="244"/>
      <c r="M30" s="121">
        <f>+L30+'30'!M30+K30</f>
        <v>0</v>
      </c>
      <c r="N30" s="159"/>
    </row>
    <row r="31" spans="1:30" ht="13.5" thickBot="1">
      <c r="A31" s="775"/>
      <c r="B31" s="220"/>
      <c r="C31" s="231"/>
      <c r="D31" s="222"/>
      <c r="E31" s="230"/>
      <c r="F31" s="241"/>
      <c r="G31" s="242"/>
      <c r="H31" s="239"/>
      <c r="I31" s="774"/>
      <c r="J31" s="219">
        <f>+'30'!J31</f>
        <v>0</v>
      </c>
      <c r="K31" s="244"/>
      <c r="L31" s="244"/>
      <c r="M31" s="121">
        <f>+L31+'30'!M31+K31</f>
        <v>0</v>
      </c>
      <c r="Y31" s="153" t="s">
        <v>390</v>
      </c>
      <c r="Z31" s="153">
        <v>1230</v>
      </c>
      <c r="AA31" s="153">
        <v>947.09999999999991</v>
      </c>
      <c r="AB31" s="153">
        <f>180+35</f>
        <v>215</v>
      </c>
    </row>
    <row r="32" spans="1:30" ht="13.5" thickBot="1">
      <c r="A32" s="776"/>
      <c r="B32" s="170" t="s">
        <v>2</v>
      </c>
      <c r="C32" s="103">
        <f>SUM(C25:C31)</f>
        <v>15481</v>
      </c>
      <c r="D32" s="104">
        <f>SUM(D25:D31)</f>
        <v>500</v>
      </c>
      <c r="E32" s="105">
        <f>SUM(E25:E31)</f>
        <v>0</v>
      </c>
      <c r="F32" s="106">
        <f>SUM(F24:F31)</f>
        <v>22</v>
      </c>
      <c r="G32" s="176"/>
      <c r="H32" s="177"/>
      <c r="I32" s="174"/>
      <c r="J32" s="219">
        <f>+'30'!J32</f>
        <v>0</v>
      </c>
      <c r="K32" s="246"/>
      <c r="L32" s="248"/>
      <c r="M32" s="121">
        <f>+L32+'30'!M32+K32</f>
        <v>0</v>
      </c>
      <c r="Y32" s="153" t="s">
        <v>552</v>
      </c>
      <c r="Z32" s="153">
        <v>1230</v>
      </c>
      <c r="AA32" s="153">
        <v>947.09999999999991</v>
      </c>
      <c r="AB32" s="153">
        <f>300+480+60</f>
        <v>840</v>
      </c>
    </row>
    <row r="33" spans="1:28" ht="13.5" thickBot="1">
      <c r="A33" s="178"/>
      <c r="B33" s="179"/>
      <c r="C33" s="107">
        <f>C32/($C$32+$D$32+$E$32)</f>
        <v>0.96871284650522493</v>
      </c>
      <c r="D33" s="108">
        <f>D32/($C$32+$D$32+$E$32)</f>
        <v>3.1287153494775045E-2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Y33" s="153" t="s">
        <v>503</v>
      </c>
      <c r="Z33" s="153">
        <v>1230</v>
      </c>
      <c r="AA33" s="153">
        <v>947.09999999999991</v>
      </c>
      <c r="AB33" s="153">
        <v>385</v>
      </c>
    </row>
    <row r="34" spans="1:28" ht="13.5" thickBot="1">
      <c r="A34" s="765" t="s">
        <v>56</v>
      </c>
      <c r="B34" s="766"/>
      <c r="C34" s="111">
        <f>C14+C23+C32</f>
        <v>43789</v>
      </c>
      <c r="D34" s="111">
        <f>D14+D23+D32</f>
        <v>710</v>
      </c>
      <c r="E34" s="111">
        <f>E14+E23+E32</f>
        <v>0</v>
      </c>
      <c r="F34" s="112">
        <f>F14+F23+F32</f>
        <v>72</v>
      </c>
      <c r="H34" s="183"/>
      <c r="I34" s="183"/>
      <c r="J34" s="127" t="s">
        <v>27</v>
      </c>
      <c r="K34" s="128">
        <f>SUM(K7:K32)</f>
        <v>43789</v>
      </c>
      <c r="L34" s="217">
        <f>SUM(L7:L32)</f>
        <v>0</v>
      </c>
      <c r="M34" s="124">
        <f>SUM(M7:M32)</f>
        <v>1304522</v>
      </c>
      <c r="N34" s="159"/>
      <c r="AB34" s="153">
        <f>+AB31+AB32+AB33</f>
        <v>1440</v>
      </c>
    </row>
    <row r="35" spans="1:28" ht="13.5" thickBot="1">
      <c r="A35" s="184"/>
      <c r="B35" s="185"/>
      <c r="C35" s="108">
        <f>C34/($C$34+$D$34+$E$34)</f>
        <v>0.98404458527157912</v>
      </c>
      <c r="D35" s="108">
        <f>D34/($C$34+$D$34+$E$34)</f>
        <v>1.5955414728420863E-2</v>
      </c>
      <c r="E35" s="113">
        <f>E34/($C$34+$D$34+$E$34)</f>
        <v>0</v>
      </c>
      <c r="K35" s="159"/>
    </row>
    <row r="36" spans="1:28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28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(12*215+12.5*840+13*385)/1440*G42*2.74*1440/1000000</f>
        <v>46.931551589999998</v>
      </c>
      <c r="J37" s="129">
        <f>+I37+'30'!J37</f>
        <v>1468.2395197504047</v>
      </c>
      <c r="K37" s="130" t="s">
        <v>62</v>
      </c>
    </row>
    <row r="38" spans="1:28" ht="17.45" customHeight="1">
      <c r="A38" s="759" t="s">
        <v>11</v>
      </c>
      <c r="B38" s="760"/>
      <c r="C38" s="168">
        <f>SUMIF($G$7:$G$31,"Process",$F$7:$F$31)</f>
        <v>72</v>
      </c>
      <c r="D38" s="122">
        <f>+C38+'30'!D38</f>
        <v>2211</v>
      </c>
      <c r="E38" s="147">
        <f t="shared" ref="E38:E51" si="11">D38/60</f>
        <v>36.85</v>
      </c>
      <c r="F38" s="327">
        <v>1230</v>
      </c>
      <c r="G38" s="327">
        <v>947.09999999999991</v>
      </c>
      <c r="H38" s="192" t="s">
        <v>63</v>
      </c>
      <c r="I38" s="250">
        <f>5.714+8.1+14.279+2.802+11.902</f>
        <v>42.796999999999997</v>
      </c>
      <c r="J38" s="131">
        <f>+I38+'30'!J38</f>
        <v>1345.0509999999999</v>
      </c>
      <c r="K38" s="132" t="s">
        <v>62</v>
      </c>
    </row>
    <row r="39" spans="1:28" ht="17.45" customHeight="1">
      <c r="A39" s="763" t="s">
        <v>12</v>
      </c>
      <c r="B39" s="764"/>
      <c r="C39" s="168">
        <f>SUMIF($G$7:$G$31,"Cleaning",$F$7:$F$31)</f>
        <v>0</v>
      </c>
      <c r="D39" s="122">
        <f>+C39+'30'!D39</f>
        <v>0</v>
      </c>
      <c r="E39" s="147">
        <f t="shared" si="11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47.362565153238862</v>
      </c>
      <c r="K39" s="134" t="s">
        <v>62</v>
      </c>
    </row>
    <row r="40" spans="1:28" ht="17.45" customHeight="1">
      <c r="A40" s="763" t="s">
        <v>65</v>
      </c>
      <c r="B40" s="764"/>
      <c r="C40" s="168">
        <f>SUMIF($G$7:$G$31,"Mechanical",$F$7:$F$31)</f>
        <v>0</v>
      </c>
      <c r="D40" s="122">
        <f>+C40+'30'!D40</f>
        <v>414</v>
      </c>
      <c r="E40" s="147">
        <f t="shared" si="11"/>
        <v>6.9</v>
      </c>
      <c r="F40" s="327">
        <v>1230</v>
      </c>
      <c r="G40" s="327">
        <v>947.09999999999991</v>
      </c>
      <c r="H40" s="192" t="s">
        <v>66</v>
      </c>
      <c r="I40" s="122">
        <f>(K34+L34)/1000</f>
        <v>43.789000000000001</v>
      </c>
      <c r="J40" s="135">
        <f>+I40+'30'!J40</f>
        <v>1304.5220000000002</v>
      </c>
      <c r="K40" s="134" t="s">
        <v>62</v>
      </c>
    </row>
    <row r="41" spans="1:28" ht="17.45" customHeight="1">
      <c r="A41" s="763" t="s">
        <v>67</v>
      </c>
      <c r="B41" s="764"/>
      <c r="C41" s="168">
        <f>SUMIF($G$7:$G$31,"Electrical",$F$7:$F$31)</f>
        <v>0</v>
      </c>
      <c r="D41" s="122">
        <f>+C41+'30'!D41</f>
        <v>60</v>
      </c>
      <c r="E41" s="147">
        <f t="shared" si="11"/>
        <v>1</v>
      </c>
      <c r="F41" s="327"/>
      <c r="G41" s="327"/>
      <c r="H41" s="192" t="s">
        <v>68</v>
      </c>
      <c r="I41" s="146"/>
      <c r="J41" s="133">
        <f>J40/G4</f>
        <v>42.081354838709686</v>
      </c>
      <c r="K41" s="134" t="s">
        <v>62</v>
      </c>
    </row>
    <row r="42" spans="1:28" ht="17.45" customHeight="1">
      <c r="A42" s="763" t="s">
        <v>15</v>
      </c>
      <c r="B42" s="764"/>
      <c r="C42" s="168">
        <f>SUMIF($G$7:$G$31,"Instrument",$F$7:$F$31)</f>
        <v>0</v>
      </c>
      <c r="D42" s="122">
        <f>+C42+'30'!D42</f>
        <v>0</v>
      </c>
      <c r="E42" s="147">
        <f t="shared" si="11"/>
        <v>0</v>
      </c>
      <c r="F42" s="327">
        <f>+(F38*480+F39*480+F40*480)/1440</f>
        <v>1230</v>
      </c>
      <c r="G42" s="327">
        <f>+(G38*480+G39*480+G40*480)/1440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28" ht="17.45" customHeight="1">
      <c r="A43" s="763" t="s">
        <v>71</v>
      </c>
      <c r="B43" s="764"/>
      <c r="C43" s="168">
        <f>SUMIF($G$7:$G$31,"Water",$F$7:$F$31)</f>
        <v>0</v>
      </c>
      <c r="D43" s="122">
        <f>+C43+'30'!D43</f>
        <v>0</v>
      </c>
      <c r="E43" s="147">
        <f t="shared" si="11"/>
        <v>0</v>
      </c>
      <c r="F43" s="327"/>
      <c r="G43" s="328"/>
      <c r="H43" s="193" t="s">
        <v>72</v>
      </c>
      <c r="I43" s="122">
        <f>+Report1!Z39</f>
        <v>57.9</v>
      </c>
      <c r="J43" s="137">
        <f>+I43+'30'!J43</f>
        <v>1774.4</v>
      </c>
      <c r="K43" s="134" t="s">
        <v>62</v>
      </c>
      <c r="L43" s="194"/>
    </row>
    <row r="44" spans="1:28" ht="17.45" customHeight="1">
      <c r="A44" s="763" t="s">
        <v>16</v>
      </c>
      <c r="B44" s="764"/>
      <c r="C44" s="168">
        <f>SUMIF($G$7:$G$31,"PLN",$F$7:$F$31)</f>
        <v>0</v>
      </c>
      <c r="D44" s="122">
        <f>+C44+'30'!D44</f>
        <v>0</v>
      </c>
      <c r="E44" s="147">
        <f t="shared" si="11"/>
        <v>0</v>
      </c>
      <c r="F44" s="327"/>
      <c r="G44" s="328"/>
      <c r="H44" s="193" t="s">
        <v>73</v>
      </c>
      <c r="I44" s="122">
        <f>I43/I38</f>
        <v>1.3528985676566114</v>
      </c>
      <c r="J44" s="138">
        <f>J43/J38</f>
        <v>1.3192064836203239</v>
      </c>
      <c r="K44" s="134" t="s">
        <v>62</v>
      </c>
    </row>
    <row r="45" spans="1:28" ht="17.45" customHeight="1">
      <c r="A45" s="763" t="s">
        <v>17</v>
      </c>
      <c r="B45" s="764"/>
      <c r="C45" s="168">
        <f>SUMIF($G$7:$G$31,"Boiler",$F$7:$F$31)</f>
        <v>0</v>
      </c>
      <c r="D45" s="122">
        <f>+C45+'30'!D45</f>
        <v>0</v>
      </c>
      <c r="E45" s="147">
        <f t="shared" si="11"/>
        <v>0</v>
      </c>
      <c r="F45" s="327"/>
      <c r="G45" s="330"/>
      <c r="H45" s="193" t="s">
        <v>74</v>
      </c>
      <c r="I45" s="122">
        <f>I43/I40</f>
        <v>1.3222498801068761</v>
      </c>
      <c r="J45" s="138">
        <f>J43/J40</f>
        <v>1.3601917024013392</v>
      </c>
      <c r="K45" s="134" t="s">
        <v>62</v>
      </c>
    </row>
    <row r="46" spans="1:28" ht="17.45" customHeight="1">
      <c r="A46" s="763" t="s">
        <v>75</v>
      </c>
      <c r="B46" s="764"/>
      <c r="C46" s="168">
        <f>SUMIF($G$7:$G$31,"Gas",$F$7:$F$31)</f>
        <v>0</v>
      </c>
      <c r="D46" s="122">
        <f>+C46+'30'!D46</f>
        <v>0</v>
      </c>
      <c r="E46" s="147">
        <f t="shared" si="11"/>
        <v>0</v>
      </c>
      <c r="F46" s="327"/>
      <c r="G46" s="328"/>
      <c r="H46" s="193" t="s">
        <v>76</v>
      </c>
      <c r="I46" s="144">
        <f>+SUMIF(Listrik!P38,"&gt;0")</f>
        <v>33193.14</v>
      </c>
      <c r="J46" s="139">
        <f>+I46+'30'!J46</f>
        <v>1132318.42</v>
      </c>
      <c r="K46" s="134" t="s">
        <v>77</v>
      </c>
    </row>
    <row r="47" spans="1:28" ht="17.45" customHeight="1">
      <c r="A47" s="763" t="s">
        <v>78</v>
      </c>
      <c r="B47" s="764"/>
      <c r="C47" s="168">
        <f>SUMIF($G$7:$G$31,"Gas",$F$7:$F$31)</f>
        <v>0</v>
      </c>
      <c r="D47" s="122">
        <f>+C47+'30'!D47</f>
        <v>0</v>
      </c>
      <c r="E47" s="147">
        <f t="shared" si="11"/>
        <v>0</v>
      </c>
      <c r="F47" s="327"/>
      <c r="G47" s="328"/>
      <c r="H47" s="193" t="s">
        <v>79</v>
      </c>
      <c r="I47" s="122">
        <f>I46/I38</f>
        <v>775.59501834240723</v>
      </c>
      <c r="J47" s="139">
        <f>J46/J38</f>
        <v>841.84051013679039</v>
      </c>
      <c r="K47" s="134" t="s">
        <v>23</v>
      </c>
    </row>
    <row r="48" spans="1:28" ht="17.45" customHeight="1">
      <c r="A48" s="763" t="s">
        <v>13</v>
      </c>
      <c r="B48" s="764"/>
      <c r="C48" s="168">
        <f>SUMIF($G$7:$G$31,"Start Up",$F$7:$F$31)</f>
        <v>0</v>
      </c>
      <c r="D48" s="122">
        <f>+C48+'30'!D48</f>
        <v>0</v>
      </c>
      <c r="E48" s="147">
        <f t="shared" si="11"/>
        <v>0</v>
      </c>
      <c r="F48" s="327"/>
      <c r="G48" s="328"/>
      <c r="H48" s="193" t="s">
        <v>80</v>
      </c>
      <c r="I48" s="122">
        <f>I46/I40</f>
        <v>758.02461805476253</v>
      </c>
      <c r="J48" s="139">
        <f>J46/J40</f>
        <v>867.9948824167011</v>
      </c>
      <c r="K48" s="134" t="s">
        <v>23</v>
      </c>
    </row>
    <row r="49" spans="1:23" ht="17.45" customHeight="1">
      <c r="A49" s="763" t="s">
        <v>19</v>
      </c>
      <c r="B49" s="764"/>
      <c r="C49" s="168">
        <f>SUMIF($G$7:$G$31,"Others",$F$7:$F$31)</f>
        <v>0</v>
      </c>
      <c r="D49" s="122">
        <f>+C49+'30'!D49</f>
        <v>0</v>
      </c>
      <c r="E49" s="147">
        <f t="shared" si="11"/>
        <v>0</v>
      </c>
      <c r="F49" s="190"/>
      <c r="H49" s="193" t="s">
        <v>271</v>
      </c>
      <c r="I49" s="122">
        <f>+Report1!T39</f>
        <v>3692.8376189799692</v>
      </c>
      <c r="J49" s="139">
        <f>+I49+'30'!J49</f>
        <v>122217.94346507499</v>
      </c>
      <c r="K49" s="134" t="s">
        <v>81</v>
      </c>
    </row>
    <row r="50" spans="1:23" ht="17.45" customHeight="1">
      <c r="A50" s="763" t="s">
        <v>18</v>
      </c>
      <c r="B50" s="764"/>
      <c r="C50" s="168">
        <f>SUMIF($G$7:$G$31,"Steam",$F$7:$F$31)</f>
        <v>0</v>
      </c>
      <c r="D50" s="122">
        <f>+C50+'30'!D50</f>
        <v>0</v>
      </c>
      <c r="E50" s="147">
        <f t="shared" si="11"/>
        <v>0</v>
      </c>
      <c r="F50" s="190"/>
      <c r="H50" s="193" t="s">
        <v>82</v>
      </c>
      <c r="I50" s="144">
        <f>I49/I38</f>
        <v>86.287300955206433</v>
      </c>
      <c r="J50" s="137">
        <f>J49/J38</f>
        <v>90.864914018185928</v>
      </c>
      <c r="K50" s="134" t="s">
        <v>81</v>
      </c>
    </row>
    <row r="51" spans="1:23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+C51+'30'!D51</f>
        <v>0</v>
      </c>
      <c r="E51" s="147">
        <f t="shared" si="11"/>
        <v>0</v>
      </c>
      <c r="F51" s="190"/>
      <c r="H51" s="195" t="s">
        <v>84</v>
      </c>
      <c r="I51" s="145">
        <f>I49/I40</f>
        <v>84.332540569091989</v>
      </c>
      <c r="J51" s="140">
        <f>J49/J40</f>
        <v>93.687912863926385</v>
      </c>
      <c r="K51" s="141" t="s">
        <v>81</v>
      </c>
    </row>
    <row r="52" spans="1:23" ht="13.5" thickBot="1">
      <c r="A52" s="759" t="s">
        <v>27</v>
      </c>
      <c r="B52" s="760"/>
      <c r="C52" s="148">
        <f>SUM(C38:C51)</f>
        <v>72</v>
      </c>
      <c r="D52" s="148">
        <f>SUM(D38:D51)</f>
        <v>2685</v>
      </c>
      <c r="E52" s="149">
        <f>SUM(E38:E51)</f>
        <v>44.75</v>
      </c>
      <c r="F52" s="190"/>
      <c r="H52" s="196"/>
      <c r="I52" s="197"/>
      <c r="J52" s="142"/>
      <c r="K52" s="143"/>
    </row>
    <row r="53" spans="1:23" ht="13.5" thickBot="1">
      <c r="A53" s="761"/>
      <c r="B53" s="762"/>
      <c r="C53" s="150">
        <f>C52/(24*60)</f>
        <v>0.05</v>
      </c>
      <c r="D53" s="150">
        <f>D52/(24*60*G4)</f>
        <v>6.0147849462365593E-2</v>
      </c>
      <c r="E53" s="151">
        <f>E52/(G4*24)</f>
        <v>6.0147849462365593E-2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+D34+'30'!J56</f>
        <v>10282</v>
      </c>
      <c r="K56" s="206">
        <f>J56/(J40+J56/1000)/1000</f>
        <v>7.820176999765744E-3</v>
      </c>
    </row>
    <row r="57" spans="1:23">
      <c r="A57" s="181"/>
      <c r="I57" s="204" t="s">
        <v>87</v>
      </c>
      <c r="J57" s="205">
        <f>+E34+'30'!J57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3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zoomScale="80" zoomScaleNormal="80" workbookViewId="0">
      <selection activeCell="D8" sqref="D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7.140625" style="153" customWidth="1"/>
    <col min="14" max="15" width="0" style="153" hidden="1" customWidth="1"/>
    <col min="16" max="16" width="10.28515625" style="153" hidden="1" customWidth="1"/>
    <col min="17" max="17" width="9.28515625" style="153" hidden="1" customWidth="1"/>
    <col min="18" max="23" width="0" style="153" hidden="1" customWidth="1"/>
    <col min="24" max="16384" width="9.140625" style="153"/>
  </cols>
  <sheetData>
    <row r="1" spans="1:29" ht="15.75">
      <c r="A1" s="152"/>
    </row>
    <row r="2" spans="1:29" ht="15.75">
      <c r="A2" s="152" t="s">
        <v>184</v>
      </c>
    </row>
    <row r="3" spans="1:29" ht="15">
      <c r="A3" s="154"/>
    </row>
    <row r="4" spans="1:29" ht="20.25">
      <c r="A4" s="155" t="s">
        <v>3</v>
      </c>
      <c r="B4" s="156"/>
      <c r="F4" s="157" t="s">
        <v>28</v>
      </c>
      <c r="G4" s="158">
        <v>30</v>
      </c>
      <c r="H4" s="158" t="str">
        <f>+'1'!H4</f>
        <v>.08.25</v>
      </c>
      <c r="J4" s="153">
        <f>467+564+544</f>
        <v>1575</v>
      </c>
    </row>
    <row r="5" spans="1:29" ht="13.5" thickBot="1">
      <c r="C5" s="159"/>
      <c r="D5" s="159"/>
    </row>
    <row r="6" spans="1:2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86" t="s">
        <v>91</v>
      </c>
      <c r="O6" s="419" t="s">
        <v>191</v>
      </c>
      <c r="P6" s="419" t="s">
        <v>191</v>
      </c>
      <c r="Q6" s="419" t="s">
        <v>192</v>
      </c>
      <c r="R6" s="419" t="s">
        <v>193</v>
      </c>
      <c r="S6" s="419" t="s">
        <v>194</v>
      </c>
      <c r="T6" s="419" t="s">
        <v>189</v>
      </c>
      <c r="U6" s="420" t="s">
        <v>195</v>
      </c>
      <c r="V6" s="419" t="s">
        <v>196</v>
      </c>
      <c r="W6" s="419" t="s">
        <v>190</v>
      </c>
      <c r="X6" s="153" t="s">
        <v>503</v>
      </c>
      <c r="Y6" s="153">
        <v>1230</v>
      </c>
      <c r="Z6" s="153">
        <f>+Y6-Y6*0.23</f>
        <v>947.09999999999991</v>
      </c>
      <c r="AA6" s="153">
        <v>480</v>
      </c>
      <c r="AB6" s="153">
        <f t="shared" ref="AB6:AB9" si="0">+Y6*AA6</f>
        <v>590400</v>
      </c>
      <c r="AC6" s="153">
        <f t="shared" ref="AC6:AC9" si="1">+Z6*AA6</f>
        <v>454607.99999999994</v>
      </c>
    </row>
    <row r="7" spans="1:29" ht="13.5" customHeight="1" thickBot="1">
      <c r="A7" s="769"/>
      <c r="B7" s="220" t="s">
        <v>520</v>
      </c>
      <c r="C7" s="221">
        <v>15339</v>
      </c>
      <c r="D7" s="222">
        <v>240</v>
      </c>
      <c r="E7" s="223"/>
      <c r="F7" s="233"/>
      <c r="G7" s="234" t="s">
        <v>11</v>
      </c>
      <c r="H7" s="235" t="s">
        <v>387</v>
      </c>
      <c r="I7" s="772" t="s">
        <v>405</v>
      </c>
      <c r="J7" s="219" t="str">
        <f>+'29'!J7</f>
        <v>T 13 VP OW</v>
      </c>
      <c r="K7" s="243"/>
      <c r="L7" s="247"/>
      <c r="M7" s="121">
        <f>+K7+'29'!M7+L7</f>
        <v>431302</v>
      </c>
      <c r="N7" s="421">
        <v>14.5</v>
      </c>
      <c r="O7" s="204">
        <v>1200</v>
      </c>
      <c r="P7" s="204">
        <v>1120</v>
      </c>
      <c r="Q7" s="204">
        <v>896</v>
      </c>
      <c r="R7" s="422">
        <f>1-(Q7/P7)</f>
        <v>0.19999999999999996</v>
      </c>
      <c r="S7" s="423">
        <v>45</v>
      </c>
      <c r="T7" s="424">
        <v>256.5</v>
      </c>
      <c r="U7" s="425">
        <f>(O7*(1-R7)*N7*T7*S7)/100000000</f>
        <v>1.606716</v>
      </c>
      <c r="V7" s="426">
        <f>+C14/1000</f>
        <v>15.339</v>
      </c>
      <c r="W7" s="427">
        <f>SUM(V7:V9)/SUM(U7:U9)</f>
        <v>0.73436940748898816</v>
      </c>
      <c r="Z7" s="153">
        <f t="shared" ref="Z7:Z8" si="2">+Y7-Y7*0.23</f>
        <v>0</v>
      </c>
      <c r="AB7" s="153">
        <f t="shared" si="0"/>
        <v>0</v>
      </c>
      <c r="AC7" s="153">
        <f t="shared" si="1"/>
        <v>0</v>
      </c>
    </row>
    <row r="8" spans="1:2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+'29'!J8</f>
        <v>T 15,5 VP OW</v>
      </c>
      <c r="K8" s="244"/>
      <c r="L8" s="244"/>
      <c r="M8" s="121">
        <f>+K8+'29'!M8+L8</f>
        <v>79695</v>
      </c>
      <c r="N8" s="421">
        <v>18</v>
      </c>
      <c r="O8" s="204">
        <v>1200</v>
      </c>
      <c r="P8" s="204">
        <v>930</v>
      </c>
      <c r="Q8" s="204">
        <v>744</v>
      </c>
      <c r="R8" s="422">
        <f>1-(Q8/P8)</f>
        <v>0.19999999999999996</v>
      </c>
      <c r="S8" s="423">
        <f>480-S7</f>
        <v>435</v>
      </c>
      <c r="T8" s="424">
        <v>256.5</v>
      </c>
      <c r="U8" s="425">
        <f>(O8*(1-R8)*N8*T8*S8)/100000000</f>
        <v>19.280591999999999</v>
      </c>
      <c r="V8" s="426"/>
      <c r="W8" s="428"/>
      <c r="Z8" s="153">
        <f t="shared" si="2"/>
        <v>0</v>
      </c>
      <c r="AB8" s="153">
        <f t="shared" si="0"/>
        <v>0</v>
      </c>
      <c r="AC8" s="153">
        <f t="shared" si="1"/>
        <v>0</v>
      </c>
    </row>
    <row r="9" spans="1:29" ht="13.5" thickBot="1">
      <c r="A9" s="770"/>
      <c r="B9" s="220"/>
      <c r="C9" s="221"/>
      <c r="D9" s="222"/>
      <c r="E9" s="225"/>
      <c r="F9" s="233">
        <v>20</v>
      </c>
      <c r="G9" s="237" t="s">
        <v>11</v>
      </c>
      <c r="H9" s="238" t="s">
        <v>389</v>
      </c>
      <c r="I9" s="773"/>
      <c r="J9" s="219" t="str">
        <f>+'29'!J9</f>
        <v>T 19 VP OW</v>
      </c>
      <c r="K9" s="244"/>
      <c r="L9" s="244"/>
      <c r="M9" s="121">
        <f>+K9+'29'!M9+L9</f>
        <v>10916</v>
      </c>
      <c r="N9" s="429"/>
      <c r="Z9" s="153">
        <f t="shared" ref="Z9" si="3">+Y9-Y9*0.25</f>
        <v>0</v>
      </c>
      <c r="AB9" s="153">
        <f t="shared" si="0"/>
        <v>0</v>
      </c>
      <c r="AC9" s="153">
        <f t="shared" si="1"/>
        <v>0</v>
      </c>
    </row>
    <row r="10" spans="1:2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648</v>
      </c>
      <c r="I10" s="773"/>
      <c r="J10" s="219" t="str">
        <f>+'29'!J10</f>
        <v>F 15 VP OW</v>
      </c>
      <c r="K10" s="244"/>
      <c r="L10" s="244"/>
      <c r="M10" s="121">
        <f>+K10+'29'!M10+L10</f>
        <v>10380</v>
      </c>
      <c r="N10" s="429"/>
      <c r="AA10" s="153">
        <f>SUM(AA5:AA9)</f>
        <v>480</v>
      </c>
      <c r="AB10" s="153">
        <f>SUM(AB5:AB9)</f>
        <v>590400</v>
      </c>
      <c r="AC10" s="153">
        <f>SUM(AC5:AC9)</f>
        <v>454607.99999999994</v>
      </c>
    </row>
    <row r="11" spans="1:29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+'29'!J11</f>
        <v>F 13,5 VP OW</v>
      </c>
      <c r="K11" s="244"/>
      <c r="L11" s="244"/>
      <c r="M11" s="121">
        <f>+K11+'29'!M11+L11</f>
        <v>131921</v>
      </c>
      <c r="N11" s="429"/>
      <c r="Y11" s="153" t="s">
        <v>404</v>
      </c>
      <c r="AB11" s="153">
        <f>+AB10/AA10</f>
        <v>1230</v>
      </c>
      <c r="AC11" s="153">
        <f>+AC10/AA10</f>
        <v>947.09999999999991</v>
      </c>
    </row>
    <row r="12" spans="1:2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+'29'!J12</f>
        <v>F 13 VP OW</v>
      </c>
      <c r="K12" s="244">
        <f>+C7+C16+C25</f>
        <v>31659</v>
      </c>
      <c r="L12" s="244"/>
      <c r="M12" s="121">
        <f>+K12+'29'!M12+L12</f>
        <v>224584</v>
      </c>
      <c r="N12" s="429"/>
      <c r="AA12" s="153">
        <f>+X12*Z12</f>
        <v>0</v>
      </c>
      <c r="AB12" s="153">
        <f>+Y12*Z12</f>
        <v>0</v>
      </c>
    </row>
    <row r="13" spans="1:2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+'29'!J13</f>
        <v>F 12 VP OW</v>
      </c>
      <c r="K13" s="244">
        <f>+C26</f>
        <v>7904</v>
      </c>
      <c r="L13" s="244"/>
      <c r="M13" s="121">
        <f>+K13+'29'!M13+L13</f>
        <v>349757</v>
      </c>
      <c r="N13" s="430"/>
      <c r="O13" s="431"/>
      <c r="P13" s="431"/>
      <c r="Q13" s="431"/>
      <c r="R13" s="431"/>
      <c r="S13" s="431"/>
      <c r="T13" s="431"/>
      <c r="U13" s="431"/>
      <c r="V13" s="431"/>
      <c r="W13" s="431"/>
    </row>
    <row r="14" spans="1:29" ht="13.5" thickBot="1">
      <c r="A14" s="771"/>
      <c r="B14" s="170" t="s">
        <v>2</v>
      </c>
      <c r="C14" s="103">
        <f>SUM(C7:C13)</f>
        <v>15339</v>
      </c>
      <c r="D14" s="115">
        <f>SUM(D7:D13)</f>
        <v>240</v>
      </c>
      <c r="E14" s="116">
        <f>SUM(E5:E13)</f>
        <v>0</v>
      </c>
      <c r="F14" s="120">
        <f>SUM(F7:F13)</f>
        <v>20</v>
      </c>
      <c r="G14" s="163"/>
      <c r="H14" s="171"/>
      <c r="I14" s="172"/>
      <c r="J14" s="219" t="str">
        <f>+'29'!J14</f>
        <v>F 12,5 VP OW</v>
      </c>
      <c r="K14" s="244"/>
      <c r="L14" s="244"/>
      <c r="M14" s="121">
        <f>+K14+'29'!M14+L14</f>
        <v>22178</v>
      </c>
    </row>
    <row r="15" spans="1:29" ht="13.5" customHeight="1" thickBot="1">
      <c r="A15" s="769"/>
      <c r="B15" s="170"/>
      <c r="C15" s="117">
        <f>C14/($C$23+$D$23+$E$23)</f>
        <v>1.170737292016486</v>
      </c>
      <c r="D15" s="118">
        <f>D14/($C$23+$D$23+$E$23)</f>
        <v>1.8317814074187148E-2</v>
      </c>
      <c r="E15" s="119">
        <f>E14/($C$23+$D$23+$E$23)</f>
        <v>0</v>
      </c>
      <c r="F15" s="233">
        <v>6</v>
      </c>
      <c r="G15" s="234" t="s">
        <v>11</v>
      </c>
      <c r="H15" s="235" t="s">
        <v>407</v>
      </c>
      <c r="I15" s="772" t="s">
        <v>405</v>
      </c>
      <c r="J15" s="219">
        <f>+'29'!J15</f>
        <v>0</v>
      </c>
      <c r="K15" s="244"/>
      <c r="L15" s="244"/>
      <c r="M15" s="121">
        <f>+K15+'29'!M15+L15</f>
        <v>0</v>
      </c>
      <c r="N15" s="421">
        <v>18</v>
      </c>
      <c r="O15" s="204">
        <v>1200</v>
      </c>
      <c r="P15" s="204">
        <v>850</v>
      </c>
      <c r="Q15" s="204">
        <v>680</v>
      </c>
      <c r="R15" s="422">
        <f>1-(Q15/P15)</f>
        <v>0.19999999999999996</v>
      </c>
      <c r="S15" s="423">
        <v>480</v>
      </c>
      <c r="T15" s="424">
        <v>256.5</v>
      </c>
      <c r="U15" s="425">
        <f>(O15*(1-R15)*N15*T15*S15)/100000000</f>
        <v>21.275136</v>
      </c>
      <c r="V15" s="426">
        <f>+C23/1000</f>
        <v>13.102</v>
      </c>
      <c r="W15" s="427">
        <f>SUM(V15:V17)/SUM(U15:U17)</f>
        <v>0.61583625129352881</v>
      </c>
      <c r="X15" s="153" t="s">
        <v>503</v>
      </c>
      <c r="Y15" s="153">
        <v>1230</v>
      </c>
      <c r="Z15" s="153">
        <f>+Y15-Y15*0.23</f>
        <v>947.09999999999991</v>
      </c>
      <c r="AA15" s="153">
        <f>60*6+30</f>
        <v>390</v>
      </c>
      <c r="AB15" s="153">
        <f t="shared" ref="AB15:AB18" si="4">+Y15*AA15</f>
        <v>479700</v>
      </c>
      <c r="AC15" s="153">
        <f t="shared" ref="AC15:AC18" si="5">+Z15*AA15</f>
        <v>369368.99999999994</v>
      </c>
    </row>
    <row r="16" spans="1:29" ht="13.5" thickBot="1">
      <c r="A16" s="775"/>
      <c r="B16" s="226" t="s">
        <v>520</v>
      </c>
      <c r="C16" s="227">
        <v>13102</v>
      </c>
      <c r="D16" s="228"/>
      <c r="E16" s="229"/>
      <c r="F16" s="233"/>
      <c r="G16" s="237" t="s">
        <v>11</v>
      </c>
      <c r="H16" s="235" t="s">
        <v>286</v>
      </c>
      <c r="I16" s="773"/>
      <c r="J16" s="219">
        <f>+'29'!J16</f>
        <v>0</v>
      </c>
      <c r="K16" s="234"/>
      <c r="L16" s="234"/>
      <c r="M16" s="121">
        <f>+K16+'29'!M16+L16</f>
        <v>0</v>
      </c>
      <c r="N16" s="432"/>
      <c r="O16" s="204"/>
      <c r="P16" s="204"/>
      <c r="Q16" s="433"/>
      <c r="R16" s="422"/>
      <c r="S16" s="204"/>
      <c r="T16" s="424"/>
      <c r="U16" s="425"/>
      <c r="V16" s="426"/>
      <c r="W16" s="428"/>
      <c r="X16" s="153" t="s">
        <v>390</v>
      </c>
      <c r="Y16" s="153">
        <v>1230</v>
      </c>
      <c r="Z16" s="153">
        <f>+Y16-Y16*0.23</f>
        <v>947.09999999999991</v>
      </c>
      <c r="AA16" s="153">
        <f>480-AA15</f>
        <v>90</v>
      </c>
      <c r="AB16" s="153">
        <f t="shared" si="4"/>
        <v>110700</v>
      </c>
      <c r="AC16" s="153">
        <f t="shared" si="5"/>
        <v>85238.999999999985</v>
      </c>
    </row>
    <row r="17" spans="1:29" ht="13.5" thickBot="1">
      <c r="A17" s="775"/>
      <c r="B17" s="220"/>
      <c r="C17" s="221"/>
      <c r="D17" s="222"/>
      <c r="E17" s="230"/>
      <c r="F17" s="233">
        <v>16</v>
      </c>
      <c r="G17" s="237" t="s">
        <v>11</v>
      </c>
      <c r="H17" s="238" t="s">
        <v>408</v>
      </c>
      <c r="I17" s="773"/>
      <c r="J17" s="219">
        <f>+'29'!J17</f>
        <v>0</v>
      </c>
      <c r="K17" s="234"/>
      <c r="L17" s="234"/>
      <c r="M17" s="121">
        <f>+K17+'29'!M17+L17</f>
        <v>0</v>
      </c>
      <c r="N17" s="429"/>
      <c r="O17" s="204"/>
      <c r="R17" s="422"/>
      <c r="T17" s="424"/>
      <c r="U17" s="425"/>
      <c r="Z17" s="153">
        <f t="shared" ref="Z17" si="6">+Y17-Y17*0.23</f>
        <v>0</v>
      </c>
      <c r="AB17" s="153">
        <f t="shared" si="4"/>
        <v>0</v>
      </c>
      <c r="AC17" s="153">
        <f t="shared" si="5"/>
        <v>0</v>
      </c>
    </row>
    <row r="18" spans="1:2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647</v>
      </c>
      <c r="I18" s="773"/>
      <c r="J18" s="219">
        <f>+'29'!J18</f>
        <v>0</v>
      </c>
      <c r="K18" s="244"/>
      <c r="L18" s="244"/>
      <c r="M18" s="121">
        <f>+K18+'29'!M18+L18</f>
        <v>0</v>
      </c>
      <c r="N18" s="429"/>
      <c r="Z18" s="153">
        <f t="shared" ref="Z18" si="7">+Y18-Y18*0.25</f>
        <v>0</v>
      </c>
      <c r="AB18" s="153">
        <f t="shared" si="4"/>
        <v>0</v>
      </c>
      <c r="AC18" s="153">
        <f t="shared" si="5"/>
        <v>0</v>
      </c>
    </row>
    <row r="19" spans="1:29" ht="51.75" thickBot="1">
      <c r="A19" s="775"/>
      <c r="B19" s="220"/>
      <c r="C19" s="221"/>
      <c r="D19" s="222"/>
      <c r="E19" s="230"/>
      <c r="F19" s="240"/>
      <c r="G19" s="237"/>
      <c r="H19" s="238" t="s">
        <v>649</v>
      </c>
      <c r="I19" s="773"/>
      <c r="J19" s="219">
        <f>+'29'!J19</f>
        <v>0</v>
      </c>
      <c r="K19" s="244"/>
      <c r="L19" s="244"/>
      <c r="M19" s="121">
        <f>+K19+'29'!M19+L19</f>
        <v>0</v>
      </c>
      <c r="N19" s="429"/>
      <c r="AA19" s="153">
        <f>SUM(AA14:AA18)</f>
        <v>480</v>
      </c>
      <c r="AB19" s="153">
        <f>SUM(AB14:AB18)</f>
        <v>590400</v>
      </c>
      <c r="AC19" s="153">
        <f>SUM(AC14:AC18)</f>
        <v>454607.99999999994</v>
      </c>
    </row>
    <row r="20" spans="1:2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+'29'!J20</f>
        <v>0</v>
      </c>
      <c r="K20" s="245"/>
      <c r="L20" s="245"/>
      <c r="M20" s="121">
        <f>+K20+'29'!M20+L20</f>
        <v>0</v>
      </c>
      <c r="N20" s="429"/>
      <c r="Y20" s="153" t="s">
        <v>404</v>
      </c>
      <c r="AB20" s="153">
        <f>+AB19/AA19</f>
        <v>1230</v>
      </c>
      <c r="AC20" s="153">
        <f>+AC19/AA19</f>
        <v>947.09999999999991</v>
      </c>
    </row>
    <row r="21" spans="1:2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+'29'!J21</f>
        <v>0</v>
      </c>
      <c r="K21" s="244"/>
      <c r="L21" s="244"/>
      <c r="M21" s="121">
        <f>+K21+'29'!M21+L21</f>
        <v>0</v>
      </c>
      <c r="N21" s="430"/>
      <c r="O21" s="431"/>
      <c r="P21" s="431"/>
      <c r="Q21" s="431"/>
      <c r="R21" s="431"/>
      <c r="S21" s="431"/>
      <c r="T21" s="431"/>
      <c r="U21" s="431"/>
      <c r="V21" s="431"/>
      <c r="W21" s="431"/>
      <c r="AA21" s="153">
        <f>+X21*Z21</f>
        <v>0</v>
      </c>
      <c r="AB21" s="153">
        <f>+Y21*Z21</f>
        <v>0</v>
      </c>
    </row>
    <row r="22" spans="1:2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+'29'!J22</f>
        <v>0</v>
      </c>
      <c r="K22" s="244"/>
      <c r="L22" s="244"/>
      <c r="M22" s="121">
        <f>+K22+'29'!M22+L22</f>
        <v>0</v>
      </c>
    </row>
    <row r="23" spans="1:29" ht="13.5" thickBot="1">
      <c r="A23" s="776"/>
      <c r="B23" s="173" t="s">
        <v>2</v>
      </c>
      <c r="C23" s="104">
        <f>SUM(C16:C22)</f>
        <v>13102</v>
      </c>
      <c r="D23" s="115">
        <f>SUM(D16:D22)</f>
        <v>0</v>
      </c>
      <c r="E23" s="116">
        <f>SUM(E18:E22)</f>
        <v>0</v>
      </c>
      <c r="F23" s="120">
        <f>SUM(F15:F22)</f>
        <v>22</v>
      </c>
      <c r="G23" s="163"/>
      <c r="H23" s="171"/>
      <c r="I23" s="174"/>
      <c r="J23" s="219">
        <f>+'29'!J23</f>
        <v>0</v>
      </c>
      <c r="K23" s="244"/>
      <c r="L23" s="244"/>
      <c r="M23" s="121">
        <f>+K23+'29'!M23+L23</f>
        <v>0</v>
      </c>
      <c r="N23" s="434"/>
      <c r="O23" s="435"/>
      <c r="P23" s="435"/>
      <c r="Q23" s="435"/>
      <c r="R23" s="435"/>
      <c r="S23" s="435"/>
      <c r="T23" s="435"/>
      <c r="U23" s="435"/>
      <c r="V23" s="435"/>
      <c r="W23" s="435"/>
    </row>
    <row r="24" spans="1:2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41">
        <v>6</v>
      </c>
      <c r="G24" s="234" t="s">
        <v>11</v>
      </c>
      <c r="H24" s="235" t="s">
        <v>407</v>
      </c>
      <c r="I24" s="772" t="s">
        <v>405</v>
      </c>
      <c r="J24" s="219">
        <f>+'29'!J24</f>
        <v>0</v>
      </c>
      <c r="K24" s="244"/>
      <c r="L24" s="244"/>
      <c r="M24" s="121">
        <f>+K24+'29'!M24+L24</f>
        <v>0</v>
      </c>
      <c r="N24" s="421">
        <v>18</v>
      </c>
      <c r="O24" s="204">
        <v>1200</v>
      </c>
      <c r="P24" s="204">
        <v>770</v>
      </c>
      <c r="Q24" s="204">
        <v>616</v>
      </c>
      <c r="R24" s="422">
        <f>1-(Q24/P24)</f>
        <v>0.19999999999999996</v>
      </c>
      <c r="S24" s="423">
        <v>480</v>
      </c>
      <c r="T24" s="424">
        <v>256.5</v>
      </c>
      <c r="U24" s="425">
        <f>(O24*(1-R24)*N24*T24*S24)/100000000</f>
        <v>21.275136</v>
      </c>
      <c r="V24" s="426">
        <f>+C32/1000</f>
        <v>11.122</v>
      </c>
      <c r="W24" s="427">
        <f>SUM(V24:V25)/SUM(U24:U25)</f>
        <v>0.52276986619497989</v>
      </c>
      <c r="X24" s="153" t="s">
        <v>390</v>
      </c>
      <c r="Y24" s="153">
        <v>1230</v>
      </c>
      <c r="Z24" s="153">
        <f>+Y24-Y24*0.23</f>
        <v>947.09999999999991</v>
      </c>
      <c r="AA24" s="153">
        <v>480</v>
      </c>
      <c r="AB24" s="153">
        <f t="shared" ref="AB24:AB27" si="8">+Y24*AA24</f>
        <v>590400</v>
      </c>
      <c r="AC24" s="153">
        <f t="shared" ref="AC24:AC27" si="9">+Z24*AA24</f>
        <v>454607.99999999994</v>
      </c>
    </row>
    <row r="25" spans="1:29" ht="13.5" thickBot="1">
      <c r="A25" s="775"/>
      <c r="B25" s="220" t="s">
        <v>520</v>
      </c>
      <c r="C25" s="231">
        <v>3218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+'29'!J25</f>
        <v>0</v>
      </c>
      <c r="K25" s="244"/>
      <c r="L25" s="244"/>
      <c r="M25" s="121">
        <f>+K25+'29'!M25+L25</f>
        <v>0</v>
      </c>
      <c r="N25" s="421"/>
      <c r="O25" s="204"/>
      <c r="P25" s="204"/>
      <c r="Q25" s="204"/>
      <c r="R25" s="422"/>
      <c r="S25" s="423"/>
      <c r="T25" s="424"/>
      <c r="U25" s="425"/>
      <c r="V25" s="426"/>
      <c r="W25" s="427"/>
      <c r="Z25" s="153">
        <f>+Y25-Y25*0.23</f>
        <v>0</v>
      </c>
      <c r="AA25" s="153">
        <f>480-AA24</f>
        <v>0</v>
      </c>
      <c r="AB25" s="153">
        <f t="shared" si="8"/>
        <v>0</v>
      </c>
      <c r="AC25" s="153">
        <f t="shared" si="9"/>
        <v>0</v>
      </c>
    </row>
    <row r="26" spans="1:29" ht="13.5" thickBot="1">
      <c r="A26" s="775"/>
      <c r="B26" s="220" t="s">
        <v>521</v>
      </c>
      <c r="C26" s="231">
        <f>3726+4178</f>
        <v>7904</v>
      </c>
      <c r="D26" s="222"/>
      <c r="E26" s="232"/>
      <c r="F26" s="236">
        <f>21-6</f>
        <v>15</v>
      </c>
      <c r="G26" s="237" t="s">
        <v>11</v>
      </c>
      <c r="H26" s="238" t="s">
        <v>408</v>
      </c>
      <c r="I26" s="773"/>
      <c r="J26" s="219">
        <f>+'29'!J26</f>
        <v>0</v>
      </c>
      <c r="K26" s="244"/>
      <c r="L26" s="244"/>
      <c r="M26" s="121">
        <f>+K26+'29'!M26+L26</f>
        <v>0</v>
      </c>
      <c r="Z26" s="153">
        <f t="shared" ref="Z26" si="10">+Y26-Y26*0.23</f>
        <v>0</v>
      </c>
      <c r="AB26" s="153">
        <f t="shared" si="8"/>
        <v>0</v>
      </c>
      <c r="AC26" s="153">
        <f t="shared" si="9"/>
        <v>0</v>
      </c>
    </row>
    <row r="27" spans="1:29" ht="26.25" thickBot="1">
      <c r="A27" s="775"/>
      <c r="B27" s="220"/>
      <c r="C27" s="221"/>
      <c r="D27" s="222"/>
      <c r="E27" s="230"/>
      <c r="F27" s="236"/>
      <c r="G27" s="242" t="s">
        <v>12</v>
      </c>
      <c r="H27" s="238" t="s">
        <v>646</v>
      </c>
      <c r="I27" s="773"/>
      <c r="J27" s="219">
        <f>+'29'!J27</f>
        <v>0</v>
      </c>
      <c r="K27" s="244"/>
      <c r="L27" s="244"/>
      <c r="M27" s="121">
        <f>+K27+'29'!M27+L27</f>
        <v>0</v>
      </c>
      <c r="Z27" s="153">
        <f t="shared" ref="Z27" si="11">+Y27-Y27*0.25</f>
        <v>0</v>
      </c>
      <c r="AB27" s="153">
        <f t="shared" si="8"/>
        <v>0</v>
      </c>
      <c r="AC27" s="153">
        <f t="shared" si="9"/>
        <v>0</v>
      </c>
    </row>
    <row r="28" spans="1:2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+'29'!J28</f>
        <v>0</v>
      </c>
      <c r="K28" s="244"/>
      <c r="L28" s="244"/>
      <c r="M28" s="121">
        <f>+K28+'29'!M28+L28</f>
        <v>0</v>
      </c>
      <c r="AA28" s="153">
        <f>SUM(AA23:AA27)</f>
        <v>480</v>
      </c>
      <c r="AB28" s="153">
        <f>SUM(AB23:AB27)</f>
        <v>590400</v>
      </c>
      <c r="AC28" s="153">
        <f>SUM(AC23:AC27)</f>
        <v>454607.99999999994</v>
      </c>
    </row>
    <row r="29" spans="1:2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+'29'!J29</f>
        <v>0</v>
      </c>
      <c r="K29" s="244"/>
      <c r="L29" s="244"/>
      <c r="M29" s="121">
        <f>+K29+'29'!M29+L29</f>
        <v>0</v>
      </c>
      <c r="Y29" s="153" t="s">
        <v>404</v>
      </c>
      <c r="AB29" s="153">
        <f>+AB28/AA28</f>
        <v>1230</v>
      </c>
      <c r="AC29" s="153">
        <f>+AC28/AA28</f>
        <v>947.09999999999991</v>
      </c>
    </row>
    <row r="30" spans="1:2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+'29'!J30</f>
        <v>0</v>
      </c>
      <c r="K30" s="244"/>
      <c r="L30" s="244"/>
      <c r="M30" s="121">
        <f>+K30+'29'!M30+L30</f>
        <v>0</v>
      </c>
      <c r="N30" s="159"/>
      <c r="AA30" s="153">
        <f>+X30*Z30</f>
        <v>0</v>
      </c>
      <c r="AB30" s="153">
        <f>+Y30*Z30</f>
        <v>0</v>
      </c>
    </row>
    <row r="31" spans="1:29" ht="13.5" thickBot="1">
      <c r="A31" s="775"/>
      <c r="B31" s="220"/>
      <c r="C31" s="231"/>
      <c r="D31" s="222"/>
      <c r="E31" s="230"/>
      <c r="F31" s="241"/>
      <c r="G31" s="242"/>
      <c r="H31" s="239"/>
      <c r="I31" s="774"/>
      <c r="J31" s="219">
        <f>+'29'!J31</f>
        <v>0</v>
      </c>
      <c r="K31" s="244"/>
      <c r="L31" s="244"/>
      <c r="M31" s="121">
        <f>+K31+'29'!M31+L31</f>
        <v>0</v>
      </c>
    </row>
    <row r="32" spans="1:29" ht="13.5" thickBot="1">
      <c r="A32" s="776"/>
      <c r="B32" s="170" t="s">
        <v>2</v>
      </c>
      <c r="C32" s="103">
        <f>SUM(C25:C31)</f>
        <v>11122</v>
      </c>
      <c r="D32" s="104">
        <f>SUM(D25:D31)</f>
        <v>0</v>
      </c>
      <c r="E32" s="105">
        <f>SUM(E25:E31)</f>
        <v>0</v>
      </c>
      <c r="F32" s="106">
        <f>SUM(F24:F31)</f>
        <v>21</v>
      </c>
      <c r="G32" s="176"/>
      <c r="H32" s="177"/>
      <c r="I32" s="174"/>
      <c r="J32" s="219">
        <f>+'29'!J32</f>
        <v>0</v>
      </c>
      <c r="K32" s="246"/>
      <c r="L32" s="248"/>
      <c r="M32" s="121">
        <f>+K32+'29'!M32+L32</f>
        <v>0</v>
      </c>
    </row>
    <row r="33" spans="1:2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X33" s="153" t="s">
        <v>503</v>
      </c>
      <c r="Y33" s="153">
        <v>1230</v>
      </c>
      <c r="Z33" s="153">
        <v>947.09999999999991</v>
      </c>
      <c r="AA33" s="153">
        <f>480+390</f>
        <v>870</v>
      </c>
    </row>
    <row r="34" spans="1:27" ht="13.5" thickBot="1">
      <c r="A34" s="765" t="s">
        <v>56</v>
      </c>
      <c r="B34" s="766"/>
      <c r="C34" s="111">
        <f>C14+C23+C32</f>
        <v>39563</v>
      </c>
      <c r="D34" s="111">
        <f>D14+D23+D32</f>
        <v>240</v>
      </c>
      <c r="E34" s="111">
        <f>E14+E23+E32</f>
        <v>0</v>
      </c>
      <c r="F34" s="112">
        <f>F14+F23+F32</f>
        <v>63</v>
      </c>
      <c r="H34" s="183"/>
      <c r="I34" s="183"/>
      <c r="J34" s="127" t="s">
        <v>27</v>
      </c>
      <c r="K34" s="128">
        <f>SUM(K7:K32)</f>
        <v>39563</v>
      </c>
      <c r="L34" s="217">
        <f>SUM(L7:L32)</f>
        <v>0</v>
      </c>
      <c r="M34" s="124">
        <f>SUM(M7:M32)</f>
        <v>1260733</v>
      </c>
      <c r="N34" s="159"/>
      <c r="X34" s="153" t="s">
        <v>390</v>
      </c>
      <c r="Y34" s="153">
        <v>1230</v>
      </c>
      <c r="Z34" s="153">
        <v>947.09999999999991</v>
      </c>
      <c r="AA34" s="153">
        <f>1440-AA33</f>
        <v>570</v>
      </c>
    </row>
    <row r="35" spans="1:27" ht="13.5" thickBot="1">
      <c r="A35" s="184"/>
      <c r="B35" s="185"/>
      <c r="C35" s="108">
        <f>C34/($C$34+$D$34+$E$34)</f>
        <v>0.99397030374594875</v>
      </c>
      <c r="D35" s="108">
        <f>D34/($C$34+$D$34+$E$34)</f>
        <v>6.0296962540512021E-3</v>
      </c>
      <c r="E35" s="113">
        <f>E34/($C$34+$D$34+$E$34)</f>
        <v>0</v>
      </c>
      <c r="K35" s="159"/>
    </row>
    <row r="36" spans="1:2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2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(13*870+12*570)/1440*G42*2.74*1440/1000000</f>
        <v>47.100230099999997</v>
      </c>
      <c r="J37" s="129">
        <f>+I37+'29'!J37</f>
        <v>1421.3079681604047</v>
      </c>
      <c r="K37" s="130" t="s">
        <v>62</v>
      </c>
    </row>
    <row r="38" spans="1:27" ht="17.45" customHeight="1">
      <c r="A38" s="759" t="s">
        <v>11</v>
      </c>
      <c r="B38" s="760"/>
      <c r="C38" s="168">
        <f>SUMIF($G$7:$G$31,"Process",$F$7:$F$31)</f>
        <v>63</v>
      </c>
      <c r="D38" s="122">
        <f>+C38+'29'!D38</f>
        <v>2139</v>
      </c>
      <c r="E38" s="147">
        <f t="shared" ref="E38:E51" si="12">D38/60</f>
        <v>35.65</v>
      </c>
      <c r="F38" s="327">
        <v>1230</v>
      </c>
      <c r="G38" s="327">
        <v>947.09999999999991</v>
      </c>
      <c r="H38" s="192" t="s">
        <v>63</v>
      </c>
      <c r="I38" s="250">
        <f>15.554+12.906+1.619+13.627</f>
        <v>43.706000000000003</v>
      </c>
      <c r="J38" s="131">
        <f>+I38+'29'!J38</f>
        <v>1302.2539999999999</v>
      </c>
      <c r="K38" s="132" t="s">
        <v>62</v>
      </c>
    </row>
    <row r="39" spans="1:27" ht="17.45" customHeight="1">
      <c r="A39" s="763" t="s">
        <v>12</v>
      </c>
      <c r="B39" s="764"/>
      <c r="C39" s="168">
        <f>SUMIF($G$7:$G$31,"Cleaning",$F$7:$F$31)</f>
        <v>0</v>
      </c>
      <c r="D39" s="122">
        <f>+C39+'29'!D39</f>
        <v>0</v>
      </c>
      <c r="E39" s="147">
        <f t="shared" si="12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47.376932272013491</v>
      </c>
      <c r="K39" s="134" t="s">
        <v>62</v>
      </c>
    </row>
    <row r="40" spans="1:27" ht="17.45" customHeight="1">
      <c r="A40" s="763" t="s">
        <v>65</v>
      </c>
      <c r="B40" s="764"/>
      <c r="C40" s="168">
        <f>SUMIF($G$7:$G$31,"Mechanical",$F$7:$F$31)</f>
        <v>0</v>
      </c>
      <c r="D40" s="122">
        <f>+C40+'29'!D40</f>
        <v>414</v>
      </c>
      <c r="E40" s="147">
        <f t="shared" si="12"/>
        <v>6.9</v>
      </c>
      <c r="F40" s="327">
        <v>1230</v>
      </c>
      <c r="G40" s="327">
        <v>947.09999999999991</v>
      </c>
      <c r="H40" s="192" t="s">
        <v>66</v>
      </c>
      <c r="I40" s="122">
        <f>(K34+L34)/1000</f>
        <v>39.563000000000002</v>
      </c>
      <c r="J40" s="135">
        <f>+I40+'29'!J40</f>
        <v>1260.7330000000002</v>
      </c>
      <c r="K40" s="134" t="s">
        <v>62</v>
      </c>
    </row>
    <row r="41" spans="1:27" ht="17.45" customHeight="1">
      <c r="A41" s="763" t="s">
        <v>67</v>
      </c>
      <c r="B41" s="764"/>
      <c r="C41" s="168">
        <f>SUMIF($G$7:$G$31,"Electrical",$F$7:$F$31)</f>
        <v>0</v>
      </c>
      <c r="D41" s="122">
        <f>+C41+'29'!D41</f>
        <v>60</v>
      </c>
      <c r="E41" s="147">
        <f t="shared" si="12"/>
        <v>1</v>
      </c>
      <c r="F41" s="327"/>
      <c r="G41" s="327"/>
      <c r="H41" s="192" t="s">
        <v>68</v>
      </c>
      <c r="I41" s="146"/>
      <c r="J41" s="133">
        <f>J40/G4</f>
        <v>42.024433333333342</v>
      </c>
      <c r="K41" s="134" t="s">
        <v>62</v>
      </c>
    </row>
    <row r="42" spans="1:27" ht="17.45" customHeight="1">
      <c r="A42" s="763" t="s">
        <v>15</v>
      </c>
      <c r="B42" s="764"/>
      <c r="C42" s="168">
        <f>SUMIF($G$7:$G$31,"Instrument",$F$7:$F$31)</f>
        <v>0</v>
      </c>
      <c r="D42" s="122">
        <f>+C42+'29'!D42</f>
        <v>0</v>
      </c>
      <c r="E42" s="147">
        <f t="shared" si="12"/>
        <v>0</v>
      </c>
      <c r="F42" s="327">
        <f>+(F38*480+F39*480+F40*480)/1440</f>
        <v>1230</v>
      </c>
      <c r="G42" s="327">
        <f>+(G38*480+G39*480+G40*480)/1440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27" ht="17.45" customHeight="1">
      <c r="A43" s="763" t="s">
        <v>71</v>
      </c>
      <c r="B43" s="764"/>
      <c r="C43" s="168">
        <f>SUMIF($G$7:$G$31,"Water",$F$7:$F$31)</f>
        <v>0</v>
      </c>
      <c r="D43" s="122">
        <f>+C43+'29'!D43</f>
        <v>0</v>
      </c>
      <c r="E43" s="147">
        <f t="shared" si="12"/>
        <v>0</v>
      </c>
      <c r="F43" s="327"/>
      <c r="G43" s="328"/>
      <c r="H43" s="193" t="s">
        <v>72</v>
      </c>
      <c r="I43" s="122">
        <f>+Report1!Z38</f>
        <v>58.1</v>
      </c>
      <c r="J43" s="137">
        <f>+I43+'29'!J43</f>
        <v>1716.5</v>
      </c>
      <c r="K43" s="134" t="s">
        <v>62</v>
      </c>
      <c r="L43" s="194"/>
    </row>
    <row r="44" spans="1:27" ht="17.45" customHeight="1">
      <c r="A44" s="763" t="s">
        <v>16</v>
      </c>
      <c r="B44" s="764"/>
      <c r="C44" s="168">
        <f>SUMIF($G$7:$G$31,"PLN",$F$7:$F$31)</f>
        <v>0</v>
      </c>
      <c r="D44" s="122">
        <f>+C44+'29'!D44</f>
        <v>0</v>
      </c>
      <c r="E44" s="147">
        <f t="shared" si="12"/>
        <v>0</v>
      </c>
      <c r="F44" s="327"/>
      <c r="G44" s="328"/>
      <c r="H44" s="193" t="s">
        <v>73</v>
      </c>
      <c r="I44" s="122">
        <f>I43/I38</f>
        <v>1.3293369331441907</v>
      </c>
      <c r="J44" s="138">
        <f>J43/J38</f>
        <v>1.3180992340971884</v>
      </c>
      <c r="K44" s="134" t="s">
        <v>62</v>
      </c>
    </row>
    <row r="45" spans="1:27" ht="17.45" customHeight="1">
      <c r="A45" s="763" t="s">
        <v>17</v>
      </c>
      <c r="B45" s="764"/>
      <c r="C45" s="168">
        <f>SUMIF($G$7:$G$31,"Boiler",$F$7:$F$31)</f>
        <v>0</v>
      </c>
      <c r="D45" s="122">
        <f>+C45+'29'!D45</f>
        <v>0</v>
      </c>
      <c r="E45" s="147">
        <f t="shared" si="12"/>
        <v>0</v>
      </c>
      <c r="F45" s="327"/>
      <c r="G45" s="330"/>
      <c r="H45" s="193" t="s">
        <v>74</v>
      </c>
      <c r="I45" s="122">
        <f>I43/I40</f>
        <v>1.4685438414680383</v>
      </c>
      <c r="J45" s="138">
        <f>J43/J40</f>
        <v>1.3615095345326884</v>
      </c>
      <c r="K45" s="134" t="s">
        <v>62</v>
      </c>
    </row>
    <row r="46" spans="1:27" ht="17.45" customHeight="1">
      <c r="A46" s="763" t="s">
        <v>75</v>
      </c>
      <c r="B46" s="764"/>
      <c r="C46" s="168">
        <f>SUMIF($G$7:$G$31,"Gas",$F$7:$F$31)</f>
        <v>0</v>
      </c>
      <c r="D46" s="122">
        <f>+C46+'29'!D46</f>
        <v>0</v>
      </c>
      <c r="E46" s="147">
        <f t="shared" si="12"/>
        <v>0</v>
      </c>
      <c r="F46" s="327"/>
      <c r="G46" s="328"/>
      <c r="H46" s="193" t="s">
        <v>76</v>
      </c>
      <c r="I46" s="144">
        <f>+SUMIF(Listrik!P37,"&gt;0")</f>
        <v>36664.939999998911</v>
      </c>
      <c r="J46" s="139">
        <f>+I46+'29'!J46</f>
        <v>1099125.28</v>
      </c>
      <c r="K46" s="134" t="s">
        <v>77</v>
      </c>
    </row>
    <row r="47" spans="1:27" ht="17.45" customHeight="1">
      <c r="A47" s="763" t="s">
        <v>78</v>
      </c>
      <c r="B47" s="764"/>
      <c r="C47" s="168">
        <f>SUMIF($G$7:$G$31,"Gas",$F$7:$F$31)</f>
        <v>0</v>
      </c>
      <c r="D47" s="122">
        <f>+C47+'29'!D47</f>
        <v>0</v>
      </c>
      <c r="E47" s="147">
        <f t="shared" si="12"/>
        <v>0</v>
      </c>
      <c r="F47" s="327"/>
      <c r="G47" s="328"/>
      <c r="H47" s="193" t="s">
        <v>79</v>
      </c>
      <c r="I47" s="122">
        <f>I46/I38</f>
        <v>838.89946460437716</v>
      </c>
      <c r="J47" s="139">
        <f>J46/J38</f>
        <v>844.01758796671015</v>
      </c>
      <c r="K47" s="134" t="s">
        <v>23</v>
      </c>
    </row>
    <row r="48" spans="1:27" ht="17.45" customHeight="1">
      <c r="A48" s="763" t="s">
        <v>13</v>
      </c>
      <c r="B48" s="764"/>
      <c r="C48" s="168">
        <f>SUMIF($G$7:$G$31,"Start Up",$F$7:$F$31)</f>
        <v>0</v>
      </c>
      <c r="D48" s="122">
        <f>+C48+'29'!D48</f>
        <v>0</v>
      </c>
      <c r="E48" s="147">
        <f t="shared" si="12"/>
        <v>0</v>
      </c>
      <c r="F48" s="327"/>
      <c r="G48" s="328"/>
      <c r="H48" s="193" t="s">
        <v>80</v>
      </c>
      <c r="I48" s="122">
        <f>I46/I40</f>
        <v>926.74822435100748</v>
      </c>
      <c r="J48" s="139">
        <f>J46/J40</f>
        <v>871.81447618171319</v>
      </c>
      <c r="K48" s="134" t="s">
        <v>23</v>
      </c>
    </row>
    <row r="49" spans="1:23" ht="17.45" customHeight="1">
      <c r="A49" s="763" t="s">
        <v>19</v>
      </c>
      <c r="B49" s="764"/>
      <c r="C49" s="168">
        <f>SUMIF($G$7:$G$31,"Others",$F$7:$F$31)</f>
        <v>0</v>
      </c>
      <c r="D49" s="122">
        <f>+C49+'29'!D49</f>
        <v>0</v>
      </c>
      <c r="E49" s="147">
        <f t="shared" si="12"/>
        <v>0</v>
      </c>
      <c r="F49" s="190"/>
      <c r="H49" s="193" t="s">
        <v>271</v>
      </c>
      <c r="I49" s="122">
        <f>+Report1!T38</f>
        <v>3954.7051942357289</v>
      </c>
      <c r="J49" s="139">
        <f>+I49+'29'!J49</f>
        <v>118525.10584609502</v>
      </c>
      <c r="K49" s="134" t="s">
        <v>81</v>
      </c>
    </row>
    <row r="50" spans="1:23" ht="17.45" customHeight="1">
      <c r="A50" s="763" t="s">
        <v>18</v>
      </c>
      <c r="B50" s="764"/>
      <c r="C50" s="168">
        <f>SUMIF($G$7:$G$31,"Steam",$F$7:$F$31)</f>
        <v>0</v>
      </c>
      <c r="D50" s="122">
        <f>+C50+'29'!D50</f>
        <v>0</v>
      </c>
      <c r="E50" s="147">
        <f t="shared" si="12"/>
        <v>0</v>
      </c>
      <c r="F50" s="190"/>
      <c r="H50" s="193" t="s">
        <v>82</v>
      </c>
      <c r="I50" s="144">
        <f>I49/I38</f>
        <v>90.484262898360143</v>
      </c>
      <c r="J50" s="137">
        <f>J49/J38</f>
        <v>91.015351725619595</v>
      </c>
      <c r="K50" s="134" t="s">
        <v>81</v>
      </c>
    </row>
    <row r="51" spans="1:23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+C51+'29'!D51</f>
        <v>0</v>
      </c>
      <c r="E51" s="147">
        <f t="shared" si="12"/>
        <v>0</v>
      </c>
      <c r="F51" s="190"/>
      <c r="H51" s="195" t="s">
        <v>84</v>
      </c>
      <c r="I51" s="145">
        <f>I49/I40</f>
        <v>99.959689463279545</v>
      </c>
      <c r="J51" s="140">
        <f>J49/J40</f>
        <v>94.012852718295619</v>
      </c>
      <c r="K51" s="141" t="s">
        <v>81</v>
      </c>
    </row>
    <row r="52" spans="1:23" ht="13.5" thickBot="1">
      <c r="A52" s="759" t="s">
        <v>27</v>
      </c>
      <c r="B52" s="760"/>
      <c r="C52" s="148">
        <f>SUM(C38:C51)</f>
        <v>63</v>
      </c>
      <c r="D52" s="148">
        <f>SUM(D38:D51)</f>
        <v>2613</v>
      </c>
      <c r="E52" s="149">
        <f>SUM(E38:E51)</f>
        <v>43.55</v>
      </c>
      <c r="F52" s="190"/>
      <c r="H52" s="196"/>
      <c r="I52" s="197"/>
      <c r="J52" s="142"/>
      <c r="K52" s="143"/>
    </row>
    <row r="53" spans="1:23" ht="13.5" thickBot="1">
      <c r="A53" s="761"/>
      <c r="B53" s="762"/>
      <c r="C53" s="150">
        <f>C52/(24*60)</f>
        <v>4.3749999999999997E-2</v>
      </c>
      <c r="D53" s="150">
        <f>D52/(24*60*G4)</f>
        <v>6.0486111111111109E-2</v>
      </c>
      <c r="E53" s="151">
        <f>E52/(G4*24)</f>
        <v>6.0486111111111109E-2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+D34+'29'!J56</f>
        <v>9572</v>
      </c>
      <c r="K56" s="206">
        <f>J56/(J40+J56/1000)/1000</f>
        <v>7.5351982397928053E-3</v>
      </c>
    </row>
    <row r="57" spans="1:23">
      <c r="A57" s="181"/>
      <c r="I57" s="204" t="s">
        <v>87</v>
      </c>
      <c r="J57" s="205">
        <f>+E34+'29'!J57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3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zoomScale="80" zoomScaleNormal="80" workbookViewId="0">
      <selection activeCell="F18" sqref="F1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140625" style="153" customWidth="1"/>
    <col min="14" max="15" width="0" style="153" hidden="1" customWidth="1"/>
    <col min="16" max="16" width="10.28515625" style="153" hidden="1" customWidth="1"/>
    <col min="17" max="17" width="9.28515625" style="153" hidden="1" customWidth="1"/>
    <col min="18" max="23" width="0" style="153" hidden="1" customWidth="1"/>
    <col min="24" max="16384" width="9.140625" style="153"/>
  </cols>
  <sheetData>
    <row r="1" spans="1:29" ht="15.75">
      <c r="A1" s="152"/>
    </row>
    <row r="2" spans="1:29" ht="15.75">
      <c r="A2" s="152" t="s">
        <v>184</v>
      </c>
    </row>
    <row r="3" spans="1:29" ht="15">
      <c r="A3" s="154"/>
    </row>
    <row r="4" spans="1:29" ht="20.25">
      <c r="A4" s="155" t="s">
        <v>3</v>
      </c>
      <c r="B4" s="156"/>
      <c r="F4" s="157" t="s">
        <v>28</v>
      </c>
      <c r="G4" s="158">
        <v>29</v>
      </c>
      <c r="H4" s="158" t="str">
        <f>+'1'!H4</f>
        <v>.08.25</v>
      </c>
      <c r="J4" s="153">
        <f>510+502+543</f>
        <v>1555</v>
      </c>
    </row>
    <row r="5" spans="1:29" ht="13.5" thickBot="1">
      <c r="C5" s="159"/>
      <c r="D5" s="159"/>
    </row>
    <row r="6" spans="1:2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86" t="s">
        <v>91</v>
      </c>
      <c r="O6" s="419" t="s">
        <v>191</v>
      </c>
      <c r="P6" s="419" t="s">
        <v>191</v>
      </c>
      <c r="Q6" s="419" t="s">
        <v>192</v>
      </c>
      <c r="R6" s="419" t="s">
        <v>193</v>
      </c>
      <c r="S6" s="419" t="s">
        <v>194</v>
      </c>
      <c r="T6" s="419" t="s">
        <v>189</v>
      </c>
      <c r="U6" s="420" t="s">
        <v>195</v>
      </c>
      <c r="V6" s="419" t="s">
        <v>196</v>
      </c>
      <c r="W6" s="419" t="s">
        <v>190</v>
      </c>
      <c r="X6" s="153" t="s">
        <v>390</v>
      </c>
      <c r="Y6" s="153">
        <v>1230</v>
      </c>
      <c r="Z6" s="153">
        <f>+Y6-Y6*0.23</f>
        <v>947.09999999999991</v>
      </c>
      <c r="AA6" s="153">
        <v>480</v>
      </c>
      <c r="AB6" s="153">
        <f t="shared" ref="AB6:AB9" si="0">+Y6*AA6</f>
        <v>590400</v>
      </c>
      <c r="AC6" s="153">
        <f t="shared" ref="AC6:AC9" si="1">+Z6*AA6</f>
        <v>454607.99999999994</v>
      </c>
    </row>
    <row r="7" spans="1:29" ht="13.5" customHeight="1" thickBot="1">
      <c r="A7" s="769"/>
      <c r="B7" s="220" t="s">
        <v>521</v>
      </c>
      <c r="C7" s="221">
        <v>12961</v>
      </c>
      <c r="D7" s="222"/>
      <c r="E7" s="223"/>
      <c r="F7" s="233"/>
      <c r="G7" s="234" t="s">
        <v>11</v>
      </c>
      <c r="H7" s="235" t="s">
        <v>387</v>
      </c>
      <c r="I7" s="772" t="s">
        <v>405</v>
      </c>
      <c r="J7" s="219" t="str">
        <f>+'28'!J7</f>
        <v>T 13 VP OW</v>
      </c>
      <c r="K7" s="243"/>
      <c r="L7" s="247"/>
      <c r="M7" s="121">
        <f>+K7+'28'!M7+L7</f>
        <v>431302</v>
      </c>
      <c r="N7" s="421">
        <v>14.5</v>
      </c>
      <c r="O7" s="204">
        <v>1200</v>
      </c>
      <c r="P7" s="204">
        <v>1120</v>
      </c>
      <c r="Q7" s="204">
        <v>896</v>
      </c>
      <c r="R7" s="422">
        <f>1-(Q7/P7)</f>
        <v>0.19999999999999996</v>
      </c>
      <c r="S7" s="423">
        <v>45</v>
      </c>
      <c r="T7" s="424">
        <v>256.5</v>
      </c>
      <c r="U7" s="425">
        <f>(O7*(1-R7)*N7*T7*S7)/100000000</f>
        <v>1.606716</v>
      </c>
      <c r="V7" s="426">
        <f>+C14/1000</f>
        <v>12.961</v>
      </c>
      <c r="W7" s="427">
        <f>SUM(V7:V9)/SUM(U7:U9)</f>
        <v>0.62052036576470271</v>
      </c>
      <c r="X7" s="153" t="s">
        <v>390</v>
      </c>
      <c r="Y7" s="153">
        <v>1230</v>
      </c>
      <c r="Z7" s="153">
        <f t="shared" ref="Z7:Z8" si="2">+Y7-Y7*0.23</f>
        <v>947.09999999999991</v>
      </c>
      <c r="AA7" s="153">
        <f>60*3+30</f>
        <v>210</v>
      </c>
      <c r="AB7" s="153">
        <f t="shared" si="0"/>
        <v>258300</v>
      </c>
      <c r="AC7" s="153">
        <f t="shared" si="1"/>
        <v>198890.99999999997</v>
      </c>
    </row>
    <row r="8" spans="1:29" ht="13.5" thickBot="1">
      <c r="A8" s="770"/>
      <c r="B8" s="220"/>
      <c r="C8" s="221"/>
      <c r="D8" s="222"/>
      <c r="E8" s="224"/>
      <c r="F8" s="236">
        <v>8</v>
      </c>
      <c r="G8" s="237" t="s">
        <v>11</v>
      </c>
      <c r="H8" s="235" t="s">
        <v>388</v>
      </c>
      <c r="I8" s="773"/>
      <c r="J8" s="219" t="str">
        <f>+'28'!J8</f>
        <v>T 15,5 VP OW</v>
      </c>
      <c r="K8" s="244"/>
      <c r="L8" s="244"/>
      <c r="M8" s="121">
        <f>+K8+'28'!M8+L8</f>
        <v>79695</v>
      </c>
      <c r="N8" s="421">
        <v>18</v>
      </c>
      <c r="O8" s="204">
        <v>1200</v>
      </c>
      <c r="P8" s="204">
        <v>930</v>
      </c>
      <c r="Q8" s="204">
        <v>744</v>
      </c>
      <c r="R8" s="422">
        <f>1-(Q8/P8)</f>
        <v>0.19999999999999996</v>
      </c>
      <c r="S8" s="423">
        <f>480-S7</f>
        <v>435</v>
      </c>
      <c r="T8" s="424">
        <v>256.5</v>
      </c>
      <c r="U8" s="425">
        <f>(O8*(1-R8)*N8*T8*S8)/100000000</f>
        <v>19.280591999999999</v>
      </c>
      <c r="V8" s="426"/>
      <c r="W8" s="428"/>
      <c r="Z8" s="153">
        <f t="shared" si="2"/>
        <v>0</v>
      </c>
      <c r="AB8" s="153">
        <f t="shared" si="0"/>
        <v>0</v>
      </c>
      <c r="AC8" s="153">
        <f t="shared" si="1"/>
        <v>0</v>
      </c>
    </row>
    <row r="9" spans="1:29" ht="13.5" thickBot="1">
      <c r="A9" s="770"/>
      <c r="B9" s="220"/>
      <c r="C9" s="221"/>
      <c r="D9" s="222"/>
      <c r="E9" s="225"/>
      <c r="F9" s="233">
        <v>10</v>
      </c>
      <c r="G9" s="237" t="s">
        <v>11</v>
      </c>
      <c r="H9" s="238" t="s">
        <v>389</v>
      </c>
      <c r="I9" s="773"/>
      <c r="J9" s="219" t="str">
        <f>+'28'!J9</f>
        <v>T 19 VP OW</v>
      </c>
      <c r="K9" s="244"/>
      <c r="L9" s="244"/>
      <c r="M9" s="121">
        <f>+K9+'28'!M9+L9</f>
        <v>10916</v>
      </c>
      <c r="N9" s="429"/>
      <c r="Z9" s="153">
        <f t="shared" ref="Z9" si="3">+Y9-Y9*0.25</f>
        <v>0</v>
      </c>
      <c r="AB9" s="153">
        <f t="shared" si="0"/>
        <v>0</v>
      </c>
      <c r="AC9" s="153">
        <f t="shared" si="1"/>
        <v>0</v>
      </c>
    </row>
    <row r="10" spans="1:2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638</v>
      </c>
      <c r="I10" s="773"/>
      <c r="J10" s="219" t="str">
        <f>+'28'!J10</f>
        <v>F 15 VP OW</v>
      </c>
      <c r="K10" s="244"/>
      <c r="L10" s="244"/>
      <c r="M10" s="121">
        <f>+K10+'28'!M10+L10</f>
        <v>10380</v>
      </c>
      <c r="N10" s="429"/>
      <c r="AA10" s="153">
        <f>SUM(AA5:AA9)</f>
        <v>690</v>
      </c>
      <c r="AB10" s="153">
        <f>SUM(AB5:AB9)</f>
        <v>848700</v>
      </c>
      <c r="AC10" s="153">
        <f>SUM(AC5:AC9)</f>
        <v>653498.99999999988</v>
      </c>
    </row>
    <row r="11" spans="1:29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+'28'!J11</f>
        <v>F 13,5 VP OW</v>
      </c>
      <c r="K11" s="244"/>
      <c r="L11" s="244"/>
      <c r="M11" s="121">
        <f>+K11+'28'!M11+L11</f>
        <v>131921</v>
      </c>
      <c r="N11" s="429"/>
      <c r="Y11" s="153" t="s">
        <v>404</v>
      </c>
      <c r="AB11" s="153">
        <f>+AB10/AA10</f>
        <v>1230</v>
      </c>
      <c r="AC11" s="153">
        <f>+AC10/AA10</f>
        <v>947.0999999999998</v>
      </c>
    </row>
    <row r="12" spans="1:2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+'28'!J12</f>
        <v>F 13 VP OW</v>
      </c>
      <c r="K12" s="244">
        <f>+C17+C25</f>
        <v>20025</v>
      </c>
      <c r="L12" s="244"/>
      <c r="M12" s="121">
        <f>+K12+'28'!M12+L12</f>
        <v>192925</v>
      </c>
      <c r="N12" s="429"/>
      <c r="AA12" s="153">
        <f>+X12*Z12</f>
        <v>0</v>
      </c>
      <c r="AB12" s="153">
        <f>+Y12*Z12</f>
        <v>0</v>
      </c>
    </row>
    <row r="13" spans="1:2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+'28'!J13</f>
        <v>F 12 VP OW</v>
      </c>
      <c r="K13" s="244">
        <f>+C7+C16</f>
        <v>17557</v>
      </c>
      <c r="L13" s="244"/>
      <c r="M13" s="121">
        <f>+K13+'28'!M13+L13</f>
        <v>341853</v>
      </c>
      <c r="N13" s="430"/>
      <c r="O13" s="431"/>
      <c r="P13" s="431"/>
      <c r="Q13" s="431"/>
      <c r="R13" s="431"/>
      <c r="S13" s="431"/>
      <c r="T13" s="431"/>
      <c r="U13" s="431"/>
      <c r="V13" s="431"/>
      <c r="W13" s="431"/>
    </row>
    <row r="14" spans="1:29" ht="13.5" thickBot="1">
      <c r="A14" s="771"/>
      <c r="B14" s="170" t="s">
        <v>2</v>
      </c>
      <c r="C14" s="103">
        <f>SUM(C7:C13)</f>
        <v>12961</v>
      </c>
      <c r="D14" s="115">
        <f>SUM(D7:D13)</f>
        <v>0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19" t="str">
        <f>+'28'!J14</f>
        <v>F 12,5 VP OW</v>
      </c>
      <c r="K14" s="244"/>
      <c r="L14" s="244"/>
      <c r="M14" s="121">
        <f>+K14+'28'!M14+L14</f>
        <v>22178</v>
      </c>
    </row>
    <row r="15" spans="1:29" ht="13.5" customHeight="1" thickBot="1">
      <c r="A15" s="769"/>
      <c r="B15" s="170"/>
      <c r="C15" s="117">
        <f>C14/($C$23+$D$23+$E$23)</f>
        <v>0.99356075124568799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+'28'!J15</f>
        <v>0</v>
      </c>
      <c r="K15" s="244"/>
      <c r="L15" s="244"/>
      <c r="M15" s="121">
        <f>+K15+'28'!M15+L15</f>
        <v>0</v>
      </c>
      <c r="N15" s="421">
        <v>18</v>
      </c>
      <c r="O15" s="204">
        <v>1200</v>
      </c>
      <c r="P15" s="204">
        <v>850</v>
      </c>
      <c r="Q15" s="204">
        <v>680</v>
      </c>
      <c r="R15" s="422">
        <f>1-(Q15/P15)</f>
        <v>0.19999999999999996</v>
      </c>
      <c r="S15" s="423">
        <v>480</v>
      </c>
      <c r="T15" s="424">
        <v>256.5</v>
      </c>
      <c r="U15" s="425">
        <f>(O15*(1-R15)*N15*T15*S15)/100000000</f>
        <v>21.275136</v>
      </c>
      <c r="V15" s="426">
        <f>+C23/1000</f>
        <v>13.045</v>
      </c>
      <c r="W15" s="427">
        <f>SUM(V15:V17)/SUM(U15:U17)</f>
        <v>0.61315706748008569</v>
      </c>
    </row>
    <row r="16" spans="1:29" ht="13.5" thickBot="1">
      <c r="A16" s="775"/>
      <c r="B16" s="220" t="s">
        <v>521</v>
      </c>
      <c r="C16" s="227">
        <v>4596</v>
      </c>
      <c r="D16" s="228"/>
      <c r="E16" s="229"/>
      <c r="F16" s="236">
        <v>6</v>
      </c>
      <c r="G16" s="237" t="s">
        <v>11</v>
      </c>
      <c r="H16" s="235" t="s">
        <v>388</v>
      </c>
      <c r="I16" s="773"/>
      <c r="J16" s="219">
        <f>+'28'!J16</f>
        <v>0</v>
      </c>
      <c r="K16" s="234"/>
      <c r="L16" s="234"/>
      <c r="M16" s="121">
        <f>+K16+'28'!M16+L16</f>
        <v>0</v>
      </c>
      <c r="N16" s="432"/>
      <c r="O16" s="204"/>
      <c r="P16" s="204"/>
      <c r="Q16" s="433"/>
      <c r="R16" s="422"/>
      <c r="S16" s="204"/>
      <c r="T16" s="424"/>
      <c r="U16" s="425"/>
      <c r="V16" s="426"/>
      <c r="W16" s="428"/>
    </row>
    <row r="17" spans="1:29" ht="13.5" thickBot="1">
      <c r="A17" s="775"/>
      <c r="B17" s="220" t="s">
        <v>520</v>
      </c>
      <c r="C17" s="221">
        <v>8449</v>
      </c>
      <c r="D17" s="222"/>
      <c r="E17" s="230"/>
      <c r="F17" s="233">
        <v>13</v>
      </c>
      <c r="G17" s="237" t="s">
        <v>11</v>
      </c>
      <c r="H17" s="238" t="s">
        <v>428</v>
      </c>
      <c r="I17" s="773"/>
      <c r="J17" s="219">
        <f>+'28'!J17</f>
        <v>0</v>
      </c>
      <c r="K17" s="234"/>
      <c r="L17" s="234"/>
      <c r="M17" s="121">
        <f>+K17+'28'!M17+L17</f>
        <v>0</v>
      </c>
      <c r="N17" s="429"/>
      <c r="O17" s="204"/>
      <c r="R17" s="422"/>
      <c r="T17" s="424"/>
      <c r="U17" s="425"/>
    </row>
    <row r="18" spans="1:2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627</v>
      </c>
      <c r="I18" s="773"/>
      <c r="J18" s="219">
        <f>+'28'!J18</f>
        <v>0</v>
      </c>
      <c r="K18" s="244"/>
      <c r="L18" s="244"/>
      <c r="M18" s="121">
        <f>+K18+'28'!M18+L18</f>
        <v>0</v>
      </c>
      <c r="N18" s="429"/>
    </row>
    <row r="19" spans="1:29" ht="13.5" thickBot="1">
      <c r="A19" s="775"/>
      <c r="B19" s="220"/>
      <c r="C19" s="221"/>
      <c r="D19" s="222"/>
      <c r="E19" s="230"/>
      <c r="F19" s="240"/>
      <c r="G19" s="237"/>
      <c r="H19" s="238" t="s">
        <v>637</v>
      </c>
      <c r="I19" s="773"/>
      <c r="J19" s="219">
        <f>+'28'!J19</f>
        <v>0</v>
      </c>
      <c r="K19" s="244"/>
      <c r="L19" s="244"/>
      <c r="M19" s="121">
        <f>+K19+'28'!M19+L19</f>
        <v>0</v>
      </c>
      <c r="N19" s="429"/>
    </row>
    <row r="20" spans="1:2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+'28'!J20</f>
        <v>0</v>
      </c>
      <c r="K20" s="245"/>
      <c r="L20" s="245"/>
      <c r="M20" s="121">
        <f>+K20+'28'!M20+L20</f>
        <v>0</v>
      </c>
      <c r="N20" s="429"/>
    </row>
    <row r="21" spans="1:2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+'28'!J21</f>
        <v>0</v>
      </c>
      <c r="K21" s="244"/>
      <c r="L21" s="244"/>
      <c r="M21" s="121">
        <f>+K21+'28'!M21+L21</f>
        <v>0</v>
      </c>
      <c r="N21" s="430"/>
      <c r="O21" s="431"/>
      <c r="P21" s="431"/>
      <c r="Q21" s="431"/>
      <c r="R21" s="431"/>
      <c r="S21" s="431"/>
      <c r="T21" s="431"/>
      <c r="U21" s="431"/>
      <c r="V21" s="431"/>
      <c r="W21" s="431"/>
    </row>
    <row r="22" spans="1:2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+'28'!J22</f>
        <v>0</v>
      </c>
      <c r="K22" s="244"/>
      <c r="L22" s="244"/>
      <c r="M22" s="121">
        <f>+K22+'28'!M22+L22</f>
        <v>0</v>
      </c>
    </row>
    <row r="23" spans="1:29" ht="13.5" thickBot="1">
      <c r="A23" s="776"/>
      <c r="B23" s="173" t="s">
        <v>2</v>
      </c>
      <c r="C23" s="104">
        <f>SUM(C16:C22)</f>
        <v>13045</v>
      </c>
      <c r="D23" s="115">
        <f>SUM(D16:D22)</f>
        <v>0</v>
      </c>
      <c r="E23" s="116">
        <f>SUM(E18:E22)</f>
        <v>0</v>
      </c>
      <c r="F23" s="120">
        <f>SUM(F15:F22)</f>
        <v>19</v>
      </c>
      <c r="G23" s="163"/>
      <c r="H23" s="171"/>
      <c r="I23" s="174"/>
      <c r="J23" s="219">
        <f>+'28'!J23</f>
        <v>0</v>
      </c>
      <c r="K23" s="244"/>
      <c r="L23" s="244"/>
      <c r="M23" s="121">
        <f>+K23+'28'!M23+L23</f>
        <v>0</v>
      </c>
      <c r="N23" s="434"/>
      <c r="O23" s="435"/>
      <c r="P23" s="435"/>
      <c r="Q23" s="435"/>
      <c r="R23" s="435"/>
      <c r="S23" s="435"/>
      <c r="T23" s="435"/>
      <c r="U23" s="435"/>
      <c r="V23" s="435"/>
      <c r="W23" s="435"/>
    </row>
    <row r="24" spans="1:2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+'28'!J24</f>
        <v>0</v>
      </c>
      <c r="K24" s="244"/>
      <c r="L24" s="244"/>
      <c r="M24" s="121">
        <f>+K24+'28'!M24+L24</f>
        <v>0</v>
      </c>
      <c r="N24" s="421">
        <v>18</v>
      </c>
      <c r="O24" s="204">
        <v>1200</v>
      </c>
      <c r="P24" s="204">
        <v>770</v>
      </c>
      <c r="Q24" s="204">
        <v>616</v>
      </c>
      <c r="R24" s="422">
        <f>1-(Q24/P24)</f>
        <v>0.19999999999999996</v>
      </c>
      <c r="S24" s="423">
        <v>480</v>
      </c>
      <c r="T24" s="424">
        <v>256.5</v>
      </c>
      <c r="U24" s="425">
        <f>(O24*(1-R24)*N24*T24*S24)/100000000</f>
        <v>21.275136</v>
      </c>
      <c r="V24" s="426">
        <f>+C32/1000</f>
        <v>11.576000000000001</v>
      </c>
      <c r="W24" s="427">
        <f>SUM(V24:V25)/SUM(U24:U25)</f>
        <v>0.54410933025293007</v>
      </c>
      <c r="X24" s="153" t="s">
        <v>503</v>
      </c>
      <c r="Y24" s="153">
        <v>1230</v>
      </c>
      <c r="Z24" s="153">
        <f>+Y24-Y24*0.23</f>
        <v>947.09999999999991</v>
      </c>
      <c r="AA24" s="153">
        <f>480-210</f>
        <v>270</v>
      </c>
      <c r="AB24" s="153">
        <f t="shared" ref="AB24:AB27" si="4">+Y24*AA24</f>
        <v>332100</v>
      </c>
      <c r="AC24" s="153">
        <f t="shared" ref="AC24:AC27" si="5">+Z24*AA24</f>
        <v>255716.99999999997</v>
      </c>
    </row>
    <row r="25" spans="1:29" ht="13.5" customHeight="1" thickBot="1">
      <c r="A25" s="775"/>
      <c r="B25" s="220" t="s">
        <v>520</v>
      </c>
      <c r="C25" s="231">
        <v>11576</v>
      </c>
      <c r="D25" s="222">
        <v>798</v>
      </c>
      <c r="E25" s="230"/>
      <c r="F25" s="236">
        <v>10</v>
      </c>
      <c r="G25" s="237" t="s">
        <v>11</v>
      </c>
      <c r="H25" s="235" t="s">
        <v>536</v>
      </c>
      <c r="I25" s="773"/>
      <c r="J25" s="219">
        <f>+'28'!J25</f>
        <v>0</v>
      </c>
      <c r="K25" s="244"/>
      <c r="L25" s="244"/>
      <c r="M25" s="121">
        <f>+K25+'28'!M25+L25</f>
        <v>0</v>
      </c>
      <c r="N25" s="421"/>
      <c r="O25" s="204"/>
      <c r="P25" s="204"/>
      <c r="Q25" s="204"/>
      <c r="R25" s="422"/>
      <c r="S25" s="423"/>
      <c r="T25" s="424"/>
      <c r="U25" s="425"/>
      <c r="V25" s="426"/>
      <c r="W25" s="427"/>
      <c r="Y25" s="153">
        <v>1230</v>
      </c>
      <c r="Z25" s="153">
        <f t="shared" ref="Z25:Z26" si="6">+Y25-Y25*0.23</f>
        <v>947.09999999999991</v>
      </c>
      <c r="AA25" s="153">
        <v>480</v>
      </c>
      <c r="AB25" s="153">
        <f t="shared" si="4"/>
        <v>590400</v>
      </c>
      <c r="AC25" s="153">
        <f t="shared" si="5"/>
        <v>454607.99999999994</v>
      </c>
    </row>
    <row r="26" spans="1:29" ht="13.5" customHeight="1" thickBot="1">
      <c r="A26" s="775"/>
      <c r="B26" s="220"/>
      <c r="C26" s="231"/>
      <c r="D26" s="222"/>
      <c r="E26" s="232"/>
      <c r="F26" s="233">
        <v>10</v>
      </c>
      <c r="G26" s="237" t="s">
        <v>11</v>
      </c>
      <c r="H26" s="238" t="s">
        <v>408</v>
      </c>
      <c r="I26" s="773"/>
      <c r="J26" s="219">
        <f>+'28'!J26</f>
        <v>0</v>
      </c>
      <c r="K26" s="244"/>
      <c r="L26" s="244"/>
      <c r="M26" s="121">
        <f>+K26+'28'!M26+L26</f>
        <v>0</v>
      </c>
      <c r="Z26" s="153">
        <f t="shared" si="6"/>
        <v>0</v>
      </c>
      <c r="AB26" s="153">
        <f t="shared" si="4"/>
        <v>0</v>
      </c>
      <c r="AC26" s="153">
        <f t="shared" si="5"/>
        <v>0</v>
      </c>
    </row>
    <row r="27" spans="1:29" ht="13.5" customHeight="1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639</v>
      </c>
      <c r="I27" s="773"/>
      <c r="J27" s="219">
        <f>+'28'!J27</f>
        <v>0</v>
      </c>
      <c r="K27" s="244"/>
      <c r="L27" s="244"/>
      <c r="M27" s="121">
        <f>+K27+'28'!M27+L27</f>
        <v>0</v>
      </c>
      <c r="Z27" s="153">
        <f t="shared" ref="Z27" si="7">+Y27-Y27*0.25</f>
        <v>0</v>
      </c>
      <c r="AB27" s="153">
        <f t="shared" si="4"/>
        <v>0</v>
      </c>
      <c r="AC27" s="153">
        <f t="shared" si="5"/>
        <v>0</v>
      </c>
    </row>
    <row r="28" spans="1:29" ht="13.5" customHeight="1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+'28'!J28</f>
        <v>0</v>
      </c>
      <c r="K28" s="244"/>
      <c r="L28" s="244"/>
      <c r="M28" s="121">
        <f>+K28+'28'!M28+L28</f>
        <v>0</v>
      </c>
      <c r="AA28" s="153">
        <f>SUM(AA23:AA27)</f>
        <v>750</v>
      </c>
      <c r="AB28" s="153">
        <f>SUM(AB23:AB27)</f>
        <v>922500</v>
      </c>
      <c r="AC28" s="153">
        <f>SUM(AC23:AC27)</f>
        <v>710324.99999999988</v>
      </c>
    </row>
    <row r="29" spans="1:29" ht="13.5" customHeight="1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+'28'!J29</f>
        <v>0</v>
      </c>
      <c r="K29" s="244"/>
      <c r="L29" s="244"/>
      <c r="M29" s="121">
        <f>+K29+'28'!M29+L29</f>
        <v>0</v>
      </c>
      <c r="Y29" s="153" t="s">
        <v>404</v>
      </c>
      <c r="AB29" s="153">
        <f>+AB28/AA28</f>
        <v>1230</v>
      </c>
      <c r="AC29" s="153">
        <f>+AC28/AA28</f>
        <v>947.0999999999998</v>
      </c>
    </row>
    <row r="30" spans="1:29" ht="13.5" customHeight="1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+'28'!J30</f>
        <v>0</v>
      </c>
      <c r="K30" s="244"/>
      <c r="L30" s="244"/>
      <c r="M30" s="121">
        <f>+K30+'28'!M30+L30</f>
        <v>0</v>
      </c>
      <c r="N30" s="159"/>
      <c r="AA30" s="153">
        <f>+X30*Z30</f>
        <v>0</v>
      </c>
      <c r="AB30" s="153">
        <f>+Y30*Z30</f>
        <v>0</v>
      </c>
    </row>
    <row r="31" spans="1:29" ht="13.5" customHeight="1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+'28'!J31</f>
        <v>0</v>
      </c>
      <c r="K31" s="244"/>
      <c r="L31" s="244"/>
      <c r="M31" s="121">
        <f>+K31+'28'!M31+L31</f>
        <v>0</v>
      </c>
    </row>
    <row r="32" spans="1:29" ht="13.5" customHeight="1" thickBot="1">
      <c r="A32" s="776"/>
      <c r="B32" s="170" t="s">
        <v>2</v>
      </c>
      <c r="C32" s="103">
        <f>SUM(C25:C31)</f>
        <v>11576</v>
      </c>
      <c r="D32" s="104">
        <f>SUM(D25:D31)</f>
        <v>798</v>
      </c>
      <c r="E32" s="105">
        <f>SUM(E25:E31)</f>
        <v>0</v>
      </c>
      <c r="F32" s="106">
        <f>SUM(F24:F31)</f>
        <v>20</v>
      </c>
      <c r="G32" s="176"/>
      <c r="H32" s="177"/>
      <c r="I32" s="174"/>
      <c r="J32" s="219">
        <f>+'28'!J32</f>
        <v>0</v>
      </c>
      <c r="K32" s="246"/>
      <c r="L32" s="248"/>
      <c r="M32" s="121">
        <f>+K32+'28'!M32+L32</f>
        <v>0</v>
      </c>
    </row>
    <row r="33" spans="1:27" ht="13.5" thickBot="1">
      <c r="A33" s="178"/>
      <c r="B33" s="179"/>
      <c r="C33" s="107">
        <f>C32/($C$32+$D$32+$E$32)</f>
        <v>0.93550994019718769</v>
      </c>
      <c r="D33" s="108">
        <f>D32/($C$32+$D$32+$E$32)</f>
        <v>6.4490059802812347E-2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X33" s="153" t="s">
        <v>390</v>
      </c>
      <c r="Y33" s="153">
        <v>1230</v>
      </c>
      <c r="Z33" s="153">
        <v>947.09999999999991</v>
      </c>
      <c r="AA33" s="153">
        <f>480+210</f>
        <v>690</v>
      </c>
    </row>
    <row r="34" spans="1:27" ht="13.5" thickBot="1">
      <c r="A34" s="765" t="s">
        <v>56</v>
      </c>
      <c r="B34" s="766"/>
      <c r="C34" s="111">
        <f>C14+C23+C32</f>
        <v>37582</v>
      </c>
      <c r="D34" s="111">
        <f>D14+D23+D32</f>
        <v>798</v>
      </c>
      <c r="E34" s="111">
        <f>E14+E23+E32</f>
        <v>0</v>
      </c>
      <c r="F34" s="112">
        <f>F14+F23+F32</f>
        <v>57</v>
      </c>
      <c r="H34" s="183"/>
      <c r="I34" s="183"/>
      <c r="J34" s="127" t="s">
        <v>27</v>
      </c>
      <c r="K34" s="128">
        <f>SUM(K7:K32)</f>
        <v>37582</v>
      </c>
      <c r="L34" s="217">
        <f>SUM(L7:L32)</f>
        <v>0</v>
      </c>
      <c r="M34" s="124">
        <f>SUM(M7:M32)</f>
        <v>1221170</v>
      </c>
      <c r="N34" s="159"/>
      <c r="X34" s="153" t="s">
        <v>503</v>
      </c>
      <c r="Y34" s="153">
        <v>1230</v>
      </c>
      <c r="Z34" s="153">
        <v>947.09999999999991</v>
      </c>
      <c r="AA34" s="153">
        <v>750</v>
      </c>
    </row>
    <row r="35" spans="1:27" ht="13.5" thickBot="1">
      <c r="A35" s="184"/>
      <c r="B35" s="185"/>
      <c r="C35" s="108">
        <f>C34/($C$34+$D$34+$E$34)</f>
        <v>0.97920792079207919</v>
      </c>
      <c r="D35" s="108">
        <f>D34/($C$34+$D$34+$E$34)</f>
        <v>2.0792079207920793E-2</v>
      </c>
      <c r="E35" s="113">
        <f>E34/($C$34+$D$34+$E$34)</f>
        <v>0</v>
      </c>
      <c r="K35" s="159"/>
      <c r="AA35" s="153">
        <f>+AA33+AA34</f>
        <v>1440</v>
      </c>
    </row>
    <row r="36" spans="1:27" ht="13.5" thickBot="1">
      <c r="A36" s="183"/>
      <c r="B36" s="183"/>
      <c r="C36" s="159"/>
      <c r="D36" s="159"/>
      <c r="E36" s="159"/>
      <c r="G36" s="159"/>
      <c r="H36" s="186" t="s">
        <v>0</v>
      </c>
      <c r="I36" s="166" t="s">
        <v>36</v>
      </c>
      <c r="J36" s="166" t="s">
        <v>37</v>
      </c>
      <c r="K36" s="187"/>
    </row>
    <row r="37" spans="1:2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(12*690+750*13)/1440*G42*2.74*1440/1000000</f>
        <v>46.788823619999988</v>
      </c>
      <c r="J37" s="129">
        <f>+I37+'28'!J37</f>
        <v>1374.2077380604046</v>
      </c>
      <c r="K37" s="130" t="s">
        <v>62</v>
      </c>
    </row>
    <row r="38" spans="1:27" ht="17.45" customHeight="1">
      <c r="A38" s="759" t="s">
        <v>11</v>
      </c>
      <c r="B38" s="760"/>
      <c r="C38" s="168">
        <f>SUMIF($G$7:$G$31,"Process",$F$7:$F$31)</f>
        <v>57</v>
      </c>
      <c r="D38" s="122">
        <f>+C38+'28'!D38</f>
        <v>2076</v>
      </c>
      <c r="E38" s="147">
        <f t="shared" ref="E38:E51" si="8">D38/60</f>
        <v>34.6</v>
      </c>
      <c r="F38" s="327">
        <v>1230</v>
      </c>
      <c r="G38" s="327">
        <v>947.09999999999991</v>
      </c>
      <c r="H38" s="192" t="s">
        <v>63</v>
      </c>
      <c r="I38" s="250">
        <f>13.868+13.197+14.078</f>
        <v>41.143000000000001</v>
      </c>
      <c r="J38" s="131">
        <f>+I38+'28'!J38</f>
        <v>1258.548</v>
      </c>
      <c r="K38" s="132" t="s">
        <v>62</v>
      </c>
    </row>
    <row r="39" spans="1:27" ht="17.45" customHeight="1">
      <c r="A39" s="763" t="s">
        <v>12</v>
      </c>
      <c r="B39" s="764"/>
      <c r="C39" s="168">
        <f>SUMIF($G$7:$G$31,"Cleaning",$F$7:$F$31)</f>
        <v>0</v>
      </c>
      <c r="D39" s="122">
        <f>+C39+'28'!D39</f>
        <v>0</v>
      </c>
      <c r="E39" s="147">
        <f t="shared" si="8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47.386473726220849</v>
      </c>
      <c r="K39" s="134" t="s">
        <v>62</v>
      </c>
    </row>
    <row r="40" spans="1:27" ht="17.45" customHeight="1">
      <c r="A40" s="763" t="s">
        <v>65</v>
      </c>
      <c r="B40" s="764"/>
      <c r="C40" s="168">
        <f>SUMIF($G$7:$G$31,"Mechanical",$F$7:$F$31)</f>
        <v>0</v>
      </c>
      <c r="D40" s="122">
        <f>+C40+'28'!D40</f>
        <v>414</v>
      </c>
      <c r="E40" s="147">
        <f t="shared" si="8"/>
        <v>6.9</v>
      </c>
      <c r="F40" s="327">
        <v>1230</v>
      </c>
      <c r="G40" s="327">
        <v>947.09999999999991</v>
      </c>
      <c r="H40" s="192" t="s">
        <v>66</v>
      </c>
      <c r="I40" s="122">
        <f>(K34+L34)/1000</f>
        <v>37.582000000000001</v>
      </c>
      <c r="J40" s="135">
        <f>+I40+'28'!J40</f>
        <v>1221.17</v>
      </c>
      <c r="K40" s="134" t="s">
        <v>62</v>
      </c>
    </row>
    <row r="41" spans="1:27" ht="17.45" customHeight="1">
      <c r="A41" s="763" t="s">
        <v>67</v>
      </c>
      <c r="B41" s="764"/>
      <c r="C41" s="168">
        <f>SUMIF($G$7:$G$31,"Electrical",$F$7:$F$31)</f>
        <v>0</v>
      </c>
      <c r="D41" s="122">
        <f>+C41+'28'!D41</f>
        <v>60</v>
      </c>
      <c r="E41" s="147">
        <f t="shared" si="8"/>
        <v>1</v>
      </c>
      <c r="F41" s="327"/>
      <c r="G41" s="327"/>
      <c r="H41" s="192" t="s">
        <v>68</v>
      </c>
      <c r="I41" s="146"/>
      <c r="J41" s="133">
        <f>J40/G4</f>
        <v>42.109310344827591</v>
      </c>
      <c r="K41" s="134" t="s">
        <v>62</v>
      </c>
    </row>
    <row r="42" spans="1:27" ht="17.45" customHeight="1">
      <c r="A42" s="763" t="s">
        <v>15</v>
      </c>
      <c r="B42" s="764"/>
      <c r="C42" s="168">
        <f>SUMIF($G$7:$G$31,"Instrument",$F$7:$F$31)</f>
        <v>0</v>
      </c>
      <c r="D42" s="122">
        <f>+C42+'28'!D42</f>
        <v>0</v>
      </c>
      <c r="E42" s="147">
        <f t="shared" si="8"/>
        <v>0</v>
      </c>
      <c r="F42" s="327">
        <f>+(480*F38+480*F39+480*F40)/1440</f>
        <v>1230</v>
      </c>
      <c r="G42" s="327">
        <f>+(480*G38+480*G39+480*G40)/1440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27" ht="17.45" customHeight="1">
      <c r="A43" s="763" t="s">
        <v>71</v>
      </c>
      <c r="B43" s="764"/>
      <c r="C43" s="168">
        <f>SUMIF($G$7:$G$31,"Water",$F$7:$F$31)</f>
        <v>0</v>
      </c>
      <c r="D43" s="122">
        <f>+C43+'28'!D43</f>
        <v>0</v>
      </c>
      <c r="E43" s="147">
        <f t="shared" si="8"/>
        <v>0</v>
      </c>
      <c r="F43" s="327"/>
      <c r="G43" s="328"/>
      <c r="H43" s="193" t="s">
        <v>72</v>
      </c>
      <c r="I43" s="122">
        <f>+Report1!Z37</f>
        <v>56</v>
      </c>
      <c r="J43" s="137">
        <f>+I43+'28'!J43</f>
        <v>1658.4</v>
      </c>
      <c r="K43" s="134" t="s">
        <v>62</v>
      </c>
      <c r="L43" s="194"/>
    </row>
    <row r="44" spans="1:27" ht="17.45" customHeight="1">
      <c r="A44" s="763" t="s">
        <v>16</v>
      </c>
      <c r="B44" s="764"/>
      <c r="C44" s="168">
        <f>SUMIF($G$7:$G$31,"PLN",$F$7:$F$31)</f>
        <v>0</v>
      </c>
      <c r="D44" s="122">
        <f>+C44+'28'!D44</f>
        <v>0</v>
      </c>
      <c r="E44" s="147">
        <f t="shared" si="8"/>
        <v>0</v>
      </c>
      <c r="F44" s="327"/>
      <c r="G44" s="328"/>
      <c r="H44" s="193" t="s">
        <v>73</v>
      </c>
      <c r="I44" s="122">
        <f>I43/I38</f>
        <v>1.3611063850472742</v>
      </c>
      <c r="J44" s="138">
        <f>J43/J38</f>
        <v>1.3177089789185634</v>
      </c>
      <c r="K44" s="134" t="s">
        <v>62</v>
      </c>
    </row>
    <row r="45" spans="1:27" ht="17.45" customHeight="1">
      <c r="A45" s="763" t="s">
        <v>17</v>
      </c>
      <c r="B45" s="764"/>
      <c r="C45" s="168">
        <f>SUMIF($G$7:$G$31,"Boiler",$F$7:$F$31)</f>
        <v>0</v>
      </c>
      <c r="D45" s="122">
        <f>+C45+'28'!D45</f>
        <v>0</v>
      </c>
      <c r="E45" s="147">
        <f t="shared" si="8"/>
        <v>0</v>
      </c>
      <c r="F45" s="327"/>
      <c r="G45" s="330"/>
      <c r="H45" s="193" t="s">
        <v>74</v>
      </c>
      <c r="I45" s="122">
        <f>I43/I40</f>
        <v>1.4900750359214516</v>
      </c>
      <c r="J45" s="138">
        <f>J43/J40</f>
        <v>1.3580418778712218</v>
      </c>
      <c r="K45" s="134" t="s">
        <v>62</v>
      </c>
    </row>
    <row r="46" spans="1:27" ht="17.45" customHeight="1">
      <c r="A46" s="763" t="s">
        <v>75</v>
      </c>
      <c r="B46" s="764"/>
      <c r="C46" s="168">
        <f>SUMIF($G$7:$G$31,"Gas",$F$7:$F$31)</f>
        <v>0</v>
      </c>
      <c r="D46" s="122">
        <f>+C46+'28'!D46</f>
        <v>0</v>
      </c>
      <c r="E46" s="147">
        <f t="shared" si="8"/>
        <v>0</v>
      </c>
      <c r="F46" s="327"/>
      <c r="G46" s="328"/>
      <c r="H46" s="193" t="s">
        <v>76</v>
      </c>
      <c r="I46" s="144">
        <f>+SUMIF(Listrik!P36,"&gt;0")</f>
        <v>34260.68</v>
      </c>
      <c r="J46" s="139">
        <f>+I46+'28'!J46</f>
        <v>1062460.340000001</v>
      </c>
      <c r="K46" s="134" t="s">
        <v>77</v>
      </c>
    </row>
    <row r="47" spans="1:27" ht="17.45" customHeight="1">
      <c r="A47" s="763" t="s">
        <v>78</v>
      </c>
      <c r="B47" s="764"/>
      <c r="C47" s="168">
        <f>SUMIF($G$7:$G$31,"Gas",$F$7:$F$31)</f>
        <v>0</v>
      </c>
      <c r="D47" s="122">
        <f>+C47+'28'!D47</f>
        <v>0</v>
      </c>
      <c r="E47" s="147">
        <f t="shared" si="8"/>
        <v>0</v>
      </c>
      <c r="F47" s="327"/>
      <c r="G47" s="328"/>
      <c r="H47" s="193" t="s">
        <v>79</v>
      </c>
      <c r="I47" s="122">
        <f>I46/I38</f>
        <v>832.7219697153829</v>
      </c>
      <c r="J47" s="139">
        <f>J46/J38</f>
        <v>844.19532667804572</v>
      </c>
      <c r="K47" s="134" t="s">
        <v>23</v>
      </c>
    </row>
    <row r="48" spans="1:27" ht="17.45" customHeight="1">
      <c r="A48" s="763" t="s">
        <v>13</v>
      </c>
      <c r="B48" s="764"/>
      <c r="C48" s="168">
        <f>SUMIF($G$7:$G$31,"Start Up",$F$7:$F$31)</f>
        <v>0</v>
      </c>
      <c r="D48" s="122">
        <f>+C48+'28'!D48</f>
        <v>0</v>
      </c>
      <c r="E48" s="147">
        <f t="shared" si="8"/>
        <v>0</v>
      </c>
      <c r="F48" s="327"/>
      <c r="G48" s="328"/>
      <c r="H48" s="193" t="s">
        <v>80</v>
      </c>
      <c r="I48" s="122">
        <f>I46/I40</f>
        <v>911.62471395881005</v>
      </c>
      <c r="J48" s="139">
        <f>J46/J40</f>
        <v>870.03475355601677</v>
      </c>
      <c r="K48" s="134" t="s">
        <v>23</v>
      </c>
    </row>
    <row r="49" spans="1:23" ht="17.45" customHeight="1">
      <c r="A49" s="777" t="s">
        <v>19</v>
      </c>
      <c r="B49" s="764"/>
      <c r="C49" s="168">
        <f>SUMIF($G$7:$G$31,"Others",$F$7:$F$31)</f>
        <v>0</v>
      </c>
      <c r="D49" s="122">
        <f>+C49+'28'!D49</f>
        <v>0</v>
      </c>
      <c r="E49" s="147">
        <f t="shared" si="8"/>
        <v>0</v>
      </c>
      <c r="F49" s="190"/>
      <c r="H49" s="193" t="s">
        <v>271</v>
      </c>
      <c r="I49" s="122">
        <f>+Report1!T37</f>
        <v>3948.117088750962</v>
      </c>
      <c r="J49" s="139">
        <f>+I49+'28'!J49</f>
        <v>114570.40065185928</v>
      </c>
      <c r="K49" s="134" t="s">
        <v>81</v>
      </c>
    </row>
    <row r="50" spans="1:23" ht="17.45" customHeight="1">
      <c r="A50" s="763" t="s">
        <v>18</v>
      </c>
      <c r="B50" s="764"/>
      <c r="C50" s="168">
        <f>SUMIF($G$7:$G$31,"Steam",$F$7:$F$31)</f>
        <v>0</v>
      </c>
      <c r="D50" s="122">
        <f>+C50+'28'!D50</f>
        <v>0</v>
      </c>
      <c r="E50" s="147">
        <f t="shared" si="8"/>
        <v>0</v>
      </c>
      <c r="F50" s="190"/>
      <c r="H50" s="193" t="s">
        <v>82</v>
      </c>
      <c r="I50" s="144">
        <f>I49/I38</f>
        <v>95.960846043092673</v>
      </c>
      <c r="J50" s="137">
        <f>J49/J38</f>
        <v>91.033795017638809</v>
      </c>
      <c r="K50" s="134" t="s">
        <v>81</v>
      </c>
    </row>
    <row r="51" spans="1:23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+C51+'28'!D51</f>
        <v>0</v>
      </c>
      <c r="E51" s="147">
        <f t="shared" si="8"/>
        <v>0</v>
      </c>
      <c r="F51" s="190"/>
      <c r="H51" s="195" t="s">
        <v>84</v>
      </c>
      <c r="I51" s="145">
        <f>I49/I40</f>
        <v>105.05340558647656</v>
      </c>
      <c r="J51" s="140">
        <f>J49/J40</f>
        <v>93.820189369096255</v>
      </c>
      <c r="K51" s="141" t="s">
        <v>81</v>
      </c>
    </row>
    <row r="52" spans="1:23" ht="13.5" thickBot="1">
      <c r="A52" s="759" t="s">
        <v>27</v>
      </c>
      <c r="B52" s="760"/>
      <c r="C52" s="148">
        <f>SUM(C38:C51)</f>
        <v>57</v>
      </c>
      <c r="D52" s="148">
        <f>SUM(D38:D51)</f>
        <v>2550</v>
      </c>
      <c r="E52" s="149">
        <f>SUM(E38:E51)</f>
        <v>42.5</v>
      </c>
      <c r="F52" s="190"/>
      <c r="H52" s="196"/>
      <c r="I52" s="197"/>
      <c r="J52" s="142"/>
      <c r="K52" s="143"/>
    </row>
    <row r="53" spans="1:23" ht="13.5" thickBot="1">
      <c r="A53" s="761"/>
      <c r="B53" s="762"/>
      <c r="C53" s="150">
        <f>C52/(24*60)</f>
        <v>3.9583333333333331E-2</v>
      </c>
      <c r="D53" s="150">
        <f>D52/(24*60*G4)</f>
        <v>6.1063218390804599E-2</v>
      </c>
      <c r="E53" s="151">
        <f>E52/(G4*24)</f>
        <v>6.1063218390804599E-2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+D34+'28'!J56</f>
        <v>9332</v>
      </c>
      <c r="K56" s="206">
        <f>J56/(J40+J56/1000)/1000</f>
        <v>7.583896653560903E-3</v>
      </c>
    </row>
    <row r="57" spans="1:23">
      <c r="A57" s="181"/>
      <c r="I57" s="204" t="s">
        <v>87</v>
      </c>
      <c r="J57" s="205">
        <f>+E34+'28'!J57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3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topLeftCell="A19" zoomScale="80" zoomScaleNormal="80" workbookViewId="0">
      <selection activeCell="D28" sqref="D2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5.42578125" style="153" customWidth="1"/>
    <col min="14" max="15" width="0" style="153" hidden="1" customWidth="1"/>
    <col min="16" max="16" width="10.28515625" style="153" hidden="1" customWidth="1"/>
    <col min="17" max="17" width="9.28515625" style="153" hidden="1" customWidth="1"/>
    <col min="18" max="23" width="0" style="153" hidden="1" customWidth="1"/>
    <col min="24" max="16384" width="9.140625" style="153"/>
  </cols>
  <sheetData>
    <row r="1" spans="1:29" ht="15.75">
      <c r="A1" s="152"/>
    </row>
    <row r="2" spans="1:29" ht="15.75">
      <c r="A2" s="152" t="s">
        <v>184</v>
      </c>
    </row>
    <row r="3" spans="1:29" ht="15">
      <c r="A3" s="154"/>
    </row>
    <row r="4" spans="1:29" ht="20.25">
      <c r="A4" s="155" t="s">
        <v>3</v>
      </c>
      <c r="B4" s="156"/>
      <c r="F4" s="157" t="s">
        <v>28</v>
      </c>
      <c r="G4" s="158">
        <v>28</v>
      </c>
      <c r="H4" s="158" t="str">
        <f>+'1'!H4</f>
        <v>.08.25</v>
      </c>
      <c r="J4" s="153">
        <f>493+462+470</f>
        <v>1425</v>
      </c>
    </row>
    <row r="5" spans="1:29" ht="13.5" thickBot="1">
      <c r="C5" s="159"/>
      <c r="D5" s="159"/>
    </row>
    <row r="6" spans="1:2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86" t="s">
        <v>91</v>
      </c>
      <c r="O6" s="419" t="s">
        <v>191</v>
      </c>
      <c r="P6" s="419" t="s">
        <v>191</v>
      </c>
      <c r="Q6" s="419" t="s">
        <v>192</v>
      </c>
      <c r="R6" s="419" t="s">
        <v>193</v>
      </c>
      <c r="S6" s="419" t="s">
        <v>194</v>
      </c>
      <c r="T6" s="419" t="s">
        <v>189</v>
      </c>
      <c r="U6" s="420" t="s">
        <v>195</v>
      </c>
      <c r="V6" s="419" t="s">
        <v>196</v>
      </c>
      <c r="W6" s="419" t="s">
        <v>190</v>
      </c>
      <c r="X6" s="153" t="s">
        <v>390</v>
      </c>
      <c r="Y6" s="153">
        <v>1230</v>
      </c>
      <c r="Z6" s="153">
        <f>+Y6-Y6*0.23</f>
        <v>947.09999999999991</v>
      </c>
      <c r="AA6" s="153">
        <f>60*6+1</f>
        <v>361</v>
      </c>
      <c r="AB6" s="153">
        <f t="shared" ref="AB6" si="0">+Y6*AA6</f>
        <v>444030</v>
      </c>
      <c r="AC6" s="153">
        <f t="shared" ref="AC6" si="1">+Z6*AA6</f>
        <v>341903.1</v>
      </c>
    </row>
    <row r="7" spans="1:29" ht="13.5" customHeight="1" thickBot="1">
      <c r="A7" s="769"/>
      <c r="B7" s="220" t="s">
        <v>521</v>
      </c>
      <c r="C7" s="221">
        <v>13813</v>
      </c>
      <c r="D7" s="222">
        <v>500</v>
      </c>
      <c r="E7" s="223"/>
      <c r="F7" s="233">
        <v>16</v>
      </c>
      <c r="G7" s="234" t="s">
        <v>11</v>
      </c>
      <c r="H7" s="235" t="s">
        <v>563</v>
      </c>
      <c r="I7" s="772" t="s">
        <v>632</v>
      </c>
      <c r="J7" s="219" t="str">
        <f>+'27'!J7</f>
        <v>T 13 VP OW</v>
      </c>
      <c r="K7" s="243"/>
      <c r="L7" s="247"/>
      <c r="M7" s="121">
        <f>+K7+'27'!M7+L7</f>
        <v>431302</v>
      </c>
      <c r="N7" s="421">
        <v>14.5</v>
      </c>
      <c r="O7" s="204">
        <v>1200</v>
      </c>
      <c r="P7" s="204">
        <v>1120</v>
      </c>
      <c r="Q7" s="204">
        <v>896</v>
      </c>
      <c r="R7" s="422">
        <f>1-(Q7/P7)</f>
        <v>0.19999999999999996</v>
      </c>
      <c r="S7" s="423">
        <v>45</v>
      </c>
      <c r="T7" s="424">
        <v>256.5</v>
      </c>
      <c r="U7" s="425">
        <f>(O7*(1-R7)*N7*T7*S7)/100000000</f>
        <v>1.606716</v>
      </c>
      <c r="V7" s="426">
        <f>+C14/1000</f>
        <v>13.813000000000001</v>
      </c>
      <c r="W7" s="427">
        <f>SUM(V7:V9)/SUM(U7:U9)</f>
        <v>0.66131068685347116</v>
      </c>
      <c r="Y7" s="153">
        <v>1200</v>
      </c>
      <c r="Z7" s="153">
        <f t="shared" ref="Z7:Z8" si="2">+Y7-Y7*0.23</f>
        <v>924</v>
      </c>
      <c r="AA7" s="153">
        <f>37-1</f>
        <v>36</v>
      </c>
      <c r="AB7" s="153">
        <f t="shared" ref="AB7:AB8" si="3">+Y7*AA7</f>
        <v>43200</v>
      </c>
      <c r="AC7" s="153">
        <f t="shared" ref="AC7:AC8" si="4">+Z7*AA7</f>
        <v>33264</v>
      </c>
    </row>
    <row r="8" spans="1:2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+'27'!J8</f>
        <v>T 15,5 VP OW</v>
      </c>
      <c r="K8" s="244"/>
      <c r="L8" s="244"/>
      <c r="M8" s="121">
        <f>+K8+'27'!M8+L8</f>
        <v>79695</v>
      </c>
      <c r="N8" s="421">
        <v>18</v>
      </c>
      <c r="O8" s="204">
        <v>1200</v>
      </c>
      <c r="P8" s="204">
        <v>930</v>
      </c>
      <c r="Q8" s="204">
        <v>744</v>
      </c>
      <c r="R8" s="422">
        <f>1-(Q8/P8)</f>
        <v>0.19999999999999996</v>
      </c>
      <c r="S8" s="423">
        <f>480-S7</f>
        <v>435</v>
      </c>
      <c r="T8" s="424">
        <v>256.5</v>
      </c>
      <c r="U8" s="425">
        <f>(O8*(1-R8)*N8*T8*S8)/100000000</f>
        <v>19.280591999999999</v>
      </c>
      <c r="V8" s="426"/>
      <c r="W8" s="428"/>
      <c r="Y8" s="153">
        <v>1210</v>
      </c>
      <c r="Z8" s="153">
        <f t="shared" si="2"/>
        <v>931.7</v>
      </c>
      <c r="AA8" s="153">
        <f>60-37+60</f>
        <v>83</v>
      </c>
      <c r="AB8" s="153">
        <f t="shared" si="3"/>
        <v>100430</v>
      </c>
      <c r="AC8" s="153">
        <f t="shared" si="4"/>
        <v>77331.100000000006</v>
      </c>
    </row>
    <row r="9" spans="1:29" ht="13.5" thickBot="1">
      <c r="A9" s="770"/>
      <c r="B9" s="220"/>
      <c r="C9" s="221"/>
      <c r="D9" s="222"/>
      <c r="E9" s="225"/>
      <c r="F9" s="233">
        <f>31-16</f>
        <v>15</v>
      </c>
      <c r="G9" s="237" t="s">
        <v>11</v>
      </c>
      <c r="H9" s="238" t="s">
        <v>408</v>
      </c>
      <c r="I9" s="773"/>
      <c r="J9" s="219" t="str">
        <f>+'27'!J9</f>
        <v>T 19 VP OW</v>
      </c>
      <c r="K9" s="244"/>
      <c r="L9" s="244"/>
      <c r="M9" s="121">
        <f>+K9+'27'!M9+L9</f>
        <v>10916</v>
      </c>
      <c r="N9" s="429"/>
      <c r="Z9" s="153">
        <f t="shared" ref="Z9" si="5">+Y9-Y9*0.25</f>
        <v>0</v>
      </c>
      <c r="AB9" s="153">
        <f t="shared" ref="AB9" si="6">+Y9*AA9</f>
        <v>0</v>
      </c>
      <c r="AC9" s="153">
        <f t="shared" ref="AC9" si="7">+Z9*AA9</f>
        <v>0</v>
      </c>
    </row>
    <row r="10" spans="1:29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629</v>
      </c>
      <c r="I10" s="773"/>
      <c r="J10" s="219" t="str">
        <f>+'27'!J10</f>
        <v>F 15 VP OW</v>
      </c>
      <c r="K10" s="244"/>
      <c r="L10" s="244"/>
      <c r="M10" s="121">
        <f>+K10+'27'!M10+L10</f>
        <v>10380</v>
      </c>
      <c r="N10" s="429"/>
      <c r="AA10" s="153">
        <f>SUM(AA5:AA9)</f>
        <v>480</v>
      </c>
      <c r="AB10" s="153">
        <f>SUM(AB5:AB9)</f>
        <v>587660</v>
      </c>
      <c r="AC10" s="153">
        <f>SUM(AC5:AC9)</f>
        <v>452498.19999999995</v>
      </c>
    </row>
    <row r="11" spans="1:29" ht="204" customHeight="1" thickBot="1">
      <c r="A11" s="770"/>
      <c r="B11" s="220"/>
      <c r="C11" s="221"/>
      <c r="D11" s="222"/>
      <c r="E11" s="224"/>
      <c r="F11" s="233"/>
      <c r="G11" s="237"/>
      <c r="H11" s="238" t="s">
        <v>630</v>
      </c>
      <c r="I11" s="773"/>
      <c r="J11" s="219" t="str">
        <f>+'27'!J11</f>
        <v>F 13,5 VP OW</v>
      </c>
      <c r="K11" s="244"/>
      <c r="L11" s="244"/>
      <c r="M11" s="121">
        <f>+K11+'27'!M11+L11</f>
        <v>131921</v>
      </c>
      <c r="N11" s="429"/>
      <c r="Y11" s="153" t="s">
        <v>404</v>
      </c>
      <c r="AB11" s="153">
        <f>+AB10/AA10</f>
        <v>1224.2916666666667</v>
      </c>
      <c r="AC11" s="153">
        <f>+AC10/AA10</f>
        <v>942.70458333333329</v>
      </c>
    </row>
    <row r="12" spans="1:2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+'27'!J12</f>
        <v>F 13 VP OW</v>
      </c>
      <c r="K12" s="244"/>
      <c r="L12" s="244"/>
      <c r="M12" s="121">
        <f>+K12+'27'!M12+L12</f>
        <v>172900</v>
      </c>
      <c r="N12" s="429"/>
      <c r="AA12" s="153">
        <f>+X12*Z12</f>
        <v>0</v>
      </c>
      <c r="AB12" s="153">
        <f>+Y12*Z12</f>
        <v>0</v>
      </c>
    </row>
    <row r="13" spans="1:2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+'27'!J13</f>
        <v>F 12 VP OW</v>
      </c>
      <c r="K13" s="244">
        <f>+C34</f>
        <v>39937</v>
      </c>
      <c r="L13" s="244"/>
      <c r="M13" s="121">
        <f>+K13+'27'!M13+L13</f>
        <v>324296</v>
      </c>
      <c r="N13" s="430"/>
      <c r="O13" s="431"/>
      <c r="P13" s="431"/>
      <c r="Q13" s="431"/>
      <c r="R13" s="431"/>
      <c r="S13" s="431"/>
      <c r="T13" s="431"/>
      <c r="U13" s="431"/>
      <c r="V13" s="431"/>
      <c r="W13" s="431"/>
    </row>
    <row r="14" spans="1:29" ht="13.5" thickBot="1">
      <c r="A14" s="771"/>
      <c r="B14" s="170" t="s">
        <v>2</v>
      </c>
      <c r="C14" s="103">
        <f>SUM(C7:C13)</f>
        <v>13813</v>
      </c>
      <c r="D14" s="115">
        <f>SUM(D7:D13)</f>
        <v>500</v>
      </c>
      <c r="E14" s="116">
        <f>SUM(E5:E13)</f>
        <v>0</v>
      </c>
      <c r="F14" s="120">
        <f>SUM(F7:F13)</f>
        <v>31</v>
      </c>
      <c r="G14" s="163"/>
      <c r="H14" s="171"/>
      <c r="I14" s="172"/>
      <c r="J14" s="219" t="str">
        <f>+'27'!J14</f>
        <v>F 12,5 VP OW</v>
      </c>
      <c r="K14" s="244"/>
      <c r="L14" s="244"/>
      <c r="M14" s="121">
        <f>+K14+'27'!M14+L14</f>
        <v>22178</v>
      </c>
    </row>
    <row r="15" spans="1:29" ht="13.5" customHeight="1" thickBot="1">
      <c r="A15" s="769"/>
      <c r="B15" s="170"/>
      <c r="C15" s="117">
        <f>C14/($C$23+$D$23+$E$23)</f>
        <v>0.94010753419995918</v>
      </c>
      <c r="D15" s="118">
        <f>D14/($C$23+$D$23+$E$23)</f>
        <v>3.4029810113659568E-2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633</v>
      </c>
      <c r="J15" s="219">
        <f>+'27'!J15</f>
        <v>0</v>
      </c>
      <c r="K15" s="244"/>
      <c r="L15" s="244"/>
      <c r="M15" s="121">
        <f>+K15+'27'!M15+L15</f>
        <v>0</v>
      </c>
      <c r="N15" s="421">
        <v>18</v>
      </c>
      <c r="O15" s="204">
        <v>1200</v>
      </c>
      <c r="P15" s="204">
        <v>850</v>
      </c>
      <c r="Q15" s="204">
        <v>680</v>
      </c>
      <c r="R15" s="422">
        <f>1-(Q15/P15)</f>
        <v>0.19999999999999996</v>
      </c>
      <c r="S15" s="423">
        <v>480</v>
      </c>
      <c r="T15" s="424">
        <v>256.5</v>
      </c>
      <c r="U15" s="425">
        <f>(O15*(1-R15)*N15*T15*S15)/100000000</f>
        <v>21.275136</v>
      </c>
      <c r="V15" s="426">
        <f>+C23/1000</f>
        <v>14.153</v>
      </c>
      <c r="W15" s="427">
        <f>SUM(V15:V17)/SUM(U15:U17)</f>
        <v>0.6652366405554353</v>
      </c>
      <c r="X15" s="153" t="s">
        <v>390</v>
      </c>
      <c r="Y15" s="153">
        <v>1230</v>
      </c>
      <c r="Z15" s="153">
        <f>+Y15-Y15*0.23</f>
        <v>947.09999999999991</v>
      </c>
      <c r="AA15" s="153">
        <f>60+3</f>
        <v>63</v>
      </c>
      <c r="AB15" s="153">
        <f t="shared" ref="AB15:AB18" si="8">+Y15*AA15</f>
        <v>77490</v>
      </c>
      <c r="AC15" s="153">
        <f t="shared" ref="AC15:AC18" si="9">+Z15*AA15</f>
        <v>59667.299999999996</v>
      </c>
    </row>
    <row r="16" spans="1:29" ht="13.5" thickBot="1">
      <c r="A16" s="775"/>
      <c r="B16" s="220" t="s">
        <v>521</v>
      </c>
      <c r="C16" s="227">
        <v>14153</v>
      </c>
      <c r="D16" s="228">
        <v>540</v>
      </c>
      <c r="E16" s="229"/>
      <c r="F16" s="236"/>
      <c r="G16" s="237" t="s">
        <v>11</v>
      </c>
      <c r="H16" s="235" t="s">
        <v>286</v>
      </c>
      <c r="I16" s="773"/>
      <c r="J16" s="219">
        <f>+'27'!J16</f>
        <v>0</v>
      </c>
      <c r="K16" s="234"/>
      <c r="L16" s="234"/>
      <c r="M16" s="121">
        <f>+K16+'27'!M16+L16</f>
        <v>0</v>
      </c>
      <c r="N16" s="432"/>
      <c r="O16" s="204"/>
      <c r="P16" s="204"/>
      <c r="Q16" s="433"/>
      <c r="R16" s="422"/>
      <c r="S16" s="204"/>
      <c r="T16" s="424"/>
      <c r="U16" s="425"/>
      <c r="V16" s="426"/>
      <c r="W16" s="428"/>
      <c r="Y16" s="153">
        <v>1200</v>
      </c>
      <c r="Z16" s="153">
        <f t="shared" ref="Z16:Z17" si="10">+Y16-Y16*0.23</f>
        <v>924</v>
      </c>
      <c r="AA16" s="153">
        <f>480-AA15</f>
        <v>417</v>
      </c>
      <c r="AB16" s="153">
        <f t="shared" si="8"/>
        <v>500400</v>
      </c>
      <c r="AC16" s="153">
        <f t="shared" si="9"/>
        <v>385308</v>
      </c>
    </row>
    <row r="17" spans="1:29" ht="13.5" thickBot="1">
      <c r="A17" s="775"/>
      <c r="B17" s="220"/>
      <c r="C17" s="221"/>
      <c r="D17" s="222"/>
      <c r="E17" s="230"/>
      <c r="F17" s="233">
        <v>18</v>
      </c>
      <c r="G17" s="237" t="s">
        <v>11</v>
      </c>
      <c r="H17" s="238" t="s">
        <v>408</v>
      </c>
      <c r="I17" s="773"/>
      <c r="J17" s="219">
        <f>+'27'!J17</f>
        <v>0</v>
      </c>
      <c r="K17" s="234"/>
      <c r="L17" s="234"/>
      <c r="M17" s="121">
        <f>+K17+'27'!M17+L17</f>
        <v>0</v>
      </c>
      <c r="N17" s="429"/>
      <c r="O17" s="204"/>
      <c r="R17" s="422"/>
      <c r="T17" s="424"/>
      <c r="U17" s="425"/>
      <c r="Z17" s="153">
        <f t="shared" si="10"/>
        <v>0</v>
      </c>
      <c r="AB17" s="153">
        <f t="shared" si="8"/>
        <v>0</v>
      </c>
      <c r="AC17" s="153">
        <f t="shared" si="9"/>
        <v>0</v>
      </c>
    </row>
    <row r="18" spans="1:2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627</v>
      </c>
      <c r="I18" s="773"/>
      <c r="J18" s="219">
        <f>+'27'!J18</f>
        <v>0</v>
      </c>
      <c r="K18" s="244"/>
      <c r="L18" s="244"/>
      <c r="M18" s="121">
        <f>+K18+'27'!M18+L18</f>
        <v>0</v>
      </c>
      <c r="N18" s="429"/>
      <c r="Z18" s="153">
        <f t="shared" ref="Z18" si="11">+Y18-Y18*0.25</f>
        <v>0</v>
      </c>
      <c r="AB18" s="153">
        <f t="shared" si="8"/>
        <v>0</v>
      </c>
      <c r="AC18" s="153">
        <f t="shared" si="9"/>
        <v>0</v>
      </c>
    </row>
    <row r="19" spans="1:29" ht="39" thickBot="1">
      <c r="A19" s="775"/>
      <c r="B19" s="220"/>
      <c r="C19" s="221"/>
      <c r="D19" s="222"/>
      <c r="E19" s="230"/>
      <c r="F19" s="240"/>
      <c r="G19" s="237"/>
      <c r="H19" s="238" t="s">
        <v>628</v>
      </c>
      <c r="I19" s="773"/>
      <c r="J19" s="219">
        <f>+'27'!J19</f>
        <v>0</v>
      </c>
      <c r="K19" s="244"/>
      <c r="L19" s="244"/>
      <c r="M19" s="121">
        <f>+K19+'27'!M19+L19</f>
        <v>0</v>
      </c>
      <c r="N19" s="429"/>
      <c r="AA19" s="153">
        <f>SUM(AA14:AA18)</f>
        <v>480</v>
      </c>
      <c r="AB19" s="153">
        <f>SUM(AB14:AB18)</f>
        <v>577890</v>
      </c>
      <c r="AC19" s="153">
        <f>SUM(AC14:AC18)</f>
        <v>444975.3</v>
      </c>
    </row>
    <row r="20" spans="1:2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+'27'!J20</f>
        <v>0</v>
      </c>
      <c r="K20" s="245"/>
      <c r="L20" s="245"/>
      <c r="M20" s="121">
        <f>+K20+'27'!M20+L20</f>
        <v>0</v>
      </c>
      <c r="N20" s="429"/>
      <c r="Y20" s="153" t="s">
        <v>404</v>
      </c>
      <c r="AB20" s="153">
        <f>+AB19/AA19</f>
        <v>1203.9375</v>
      </c>
      <c r="AC20" s="153">
        <f>+AC19/AA19</f>
        <v>927.03187500000001</v>
      </c>
    </row>
    <row r="21" spans="1:2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+'27'!J21</f>
        <v>0</v>
      </c>
      <c r="K21" s="244"/>
      <c r="L21" s="244"/>
      <c r="M21" s="121">
        <f>+K21+'27'!M21+L21</f>
        <v>0</v>
      </c>
      <c r="N21" s="430"/>
      <c r="O21" s="431"/>
      <c r="P21" s="431"/>
      <c r="Q21" s="431"/>
      <c r="R21" s="431"/>
      <c r="S21" s="431"/>
      <c r="T21" s="431"/>
      <c r="U21" s="431"/>
      <c r="V21" s="431"/>
      <c r="W21" s="431"/>
      <c r="AA21" s="153">
        <f>+X21*Z21</f>
        <v>0</v>
      </c>
      <c r="AB21" s="153">
        <f>+Y21*Z21</f>
        <v>0</v>
      </c>
    </row>
    <row r="22" spans="1:2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+'27'!J22</f>
        <v>0</v>
      </c>
      <c r="K22" s="244"/>
      <c r="L22" s="244"/>
      <c r="M22" s="121">
        <f>+K22+'27'!M22+L22</f>
        <v>0</v>
      </c>
    </row>
    <row r="23" spans="1:29" ht="13.5" thickBot="1">
      <c r="A23" s="776"/>
      <c r="B23" s="173" t="s">
        <v>2</v>
      </c>
      <c r="C23" s="104">
        <f>SUM(C16:C22)</f>
        <v>14153</v>
      </c>
      <c r="D23" s="115">
        <f>SUM(D16:D22)</f>
        <v>540</v>
      </c>
      <c r="E23" s="116">
        <f>SUM(E18:E22)</f>
        <v>0</v>
      </c>
      <c r="F23" s="120">
        <f>SUM(F15:F22)</f>
        <v>18</v>
      </c>
      <c r="G23" s="163"/>
      <c r="H23" s="171"/>
      <c r="I23" s="174"/>
      <c r="J23" s="219">
        <f>+'27'!J23</f>
        <v>0</v>
      </c>
      <c r="K23" s="244"/>
      <c r="L23" s="244"/>
      <c r="M23" s="121">
        <f>+K23+'27'!M23+L23</f>
        <v>0</v>
      </c>
      <c r="N23" s="434"/>
      <c r="O23" s="435"/>
      <c r="P23" s="435"/>
      <c r="Q23" s="435"/>
      <c r="R23" s="435"/>
      <c r="S23" s="435"/>
      <c r="T23" s="435"/>
      <c r="U23" s="435"/>
      <c r="V23" s="435"/>
      <c r="W23" s="435"/>
    </row>
    <row r="24" spans="1:29" ht="13.5" customHeight="1" thickBot="1">
      <c r="A24" s="769"/>
      <c r="B24" s="175"/>
      <c r="C24" s="117">
        <f>C23/($C$23+$D$23+$E$23)</f>
        <v>0.96324780507724772</v>
      </c>
      <c r="D24" s="118">
        <f>D23/($C$23+$D$23+$E$23)</f>
        <v>3.6752194922752328E-2</v>
      </c>
      <c r="E24" s="119">
        <f>E23/($C$23+$D$23+$E$23)</f>
        <v>0</v>
      </c>
      <c r="F24" s="233">
        <v>20</v>
      </c>
      <c r="G24" s="234" t="s">
        <v>11</v>
      </c>
      <c r="H24" s="235" t="s">
        <v>433</v>
      </c>
      <c r="I24" s="772" t="s">
        <v>634</v>
      </c>
      <c r="J24" s="219">
        <f>+'27'!J24</f>
        <v>0</v>
      </c>
      <c r="K24" s="244"/>
      <c r="L24" s="244"/>
      <c r="M24" s="121">
        <f>+K24+'27'!M24+L24</f>
        <v>0</v>
      </c>
      <c r="N24" s="421">
        <v>18</v>
      </c>
      <c r="O24" s="204">
        <v>1200</v>
      </c>
      <c r="P24" s="204">
        <v>770</v>
      </c>
      <c r="Q24" s="204">
        <v>616</v>
      </c>
      <c r="R24" s="422">
        <f>1-(Q24/P24)</f>
        <v>0.19999999999999996</v>
      </c>
      <c r="S24" s="423">
        <v>480</v>
      </c>
      <c r="T24" s="424">
        <v>256.5</v>
      </c>
      <c r="U24" s="425">
        <f>(O24*(1-R24)*N24*T24*S24)/100000000</f>
        <v>21.275136</v>
      </c>
      <c r="V24" s="426">
        <f>+C32/1000</f>
        <v>11.971</v>
      </c>
      <c r="W24" s="427">
        <f>SUM(V24:V25)/SUM(U24:U25)</f>
        <v>0.56267560404784256</v>
      </c>
      <c r="X24" s="153" t="s">
        <v>390</v>
      </c>
      <c r="Y24" s="153">
        <v>1230</v>
      </c>
      <c r="Z24" s="153">
        <f>+Y24-Y24*0.23</f>
        <v>947.09999999999991</v>
      </c>
      <c r="AA24" s="153">
        <f>60*5+39</f>
        <v>339</v>
      </c>
      <c r="AB24" s="153">
        <f t="shared" ref="AB24:AB27" si="12">+Y24*AA24</f>
        <v>416970</v>
      </c>
      <c r="AC24" s="153">
        <f t="shared" ref="AC24:AC27" si="13">+Z24*AA24</f>
        <v>321066.89999999997</v>
      </c>
    </row>
    <row r="25" spans="1:29" ht="13.5" customHeight="1" thickBot="1">
      <c r="A25" s="775"/>
      <c r="B25" s="220" t="s">
        <v>521</v>
      </c>
      <c r="C25" s="231">
        <v>11971</v>
      </c>
      <c r="D25" s="222"/>
      <c r="E25" s="230"/>
      <c r="F25" s="236">
        <v>9</v>
      </c>
      <c r="G25" s="237" t="s">
        <v>11</v>
      </c>
      <c r="H25" s="235" t="s">
        <v>388</v>
      </c>
      <c r="I25" s="773"/>
      <c r="J25" s="219">
        <f>+'27'!J25</f>
        <v>0</v>
      </c>
      <c r="K25" s="244"/>
      <c r="L25" s="244"/>
      <c r="M25" s="121">
        <f>+K25+'27'!M25+L25</f>
        <v>0</v>
      </c>
      <c r="N25" s="421"/>
      <c r="O25" s="204"/>
      <c r="P25" s="204"/>
      <c r="Q25" s="204"/>
      <c r="R25" s="422"/>
      <c r="S25" s="423"/>
      <c r="T25" s="424"/>
      <c r="U25" s="425"/>
      <c r="V25" s="426"/>
      <c r="W25" s="427"/>
      <c r="Y25" s="153">
        <v>1200</v>
      </c>
      <c r="Z25" s="153">
        <f t="shared" ref="Z25:Z26" si="14">+Y25-Y25*0.23</f>
        <v>924</v>
      </c>
      <c r="AA25" s="153">
        <f>480-AA24</f>
        <v>141</v>
      </c>
      <c r="AB25" s="153">
        <f t="shared" si="12"/>
        <v>169200</v>
      </c>
      <c r="AC25" s="153">
        <f t="shared" si="13"/>
        <v>130284</v>
      </c>
    </row>
    <row r="26" spans="1:29" ht="13.5" customHeight="1" thickBot="1">
      <c r="A26" s="775"/>
      <c r="B26" s="220"/>
      <c r="C26" s="231"/>
      <c r="D26" s="222"/>
      <c r="E26" s="232"/>
      <c r="F26" s="233">
        <f>45-29</f>
        <v>16</v>
      </c>
      <c r="G26" s="237" t="s">
        <v>11</v>
      </c>
      <c r="H26" s="238" t="s">
        <v>408</v>
      </c>
      <c r="I26" s="773"/>
      <c r="J26" s="219">
        <f>+'27'!J26</f>
        <v>0</v>
      </c>
      <c r="K26" s="244"/>
      <c r="L26" s="244"/>
      <c r="M26" s="121">
        <f>+K26+'27'!M26+L26</f>
        <v>0</v>
      </c>
      <c r="Z26" s="153">
        <f t="shared" si="14"/>
        <v>0</v>
      </c>
      <c r="AB26" s="153">
        <f t="shared" si="12"/>
        <v>0</v>
      </c>
      <c r="AC26" s="153">
        <f t="shared" si="13"/>
        <v>0</v>
      </c>
    </row>
    <row r="27" spans="1:29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627</v>
      </c>
      <c r="I27" s="773"/>
      <c r="J27" s="219">
        <f>+'27'!J27</f>
        <v>0</v>
      </c>
      <c r="K27" s="244"/>
      <c r="L27" s="244"/>
      <c r="M27" s="121">
        <f>+K27+'27'!M27+L27</f>
        <v>0</v>
      </c>
      <c r="Z27" s="153">
        <f t="shared" ref="Z27" si="15">+Y27-Y27*0.25</f>
        <v>0</v>
      </c>
      <c r="AB27" s="153">
        <f t="shared" si="12"/>
        <v>0</v>
      </c>
      <c r="AC27" s="153">
        <f t="shared" si="13"/>
        <v>0</v>
      </c>
    </row>
    <row r="28" spans="1:29" ht="120" customHeight="1" thickBot="1">
      <c r="A28" s="775"/>
      <c r="B28" s="220"/>
      <c r="C28" s="221"/>
      <c r="D28" s="222"/>
      <c r="E28" s="230"/>
      <c r="F28" s="236"/>
      <c r="G28" s="237"/>
      <c r="H28" s="238" t="s">
        <v>631</v>
      </c>
      <c r="I28" s="773"/>
      <c r="J28" s="219">
        <f>+'27'!J28</f>
        <v>0</v>
      </c>
      <c r="K28" s="244"/>
      <c r="L28" s="244"/>
      <c r="M28" s="121">
        <f>+K28+'27'!M28+L28</f>
        <v>0</v>
      </c>
      <c r="AA28" s="153">
        <f>SUM(AA23:AA27)</f>
        <v>480</v>
      </c>
      <c r="AB28" s="153">
        <f>SUM(AB23:AB27)</f>
        <v>586170</v>
      </c>
      <c r="AC28" s="153">
        <f>SUM(AC23:AC27)</f>
        <v>451350.89999999997</v>
      </c>
    </row>
    <row r="29" spans="1:29" ht="13.5" customHeight="1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+'27'!J29</f>
        <v>0</v>
      </c>
      <c r="K29" s="244"/>
      <c r="L29" s="244"/>
      <c r="M29" s="121">
        <f>+K29+'27'!M29+L29</f>
        <v>0</v>
      </c>
      <c r="Y29" s="153" t="s">
        <v>404</v>
      </c>
      <c r="AB29" s="153">
        <f>+AB28/AA28</f>
        <v>1221.1875</v>
      </c>
      <c r="AC29" s="153">
        <f>+AC28/AA28</f>
        <v>940.31437499999993</v>
      </c>
    </row>
    <row r="30" spans="1:29" ht="13.5" customHeight="1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+'27'!J30</f>
        <v>0</v>
      </c>
      <c r="K30" s="244"/>
      <c r="L30" s="244"/>
      <c r="M30" s="121">
        <f>+K30+'27'!M30+L30</f>
        <v>0</v>
      </c>
      <c r="N30" s="159"/>
      <c r="AA30" s="153">
        <f>+X30*Z30</f>
        <v>0</v>
      </c>
      <c r="AB30" s="153">
        <f>+Y30*Z30</f>
        <v>0</v>
      </c>
    </row>
    <row r="31" spans="1:29" ht="13.5" customHeight="1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+'27'!J31</f>
        <v>0</v>
      </c>
      <c r="K31" s="244"/>
      <c r="L31" s="244"/>
      <c r="M31" s="121">
        <f>+K31+'27'!M31+L31</f>
        <v>0</v>
      </c>
    </row>
    <row r="32" spans="1:29" ht="13.5" customHeight="1" thickBot="1">
      <c r="A32" s="776"/>
      <c r="B32" s="170" t="s">
        <v>2</v>
      </c>
      <c r="C32" s="103">
        <f>SUM(C25:C31)</f>
        <v>11971</v>
      </c>
      <c r="D32" s="104">
        <f>SUM(D25:D31)</f>
        <v>0</v>
      </c>
      <c r="E32" s="105">
        <f>SUM(E25:E31)</f>
        <v>0</v>
      </c>
      <c r="F32" s="106">
        <f>SUM(F24:F31)</f>
        <v>45</v>
      </c>
      <c r="G32" s="176"/>
      <c r="H32" s="177"/>
      <c r="I32" s="174"/>
      <c r="J32" s="219">
        <f>+'27'!J32</f>
        <v>0</v>
      </c>
      <c r="K32" s="246"/>
      <c r="L32" s="248"/>
      <c r="M32" s="121">
        <f>+K32+'27'!M32+L32</f>
        <v>0</v>
      </c>
    </row>
    <row r="33" spans="1:14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4" ht="13.5" thickBot="1">
      <c r="A34" s="765" t="s">
        <v>56</v>
      </c>
      <c r="B34" s="766"/>
      <c r="C34" s="111">
        <f>C14+C23+C32</f>
        <v>39937</v>
      </c>
      <c r="D34" s="111">
        <f>D14+D23+D32</f>
        <v>1040</v>
      </c>
      <c r="E34" s="111">
        <f>E14+E23+E32</f>
        <v>0</v>
      </c>
      <c r="F34" s="112">
        <f>F14+F23+F32</f>
        <v>94</v>
      </c>
      <c r="H34" s="183"/>
      <c r="I34" s="183"/>
      <c r="J34" s="127" t="s">
        <v>27</v>
      </c>
      <c r="K34" s="128">
        <f>SUM(K7:K32)</f>
        <v>39937</v>
      </c>
      <c r="L34" s="217">
        <f>SUM(L7:L32)</f>
        <v>0</v>
      </c>
      <c r="M34" s="124">
        <f>SUM(M7:M32)</f>
        <v>1183588</v>
      </c>
      <c r="N34" s="159"/>
    </row>
    <row r="35" spans="1:14" ht="13.5" thickBot="1">
      <c r="A35" s="184"/>
      <c r="B35" s="185"/>
      <c r="C35" s="108">
        <f>C34/($C$34+$D$34+$E$34)</f>
        <v>0.97461990872928717</v>
      </c>
      <c r="D35" s="108">
        <f>D34/($C$34+$D$34+$E$34)</f>
        <v>2.5380091270712838E-2</v>
      </c>
      <c r="E35" s="113">
        <f>E34/($C$34+$D$34+$E$34)</f>
        <v>0</v>
      </c>
      <c r="K35" s="159"/>
    </row>
    <row r="36" spans="1:14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4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(12*1440)/1440*G42*2.74*1440/1000000</f>
        <v>44.349346271999998</v>
      </c>
      <c r="J37" s="129">
        <f>+I37+'27'!J37</f>
        <v>1327.4189144404047</v>
      </c>
      <c r="K37" s="130" t="s">
        <v>62</v>
      </c>
    </row>
    <row r="38" spans="1:14" ht="17.45" customHeight="1">
      <c r="A38" s="759" t="s">
        <v>11</v>
      </c>
      <c r="B38" s="760"/>
      <c r="C38" s="168">
        <f>SUMIF($G$7:$G$31,"Process",$F$7:$F$31)</f>
        <v>94</v>
      </c>
      <c r="D38" s="122">
        <f>+C38+'27'!D38</f>
        <v>2019</v>
      </c>
      <c r="E38" s="147">
        <f t="shared" ref="E38:E51" si="16">D38/60</f>
        <v>33.65</v>
      </c>
      <c r="F38" s="327">
        <v>1224.2916666666667</v>
      </c>
      <c r="G38" s="327">
        <v>942.70458333333329</v>
      </c>
      <c r="H38" s="192" t="s">
        <v>63</v>
      </c>
      <c r="I38" s="250">
        <f>13.717+13.595+11.928</f>
        <v>39.24</v>
      </c>
      <c r="J38" s="131">
        <f>+I38+'27'!J38</f>
        <v>1217.405</v>
      </c>
      <c r="K38" s="132" t="s">
        <v>62</v>
      </c>
    </row>
    <row r="39" spans="1:14" ht="17.45" customHeight="1">
      <c r="A39" s="763" t="s">
        <v>12</v>
      </c>
      <c r="B39" s="764"/>
      <c r="C39" s="168">
        <f>SUMIF($G$7:$G$31,"Cleaning",$F$7:$F$31)</f>
        <v>0</v>
      </c>
      <c r="D39" s="122">
        <f>+C39+'27'!D39</f>
        <v>0</v>
      </c>
      <c r="E39" s="147">
        <f t="shared" si="16"/>
        <v>0</v>
      </c>
      <c r="F39" s="327">
        <v>1203.9375</v>
      </c>
      <c r="G39" s="327">
        <v>927.03187500000001</v>
      </c>
      <c r="H39" s="192" t="s">
        <v>64</v>
      </c>
      <c r="I39" s="146"/>
      <c r="J39" s="133">
        <f>J37/G4</f>
        <v>47.407818372871596</v>
      </c>
      <c r="K39" s="134" t="s">
        <v>62</v>
      </c>
    </row>
    <row r="40" spans="1:14" ht="17.45" customHeight="1">
      <c r="A40" s="763" t="s">
        <v>65</v>
      </c>
      <c r="B40" s="764"/>
      <c r="C40" s="168">
        <f>SUMIF($G$7:$G$31,"Mechanical",$F$7:$F$31)</f>
        <v>0</v>
      </c>
      <c r="D40" s="122">
        <f>+C40+'27'!D40</f>
        <v>414</v>
      </c>
      <c r="E40" s="147">
        <f t="shared" si="16"/>
        <v>6.9</v>
      </c>
      <c r="F40" s="327">
        <v>1221.1875</v>
      </c>
      <c r="G40" s="327">
        <v>940.31437499999993</v>
      </c>
      <c r="H40" s="192" t="s">
        <v>66</v>
      </c>
      <c r="I40" s="122">
        <f>(K34+L34)/1000</f>
        <v>39.936999999999998</v>
      </c>
      <c r="J40" s="135">
        <f>+I40+'27'!J40</f>
        <v>1183.588</v>
      </c>
      <c r="K40" s="134" t="s">
        <v>62</v>
      </c>
    </row>
    <row r="41" spans="1:14" ht="17.45" customHeight="1">
      <c r="A41" s="763" t="s">
        <v>67</v>
      </c>
      <c r="B41" s="764"/>
      <c r="C41" s="168">
        <f>SUMIF($G$7:$G$31,"Electrical",$F$7:$F$31)</f>
        <v>0</v>
      </c>
      <c r="D41" s="122">
        <f>+C41+'27'!D41</f>
        <v>60</v>
      </c>
      <c r="E41" s="147">
        <f t="shared" si="16"/>
        <v>1</v>
      </c>
      <c r="F41" s="327"/>
      <c r="G41" s="327"/>
      <c r="H41" s="192" t="s">
        <v>68</v>
      </c>
      <c r="I41" s="146"/>
      <c r="J41" s="133">
        <f>J40/G4</f>
        <v>42.271000000000001</v>
      </c>
      <c r="K41" s="134" t="s">
        <v>62</v>
      </c>
    </row>
    <row r="42" spans="1:14" ht="17.45" customHeight="1">
      <c r="A42" s="763" t="s">
        <v>15</v>
      </c>
      <c r="B42" s="764"/>
      <c r="C42" s="168">
        <f>SUMIF($G$7:$G$31,"Instrument",$F$7:$F$31)</f>
        <v>0</v>
      </c>
      <c r="D42" s="122">
        <f>+C42+'27'!D42</f>
        <v>0</v>
      </c>
      <c r="E42" s="147">
        <f t="shared" si="16"/>
        <v>0</v>
      </c>
      <c r="F42" s="327">
        <f>+(F38*480+F39*480+F40*480)/1440</f>
        <v>1216.4722222222222</v>
      </c>
      <c r="G42" s="327">
        <f>+(G38*480+G39*480+G40*480)/1440</f>
        <v>936.68361111111108</v>
      </c>
      <c r="H42" s="192" t="s">
        <v>69</v>
      </c>
      <c r="I42" s="251" t="s">
        <v>635</v>
      </c>
      <c r="J42" s="136"/>
      <c r="K42" s="134" t="s">
        <v>70</v>
      </c>
    </row>
    <row r="43" spans="1:14" ht="17.45" customHeight="1">
      <c r="A43" s="763" t="s">
        <v>71</v>
      </c>
      <c r="B43" s="764"/>
      <c r="C43" s="168">
        <f>SUMIF($G$7:$G$31,"Water",$F$7:$F$31)</f>
        <v>0</v>
      </c>
      <c r="D43" s="122">
        <f>+C43+'27'!D43</f>
        <v>0</v>
      </c>
      <c r="E43" s="147">
        <f t="shared" si="16"/>
        <v>0</v>
      </c>
      <c r="F43" s="327"/>
      <c r="G43" s="328"/>
      <c r="H43" s="193" t="s">
        <v>72</v>
      </c>
      <c r="I43" s="122">
        <f>+Report1!Z36</f>
        <v>56.9</v>
      </c>
      <c r="J43" s="137">
        <f>+I43+'27'!J43</f>
        <v>1602.4</v>
      </c>
      <c r="K43" s="134" t="s">
        <v>62</v>
      </c>
      <c r="L43" s="194"/>
    </row>
    <row r="44" spans="1:14" ht="17.45" customHeight="1">
      <c r="A44" s="763" t="s">
        <v>16</v>
      </c>
      <c r="B44" s="764"/>
      <c r="C44" s="168">
        <f>SUMIF($G$7:$G$31,"PLN",$F$7:$F$31)</f>
        <v>0</v>
      </c>
      <c r="D44" s="122">
        <f>+C44+'27'!D44</f>
        <v>0</v>
      </c>
      <c r="E44" s="147">
        <f t="shared" si="16"/>
        <v>0</v>
      </c>
      <c r="F44" s="327"/>
      <c r="G44" s="328"/>
      <c r="H44" s="193" t="s">
        <v>73</v>
      </c>
      <c r="I44" s="122">
        <f>I43/I38</f>
        <v>1.4500509683995921</v>
      </c>
      <c r="J44" s="138">
        <f>J43/J38</f>
        <v>1.3162423351308727</v>
      </c>
      <c r="K44" s="134" t="s">
        <v>62</v>
      </c>
    </row>
    <row r="45" spans="1:14" ht="17.45" customHeight="1">
      <c r="A45" s="763" t="s">
        <v>17</v>
      </c>
      <c r="B45" s="764"/>
      <c r="C45" s="168">
        <f>SUMIF($G$7:$G$31,"Boiler",$F$7:$F$31)</f>
        <v>0</v>
      </c>
      <c r="D45" s="122">
        <f>+C45+'27'!D45</f>
        <v>0</v>
      </c>
      <c r="E45" s="147">
        <f t="shared" si="16"/>
        <v>0</v>
      </c>
      <c r="F45" s="327"/>
      <c r="G45" s="330"/>
      <c r="H45" s="193" t="s">
        <v>74</v>
      </c>
      <c r="I45" s="122">
        <f>I43/I40</f>
        <v>1.424743971755515</v>
      </c>
      <c r="J45" s="138">
        <f>J43/J40</f>
        <v>1.3538494814073818</v>
      </c>
      <c r="K45" s="134" t="s">
        <v>62</v>
      </c>
    </row>
    <row r="46" spans="1:14" ht="17.45" customHeight="1">
      <c r="A46" s="763" t="s">
        <v>75</v>
      </c>
      <c r="B46" s="764"/>
      <c r="C46" s="168">
        <f>SUMIF($G$7:$G$31,"Gas",$F$7:$F$31)</f>
        <v>0</v>
      </c>
      <c r="D46" s="122">
        <f>+C46+'27'!D46</f>
        <v>0</v>
      </c>
      <c r="E46" s="147">
        <f t="shared" si="16"/>
        <v>0</v>
      </c>
      <c r="F46" s="327"/>
      <c r="G46" s="328"/>
      <c r="H46" s="193" t="s">
        <v>76</v>
      </c>
      <c r="I46" s="144">
        <f>+SUMIF(Listrik!P35,"&gt;0")</f>
        <v>35104.599999999635</v>
      </c>
      <c r="J46" s="139">
        <f>+I46+'27'!J46</f>
        <v>1028199.6600000011</v>
      </c>
      <c r="K46" s="134" t="s">
        <v>77</v>
      </c>
    </row>
    <row r="47" spans="1:14" ht="17.45" customHeight="1">
      <c r="A47" s="763" t="s">
        <v>78</v>
      </c>
      <c r="B47" s="764"/>
      <c r="C47" s="168">
        <f>SUMIF($G$7:$G$31,"Gas",$F$7:$F$31)</f>
        <v>0</v>
      </c>
      <c r="D47" s="122">
        <f>+C47+'27'!D47</f>
        <v>0</v>
      </c>
      <c r="E47" s="147">
        <f t="shared" si="16"/>
        <v>0</v>
      </c>
      <c r="F47" s="327"/>
      <c r="G47" s="328"/>
      <c r="H47" s="193" t="s">
        <v>79</v>
      </c>
      <c r="I47" s="122">
        <f>I46/I38</f>
        <v>894.61264016308951</v>
      </c>
      <c r="J47" s="139">
        <f>J46/J38</f>
        <v>844.5830762975354</v>
      </c>
      <c r="K47" s="134" t="s">
        <v>23</v>
      </c>
    </row>
    <row r="48" spans="1:14" ht="17.45" customHeight="1">
      <c r="A48" s="763" t="s">
        <v>13</v>
      </c>
      <c r="B48" s="764"/>
      <c r="C48" s="168">
        <f>SUMIF($G$7:$G$31,"Start Up",$F$7:$F$31)</f>
        <v>0</v>
      </c>
      <c r="D48" s="122">
        <f>+C48+'27'!D48</f>
        <v>0</v>
      </c>
      <c r="E48" s="147">
        <f t="shared" si="16"/>
        <v>0</v>
      </c>
      <c r="F48" s="327"/>
      <c r="G48" s="328"/>
      <c r="H48" s="193" t="s">
        <v>80</v>
      </c>
      <c r="I48" s="122">
        <f>I46/I40</f>
        <v>878.99942409293726</v>
      </c>
      <c r="J48" s="139">
        <f>J46/J40</f>
        <v>868.71416405032926</v>
      </c>
      <c r="K48" s="134" t="s">
        <v>23</v>
      </c>
    </row>
    <row r="49" spans="1:23" ht="17.45" customHeight="1">
      <c r="A49" s="763" t="s">
        <v>19</v>
      </c>
      <c r="B49" s="764"/>
      <c r="C49" s="168">
        <f>SUMIF($G$7:$G$31,"Others",$F$7:$F$31)</f>
        <v>0</v>
      </c>
      <c r="D49" s="122">
        <f>+C49+'27'!D49</f>
        <v>0</v>
      </c>
      <c r="E49" s="147">
        <f t="shared" si="16"/>
        <v>0</v>
      </c>
      <c r="F49" s="190"/>
      <c r="H49" s="193" t="s">
        <v>271</v>
      </c>
      <c r="I49" s="122">
        <f>+Report1!T36</f>
        <v>3288.1688244857778</v>
      </c>
      <c r="J49" s="139">
        <f>+I49+'27'!J49</f>
        <v>110622.28356310831</v>
      </c>
      <c r="K49" s="134" t="s">
        <v>81</v>
      </c>
    </row>
    <row r="50" spans="1:23" ht="17.45" customHeight="1">
      <c r="A50" s="763" t="s">
        <v>18</v>
      </c>
      <c r="B50" s="764"/>
      <c r="C50" s="168">
        <f>SUMIF($G$7:$G$31,"Steam",$F$7:$F$31)</f>
        <v>0</v>
      </c>
      <c r="D50" s="122">
        <f>+C50+'27'!D50</f>
        <v>0</v>
      </c>
      <c r="E50" s="147">
        <f t="shared" si="16"/>
        <v>0</v>
      </c>
      <c r="F50" s="190"/>
      <c r="H50" s="193" t="s">
        <v>82</v>
      </c>
      <c r="I50" s="144">
        <f>I49/I38</f>
        <v>83.79635128658964</v>
      </c>
      <c r="J50" s="137">
        <f>J49/J38</f>
        <v>90.867282098486797</v>
      </c>
      <c r="K50" s="134" t="s">
        <v>81</v>
      </c>
    </row>
    <row r="51" spans="1:23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+C51+'27'!D51</f>
        <v>0</v>
      </c>
      <c r="E51" s="147">
        <f t="shared" si="16"/>
        <v>0</v>
      </c>
      <c r="F51" s="190"/>
      <c r="H51" s="195" t="s">
        <v>84</v>
      </c>
      <c r="I51" s="145">
        <f>I49/I40</f>
        <v>82.333896499130574</v>
      </c>
      <c r="J51" s="140">
        <f>J49/J40</f>
        <v>93.463505512989585</v>
      </c>
      <c r="K51" s="141" t="s">
        <v>81</v>
      </c>
    </row>
    <row r="52" spans="1:23" ht="13.5" thickBot="1">
      <c r="A52" s="759" t="s">
        <v>27</v>
      </c>
      <c r="B52" s="760"/>
      <c r="C52" s="148">
        <f>SUM(C38:C51)</f>
        <v>94</v>
      </c>
      <c r="D52" s="148">
        <f>SUM(D38:D51)</f>
        <v>2493</v>
      </c>
      <c r="E52" s="149">
        <f>SUM(E38:E51)</f>
        <v>41.55</v>
      </c>
      <c r="F52" s="190"/>
      <c r="H52" s="196"/>
      <c r="I52" s="197"/>
      <c r="J52" s="142"/>
      <c r="K52" s="143"/>
    </row>
    <row r="53" spans="1:23" ht="13.5" thickBot="1">
      <c r="A53" s="761"/>
      <c r="B53" s="762"/>
      <c r="C53" s="150">
        <f>C52/(24*60)</f>
        <v>6.5277777777777782E-2</v>
      </c>
      <c r="D53" s="150">
        <f>D52/(24*60*G4)</f>
        <v>6.1830357142857145E-2</v>
      </c>
      <c r="E53" s="151">
        <f>E52/(G4*24)</f>
        <v>6.1830357142857138E-2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+D34+'27'!J56</f>
        <v>8534</v>
      </c>
      <c r="K56" s="206">
        <f>J56/(J40+J56/1000)/1000</f>
        <v>7.1586632911732184E-3</v>
      </c>
    </row>
    <row r="57" spans="1:23">
      <c r="A57" s="181"/>
      <c r="I57" s="204" t="s">
        <v>87</v>
      </c>
      <c r="J57" s="205">
        <f>+E34+'27'!J57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</row>
    <row r="59" spans="1:23">
      <c r="A59" s="210"/>
      <c r="B59" s="181"/>
      <c r="C59" s="181"/>
      <c r="D59" s="181"/>
      <c r="E59" s="181"/>
      <c r="F59" s="194"/>
      <c r="G59" s="181"/>
      <c r="H59" s="209"/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3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zoomScale="80" zoomScaleNormal="80" workbookViewId="0">
      <selection activeCell="D18" sqref="D18"/>
    </sheetView>
  </sheetViews>
  <sheetFormatPr defaultColWidth="9.140625" defaultRowHeight="12.75"/>
  <cols>
    <col min="1" max="1" width="8" style="153" customWidth="1"/>
    <col min="2" max="2" width="10.7109375" style="153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28515625" style="153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27</v>
      </c>
      <c r="H4" s="158" t="str">
        <f>+'1'!H4</f>
        <v>.08.25</v>
      </c>
      <c r="J4" s="153">
        <f>511+538+484</f>
        <v>1533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f>60*2+27</f>
        <v>147</v>
      </c>
      <c r="R6" s="153">
        <f t="shared" ref="R6:R9" si="0">+O6*Q6</f>
        <v>180810</v>
      </c>
      <c r="S6" s="153">
        <f t="shared" ref="S6:S9" si="1">+P6*Q6</f>
        <v>139223.69999999998</v>
      </c>
    </row>
    <row r="7" spans="1:19" ht="13.5" customHeight="1" thickBot="1">
      <c r="A7" s="769"/>
      <c r="B7" s="220" t="s">
        <v>521</v>
      </c>
      <c r="C7" s="221">
        <v>13726</v>
      </c>
      <c r="D7" s="222">
        <v>440</v>
      </c>
      <c r="E7" s="223"/>
      <c r="F7" s="233">
        <v>9</v>
      </c>
      <c r="G7" s="234" t="s">
        <v>11</v>
      </c>
      <c r="H7" s="235" t="s">
        <v>407</v>
      </c>
      <c r="I7" s="772" t="s">
        <v>624</v>
      </c>
      <c r="J7" s="219" t="str">
        <f>+'26'!J7</f>
        <v>T 13 VP OW</v>
      </c>
      <c r="K7" s="243"/>
      <c r="L7" s="247"/>
      <c r="M7" s="121">
        <f>+K7+'26'!M7+L7</f>
        <v>431302</v>
      </c>
      <c r="O7" s="153">
        <v>1220</v>
      </c>
      <c r="P7" s="153">
        <f>+O7-O7*0.23</f>
        <v>939.4</v>
      </c>
      <c r="Q7" s="153">
        <f>50-27</f>
        <v>23</v>
      </c>
      <c r="R7" s="153">
        <f t="shared" si="0"/>
        <v>28060</v>
      </c>
      <c r="S7" s="153">
        <f t="shared" si="1"/>
        <v>21606.2</v>
      </c>
    </row>
    <row r="8" spans="1:1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+'26'!J8</f>
        <v>T 15,5 VP OW</v>
      </c>
      <c r="K8" s="244"/>
      <c r="L8" s="244"/>
      <c r="M8" s="121">
        <f>+K8+'26'!M8+L8</f>
        <v>79695</v>
      </c>
      <c r="O8" s="153">
        <v>1230</v>
      </c>
      <c r="P8" s="153">
        <f>+O8-O8*0.23</f>
        <v>947.09999999999991</v>
      </c>
      <c r="Q8" s="153">
        <f>480-Q6-Q7</f>
        <v>310</v>
      </c>
      <c r="R8" s="153">
        <f t="shared" si="0"/>
        <v>381300</v>
      </c>
      <c r="S8" s="153">
        <f t="shared" si="1"/>
        <v>293601</v>
      </c>
    </row>
    <row r="9" spans="1:19" ht="13.5" thickBot="1">
      <c r="A9" s="770"/>
      <c r="B9" s="220"/>
      <c r="C9" s="221"/>
      <c r="D9" s="222"/>
      <c r="E9" s="225"/>
      <c r="F9" s="233">
        <v>20</v>
      </c>
      <c r="G9" s="237" t="s">
        <v>11</v>
      </c>
      <c r="H9" s="238" t="s">
        <v>434</v>
      </c>
      <c r="I9" s="773"/>
      <c r="J9" s="219" t="str">
        <f>+'26'!J9</f>
        <v>T 19 VP OW</v>
      </c>
      <c r="K9" s="244"/>
      <c r="L9" s="244"/>
      <c r="M9" s="121">
        <f>+K9+'26'!M9+L9</f>
        <v>10916</v>
      </c>
      <c r="P9" s="153">
        <f t="shared" ref="P9" si="2">+O9-O9*0.25</f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621</v>
      </c>
      <c r="I10" s="773"/>
      <c r="J10" s="219" t="str">
        <f>+'26'!J10</f>
        <v>F 15 VP OW</v>
      </c>
      <c r="K10" s="244"/>
      <c r="L10" s="244"/>
      <c r="M10" s="121">
        <f>+K10+'26'!M10+L10</f>
        <v>10380</v>
      </c>
      <c r="Q10" s="153">
        <f>SUM(Q5:Q9)</f>
        <v>480</v>
      </c>
      <c r="R10" s="153">
        <f>SUM(R5:R9)</f>
        <v>590170</v>
      </c>
      <c r="S10" s="153">
        <f>SUM(S5:S9)</f>
        <v>454430.9</v>
      </c>
    </row>
    <row r="11" spans="1:19" ht="13.5" thickBot="1">
      <c r="A11" s="770"/>
      <c r="B11" s="220"/>
      <c r="C11" s="221"/>
      <c r="D11" s="222"/>
      <c r="E11" s="224"/>
      <c r="F11" s="233"/>
      <c r="G11" s="237"/>
      <c r="H11" s="238" t="s">
        <v>622</v>
      </c>
      <c r="I11" s="773"/>
      <c r="J11" s="219" t="str">
        <f>+'26'!J11</f>
        <v>F 13,5 VP OW</v>
      </c>
      <c r="K11" s="244"/>
      <c r="L11" s="244"/>
      <c r="M11" s="121">
        <f>+K11+'26'!M11+L11</f>
        <v>131921</v>
      </c>
      <c r="O11" s="153" t="s">
        <v>404</v>
      </c>
      <c r="R11" s="153">
        <f>+R10/Q10</f>
        <v>1229.5208333333333</v>
      </c>
      <c r="S11" s="153">
        <f>+S10/Q10</f>
        <v>946.73104166666667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 t="s">
        <v>623</v>
      </c>
      <c r="I12" s="773"/>
      <c r="J12" s="219" t="str">
        <f>+'26'!J12</f>
        <v>F 13 VP OW</v>
      </c>
      <c r="K12" s="244"/>
      <c r="L12" s="244"/>
      <c r="M12" s="121">
        <f>+K12+'26'!M12+L12</f>
        <v>172900</v>
      </c>
      <c r="Q12" s="153">
        <f>+N12*P12</f>
        <v>0</v>
      </c>
      <c r="R12" s="153">
        <f>+O12*P12</f>
        <v>0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+'26'!J13</f>
        <v>F 12 VP OW</v>
      </c>
      <c r="K13" s="244">
        <f>+C34</f>
        <v>40606</v>
      </c>
      <c r="L13" s="244"/>
      <c r="M13" s="121">
        <f>+K13+'26'!M13+L13</f>
        <v>284359</v>
      </c>
    </row>
    <row r="14" spans="1:19" ht="13.5" thickBot="1">
      <c r="A14" s="771"/>
      <c r="B14" s="170" t="s">
        <v>2</v>
      </c>
      <c r="C14" s="103">
        <f>SUM(C7:C13)</f>
        <v>13726</v>
      </c>
      <c r="D14" s="115">
        <f>SUM(D7:D13)</f>
        <v>440</v>
      </c>
      <c r="E14" s="116">
        <f>SUM(E5:E13)</f>
        <v>0</v>
      </c>
      <c r="F14" s="120">
        <f>SUM(F7:F13)</f>
        <v>29</v>
      </c>
      <c r="G14" s="163"/>
      <c r="H14" s="171"/>
      <c r="I14" s="172"/>
      <c r="J14" s="219" t="str">
        <f>+'26'!J14</f>
        <v>F 12,5 VP OW</v>
      </c>
      <c r="K14" s="244"/>
      <c r="L14" s="244"/>
      <c r="M14" s="121">
        <f>+K14+'26'!M14+L14</f>
        <v>22178</v>
      </c>
    </row>
    <row r="15" spans="1:19" ht="13.5" customHeight="1" thickBot="1">
      <c r="A15" s="769"/>
      <c r="B15" s="170"/>
      <c r="C15" s="117">
        <f>C14/($C$23+$D$23+$E$23)</f>
        <v>0.98741097762750885</v>
      </c>
      <c r="D15" s="118">
        <f>D14/($C$23+$D$23+$E$23)</f>
        <v>3.1652399107977847E-2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+'26'!J15</f>
        <v>0</v>
      </c>
      <c r="K15" s="244"/>
      <c r="L15" s="244"/>
      <c r="M15" s="121">
        <f>+K15+'26'!M15+L15</f>
        <v>0</v>
      </c>
      <c r="N15" s="153" t="s">
        <v>390</v>
      </c>
      <c r="O15" s="153">
        <v>1230</v>
      </c>
      <c r="P15" s="153">
        <f>+O15-O15*0.23</f>
        <v>947.09999999999991</v>
      </c>
      <c r="Q15" s="153">
        <v>480</v>
      </c>
      <c r="R15" s="153">
        <f t="shared" ref="R15:R18" si="3">+O15*Q15</f>
        <v>590400</v>
      </c>
      <c r="S15" s="153">
        <f t="shared" ref="S15:S18" si="4">+P15*Q15</f>
        <v>454607.99999999994</v>
      </c>
    </row>
    <row r="16" spans="1:19" ht="13.5" thickBot="1">
      <c r="A16" s="775"/>
      <c r="B16" s="220" t="s">
        <v>521</v>
      </c>
      <c r="C16" s="227">
        <v>13901</v>
      </c>
      <c r="D16" s="228"/>
      <c r="E16" s="229"/>
      <c r="F16" s="236">
        <v>8</v>
      </c>
      <c r="G16" s="237" t="s">
        <v>11</v>
      </c>
      <c r="H16" s="235" t="s">
        <v>429</v>
      </c>
      <c r="I16" s="773"/>
      <c r="J16" s="219">
        <f>+'26'!J16</f>
        <v>0</v>
      </c>
      <c r="K16" s="234"/>
      <c r="L16" s="234"/>
      <c r="M16" s="121">
        <f>+K16+'26'!M16+L16</f>
        <v>0</v>
      </c>
    </row>
    <row r="17" spans="1:19" ht="13.5" thickBot="1">
      <c r="A17" s="775"/>
      <c r="B17" s="220"/>
      <c r="C17" s="221"/>
      <c r="D17" s="222"/>
      <c r="E17" s="230"/>
      <c r="F17" s="233">
        <v>12</v>
      </c>
      <c r="G17" s="237" t="s">
        <v>11</v>
      </c>
      <c r="H17" s="238" t="s">
        <v>434</v>
      </c>
      <c r="I17" s="773"/>
      <c r="J17" s="219">
        <f>+'26'!J17</f>
        <v>0</v>
      </c>
      <c r="K17" s="234"/>
      <c r="L17" s="234"/>
      <c r="M17" s="121">
        <f>+K17+'26'!M17+L17</f>
        <v>0</v>
      </c>
    </row>
    <row r="18" spans="1:1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621</v>
      </c>
      <c r="I18" s="773"/>
      <c r="J18" s="219">
        <f>+'26'!J18</f>
        <v>0</v>
      </c>
      <c r="K18" s="244"/>
      <c r="L18" s="244"/>
      <c r="M18" s="121">
        <f>+K18+'26'!M18+L18</f>
        <v>0</v>
      </c>
      <c r="P18" s="153">
        <f t="shared" ref="P18" si="5">+O18-O18*0.25</f>
        <v>0</v>
      </c>
      <c r="R18" s="153">
        <f t="shared" si="3"/>
        <v>0</v>
      </c>
      <c r="S18" s="153">
        <f t="shared" si="4"/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+'26'!J19</f>
        <v>0</v>
      </c>
      <c r="K19" s="244"/>
      <c r="L19" s="244"/>
      <c r="M19" s="121">
        <f>+K19+'26'!M19+L19</f>
        <v>0</v>
      </c>
      <c r="Q19" s="153">
        <f>SUM(Q14:Q18)</f>
        <v>480</v>
      </c>
      <c r="R19" s="153">
        <f>SUM(R14:R18)</f>
        <v>590400</v>
      </c>
      <c r="S19" s="153">
        <f>SUM(S14:S18)</f>
        <v>454607.99999999994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+'26'!J20</f>
        <v>0</v>
      </c>
      <c r="K20" s="245"/>
      <c r="L20" s="245"/>
      <c r="M20" s="121">
        <f>+K20+'26'!M20+L20</f>
        <v>0</v>
      </c>
      <c r="O20" s="153" t="s">
        <v>404</v>
      </c>
      <c r="R20" s="153">
        <f>+R19/Q19</f>
        <v>1230</v>
      </c>
      <c r="S20" s="153">
        <f>+S19/Q19</f>
        <v>947.09999999999991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+'26'!J21</f>
        <v>0</v>
      </c>
      <c r="K21" s="244"/>
      <c r="L21" s="244"/>
      <c r="M21" s="121">
        <f>+K21+'26'!M21+L21</f>
        <v>0</v>
      </c>
      <c r="Q21" s="153">
        <f>+N21*P21</f>
        <v>0</v>
      </c>
      <c r="R21" s="153">
        <f>+O21*P21</f>
        <v>0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+'26'!J22</f>
        <v>0</v>
      </c>
      <c r="K22" s="244"/>
      <c r="L22" s="244"/>
      <c r="M22" s="121">
        <f>+K22+'26'!M22+L22</f>
        <v>0</v>
      </c>
    </row>
    <row r="23" spans="1:19" ht="13.5" thickBot="1">
      <c r="A23" s="776"/>
      <c r="B23" s="173" t="s">
        <v>2</v>
      </c>
      <c r="C23" s="104">
        <f>SUM(C16:C22)</f>
        <v>13901</v>
      </c>
      <c r="D23" s="115">
        <f>SUM(D16:D22)</f>
        <v>0</v>
      </c>
      <c r="E23" s="116">
        <f>SUM(E18:E22)</f>
        <v>0</v>
      </c>
      <c r="F23" s="120">
        <f>SUM(F15:F22)</f>
        <v>20</v>
      </c>
      <c r="G23" s="163"/>
      <c r="H23" s="171"/>
      <c r="I23" s="174"/>
      <c r="J23" s="219">
        <f>+'26'!J23</f>
        <v>0</v>
      </c>
      <c r="K23" s="244"/>
      <c r="L23" s="244"/>
      <c r="M23" s="121">
        <f>+K23+'26'!M23+L23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+'26'!J24</f>
        <v>0</v>
      </c>
      <c r="K24" s="244"/>
      <c r="L24" s="244"/>
      <c r="M24" s="121">
        <f>+K24+'26'!M24+L24</f>
        <v>0</v>
      </c>
      <c r="N24" s="153" t="s">
        <v>390</v>
      </c>
      <c r="O24" s="153">
        <v>1230</v>
      </c>
      <c r="P24" s="153">
        <f>+O24-O24*0.23</f>
        <v>947.09999999999991</v>
      </c>
      <c r="Q24" s="153">
        <v>480</v>
      </c>
      <c r="R24" s="153">
        <f t="shared" ref="R24" si="6">+O24*Q24</f>
        <v>590400</v>
      </c>
      <c r="S24" s="153">
        <f t="shared" ref="S24" si="7">+P24*Q24</f>
        <v>454607.99999999994</v>
      </c>
    </row>
    <row r="25" spans="1:19" ht="13.5" thickBot="1">
      <c r="A25" s="775"/>
      <c r="B25" s="220" t="s">
        <v>521</v>
      </c>
      <c r="C25" s="231">
        <v>12979</v>
      </c>
      <c r="D25" s="222"/>
      <c r="E25" s="230"/>
      <c r="F25" s="236">
        <v>8</v>
      </c>
      <c r="G25" s="237" t="s">
        <v>11</v>
      </c>
      <c r="H25" s="235" t="s">
        <v>429</v>
      </c>
      <c r="I25" s="773"/>
      <c r="J25" s="219">
        <f>+'26'!J25</f>
        <v>0</v>
      </c>
      <c r="K25" s="244"/>
      <c r="L25" s="244"/>
      <c r="M25" s="121">
        <f>+K25+'26'!M25+L25</f>
        <v>0</v>
      </c>
    </row>
    <row r="26" spans="1:19" ht="13.5" thickBot="1">
      <c r="A26" s="775"/>
      <c r="B26" s="220"/>
      <c r="C26" s="231"/>
      <c r="D26" s="222"/>
      <c r="E26" s="232"/>
      <c r="F26" s="233">
        <f>23-8</f>
        <v>15</v>
      </c>
      <c r="G26" s="237" t="s">
        <v>11</v>
      </c>
      <c r="H26" s="238" t="s">
        <v>434</v>
      </c>
      <c r="I26" s="773"/>
      <c r="J26" s="219">
        <f>+'26'!J26</f>
        <v>0</v>
      </c>
      <c r="K26" s="244"/>
      <c r="L26" s="244"/>
      <c r="M26" s="121">
        <f>+K26+'26'!M26+L26</f>
        <v>0</v>
      </c>
    </row>
    <row r="27" spans="1:19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621</v>
      </c>
      <c r="I27" s="773"/>
      <c r="J27" s="219">
        <f>+'26'!J27</f>
        <v>0</v>
      </c>
      <c r="K27" s="244"/>
      <c r="L27" s="244"/>
      <c r="M27" s="121">
        <f>+K27+'26'!M27+L27</f>
        <v>0</v>
      </c>
      <c r="P27" s="153">
        <f t="shared" ref="P27" si="8">+O27-O27*0.25</f>
        <v>0</v>
      </c>
      <c r="R27" s="153">
        <f t="shared" ref="R27" si="9">+O27*Q27</f>
        <v>0</v>
      </c>
      <c r="S27" s="153">
        <f t="shared" ref="S27" si="10">+P27*Q27</f>
        <v>0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+'26'!J28</f>
        <v>0</v>
      </c>
      <c r="K28" s="244"/>
      <c r="L28" s="244"/>
      <c r="M28" s="121">
        <f>+K28+'26'!M28+L28</f>
        <v>0</v>
      </c>
      <c r="Q28" s="153">
        <f>SUM(Q23:Q27)</f>
        <v>480</v>
      </c>
      <c r="R28" s="153">
        <f>SUM(R23:R27)</f>
        <v>590400</v>
      </c>
      <c r="S28" s="153">
        <f>SUM(S23:S27)</f>
        <v>454607.99999999994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+'26'!J29</f>
        <v>0</v>
      </c>
      <c r="K29" s="244"/>
      <c r="L29" s="244"/>
      <c r="M29" s="121">
        <f>+K29+'26'!M29+L29</f>
        <v>0</v>
      </c>
      <c r="O29" s="153" t="s">
        <v>404</v>
      </c>
      <c r="R29" s="153">
        <f>+R28/Q28</f>
        <v>1230</v>
      </c>
      <c r="S29" s="153">
        <f>+S28/Q28</f>
        <v>947.09999999999991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+'26'!J30</f>
        <v>0</v>
      </c>
      <c r="K30" s="244"/>
      <c r="L30" s="244"/>
      <c r="M30" s="121">
        <f>+K30+'26'!M30+L30</f>
        <v>0</v>
      </c>
      <c r="Q30" s="153">
        <f>+N30*P30</f>
        <v>0</v>
      </c>
      <c r="R30" s="153">
        <f>+O30*P30</f>
        <v>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+'26'!J31</f>
        <v>0</v>
      </c>
      <c r="K31" s="244"/>
      <c r="L31" s="244"/>
      <c r="M31" s="121">
        <f>+K31+'26'!M31+L31</f>
        <v>0</v>
      </c>
    </row>
    <row r="32" spans="1:19" ht="13.5" thickBot="1">
      <c r="A32" s="776"/>
      <c r="B32" s="170" t="s">
        <v>2</v>
      </c>
      <c r="C32" s="103">
        <f>SUM(C25:C31)</f>
        <v>12979</v>
      </c>
      <c r="D32" s="104">
        <f>SUM(D25:D31)</f>
        <v>0</v>
      </c>
      <c r="E32" s="105">
        <f>SUM(E25:E31)</f>
        <v>0</v>
      </c>
      <c r="F32" s="106">
        <f>SUM(F24:F31)</f>
        <v>23</v>
      </c>
      <c r="G32" s="176"/>
      <c r="H32" s="177"/>
      <c r="I32" s="174"/>
      <c r="J32" s="219">
        <f>+'26'!J32</f>
        <v>0</v>
      </c>
      <c r="K32" s="246"/>
      <c r="L32" s="248"/>
      <c r="M32" s="121">
        <f>+K32+'26'!M32+L32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40606</v>
      </c>
      <c r="D34" s="111">
        <f>D14+D23+D32</f>
        <v>440</v>
      </c>
      <c r="E34" s="111">
        <f>E14+E23+E32</f>
        <v>0</v>
      </c>
      <c r="F34" s="112">
        <f>F14+F23+F32</f>
        <v>72</v>
      </c>
      <c r="H34" s="183"/>
      <c r="I34" s="183"/>
      <c r="J34" s="127" t="s">
        <v>27</v>
      </c>
      <c r="K34" s="128">
        <f>SUM(K7:K32)</f>
        <v>40606</v>
      </c>
      <c r="L34" s="217">
        <f>SUM(L7:L32)</f>
        <v>0</v>
      </c>
      <c r="M34" s="124">
        <f>SUM(M7:M32)</f>
        <v>1143651</v>
      </c>
    </row>
    <row r="35" spans="1:13" ht="13.5" thickBot="1">
      <c r="A35" s="184"/>
      <c r="B35" s="185"/>
      <c r="C35" s="108">
        <f>C34/($C$34+$D$34+$E$34)</f>
        <v>0.98928031964137797</v>
      </c>
      <c r="D35" s="108">
        <f>D34/($C$34+$D$34+$E$34)</f>
        <v>1.0719680358622034E-2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34"/>
      <c r="G37" s="329"/>
      <c r="H37" s="191" t="s">
        <v>61</v>
      </c>
      <c r="I37" s="249">
        <f>(12*1440)/1440*G42*2.74*1440/1000000</f>
        <v>44.836710071999995</v>
      </c>
      <c r="J37" s="129">
        <f>+I37+'26'!J37</f>
        <v>1283.0695681684047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72</v>
      </c>
      <c r="D38" s="122">
        <f>+C38+'26'!D38</f>
        <v>1925</v>
      </c>
      <c r="E38" s="147">
        <f t="shared" ref="E38:E51" si="11">D38/60</f>
        <v>32.083333333333336</v>
      </c>
      <c r="F38" s="327">
        <v>1229.5208333333333</v>
      </c>
      <c r="G38" s="327">
        <v>946.73104166666667</v>
      </c>
      <c r="H38" s="192" t="s">
        <v>63</v>
      </c>
      <c r="I38" s="250">
        <f>13.464+14.921+14.034</f>
        <v>42.418999999999997</v>
      </c>
      <c r="J38" s="131">
        <f>+I38+'26'!J38</f>
        <v>1178.165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+C39+'26'!D39</f>
        <v>0</v>
      </c>
      <c r="E39" s="147">
        <f t="shared" si="11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47.521095117348324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+C40+'26'!D40</f>
        <v>414</v>
      </c>
      <c r="E40" s="147">
        <f t="shared" si="11"/>
        <v>6.9</v>
      </c>
      <c r="F40" s="327">
        <v>1230</v>
      </c>
      <c r="G40" s="327">
        <v>947.09999999999991</v>
      </c>
      <c r="H40" s="192" t="s">
        <v>66</v>
      </c>
      <c r="I40" s="122">
        <f>(K34+L34)/1000</f>
        <v>40.606000000000002</v>
      </c>
      <c r="J40" s="135">
        <f>+I40+'26'!J40</f>
        <v>1143.6510000000001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+C41+'26'!D41</f>
        <v>60</v>
      </c>
      <c r="E41" s="147">
        <f t="shared" si="11"/>
        <v>1</v>
      </c>
      <c r="F41" s="327"/>
      <c r="G41" s="327"/>
      <c r="H41" s="192" t="s">
        <v>68</v>
      </c>
      <c r="I41" s="146"/>
      <c r="J41" s="133">
        <f>J40/G4</f>
        <v>42.357444444444447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+C42+'26'!D42</f>
        <v>0</v>
      </c>
      <c r="E42" s="147">
        <f t="shared" si="11"/>
        <v>0</v>
      </c>
      <c r="F42" s="327">
        <f>+(480*F38+480*F39+480*F40)/1440</f>
        <v>1229.8402777777778</v>
      </c>
      <c r="G42" s="327">
        <f>+(480*G38+480*G39+480*G40)/1440</f>
        <v>946.97701388888879</v>
      </c>
      <c r="H42" s="192" t="s">
        <v>69</v>
      </c>
      <c r="I42" s="251" t="s">
        <v>625</v>
      </c>
      <c r="J42" s="136"/>
      <c r="K42" s="134" t="s">
        <v>70</v>
      </c>
    </row>
    <row r="43" spans="1:13" ht="17.45" customHeight="1">
      <c r="A43" s="763" t="s">
        <v>71</v>
      </c>
      <c r="B43" s="764"/>
      <c r="C43" s="168">
        <f>SUMIF($G$7:$G$31,"Water",$F$7:$F$31)</f>
        <v>0</v>
      </c>
      <c r="D43" s="122">
        <f>+C43+'26'!D43</f>
        <v>0</v>
      </c>
      <c r="E43" s="147">
        <f t="shared" si="11"/>
        <v>0</v>
      </c>
      <c r="F43" s="327"/>
      <c r="G43" s="328"/>
      <c r="H43" s="193" t="s">
        <v>72</v>
      </c>
      <c r="I43" s="122">
        <f>+Report1!Z35</f>
        <v>57.5</v>
      </c>
      <c r="J43" s="137">
        <f>+I43+'26'!J43</f>
        <v>1545.5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+C44+'26'!D44</f>
        <v>0</v>
      </c>
      <c r="E44" s="147">
        <f t="shared" si="11"/>
        <v>0</v>
      </c>
      <c r="F44" s="327"/>
      <c r="G44" s="328"/>
      <c r="H44" s="193" t="s">
        <v>73</v>
      </c>
      <c r="I44" s="122">
        <f>I43/I38</f>
        <v>1.3555246469742332</v>
      </c>
      <c r="J44" s="138">
        <f>J43/J38</f>
        <v>1.3117857006446465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+C45+'26'!D45</f>
        <v>0</v>
      </c>
      <c r="E45" s="147">
        <f t="shared" si="11"/>
        <v>0</v>
      </c>
      <c r="F45" s="327"/>
      <c r="G45" s="330"/>
      <c r="H45" s="193" t="s">
        <v>74</v>
      </c>
      <c r="I45" s="122">
        <f>I43/I40</f>
        <v>1.4160468896222234</v>
      </c>
      <c r="J45" s="138">
        <f>J43/J40</f>
        <v>1.3513738019728045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+C46+'26'!D46</f>
        <v>0</v>
      </c>
      <c r="E46" s="147">
        <f t="shared" si="11"/>
        <v>0</v>
      </c>
      <c r="F46" s="327"/>
      <c r="G46" s="328"/>
      <c r="H46" s="193" t="s">
        <v>76</v>
      </c>
      <c r="I46" s="144">
        <f>+SUMIF(Listrik!P34,"&gt;0")</f>
        <v>34560.620000000366</v>
      </c>
      <c r="J46" s="139">
        <f>+I46+'26'!J46</f>
        <v>993095.06000000145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+C47+'26'!D47</f>
        <v>0</v>
      </c>
      <c r="E47" s="147">
        <f t="shared" si="11"/>
        <v>0</v>
      </c>
      <c r="F47" s="327"/>
      <c r="G47" s="328"/>
      <c r="H47" s="193" t="s">
        <v>79</v>
      </c>
      <c r="I47" s="122">
        <f>I46/I38</f>
        <v>814.7438647775848</v>
      </c>
      <c r="J47" s="139">
        <f>J46/J38</f>
        <v>842.91679009306972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+C48+'26'!D48</f>
        <v>0</v>
      </c>
      <c r="E48" s="147">
        <f t="shared" si="11"/>
        <v>0</v>
      </c>
      <c r="F48" s="327"/>
      <c r="G48" s="328"/>
      <c r="H48" s="193" t="s">
        <v>80</v>
      </c>
      <c r="I48" s="122">
        <f>I46/I40</f>
        <v>851.12101659854125</v>
      </c>
      <c r="J48" s="139">
        <f>J46/J40</f>
        <v>868.35499641061949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+C49+'26'!D49</f>
        <v>0</v>
      </c>
      <c r="E49" s="147">
        <f t="shared" si="11"/>
        <v>0</v>
      </c>
      <c r="F49" s="190"/>
      <c r="H49" s="193" t="s">
        <v>271</v>
      </c>
      <c r="I49" s="122">
        <f>+Report1!T35</f>
        <v>4095.151346339348</v>
      </c>
      <c r="J49" s="139">
        <f>+I49+'26'!J49</f>
        <v>107334.11473862253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+C50+'26'!D50</f>
        <v>0</v>
      </c>
      <c r="E50" s="147">
        <f t="shared" si="11"/>
        <v>0</v>
      </c>
      <c r="F50" s="190"/>
      <c r="H50" s="193" t="s">
        <v>82</v>
      </c>
      <c r="I50" s="144">
        <f>I49/I38</f>
        <v>96.540497096568714</v>
      </c>
      <c r="J50" s="137">
        <f>J49/J38</f>
        <v>91.10278673922798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+C51+'26'!D51</f>
        <v>0</v>
      </c>
      <c r="E51" s="147">
        <f t="shared" si="11"/>
        <v>0</v>
      </c>
      <c r="F51" s="190"/>
      <c r="H51" s="195" t="s">
        <v>84</v>
      </c>
      <c r="I51" s="145">
        <f>I49/I40</f>
        <v>100.85089263506249</v>
      </c>
      <c r="J51" s="140">
        <f>J49/J40</f>
        <v>93.852158340807236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72</v>
      </c>
      <c r="D52" s="148">
        <f>SUM(D38:D51)</f>
        <v>2399</v>
      </c>
      <c r="E52" s="149">
        <f>SUM(E38:E51)</f>
        <v>39.983333333333334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0.05</v>
      </c>
      <c r="D53" s="150">
        <f>D52/(24*60*G4)</f>
        <v>6.1702674897119343E-2</v>
      </c>
      <c r="E53" s="151">
        <f>E52/(G4*24)</f>
        <v>6.1702674897119343E-2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+D34+'26'!J56</f>
        <v>7494</v>
      </c>
      <c r="K56" s="206">
        <f>J56/(J40+J56/1000)/1000</f>
        <v>6.5100400036485415E-3</v>
      </c>
    </row>
    <row r="57" spans="1:11">
      <c r="A57" s="181"/>
      <c r="I57" s="204" t="s">
        <v>87</v>
      </c>
      <c r="J57" s="205">
        <f>+E34+'26'!J57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zoomScale="80" zoomScaleNormal="80" workbookViewId="0">
      <selection activeCell="G15" sqref="G1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7.140625" style="153" customWidth="1"/>
    <col min="14" max="16384" width="9.140625" style="153"/>
  </cols>
  <sheetData>
    <row r="1" spans="1:26" ht="15.75">
      <c r="A1" s="152"/>
    </row>
    <row r="2" spans="1:26" ht="15.75">
      <c r="A2" s="152" t="s">
        <v>184</v>
      </c>
    </row>
    <row r="3" spans="1:26" ht="15">
      <c r="A3" s="154"/>
    </row>
    <row r="4" spans="1:26" ht="20.25">
      <c r="A4" s="155" t="s">
        <v>3</v>
      </c>
      <c r="B4" s="156"/>
      <c r="F4" s="157" t="s">
        <v>28</v>
      </c>
      <c r="G4" s="158">
        <v>26</v>
      </c>
      <c r="H4" s="158" t="str">
        <f>+'1'!H4</f>
        <v>.08.25</v>
      </c>
      <c r="J4" s="153">
        <f>488+488+454</f>
        <v>1430</v>
      </c>
    </row>
    <row r="5" spans="1:26" ht="13.5" thickBot="1">
      <c r="C5" s="159"/>
      <c r="D5" s="159"/>
    </row>
    <row r="6" spans="1:26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412</v>
      </c>
      <c r="O6" s="153">
        <v>1210</v>
      </c>
      <c r="P6" s="153">
        <f>+O6-O6*0.23</f>
        <v>931.7</v>
      </c>
      <c r="Q6" s="153">
        <f>480-Q5</f>
        <v>480</v>
      </c>
      <c r="R6" s="153">
        <f t="shared" ref="R6:R9" si="0">+O6*Q6</f>
        <v>580800</v>
      </c>
      <c r="S6" s="153">
        <f t="shared" ref="S6:S9" si="1">+P6*Q6</f>
        <v>447216</v>
      </c>
      <c r="U6" s="153" t="s">
        <v>412</v>
      </c>
      <c r="V6" s="153">
        <v>1210</v>
      </c>
      <c r="W6" s="153">
        <f>+V6-V6*0.23</f>
        <v>931.7</v>
      </c>
      <c r="X6" s="153">
        <f>480-X5</f>
        <v>480</v>
      </c>
      <c r="Y6" s="153">
        <f t="shared" ref="Y6:Y9" si="2">+V6*X6</f>
        <v>580800</v>
      </c>
      <c r="Z6" s="153">
        <f t="shared" ref="Z6:Z9" si="3">+W6*X6</f>
        <v>447216</v>
      </c>
    </row>
    <row r="7" spans="1:26" ht="13.5" customHeight="1" thickBot="1">
      <c r="A7" s="769"/>
      <c r="B7" s="220" t="s">
        <v>414</v>
      </c>
      <c r="C7" s="221">
        <v>14901</v>
      </c>
      <c r="D7" s="222">
        <v>297</v>
      </c>
      <c r="E7" s="223"/>
      <c r="F7" s="233">
        <v>4</v>
      </c>
      <c r="G7" s="234" t="s">
        <v>11</v>
      </c>
      <c r="H7" s="235" t="s">
        <v>581</v>
      </c>
      <c r="I7" s="772" t="s">
        <v>578</v>
      </c>
      <c r="J7" s="219" t="str">
        <f>+'25'!J7</f>
        <v>T 13 VP OW</v>
      </c>
      <c r="K7" s="243">
        <f>+C7+C16+C25</f>
        <v>34620</v>
      </c>
      <c r="L7" s="247"/>
      <c r="M7" s="121">
        <f>+K7+'25'!M7+L7</f>
        <v>431302</v>
      </c>
      <c r="O7" s="153">
        <v>1230</v>
      </c>
      <c r="P7" s="153">
        <f>+O7-O7*0.23</f>
        <v>947.09999999999991</v>
      </c>
      <c r="Q7" s="153">
        <v>480</v>
      </c>
      <c r="R7" s="153">
        <f t="shared" si="0"/>
        <v>590400</v>
      </c>
      <c r="S7" s="153">
        <f t="shared" si="1"/>
        <v>454607.99999999994</v>
      </c>
      <c r="V7" s="153">
        <v>1230</v>
      </c>
      <c r="W7" s="153">
        <f>+V7-V7*0.23</f>
        <v>947.09999999999991</v>
      </c>
      <c r="X7" s="153">
        <v>480</v>
      </c>
      <c r="Y7" s="153">
        <f t="shared" si="2"/>
        <v>590400</v>
      </c>
      <c r="Z7" s="153">
        <f t="shared" si="3"/>
        <v>454607.99999999994</v>
      </c>
    </row>
    <row r="8" spans="1:26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+'25'!J8</f>
        <v>T 15,5 VP OW</v>
      </c>
      <c r="K8" s="244"/>
      <c r="L8" s="244"/>
      <c r="M8" s="121">
        <f>+K8+'25'!M8+L8</f>
        <v>79695</v>
      </c>
      <c r="P8" s="153">
        <f>+O8-O8*0.23</f>
        <v>0</v>
      </c>
      <c r="R8" s="153">
        <f t="shared" si="0"/>
        <v>0</v>
      </c>
      <c r="S8" s="153">
        <f t="shared" si="1"/>
        <v>0</v>
      </c>
      <c r="V8" s="153">
        <v>1230</v>
      </c>
      <c r="W8" s="153">
        <v>947.09999999999991</v>
      </c>
      <c r="X8" s="153">
        <v>98</v>
      </c>
      <c r="Y8" s="153">
        <f t="shared" si="2"/>
        <v>120540</v>
      </c>
      <c r="Z8" s="153">
        <f t="shared" si="3"/>
        <v>92815.799999999988</v>
      </c>
    </row>
    <row r="9" spans="1:26" ht="13.5" thickBot="1">
      <c r="A9" s="770"/>
      <c r="B9" s="220"/>
      <c r="C9" s="221"/>
      <c r="D9" s="222"/>
      <c r="E9" s="225"/>
      <c r="F9" s="233">
        <v>22</v>
      </c>
      <c r="G9" s="237" t="s">
        <v>11</v>
      </c>
      <c r="H9" s="238" t="s">
        <v>408</v>
      </c>
      <c r="I9" s="773"/>
      <c r="J9" s="219" t="str">
        <f>+'25'!J9</f>
        <v>T 19 VP OW</v>
      </c>
      <c r="K9" s="244"/>
      <c r="L9" s="244"/>
      <c r="M9" s="121">
        <f>+K9+'25'!M9+L9</f>
        <v>10916</v>
      </c>
      <c r="P9" s="153">
        <f t="shared" ref="P9" si="4">+O9-O9*0.25</f>
        <v>0</v>
      </c>
      <c r="R9" s="153">
        <f t="shared" si="0"/>
        <v>0</v>
      </c>
      <c r="S9" s="153">
        <f t="shared" si="1"/>
        <v>0</v>
      </c>
      <c r="W9" s="153">
        <f t="shared" ref="W9" si="5">+V9-V9*0.25</f>
        <v>0</v>
      </c>
      <c r="Y9" s="153">
        <f t="shared" si="2"/>
        <v>0</v>
      </c>
      <c r="Z9" s="153">
        <f t="shared" si="3"/>
        <v>0</v>
      </c>
    </row>
    <row r="10" spans="1:26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614</v>
      </c>
      <c r="I10" s="773"/>
      <c r="J10" s="219" t="str">
        <f>+'25'!J10</f>
        <v>F 15 VP OW</v>
      </c>
      <c r="K10" s="244"/>
      <c r="L10" s="244"/>
      <c r="M10" s="121">
        <f>+K10+'25'!M10+L10</f>
        <v>10380</v>
      </c>
      <c r="Q10" s="153">
        <f>SUM(Q5:Q9)</f>
        <v>960</v>
      </c>
      <c r="R10" s="153">
        <f>SUM(R5:R9)</f>
        <v>1171200</v>
      </c>
      <c r="S10" s="153">
        <f>SUM(S5:S9)</f>
        <v>901824</v>
      </c>
      <c r="X10" s="153">
        <f>SUM(X5:X9)</f>
        <v>1058</v>
      </c>
      <c r="Y10" s="153">
        <f>SUM(Y5:Y9)</f>
        <v>1291740</v>
      </c>
      <c r="Z10" s="153">
        <f>SUM(Z5:Z9)</f>
        <v>994639.8</v>
      </c>
    </row>
    <row r="11" spans="1:26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+'25'!J11</f>
        <v>F 13,5 VP OW</v>
      </c>
      <c r="K11" s="244"/>
      <c r="L11" s="244"/>
      <c r="M11" s="121">
        <f>+K11+'25'!M11+L11</f>
        <v>131921</v>
      </c>
      <c r="O11" s="153" t="s">
        <v>404</v>
      </c>
      <c r="R11" s="153">
        <f>+R10/Q10</f>
        <v>1220</v>
      </c>
      <c r="S11" s="153">
        <f>+S10/Q10</f>
        <v>939.4</v>
      </c>
      <c r="V11" s="153" t="s">
        <v>404</v>
      </c>
      <c r="Y11" s="153">
        <f>+Y10/X10</f>
        <v>1220.9262759924386</v>
      </c>
      <c r="Z11" s="153">
        <f>+Z10/X10</f>
        <v>940.11323251417775</v>
      </c>
    </row>
    <row r="12" spans="1:26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+'25'!J12</f>
        <v>F 13 VP OW</v>
      </c>
      <c r="K12" s="244"/>
      <c r="L12" s="244"/>
      <c r="M12" s="121">
        <f>+K12+'25'!M12+L12</f>
        <v>172900</v>
      </c>
      <c r="Q12" s="153">
        <f>+N12*P12</f>
        <v>0</v>
      </c>
      <c r="R12" s="153">
        <f>+O12*P12</f>
        <v>0</v>
      </c>
      <c r="X12" s="153">
        <f>+U12*W12</f>
        <v>0</v>
      </c>
      <c r="Y12" s="153">
        <f>+V12*W12</f>
        <v>0</v>
      </c>
    </row>
    <row r="13" spans="1:26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+'25'!J13</f>
        <v>F 12 VP OW</v>
      </c>
      <c r="K13" s="244">
        <f>+C26</f>
        <v>5297</v>
      </c>
      <c r="L13" s="244"/>
      <c r="M13" s="121">
        <f>+K13+'25'!M13+L13</f>
        <v>243753</v>
      </c>
      <c r="P13" s="181"/>
      <c r="Q13" s="181"/>
      <c r="R13" s="181"/>
    </row>
    <row r="14" spans="1:26" ht="13.5" thickBot="1">
      <c r="A14" s="771"/>
      <c r="B14" s="170" t="s">
        <v>2</v>
      </c>
      <c r="C14" s="103">
        <f>SUM(C7:C13)</f>
        <v>14901</v>
      </c>
      <c r="D14" s="115">
        <f>SUM(D7:D13)</f>
        <v>297</v>
      </c>
      <c r="E14" s="116">
        <f>SUM(E5:E13)</f>
        <v>0</v>
      </c>
      <c r="F14" s="120">
        <f>SUM(F7:F13)</f>
        <v>26</v>
      </c>
      <c r="G14" s="163"/>
      <c r="H14" s="171"/>
      <c r="I14" s="172"/>
      <c r="J14" s="219" t="str">
        <f>+'25'!J14</f>
        <v>F 12,5 VP OW</v>
      </c>
      <c r="K14" s="244"/>
      <c r="L14" s="244"/>
      <c r="M14" s="121">
        <f>+K14+'25'!M14+L14</f>
        <v>22178</v>
      </c>
      <c r="Q14" s="181"/>
      <c r="R14" s="181"/>
    </row>
    <row r="15" spans="1:26" ht="13.5" customHeight="1" thickBot="1">
      <c r="A15" s="769"/>
      <c r="B15" s="170"/>
      <c r="C15" s="117">
        <f>C14/($C$23+$D$23+$E$23)</f>
        <v>1.1516345930906562</v>
      </c>
      <c r="D15" s="118">
        <f>D14/($C$23+$D$23+$E$23)</f>
        <v>2.2953860421980062E-2</v>
      </c>
      <c r="E15" s="119">
        <f>E14/($C$23+$D$23+$E$23)</f>
        <v>0</v>
      </c>
      <c r="F15" s="233">
        <v>4</v>
      </c>
      <c r="G15" s="234" t="s">
        <v>11</v>
      </c>
      <c r="H15" s="235" t="s">
        <v>581</v>
      </c>
      <c r="I15" s="772" t="s">
        <v>405</v>
      </c>
      <c r="J15" s="219">
        <f>+'25'!J15</f>
        <v>0</v>
      </c>
      <c r="K15" s="244"/>
      <c r="L15" s="244"/>
      <c r="M15" s="121">
        <f>+K15+'25'!M15+L15</f>
        <v>0</v>
      </c>
    </row>
    <row r="16" spans="1:26" ht="13.5" thickBot="1">
      <c r="A16" s="775"/>
      <c r="B16" s="220" t="s">
        <v>414</v>
      </c>
      <c r="C16" s="227">
        <v>12939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+'25'!J16</f>
        <v>0</v>
      </c>
      <c r="K16" s="234"/>
      <c r="L16" s="234"/>
      <c r="M16" s="121">
        <f>+K16+'25'!M16+L16</f>
        <v>0</v>
      </c>
    </row>
    <row r="17" spans="1:19" ht="13.5" thickBot="1">
      <c r="A17" s="775"/>
      <c r="B17" s="220"/>
      <c r="C17" s="221"/>
      <c r="D17" s="222"/>
      <c r="E17" s="230"/>
      <c r="F17" s="233">
        <v>21</v>
      </c>
      <c r="G17" s="237" t="s">
        <v>11</v>
      </c>
      <c r="H17" s="238" t="s">
        <v>389</v>
      </c>
      <c r="I17" s="773"/>
      <c r="J17" s="219">
        <f>+'25'!J17</f>
        <v>0</v>
      </c>
      <c r="K17" s="234"/>
      <c r="L17" s="234"/>
      <c r="M17" s="121">
        <f>+K17+'25'!M17+L17</f>
        <v>0</v>
      </c>
    </row>
    <row r="18" spans="1:1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610</v>
      </c>
      <c r="I18" s="773"/>
      <c r="J18" s="219">
        <f>+'25'!J18</f>
        <v>0</v>
      </c>
      <c r="K18" s="244"/>
      <c r="L18" s="244"/>
      <c r="M18" s="121">
        <f>+K18+'25'!M18+L18</f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+'25'!J19</f>
        <v>0</v>
      </c>
      <c r="K19" s="244"/>
      <c r="L19" s="244"/>
      <c r="M19" s="121">
        <f>+K19+'25'!M19+L19</f>
        <v>0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+'25'!J20</f>
        <v>0</v>
      </c>
      <c r="K20" s="245"/>
      <c r="L20" s="245"/>
      <c r="M20" s="121">
        <f>+K20+'25'!M20+L20</f>
        <v>0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+'25'!J21</f>
        <v>0</v>
      </c>
      <c r="K21" s="244"/>
      <c r="L21" s="244"/>
      <c r="M21" s="121">
        <f>+K21+'25'!M21+L21</f>
        <v>0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+'25'!J22</f>
        <v>0</v>
      </c>
      <c r="K22" s="244"/>
      <c r="L22" s="244"/>
      <c r="M22" s="121">
        <f>+K22+'25'!M22+L22</f>
        <v>0</v>
      </c>
    </row>
    <row r="23" spans="1:19" ht="13.5" thickBot="1">
      <c r="A23" s="776"/>
      <c r="B23" s="173" t="s">
        <v>2</v>
      </c>
      <c r="C23" s="104">
        <f>SUM(C16:C22)</f>
        <v>12939</v>
      </c>
      <c r="D23" s="115">
        <f>SUM(D16:D22)</f>
        <v>0</v>
      </c>
      <c r="E23" s="116">
        <f>SUM(E18:E22)</f>
        <v>0</v>
      </c>
      <c r="F23" s="120">
        <f>SUM(F15:F22)</f>
        <v>25</v>
      </c>
      <c r="G23" s="163"/>
      <c r="H23" s="171"/>
      <c r="I23" s="174"/>
      <c r="J23" s="219">
        <f>+'25'!J23</f>
        <v>0</v>
      </c>
      <c r="K23" s="244"/>
      <c r="L23" s="244"/>
      <c r="M23" s="121">
        <f>+K23+'25'!M23+L23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4</v>
      </c>
      <c r="G24" s="234" t="s">
        <v>11</v>
      </c>
      <c r="H24" s="235" t="s">
        <v>581</v>
      </c>
      <c r="I24" s="772" t="s">
        <v>616</v>
      </c>
      <c r="J24" s="219">
        <f>+'25'!J24</f>
        <v>0</v>
      </c>
      <c r="K24" s="244"/>
      <c r="L24" s="244"/>
      <c r="M24" s="121">
        <f>+K24+'25'!M24+L24</f>
        <v>0</v>
      </c>
      <c r="N24" s="153" t="s">
        <v>412</v>
      </c>
      <c r="O24" s="153">
        <v>1230</v>
      </c>
      <c r="P24" s="153">
        <f>+O24-O24*0.23</f>
        <v>947.09999999999991</v>
      </c>
      <c r="Q24" s="153">
        <f>60+38</f>
        <v>98</v>
      </c>
      <c r="R24" s="153">
        <f t="shared" ref="R24:R27" si="6">+O24*Q24</f>
        <v>120540</v>
      </c>
      <c r="S24" s="153">
        <f t="shared" ref="S24:S27" si="7">+P24*Q24</f>
        <v>92815.799999999988</v>
      </c>
    </row>
    <row r="25" spans="1:19" ht="13.5" thickBot="1">
      <c r="A25" s="775"/>
      <c r="B25" s="220" t="s">
        <v>414</v>
      </c>
      <c r="C25" s="231">
        <v>6780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+'25'!J25</f>
        <v>0</v>
      </c>
      <c r="K25" s="244"/>
      <c r="L25" s="244"/>
      <c r="M25" s="121">
        <f>+K25+'25'!M25+L25</f>
        <v>0</v>
      </c>
      <c r="N25" s="153" t="s">
        <v>390</v>
      </c>
      <c r="O25" s="153">
        <v>1210</v>
      </c>
      <c r="P25" s="153">
        <f>+O25-O25*0.23</f>
        <v>931.7</v>
      </c>
      <c r="Q25" s="153">
        <f>480-Q24</f>
        <v>382</v>
      </c>
      <c r="R25" s="153">
        <f t="shared" si="6"/>
        <v>462220</v>
      </c>
      <c r="S25" s="153">
        <f t="shared" si="7"/>
        <v>355909.4</v>
      </c>
    </row>
    <row r="26" spans="1:19" ht="13.5" thickBot="1">
      <c r="A26" s="775"/>
      <c r="B26" s="220" t="s">
        <v>521</v>
      </c>
      <c r="C26" s="231">
        <v>5297</v>
      </c>
      <c r="D26" s="222"/>
      <c r="E26" s="232"/>
      <c r="F26" s="233">
        <f>28-4</f>
        <v>24</v>
      </c>
      <c r="G26" s="237" t="s">
        <v>11</v>
      </c>
      <c r="H26" s="238" t="s">
        <v>535</v>
      </c>
      <c r="I26" s="773"/>
      <c r="J26" s="219">
        <f>+'25'!J26</f>
        <v>0</v>
      </c>
      <c r="K26" s="244"/>
      <c r="L26" s="244"/>
      <c r="M26" s="121">
        <f>+K26+'25'!M26+L26</f>
        <v>0</v>
      </c>
      <c r="P26" s="153">
        <f>+O26-O26*0.23</f>
        <v>0</v>
      </c>
      <c r="R26" s="153">
        <f t="shared" si="6"/>
        <v>0</v>
      </c>
      <c r="S26" s="153">
        <f t="shared" si="7"/>
        <v>0</v>
      </c>
    </row>
    <row r="27" spans="1:19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610</v>
      </c>
      <c r="I27" s="773"/>
      <c r="J27" s="219">
        <f>+'25'!J27</f>
        <v>0</v>
      </c>
      <c r="K27" s="244"/>
      <c r="L27" s="244"/>
      <c r="M27" s="121">
        <f>+K27+'25'!M27+L27</f>
        <v>0</v>
      </c>
      <c r="P27" s="153">
        <f t="shared" ref="P27" si="8">+O27-O27*0.25</f>
        <v>0</v>
      </c>
      <c r="R27" s="153">
        <f t="shared" si="6"/>
        <v>0</v>
      </c>
      <c r="S27" s="153">
        <f t="shared" si="7"/>
        <v>0</v>
      </c>
    </row>
    <row r="28" spans="1:19" ht="13.5" customHeight="1" thickBot="1">
      <c r="A28" s="775"/>
      <c r="B28" s="220"/>
      <c r="C28" s="221"/>
      <c r="D28" s="222"/>
      <c r="E28" s="230"/>
      <c r="F28" s="236"/>
      <c r="G28" s="237"/>
      <c r="H28" s="238" t="s">
        <v>615</v>
      </c>
      <c r="I28" s="773"/>
      <c r="J28" s="219">
        <f>+'25'!J28</f>
        <v>0</v>
      </c>
      <c r="K28" s="244"/>
      <c r="L28" s="244"/>
      <c r="M28" s="121">
        <f>+K28+'25'!M28+L28</f>
        <v>0</v>
      </c>
      <c r="Q28" s="153">
        <f>SUM(Q23:Q27)</f>
        <v>480</v>
      </c>
      <c r="R28" s="153">
        <f>SUM(R23:R27)</f>
        <v>582760</v>
      </c>
      <c r="S28" s="153">
        <f>SUM(S23:S27)</f>
        <v>448725.2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+'25'!J29</f>
        <v>0</v>
      </c>
      <c r="K29" s="244"/>
      <c r="L29" s="244"/>
      <c r="M29" s="121">
        <f>+K29+'25'!M29+L29</f>
        <v>0</v>
      </c>
      <c r="O29" s="153" t="s">
        <v>404</v>
      </c>
      <c r="R29" s="153">
        <f>+R28/Q28</f>
        <v>1214.0833333333333</v>
      </c>
      <c r="S29" s="153">
        <f>+S28/Q28</f>
        <v>934.84416666666664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+'25'!J30</f>
        <v>0</v>
      </c>
      <c r="K30" s="244"/>
      <c r="L30" s="244"/>
      <c r="M30" s="121">
        <f>+K30+'25'!M30+L30</f>
        <v>0</v>
      </c>
      <c r="Q30" s="153">
        <f>+N30*P30</f>
        <v>0</v>
      </c>
      <c r="R30" s="153">
        <f>+O30*P30</f>
        <v>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+'25'!J31</f>
        <v>0</v>
      </c>
      <c r="K31" s="244"/>
      <c r="L31" s="244"/>
      <c r="M31" s="121">
        <f>+K31+'25'!M31+L31</f>
        <v>0</v>
      </c>
    </row>
    <row r="32" spans="1:19" ht="13.5" thickBot="1">
      <c r="A32" s="776"/>
      <c r="B32" s="170" t="s">
        <v>2</v>
      </c>
      <c r="C32" s="103">
        <f>SUM(C25:C31)</f>
        <v>12077</v>
      </c>
      <c r="D32" s="104">
        <f>SUM(D25:D31)</f>
        <v>0</v>
      </c>
      <c r="E32" s="105">
        <f>SUM(E25:E31)</f>
        <v>0</v>
      </c>
      <c r="F32" s="106">
        <f>SUM(F24:F31)</f>
        <v>28</v>
      </c>
      <c r="G32" s="176"/>
      <c r="H32" s="177"/>
      <c r="I32" s="174"/>
      <c r="J32" s="219">
        <f>+'25'!J32</f>
        <v>0</v>
      </c>
      <c r="K32" s="246"/>
      <c r="L32" s="248"/>
      <c r="M32" s="121">
        <f>+K32+'25'!M32+L32</f>
        <v>0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 t="s">
        <v>412</v>
      </c>
      <c r="O33" s="153">
        <v>1220.9262759924386</v>
      </c>
      <c r="P33" s="153">
        <v>940.11323251417775</v>
      </c>
      <c r="Q33" s="153">
        <v>1058</v>
      </c>
    </row>
    <row r="34" spans="1:17" ht="13.5" thickBot="1">
      <c r="A34" s="765" t="s">
        <v>56</v>
      </c>
      <c r="B34" s="766"/>
      <c r="C34" s="111">
        <f>C14+C23+C32</f>
        <v>39917</v>
      </c>
      <c r="D34" s="111">
        <f>D14+D23+D32</f>
        <v>297</v>
      </c>
      <c r="E34" s="111">
        <f>E14+E23+E32</f>
        <v>0</v>
      </c>
      <c r="F34" s="112">
        <f>F14+F23+F32</f>
        <v>79</v>
      </c>
      <c r="H34" s="183"/>
      <c r="I34" s="183"/>
      <c r="J34" s="127" t="s">
        <v>27</v>
      </c>
      <c r="K34" s="128">
        <f>SUM(K7:K32)</f>
        <v>39917</v>
      </c>
      <c r="L34" s="217">
        <f>SUM(L7:L32)</f>
        <v>0</v>
      </c>
      <c r="M34" s="124">
        <f>SUM(M7:M32)</f>
        <v>1103045</v>
      </c>
      <c r="N34" s="153" t="s">
        <v>390</v>
      </c>
      <c r="O34" s="153">
        <v>1210</v>
      </c>
      <c r="P34" s="153">
        <v>931.7</v>
      </c>
      <c r="Q34" s="153">
        <v>382</v>
      </c>
    </row>
    <row r="35" spans="1:17" ht="13.5" thickBot="1">
      <c r="A35" s="184"/>
      <c r="B35" s="185"/>
      <c r="C35" s="108">
        <f>C34/($C$34+$D$34+$E$34)</f>
        <v>0.99261451235887999</v>
      </c>
      <c r="D35" s="108">
        <f>D34/($C$34+$D$34+$E$34)</f>
        <v>7.3854876411200083E-3</v>
      </c>
      <c r="E35" s="113">
        <f>E34/($C$34+$D$34+$E$34)</f>
        <v>0</v>
      </c>
      <c r="K35" s="159"/>
      <c r="Q35" s="153">
        <f>+Q33+Q34</f>
        <v>1440</v>
      </c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(13*1058+12*382)/1440*G42*2.74*1440/1000000</f>
        <v>47.124900811877779</v>
      </c>
      <c r="J37" s="129">
        <f>+I37+'25'!J37</f>
        <v>1238.2328580964047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79</v>
      </c>
      <c r="D38" s="122">
        <f>+C38+'25'!D38</f>
        <v>1853</v>
      </c>
      <c r="E38" s="147">
        <f t="shared" ref="E38:E51" si="9">D38/60</f>
        <v>30.883333333333333</v>
      </c>
      <c r="F38" s="327">
        <v>1210</v>
      </c>
      <c r="G38" s="327">
        <v>931.7</v>
      </c>
      <c r="H38" s="192" t="s">
        <v>63</v>
      </c>
      <c r="I38" s="250">
        <f>13.748+14.901+3.703+9.484</f>
        <v>41.836000000000006</v>
      </c>
      <c r="J38" s="131">
        <f>+I38+'25'!J38</f>
        <v>1135.7459999999999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+C39+'25'!D39</f>
        <v>0</v>
      </c>
      <c r="E39" s="147">
        <f t="shared" si="9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47.624340696015565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+C40+'25'!D40</f>
        <v>414</v>
      </c>
      <c r="E40" s="147">
        <f t="shared" si="9"/>
        <v>6.9</v>
      </c>
      <c r="F40" s="327">
        <v>1214.0833333333333</v>
      </c>
      <c r="G40" s="327">
        <v>934.84416666666664</v>
      </c>
      <c r="H40" s="192" t="s">
        <v>66</v>
      </c>
      <c r="I40" s="122">
        <f>(K34+L34)/1000</f>
        <v>39.917000000000002</v>
      </c>
      <c r="J40" s="135">
        <f>+I40+'25'!J40</f>
        <v>1103.0450000000001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+C41+'25'!D41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42.424807692307695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+C42+'25'!D42</f>
        <v>0</v>
      </c>
      <c r="E42" s="147">
        <f t="shared" si="9"/>
        <v>0</v>
      </c>
      <c r="F42" s="327">
        <f>+(480*F38+480*F39+480*F40)/1440</f>
        <v>1218.0277777777778</v>
      </c>
      <c r="G42" s="327">
        <f>+(480*G38+480*G39+480*G40)/1440</f>
        <v>937.88138888888886</v>
      </c>
      <c r="H42" s="192" t="s">
        <v>69</v>
      </c>
      <c r="I42" s="251" t="s">
        <v>617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+C43+'25'!D43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+Report1!Z34</f>
        <v>59.9</v>
      </c>
      <c r="J43" s="137">
        <f>+I43+'25'!J43</f>
        <v>1488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+C44+'25'!D44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1.4317812410364277</v>
      </c>
      <c r="J44" s="138">
        <f>J43/J38</f>
        <v>1.3101520938660582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+C45+'25'!D45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1.5006137735801788</v>
      </c>
      <c r="J45" s="138">
        <f>J43/J40</f>
        <v>1.3489930147908742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+C46+'25'!D46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+SUMIF(Listrik!P33,"&gt;0")</f>
        <v>37913.06</v>
      </c>
      <c r="J46" s="139">
        <f>+I46+'25'!J46</f>
        <v>958534.44000000111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+C47+'25'!D47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906.23051917009252</v>
      </c>
      <c r="J47" s="139">
        <f>J46/J38</f>
        <v>843.96902124242672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+C48+'25'!D48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949.79732945862656</v>
      </c>
      <c r="J48" s="139">
        <f>J46/J40</f>
        <v>868.98942472881981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+C49+'25'!D49</f>
        <v>0</v>
      </c>
      <c r="E49" s="147">
        <f t="shared" si="9"/>
        <v>0</v>
      </c>
      <c r="F49" s="190"/>
      <c r="H49" s="193" t="s">
        <v>271</v>
      </c>
      <c r="I49" s="122">
        <f>+Report1!T34</f>
        <v>4099.3081456365544</v>
      </c>
      <c r="J49" s="139">
        <f>+I49+'25'!J49</f>
        <v>103238.96339228319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+C50+'25'!D50</f>
        <v>0</v>
      </c>
      <c r="E50" s="147">
        <f t="shared" si="9"/>
        <v>0</v>
      </c>
      <c r="F50" s="190"/>
      <c r="H50" s="193" t="s">
        <v>82</v>
      </c>
      <c r="I50" s="144">
        <f>I49/I38</f>
        <v>97.985183708685199</v>
      </c>
      <c r="J50" s="137">
        <f>J49/J38</f>
        <v>90.899693586667439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+C51+'25'!D51</f>
        <v>0</v>
      </c>
      <c r="E51" s="147">
        <f t="shared" si="9"/>
        <v>0</v>
      </c>
      <c r="F51" s="190"/>
      <c r="H51" s="195" t="s">
        <v>84</v>
      </c>
      <c r="I51" s="145">
        <f>I49/I40</f>
        <v>102.69579742056152</v>
      </c>
      <c r="J51" s="140">
        <f>J49/J40</f>
        <v>93.594516445188702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79</v>
      </c>
      <c r="D52" s="148">
        <f>SUM(D38:D51)</f>
        <v>2327</v>
      </c>
      <c r="E52" s="149">
        <f>SUM(E38:E51)</f>
        <v>38.783333333333331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5.486111111111111E-2</v>
      </c>
      <c r="D53" s="150">
        <f>D52/(24*60*G4)</f>
        <v>6.2152777777777779E-2</v>
      </c>
      <c r="E53" s="151">
        <f>E52/(G4*24)</f>
        <v>6.2152777777777772E-2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+D34+'25'!J56</f>
        <v>7054</v>
      </c>
      <c r="K56" s="206">
        <f>J56/(J40+J56/1000)/1000</f>
        <v>6.3543882122225129E-3</v>
      </c>
    </row>
    <row r="57" spans="1:11">
      <c r="A57" s="181"/>
      <c r="I57" s="204" t="s">
        <v>87</v>
      </c>
      <c r="J57" s="205">
        <f>+E34+'25'!J57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F1" zoomScale="80" zoomScaleNormal="80" workbookViewId="0">
      <selection activeCell="N6" sqref="N6:S11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42578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25</v>
      </c>
      <c r="H4" s="158" t="str">
        <f>+'1'!H4</f>
        <v>.08.25</v>
      </c>
      <c r="J4" s="153">
        <f>632+503+607</f>
        <v>1742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412</v>
      </c>
      <c r="O6" s="153">
        <v>1230</v>
      </c>
      <c r="P6" s="153">
        <f>+O6-O6*0.21</f>
        <v>971.7</v>
      </c>
      <c r="Q6" s="153">
        <f>480-Q5</f>
        <v>480</v>
      </c>
      <c r="R6" s="153">
        <f t="shared" ref="R6:R9" si="0">+O6*Q6</f>
        <v>590400</v>
      </c>
      <c r="S6" s="153">
        <f t="shared" ref="S6:S9" si="1">+P6*Q6</f>
        <v>466416</v>
      </c>
    </row>
    <row r="7" spans="1:19" ht="13.5" customHeight="1" thickBot="1">
      <c r="A7" s="769"/>
      <c r="B7" s="220" t="s">
        <v>414</v>
      </c>
      <c r="C7" s="221">
        <v>11176</v>
      </c>
      <c r="D7" s="222"/>
      <c r="E7" s="223"/>
      <c r="F7" s="233">
        <v>4</v>
      </c>
      <c r="G7" s="234" t="s">
        <v>11</v>
      </c>
      <c r="H7" s="235" t="s">
        <v>581</v>
      </c>
      <c r="I7" s="772" t="s">
        <v>599</v>
      </c>
      <c r="J7" s="219" t="str">
        <f>+'24'!J7</f>
        <v>T 13 VP OW</v>
      </c>
      <c r="K7" s="243">
        <f>+C34</f>
        <v>40913</v>
      </c>
      <c r="L7" s="247"/>
      <c r="M7" s="121">
        <f>+K7+'24'!M7+L7</f>
        <v>396682</v>
      </c>
      <c r="O7" s="153">
        <v>1230</v>
      </c>
      <c r="P7" s="153">
        <f>+O7-O7*0.23</f>
        <v>947.09999999999991</v>
      </c>
      <c r="Q7" s="153">
        <v>480</v>
      </c>
      <c r="R7" s="153">
        <f t="shared" si="0"/>
        <v>590400</v>
      </c>
      <c r="S7" s="153">
        <f t="shared" si="1"/>
        <v>454607.99999999994</v>
      </c>
    </row>
    <row r="8" spans="1:1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+'24'!J8</f>
        <v>T 15,5 VP OW</v>
      </c>
      <c r="K8" s="244"/>
      <c r="L8" s="244"/>
      <c r="M8" s="121">
        <f>+K8+'24'!M8+L8</f>
        <v>79695</v>
      </c>
      <c r="O8" s="153">
        <v>1230</v>
      </c>
      <c r="P8" s="153">
        <f>+O8-O8*0.23</f>
        <v>947.09999999999991</v>
      </c>
      <c r="Q8" s="153">
        <v>480</v>
      </c>
      <c r="R8" s="153">
        <f t="shared" si="0"/>
        <v>590400</v>
      </c>
      <c r="S8" s="153">
        <f t="shared" si="1"/>
        <v>454607.99999999994</v>
      </c>
    </row>
    <row r="9" spans="1:19" ht="13.5" thickBot="1">
      <c r="A9" s="770"/>
      <c r="B9" s="220"/>
      <c r="C9" s="221"/>
      <c r="D9" s="222"/>
      <c r="E9" s="225"/>
      <c r="F9" s="233">
        <v>18</v>
      </c>
      <c r="G9" s="237" t="s">
        <v>11</v>
      </c>
      <c r="H9" s="238" t="s">
        <v>408</v>
      </c>
      <c r="I9" s="773"/>
      <c r="J9" s="219" t="str">
        <f>+'24'!J9</f>
        <v>T 19 VP OW</v>
      </c>
      <c r="K9" s="244"/>
      <c r="L9" s="244"/>
      <c r="M9" s="121">
        <f>+K9+'24'!M9+L9</f>
        <v>10916</v>
      </c>
      <c r="P9" s="153">
        <f t="shared" ref="P9" si="2">+O9-O9*0.25</f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595</v>
      </c>
      <c r="I10" s="773"/>
      <c r="J10" s="219" t="str">
        <f>+'24'!J10</f>
        <v>F 15 VP OW</v>
      </c>
      <c r="K10" s="244"/>
      <c r="L10" s="244"/>
      <c r="M10" s="121">
        <f>+K10+'24'!M10+L10</f>
        <v>10380</v>
      </c>
      <c r="Q10" s="153">
        <f>SUM(Q5:Q9)</f>
        <v>1440</v>
      </c>
      <c r="R10" s="153">
        <f>SUM(R5:R9)</f>
        <v>1771200</v>
      </c>
      <c r="S10" s="153">
        <f>SUM(S5:S9)</f>
        <v>1375632</v>
      </c>
    </row>
    <row r="11" spans="1:19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+'24'!J11</f>
        <v>F 13,5 VP OW</v>
      </c>
      <c r="K11" s="244"/>
      <c r="L11" s="244"/>
      <c r="M11" s="121">
        <f>+K11+'24'!M11+L11</f>
        <v>131921</v>
      </c>
      <c r="O11" s="153" t="s">
        <v>404</v>
      </c>
      <c r="R11" s="153">
        <f>+R10/Q10</f>
        <v>1230</v>
      </c>
      <c r="S11" s="153">
        <f>+S10/Q10</f>
        <v>955.3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+'24'!J12</f>
        <v>F 13 VP OW</v>
      </c>
      <c r="K12" s="244"/>
      <c r="L12" s="244"/>
      <c r="M12" s="121">
        <f>+K12+'24'!M12+L12</f>
        <v>172900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+'24'!J13</f>
        <v>F 12 VP OW</v>
      </c>
      <c r="K13" s="244"/>
      <c r="L13" s="244"/>
      <c r="M13" s="121">
        <f>+K13+'24'!M13+L13</f>
        <v>238456</v>
      </c>
    </row>
    <row r="14" spans="1:19" ht="13.5" thickBot="1">
      <c r="A14" s="771"/>
      <c r="B14" s="170" t="s">
        <v>2</v>
      </c>
      <c r="C14" s="103">
        <f>SUM(C7:C13)</f>
        <v>11176</v>
      </c>
      <c r="D14" s="115">
        <f>SUM(D7:D13)</f>
        <v>0</v>
      </c>
      <c r="E14" s="116">
        <f>SUM(E5:E13)</f>
        <v>0</v>
      </c>
      <c r="F14" s="120">
        <f>SUM(F7:F13)</f>
        <v>22</v>
      </c>
      <c r="G14" s="163"/>
      <c r="H14" s="171"/>
      <c r="I14" s="172"/>
      <c r="J14" s="219" t="str">
        <f>+'24'!J14</f>
        <v>F 12,5 VP OW</v>
      </c>
      <c r="K14" s="244"/>
      <c r="L14" s="244"/>
      <c r="M14" s="121">
        <f>+K14+'24'!M14+L14</f>
        <v>22178</v>
      </c>
    </row>
    <row r="15" spans="1:19" ht="13.5" customHeight="1" thickBot="1">
      <c r="A15" s="769"/>
      <c r="B15" s="170"/>
      <c r="C15" s="117">
        <f>C14/($C$23+$D$23+$E$23)</f>
        <v>0.78400561206594177</v>
      </c>
      <c r="D15" s="118">
        <f>D14/($C$23+$D$23+$E$23)</f>
        <v>0</v>
      </c>
      <c r="E15" s="119">
        <f>E14/($C$23+$D$23+$E$23)</f>
        <v>0</v>
      </c>
      <c r="F15" s="233">
        <v>6</v>
      </c>
      <c r="G15" s="234" t="s">
        <v>11</v>
      </c>
      <c r="H15" s="235" t="s">
        <v>581</v>
      </c>
      <c r="I15" s="772" t="s">
        <v>612</v>
      </c>
      <c r="J15" s="219">
        <f>+'24'!J15</f>
        <v>0</v>
      </c>
      <c r="K15" s="244"/>
      <c r="L15" s="244"/>
      <c r="M15" s="121">
        <f>+K15+'24'!M15+L15</f>
        <v>0</v>
      </c>
    </row>
    <row r="16" spans="1:19" ht="13.5" thickBot="1">
      <c r="A16" s="775"/>
      <c r="B16" s="220" t="s">
        <v>414</v>
      </c>
      <c r="C16" s="227">
        <v>13646</v>
      </c>
      <c r="D16" s="228">
        <v>609</v>
      </c>
      <c r="E16" s="229"/>
      <c r="F16" s="236"/>
      <c r="G16" s="237" t="s">
        <v>11</v>
      </c>
      <c r="H16" s="235" t="s">
        <v>286</v>
      </c>
      <c r="I16" s="773"/>
      <c r="J16" s="219">
        <f>+'24'!J16</f>
        <v>0</v>
      </c>
      <c r="K16" s="234"/>
      <c r="L16" s="234"/>
      <c r="M16" s="121">
        <f>+K16+'24'!M16+L16</f>
        <v>0</v>
      </c>
      <c r="N16" s="153" t="s">
        <v>412</v>
      </c>
      <c r="O16" s="153">
        <v>1230</v>
      </c>
      <c r="P16" s="153">
        <f>+O16-O16*0.23</f>
        <v>947.09999999999991</v>
      </c>
      <c r="Q16" s="153">
        <f>60*2+47</f>
        <v>167</v>
      </c>
      <c r="R16" s="153">
        <f t="shared" ref="R16:R19" si="3">+O16*Q16</f>
        <v>205410</v>
      </c>
      <c r="S16" s="153">
        <f t="shared" ref="S16:S19" si="4">+P16*Q16</f>
        <v>158165.69999999998</v>
      </c>
    </row>
    <row r="17" spans="1:19" ht="13.5" thickBot="1">
      <c r="A17" s="775"/>
      <c r="B17" s="220"/>
      <c r="C17" s="221"/>
      <c r="D17" s="222"/>
      <c r="E17" s="230"/>
      <c r="F17" s="233">
        <f>24-6</f>
        <v>18</v>
      </c>
      <c r="G17" s="237" t="s">
        <v>11</v>
      </c>
      <c r="H17" s="238" t="s">
        <v>408</v>
      </c>
      <c r="I17" s="773"/>
      <c r="J17" s="219">
        <f>+'24'!J17</f>
        <v>0</v>
      </c>
      <c r="K17" s="234"/>
      <c r="L17" s="234"/>
      <c r="M17" s="121">
        <f>+K17+'24'!M17+L17</f>
        <v>0</v>
      </c>
      <c r="O17" s="153">
        <f>+O16-30</f>
        <v>1200</v>
      </c>
      <c r="P17" s="153">
        <f>+O17-O17*0.23</f>
        <v>924</v>
      </c>
      <c r="Q17" s="153">
        <f>60-47+60</f>
        <v>73</v>
      </c>
      <c r="R17" s="153">
        <f t="shared" si="3"/>
        <v>87600</v>
      </c>
      <c r="S17" s="153">
        <f t="shared" si="4"/>
        <v>67452</v>
      </c>
    </row>
    <row r="18" spans="1:1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603</v>
      </c>
      <c r="I18" s="773"/>
      <c r="J18" s="219">
        <f>+'24'!J18</f>
        <v>0</v>
      </c>
      <c r="K18" s="244"/>
      <c r="L18" s="244"/>
      <c r="M18" s="121">
        <f>+K18+'24'!M18+L18</f>
        <v>0</v>
      </c>
      <c r="O18" s="153">
        <f>+O17+20</f>
        <v>1220</v>
      </c>
      <c r="P18" s="153">
        <f>+O18-O18*0.23</f>
        <v>939.4</v>
      </c>
      <c r="Q18" s="153">
        <f>60*4</f>
        <v>240</v>
      </c>
      <c r="R18" s="153">
        <f t="shared" si="3"/>
        <v>292800</v>
      </c>
      <c r="S18" s="153">
        <f t="shared" si="4"/>
        <v>225456</v>
      </c>
    </row>
    <row r="19" spans="1:19" ht="39" thickBot="1">
      <c r="A19" s="775"/>
      <c r="B19" s="220"/>
      <c r="C19" s="221"/>
      <c r="D19" s="222"/>
      <c r="E19" s="230"/>
      <c r="F19" s="240"/>
      <c r="G19" s="237"/>
      <c r="H19" s="238" t="s">
        <v>611</v>
      </c>
      <c r="I19" s="773"/>
      <c r="J19" s="219">
        <f>+'24'!J19</f>
        <v>0</v>
      </c>
      <c r="K19" s="244"/>
      <c r="L19" s="244"/>
      <c r="M19" s="121">
        <f>+K19+'24'!M19+L19</f>
        <v>0</v>
      </c>
      <c r="P19" s="153">
        <f t="shared" ref="P19" si="5">+O19-O19*0.25</f>
        <v>0</v>
      </c>
      <c r="R19" s="153">
        <f t="shared" si="3"/>
        <v>0</v>
      </c>
      <c r="S19" s="153">
        <f t="shared" si="4"/>
        <v>0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+'24'!J20</f>
        <v>0</v>
      </c>
      <c r="K20" s="245"/>
      <c r="L20" s="245"/>
      <c r="M20" s="121">
        <f>+K20+'24'!M20+L20</f>
        <v>0</v>
      </c>
      <c r="Q20" s="153">
        <f>SUM(Q15:Q19)</f>
        <v>480</v>
      </c>
      <c r="R20" s="153">
        <f>SUM(R15:R19)</f>
        <v>585810</v>
      </c>
      <c r="S20" s="153">
        <f>SUM(S15:S19)</f>
        <v>451073.69999999995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+'24'!J21</f>
        <v>0</v>
      </c>
      <c r="K21" s="244"/>
      <c r="L21" s="244"/>
      <c r="M21" s="121">
        <f>+K21+'24'!M21+L21</f>
        <v>0</v>
      </c>
      <c r="O21" s="153" t="s">
        <v>404</v>
      </c>
      <c r="R21" s="153">
        <f>+R20/Q20</f>
        <v>1220.4375</v>
      </c>
      <c r="S21" s="153">
        <f>+S20/Q20</f>
        <v>939.73687499999994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+'24'!J22</f>
        <v>0</v>
      </c>
      <c r="K22" s="244"/>
      <c r="L22" s="244"/>
      <c r="M22" s="121">
        <f>+K22+'24'!M22+L22</f>
        <v>0</v>
      </c>
    </row>
    <row r="23" spans="1:19" ht="13.5" thickBot="1">
      <c r="A23" s="776"/>
      <c r="B23" s="173" t="s">
        <v>2</v>
      </c>
      <c r="C23" s="104">
        <f>SUM(C16:C22)</f>
        <v>13646</v>
      </c>
      <c r="D23" s="115">
        <f>SUM(D16:D22)</f>
        <v>609</v>
      </c>
      <c r="E23" s="116">
        <f>SUM(E18:E22)</f>
        <v>0</v>
      </c>
      <c r="F23" s="120">
        <f>SUM(F15:F22)</f>
        <v>24</v>
      </c>
      <c r="G23" s="163"/>
      <c r="H23" s="171"/>
      <c r="I23" s="174"/>
      <c r="J23" s="219">
        <f>+'24'!J23</f>
        <v>0</v>
      </c>
      <c r="K23" s="244"/>
      <c r="L23" s="244"/>
      <c r="M23" s="121">
        <f>+K23+'24'!M23+L23</f>
        <v>0</v>
      </c>
    </row>
    <row r="24" spans="1:19" ht="13.5" customHeight="1" thickBot="1">
      <c r="A24" s="769"/>
      <c r="B24" s="175"/>
      <c r="C24" s="117">
        <f>C23/($C$23+$D$23+$E$23)</f>
        <v>0.95727814801823918</v>
      </c>
      <c r="D24" s="118">
        <f>D23/($C$23+$D$23+$E$23)</f>
        <v>4.2721851981760789E-2</v>
      </c>
      <c r="E24" s="119">
        <f>E23/($C$23+$D$23+$E$23)</f>
        <v>0</v>
      </c>
      <c r="F24" s="233">
        <v>4</v>
      </c>
      <c r="G24" s="234" t="s">
        <v>11</v>
      </c>
      <c r="H24" s="235" t="s">
        <v>581</v>
      </c>
      <c r="I24" s="772" t="s">
        <v>405</v>
      </c>
      <c r="J24" s="219">
        <f>+'24'!J24</f>
        <v>0</v>
      </c>
      <c r="K24" s="244"/>
      <c r="L24" s="244"/>
      <c r="M24" s="121">
        <f>+K24+'24'!M24+L24</f>
        <v>0</v>
      </c>
    </row>
    <row r="25" spans="1:19" ht="13.5" thickBot="1">
      <c r="A25" s="775"/>
      <c r="B25" s="220" t="s">
        <v>414</v>
      </c>
      <c r="C25" s="231">
        <v>16091</v>
      </c>
      <c r="D25" s="222">
        <v>288</v>
      </c>
      <c r="E25" s="230"/>
      <c r="F25" s="236"/>
      <c r="G25" s="237" t="s">
        <v>11</v>
      </c>
      <c r="H25" s="235" t="s">
        <v>286</v>
      </c>
      <c r="I25" s="773"/>
      <c r="J25" s="219">
        <f>+'24'!J25</f>
        <v>0</v>
      </c>
      <c r="K25" s="244"/>
      <c r="L25" s="244"/>
      <c r="M25" s="121">
        <f>+K25+'24'!M25+L25</f>
        <v>0</v>
      </c>
    </row>
    <row r="26" spans="1:19" ht="13.5" thickBot="1">
      <c r="A26" s="775"/>
      <c r="B26" s="220"/>
      <c r="C26" s="231"/>
      <c r="D26" s="222"/>
      <c r="E26" s="232"/>
      <c r="F26" s="233">
        <v>16</v>
      </c>
      <c r="G26" s="237" t="s">
        <v>11</v>
      </c>
      <c r="H26" s="238" t="s">
        <v>408</v>
      </c>
      <c r="I26" s="773"/>
      <c r="J26" s="219">
        <f>+'24'!J26</f>
        <v>0</v>
      </c>
      <c r="K26" s="244"/>
      <c r="L26" s="244"/>
      <c r="M26" s="121">
        <f>+K26+'24'!M26+L26</f>
        <v>0</v>
      </c>
    </row>
    <row r="27" spans="1:19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610</v>
      </c>
      <c r="I27" s="773"/>
      <c r="J27" s="219">
        <f>+'24'!J27</f>
        <v>0</v>
      </c>
      <c r="K27" s="244"/>
      <c r="L27" s="244"/>
      <c r="M27" s="121">
        <f>+K27+'24'!M27+L27</f>
        <v>0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+'24'!J28</f>
        <v>0</v>
      </c>
      <c r="K28" s="244"/>
      <c r="L28" s="244"/>
      <c r="M28" s="121">
        <f>+K28+'24'!M28+L28</f>
        <v>0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+'24'!J29</f>
        <v>0</v>
      </c>
      <c r="K29" s="244"/>
      <c r="L29" s="244"/>
      <c r="M29" s="121">
        <f>+K29+'24'!M29+L29</f>
        <v>0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+'24'!J30</f>
        <v>0</v>
      </c>
      <c r="K30" s="244"/>
      <c r="L30" s="244"/>
      <c r="M30" s="121">
        <f>+K30+'24'!M30+L30</f>
        <v>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+'24'!J31</f>
        <v>0</v>
      </c>
      <c r="K31" s="244"/>
      <c r="L31" s="244"/>
      <c r="M31" s="121">
        <f>+K31+'24'!M31+L31</f>
        <v>0</v>
      </c>
    </row>
    <row r="32" spans="1:19" ht="13.5" thickBot="1">
      <c r="A32" s="776"/>
      <c r="B32" s="170" t="s">
        <v>2</v>
      </c>
      <c r="C32" s="103">
        <f>SUM(C25:C31)</f>
        <v>16091</v>
      </c>
      <c r="D32" s="104">
        <f>SUM(D25:D31)</f>
        <v>288</v>
      </c>
      <c r="E32" s="105">
        <f>SUM(E25:E31)</f>
        <v>0</v>
      </c>
      <c r="F32" s="106">
        <f>SUM(F24:F31)</f>
        <v>20</v>
      </c>
      <c r="G32" s="176"/>
      <c r="H32" s="177"/>
      <c r="I32" s="174"/>
      <c r="J32" s="219">
        <f>+'24'!J32</f>
        <v>0</v>
      </c>
      <c r="K32" s="246"/>
      <c r="L32" s="248"/>
      <c r="M32" s="121">
        <f>+K32+'24'!M32+L32</f>
        <v>0</v>
      </c>
    </row>
    <row r="33" spans="1:13" ht="13.5" thickBot="1">
      <c r="A33" s="178"/>
      <c r="B33" s="179"/>
      <c r="C33" s="107">
        <f>C32/($C$32+$D$32+$E$32)</f>
        <v>0.98241650894438004</v>
      </c>
      <c r="D33" s="108">
        <f>D32/($C$32+$D$32+$E$32)</f>
        <v>1.7583491055620001E-2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40913</v>
      </c>
      <c r="D34" s="111">
        <f>D14+D23+D32</f>
        <v>897</v>
      </c>
      <c r="E34" s="111">
        <f>E14+E23+E32</f>
        <v>0</v>
      </c>
      <c r="F34" s="112">
        <f>F14+F23+F32</f>
        <v>66</v>
      </c>
      <c r="H34" s="183"/>
      <c r="I34" s="183"/>
      <c r="J34" s="127" t="s">
        <v>27</v>
      </c>
      <c r="K34" s="128">
        <f>SUM(K7:K32)</f>
        <v>40913</v>
      </c>
      <c r="L34" s="217">
        <f>SUM(L7:L32)</f>
        <v>0</v>
      </c>
      <c r="M34" s="124">
        <f>SUM(M7:M32)</f>
        <v>1063128</v>
      </c>
    </row>
    <row r="35" spans="1:13" ht="13.5" thickBot="1">
      <c r="A35" s="184"/>
      <c r="B35" s="185"/>
      <c r="C35" s="108">
        <f>C34/($C$34+$D$34+$E$34)</f>
        <v>0.97854580243960776</v>
      </c>
      <c r="D35" s="108">
        <f>D34/($C$34+$D$34+$E$34)</f>
        <v>2.1454197560392251E-2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(13*1440)/1440*G42*2.74*1440/1000000</f>
        <v>48.593719434000008</v>
      </c>
      <c r="J37" s="129">
        <f>+I37+'24'!J37</f>
        <v>1191.1079572845269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66</v>
      </c>
      <c r="D38" s="122">
        <f>+C38+'24'!D38</f>
        <v>1774</v>
      </c>
      <c r="E38" s="147">
        <f t="shared" ref="E38:E51" si="6">D38/60</f>
        <v>29.566666666666666</v>
      </c>
      <c r="F38" s="327">
        <v>1230</v>
      </c>
      <c r="G38" s="327">
        <v>955.3</v>
      </c>
      <c r="H38" s="192" t="s">
        <v>63</v>
      </c>
      <c r="I38" s="250">
        <f>14.053+14.923+14.982</f>
        <v>43.957999999999998</v>
      </c>
      <c r="J38" s="131">
        <f>+I38+'24'!J38</f>
        <v>1093.9099999999999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+C39+'24'!D39</f>
        <v>0</v>
      </c>
      <c r="E39" s="147">
        <f t="shared" si="6"/>
        <v>0</v>
      </c>
      <c r="F39" s="327">
        <v>1220.4375</v>
      </c>
      <c r="G39" s="327">
        <v>939.73687499999994</v>
      </c>
      <c r="H39" s="192" t="s">
        <v>64</v>
      </c>
      <c r="I39" s="146"/>
      <c r="J39" s="133">
        <f>J37/G4</f>
        <v>47.644318291381076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+C40+'24'!D40</f>
        <v>414</v>
      </c>
      <c r="E40" s="147">
        <f t="shared" si="6"/>
        <v>6.9</v>
      </c>
      <c r="F40" s="327">
        <v>1230</v>
      </c>
      <c r="G40" s="327">
        <v>947.09999999999991</v>
      </c>
      <c r="H40" s="192" t="s">
        <v>66</v>
      </c>
      <c r="I40" s="122">
        <f>(K34+L34)/1000</f>
        <v>40.912999999999997</v>
      </c>
      <c r="J40" s="135">
        <f>+I40+'24'!J40</f>
        <v>1063.1280000000002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+C41+'24'!D41</f>
        <v>60</v>
      </c>
      <c r="E41" s="147">
        <f t="shared" si="6"/>
        <v>1</v>
      </c>
      <c r="F41" s="327"/>
      <c r="G41" s="327"/>
      <c r="H41" s="192" t="s">
        <v>68</v>
      </c>
      <c r="I41" s="146"/>
      <c r="J41" s="133">
        <f>J40/G4</f>
        <v>42.525120000000008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+C42+'24'!D42</f>
        <v>0</v>
      </c>
      <c r="E42" s="147">
        <f t="shared" si="6"/>
        <v>0</v>
      </c>
      <c r="F42" s="327">
        <f>+(480*F38+480*F39+480*F40)/1440</f>
        <v>1226.8125</v>
      </c>
      <c r="G42" s="327">
        <f>+(480*G38+480*G39+480*G40)/1440</f>
        <v>947.37895833333334</v>
      </c>
      <c r="H42" s="192" t="s">
        <v>69</v>
      </c>
      <c r="I42" s="251" t="s">
        <v>613</v>
      </c>
      <c r="J42" s="136"/>
      <c r="K42" s="134" t="s">
        <v>70</v>
      </c>
    </row>
    <row r="43" spans="1:13" ht="17.45" customHeight="1">
      <c r="A43" s="763" t="s">
        <v>71</v>
      </c>
      <c r="B43" s="764"/>
      <c r="C43" s="168">
        <f>SUMIF($G$7:$G$31,"Water",$F$7:$F$31)</f>
        <v>0</v>
      </c>
      <c r="D43" s="122">
        <f>+C43+'24'!D43</f>
        <v>0</v>
      </c>
      <c r="E43" s="147">
        <f t="shared" si="6"/>
        <v>0</v>
      </c>
      <c r="F43" s="327"/>
      <c r="G43" s="328"/>
      <c r="H43" s="193" t="s">
        <v>72</v>
      </c>
      <c r="I43" s="122">
        <f>+Report1!Z33</f>
        <v>60.7</v>
      </c>
      <c r="J43" s="137">
        <f>+I43+'24'!J43</f>
        <v>1428.1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+C44+'24'!D44</f>
        <v>0</v>
      </c>
      <c r="E44" s="147">
        <f t="shared" si="6"/>
        <v>0</v>
      </c>
      <c r="F44" s="327"/>
      <c r="G44" s="328"/>
      <c r="H44" s="193" t="s">
        <v>73</v>
      </c>
      <c r="I44" s="122">
        <f>I43/I38</f>
        <v>1.3808635515719552</v>
      </c>
      <c r="J44" s="138">
        <f>J43/J38</f>
        <v>1.3055004525052336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+C45+'24'!D45</f>
        <v>0</v>
      </c>
      <c r="E45" s="147">
        <f t="shared" si="6"/>
        <v>0</v>
      </c>
      <c r="F45" s="327"/>
      <c r="G45" s="330"/>
      <c r="H45" s="193" t="s">
        <v>74</v>
      </c>
      <c r="I45" s="122">
        <f>I43/I40</f>
        <v>1.4836360081147804</v>
      </c>
      <c r="J45" s="138">
        <f>J43/J40</f>
        <v>1.3433001482417919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+C46+'24'!D46</f>
        <v>0</v>
      </c>
      <c r="E46" s="147">
        <f t="shared" si="6"/>
        <v>0</v>
      </c>
      <c r="F46" s="327"/>
      <c r="G46" s="328"/>
      <c r="H46" s="193" t="s">
        <v>76</v>
      </c>
      <c r="I46" s="144">
        <f>+SUMIF(Listrik!P32,"&gt;0")</f>
        <v>35649.180000001092</v>
      </c>
      <c r="J46" s="139">
        <f>+I46+'24'!J46</f>
        <v>920621.38000000105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+C47+'24'!D47</f>
        <v>0</v>
      </c>
      <c r="E47" s="147">
        <f t="shared" si="6"/>
        <v>0</v>
      </c>
      <c r="F47" s="327"/>
      <c r="G47" s="328"/>
      <c r="H47" s="193" t="s">
        <v>79</v>
      </c>
      <c r="I47" s="122">
        <f>I46/I38</f>
        <v>810.98275626737097</v>
      </c>
      <c r="J47" s="139">
        <f>J46/J38</f>
        <v>841.58786371822282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+C48+'24'!D48</f>
        <v>0</v>
      </c>
      <c r="E48" s="147">
        <f t="shared" si="6"/>
        <v>0</v>
      </c>
      <c r="F48" s="327"/>
      <c r="G48" s="328"/>
      <c r="H48" s="193" t="s">
        <v>80</v>
      </c>
      <c r="I48" s="122">
        <f>I46/I40</f>
        <v>871.34113851345774</v>
      </c>
      <c r="J48" s="139">
        <f>J46/J40</f>
        <v>865.95535062570161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+C49+'24'!D49</f>
        <v>0</v>
      </c>
      <c r="E49" s="147">
        <f t="shared" si="6"/>
        <v>0</v>
      </c>
      <c r="F49" s="190"/>
      <c r="H49" s="193" t="s">
        <v>271</v>
      </c>
      <c r="I49" s="122">
        <f>+Report1!T33</f>
        <v>4139.0120938365144</v>
      </c>
      <c r="J49" s="139">
        <f>+I49+'24'!J49</f>
        <v>99139.655246646624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+C50+'24'!D50</f>
        <v>0</v>
      </c>
      <c r="E50" s="147">
        <f t="shared" si="6"/>
        <v>0</v>
      </c>
      <c r="F50" s="190"/>
      <c r="H50" s="193" t="s">
        <v>82</v>
      </c>
      <c r="I50" s="144">
        <f>I49/I38</f>
        <v>94.158335088869251</v>
      </c>
      <c r="J50" s="137">
        <f>J49/J38</f>
        <v>90.628712825229343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+C51+'24'!D51</f>
        <v>0</v>
      </c>
      <c r="E51" s="147">
        <f t="shared" si="6"/>
        <v>0</v>
      </c>
      <c r="F51" s="190"/>
      <c r="H51" s="195" t="s">
        <v>84</v>
      </c>
      <c r="I51" s="145">
        <f>I49/I40</f>
        <v>101.16618419173648</v>
      </c>
      <c r="J51" s="140">
        <f>J49/J40</f>
        <v>93.25279293429071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66</v>
      </c>
      <c r="D52" s="148">
        <f>SUM(D38:D51)</f>
        <v>2248</v>
      </c>
      <c r="E52" s="149">
        <f>SUM(E38:E51)</f>
        <v>37.466666666666669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4.583333333333333E-2</v>
      </c>
      <c r="D53" s="150">
        <f>D52/(24*60*G4)</f>
        <v>6.2444444444444441E-2</v>
      </c>
      <c r="E53" s="151">
        <f>E52/(G4*24)</f>
        <v>6.2444444444444448E-2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+D34+'24'!J56</f>
        <v>6757</v>
      </c>
      <c r="K56" s="206">
        <f>J56/(J40+J56/1000)/1000</f>
        <v>6.3156320539123354E-3</v>
      </c>
    </row>
    <row r="57" spans="1:11">
      <c r="A57" s="181"/>
      <c r="I57" s="204" t="s">
        <v>87</v>
      </c>
      <c r="J57" s="205">
        <f>+E34+'24'!J57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zoomScale="80" zoomScaleNormal="80" workbookViewId="0">
      <selection activeCell="H32" sqref="H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3.5703125" style="153" customWidth="1"/>
    <col min="14" max="16384" width="9.140625" style="153"/>
  </cols>
  <sheetData>
    <row r="1" spans="1:13" ht="15.75">
      <c r="A1" s="152"/>
    </row>
    <row r="2" spans="1:13" ht="15.75">
      <c r="A2" s="152" t="s">
        <v>184</v>
      </c>
    </row>
    <row r="3" spans="1:13" ht="15">
      <c r="A3" s="154"/>
    </row>
    <row r="4" spans="1:13" ht="20.25">
      <c r="A4" s="155" t="s">
        <v>3</v>
      </c>
      <c r="B4" s="156"/>
      <c r="F4" s="157" t="s">
        <v>28</v>
      </c>
      <c r="G4" s="158">
        <v>24</v>
      </c>
      <c r="H4" s="158" t="str">
        <f>+'1'!H4</f>
        <v>.08.25</v>
      </c>
      <c r="J4" s="153">
        <f>569+572+625</f>
        <v>1766</v>
      </c>
    </row>
    <row r="5" spans="1:13" ht="13.5" thickBot="1">
      <c r="C5" s="159"/>
      <c r="D5" s="159"/>
    </row>
    <row r="6" spans="1:13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</row>
    <row r="7" spans="1:13" ht="13.5" customHeight="1" thickBot="1">
      <c r="A7" s="769"/>
      <c r="B7" s="220" t="s">
        <v>609</v>
      </c>
      <c r="C7" s="221">
        <v>15009</v>
      </c>
      <c r="D7" s="222"/>
      <c r="E7" s="223"/>
      <c r="F7" s="233">
        <v>8</v>
      </c>
      <c r="G7" s="234" t="s">
        <v>11</v>
      </c>
      <c r="H7" s="235" t="s">
        <v>563</v>
      </c>
      <c r="I7" s="772" t="s">
        <v>620</v>
      </c>
      <c r="J7" s="219" t="str">
        <f>+'23'!J7</f>
        <v>T 13 VP OW</v>
      </c>
      <c r="K7" s="243">
        <f>+C34</f>
        <v>44849</v>
      </c>
      <c r="L7" s="247"/>
      <c r="M7" s="121">
        <f>+K7+'23'!M7+L7</f>
        <v>355769</v>
      </c>
    </row>
    <row r="8" spans="1:13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+'23'!J8</f>
        <v>T 15,5 VP OW</v>
      </c>
      <c r="K8" s="244"/>
      <c r="L8" s="244"/>
      <c r="M8" s="121">
        <f>+K8+'23'!M8+L8</f>
        <v>79695</v>
      </c>
    </row>
    <row r="9" spans="1:13" ht="13.5" thickBot="1">
      <c r="A9" s="770"/>
      <c r="B9" s="220"/>
      <c r="C9" s="221"/>
      <c r="D9" s="222"/>
      <c r="E9" s="225"/>
      <c r="F9" s="233">
        <v>11</v>
      </c>
      <c r="G9" s="237" t="s">
        <v>11</v>
      </c>
      <c r="H9" s="238" t="s">
        <v>408</v>
      </c>
      <c r="I9" s="773"/>
      <c r="J9" s="219" t="str">
        <f>+'23'!J9</f>
        <v>T 19 VP OW</v>
      </c>
      <c r="K9" s="244"/>
      <c r="L9" s="244"/>
      <c r="M9" s="121">
        <f>+K9+'23'!M9+L9</f>
        <v>10916</v>
      </c>
    </row>
    <row r="10" spans="1:13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619</v>
      </c>
      <c r="I10" s="773"/>
      <c r="J10" s="219" t="str">
        <f>+'23'!J10</f>
        <v>F 15 VP OW</v>
      </c>
      <c r="K10" s="244"/>
      <c r="L10" s="244"/>
      <c r="M10" s="121">
        <f>+K10+'23'!M10+L10</f>
        <v>10380</v>
      </c>
    </row>
    <row r="11" spans="1:13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+'23'!J11</f>
        <v>F 13,5 VP OW</v>
      </c>
      <c r="K11" s="244"/>
      <c r="L11" s="244"/>
      <c r="M11" s="121">
        <f>+K11+'23'!M11+L11</f>
        <v>131921</v>
      </c>
    </row>
    <row r="12" spans="1:13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+'23'!J12</f>
        <v>F 13 VP OW</v>
      </c>
      <c r="K12" s="244"/>
      <c r="L12" s="244"/>
      <c r="M12" s="121">
        <f>+K12+'23'!M12+L12</f>
        <v>172900</v>
      </c>
    </row>
    <row r="13" spans="1:13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+'23'!J13</f>
        <v>F 12 VP OW</v>
      </c>
      <c r="K13" s="244"/>
      <c r="L13" s="244"/>
      <c r="M13" s="121">
        <f>+K13+'23'!M13+L13</f>
        <v>238456</v>
      </c>
    </row>
    <row r="14" spans="1:13" ht="13.5" thickBot="1">
      <c r="A14" s="771"/>
      <c r="B14" s="170" t="s">
        <v>2</v>
      </c>
      <c r="C14" s="103">
        <f>SUM(C7:C13)</f>
        <v>15009</v>
      </c>
      <c r="D14" s="115">
        <f>SUM(D7:D13)</f>
        <v>0</v>
      </c>
      <c r="E14" s="116">
        <f>SUM(E5:E13)</f>
        <v>0</v>
      </c>
      <c r="F14" s="120">
        <f>SUM(F7:F13)</f>
        <v>19</v>
      </c>
      <c r="G14" s="163"/>
      <c r="H14" s="171"/>
      <c r="I14" s="172"/>
      <c r="J14" s="219" t="str">
        <f>+'23'!J14</f>
        <v>F 12,5 VP OW</v>
      </c>
      <c r="K14" s="244"/>
      <c r="L14" s="244"/>
      <c r="M14" s="121">
        <f>+K14+'23'!M14+L14</f>
        <v>22178</v>
      </c>
    </row>
    <row r="15" spans="1:13" ht="13.5" customHeight="1" thickBot="1">
      <c r="A15" s="769"/>
      <c r="B15" s="170"/>
      <c r="C15" s="117">
        <f>C14/($C$23+$D$23+$E$23)</f>
        <v>0.96341228576930482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620</v>
      </c>
      <c r="J15" s="219">
        <f>+'23'!J15</f>
        <v>0</v>
      </c>
      <c r="K15" s="244"/>
      <c r="L15" s="244"/>
      <c r="M15" s="121">
        <f>+K15+'23'!M15+L15</f>
        <v>0</v>
      </c>
    </row>
    <row r="16" spans="1:13" ht="13.5" thickBot="1">
      <c r="A16" s="775"/>
      <c r="B16" s="220" t="s">
        <v>609</v>
      </c>
      <c r="C16" s="227">
        <v>15579</v>
      </c>
      <c r="D16" s="228"/>
      <c r="E16" s="229"/>
      <c r="F16" s="236">
        <v>4</v>
      </c>
      <c r="G16" s="237" t="s">
        <v>11</v>
      </c>
      <c r="H16" s="235" t="s">
        <v>508</v>
      </c>
      <c r="I16" s="773"/>
      <c r="J16" s="219">
        <f>+'23'!J16</f>
        <v>0</v>
      </c>
      <c r="K16" s="234"/>
      <c r="L16" s="234"/>
      <c r="M16" s="121">
        <f>+K16+'23'!M16+L16</f>
        <v>0</v>
      </c>
    </row>
    <row r="17" spans="1:13" ht="13.5" thickBot="1">
      <c r="A17" s="775"/>
      <c r="B17" s="220"/>
      <c r="C17" s="221"/>
      <c r="D17" s="222"/>
      <c r="E17" s="230"/>
      <c r="F17" s="233">
        <v>14</v>
      </c>
      <c r="G17" s="237" t="s">
        <v>11</v>
      </c>
      <c r="H17" s="238" t="s">
        <v>408</v>
      </c>
      <c r="I17" s="773"/>
      <c r="J17" s="219">
        <f>+'23'!J17</f>
        <v>0</v>
      </c>
      <c r="K17" s="234"/>
      <c r="L17" s="234"/>
      <c r="M17" s="121">
        <f>+K17+'23'!M17+L17</f>
        <v>0</v>
      </c>
    </row>
    <row r="18" spans="1:13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619</v>
      </c>
      <c r="I18" s="773"/>
      <c r="J18" s="219">
        <f>+'23'!J18</f>
        <v>0</v>
      </c>
      <c r="K18" s="244"/>
      <c r="L18" s="244"/>
      <c r="M18" s="121">
        <f>+K18+'23'!M18+L18</f>
        <v>0</v>
      </c>
    </row>
    <row r="19" spans="1:13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+'23'!J19</f>
        <v>0</v>
      </c>
      <c r="K19" s="244"/>
      <c r="L19" s="244">
        <v>0</v>
      </c>
      <c r="M19" s="121">
        <f>+K19+'23'!M19+L19</f>
        <v>0</v>
      </c>
    </row>
    <row r="20" spans="1:13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+'23'!J20</f>
        <v>0</v>
      </c>
      <c r="K20" s="245"/>
      <c r="L20" s="245">
        <v>0</v>
      </c>
      <c r="M20" s="121">
        <f>+K20+'23'!M20+L20</f>
        <v>0</v>
      </c>
    </row>
    <row r="21" spans="1:13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+'23'!J21</f>
        <v>0</v>
      </c>
      <c r="K21" s="244"/>
      <c r="L21" s="244">
        <v>0</v>
      </c>
      <c r="M21" s="121">
        <f>+K21+'23'!M21+L21</f>
        <v>0</v>
      </c>
    </row>
    <row r="22" spans="1:13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+'23'!J22</f>
        <v>0</v>
      </c>
      <c r="K22" s="244"/>
      <c r="L22" s="244">
        <v>0</v>
      </c>
      <c r="M22" s="121">
        <f>+K22+'23'!M22+L22</f>
        <v>0</v>
      </c>
    </row>
    <row r="23" spans="1:13" ht="13.5" thickBot="1">
      <c r="A23" s="776"/>
      <c r="B23" s="173" t="s">
        <v>2</v>
      </c>
      <c r="C23" s="104">
        <f>SUM(C16:C22)</f>
        <v>15579</v>
      </c>
      <c r="D23" s="115">
        <f>SUM(D16:D22)</f>
        <v>0</v>
      </c>
      <c r="E23" s="116">
        <f>SUM(E18:E22)</f>
        <v>0</v>
      </c>
      <c r="F23" s="120">
        <f>SUM(F15:F22)</f>
        <v>18</v>
      </c>
      <c r="G23" s="163"/>
      <c r="H23" s="171"/>
      <c r="I23" s="174"/>
      <c r="J23" s="219">
        <f>+'23'!J23</f>
        <v>0</v>
      </c>
      <c r="K23" s="244"/>
      <c r="L23" s="244"/>
      <c r="M23" s="121">
        <f>+K23+'23'!M23+L23</f>
        <v>0</v>
      </c>
    </row>
    <row r="24" spans="1:13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6</v>
      </c>
      <c r="G24" s="234" t="s">
        <v>11</v>
      </c>
      <c r="H24" s="235" t="s">
        <v>581</v>
      </c>
      <c r="I24" s="772" t="s">
        <v>620</v>
      </c>
      <c r="J24" s="219">
        <f>+'23'!J24</f>
        <v>0</v>
      </c>
      <c r="K24" s="244"/>
      <c r="L24" s="244"/>
      <c r="M24" s="121">
        <f>+K24+'23'!M24+L24</f>
        <v>0</v>
      </c>
    </row>
    <row r="25" spans="1:13" ht="13.5" thickBot="1">
      <c r="A25" s="775"/>
      <c r="B25" s="220" t="s">
        <v>609</v>
      </c>
      <c r="C25" s="231">
        <v>14261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+'23'!J25</f>
        <v>0</v>
      </c>
      <c r="K25" s="244"/>
      <c r="L25" s="244"/>
      <c r="M25" s="121">
        <f>+K25+'23'!M25+L25</f>
        <v>0</v>
      </c>
    </row>
    <row r="26" spans="1:13" ht="13.5" thickBot="1">
      <c r="A26" s="775"/>
      <c r="B26" s="220"/>
      <c r="C26" s="231"/>
      <c r="D26" s="222"/>
      <c r="E26" s="232"/>
      <c r="F26" s="233">
        <v>14</v>
      </c>
      <c r="G26" s="237" t="s">
        <v>11</v>
      </c>
      <c r="H26" s="238" t="s">
        <v>428</v>
      </c>
      <c r="I26" s="773"/>
      <c r="J26" s="219">
        <f>+'23'!J26</f>
        <v>0</v>
      </c>
      <c r="K26" s="244"/>
      <c r="L26" s="244"/>
      <c r="M26" s="121">
        <f>+K26+'23'!M26+L26</f>
        <v>0</v>
      </c>
    </row>
    <row r="27" spans="1:13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619</v>
      </c>
      <c r="I27" s="773"/>
      <c r="J27" s="219">
        <f>+'23'!J27</f>
        <v>0</v>
      </c>
      <c r="K27" s="244"/>
      <c r="L27" s="244"/>
      <c r="M27" s="121">
        <f>+K27+'23'!M27+L27</f>
        <v>0</v>
      </c>
    </row>
    <row r="28" spans="1:13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+'23'!J28</f>
        <v>0</v>
      </c>
      <c r="K28" s="244"/>
      <c r="L28" s="244"/>
      <c r="M28" s="121">
        <f>+K28+'23'!M28+L28</f>
        <v>0</v>
      </c>
    </row>
    <row r="29" spans="1:13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+'23'!J29</f>
        <v>0</v>
      </c>
      <c r="K29" s="244"/>
      <c r="L29" s="244"/>
      <c r="M29" s="121">
        <f>+K29+'23'!M29+L29</f>
        <v>0</v>
      </c>
    </row>
    <row r="30" spans="1:13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+'23'!J30</f>
        <v>0</v>
      </c>
      <c r="K30" s="244"/>
      <c r="L30" s="244"/>
      <c r="M30" s="121">
        <f>+K30+'23'!M30+L30</f>
        <v>0</v>
      </c>
    </row>
    <row r="31" spans="1:13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+'23'!J31</f>
        <v>0</v>
      </c>
      <c r="K31" s="244"/>
      <c r="L31" s="244"/>
      <c r="M31" s="121">
        <f>+K31+'23'!M31+L31</f>
        <v>0</v>
      </c>
    </row>
    <row r="32" spans="1:13" ht="13.5" thickBot="1">
      <c r="A32" s="776"/>
      <c r="B32" s="170" t="s">
        <v>2</v>
      </c>
      <c r="C32" s="103">
        <f>SUM(C25:C31)</f>
        <v>14261</v>
      </c>
      <c r="D32" s="104">
        <f>SUM(D25:D31)</f>
        <v>0</v>
      </c>
      <c r="E32" s="105">
        <f>SUM(E25:E31)</f>
        <v>0</v>
      </c>
      <c r="F32" s="106">
        <f>SUM(F24:F31)</f>
        <v>20</v>
      </c>
      <c r="G32" s="176"/>
      <c r="H32" s="177"/>
      <c r="I32" s="174"/>
      <c r="J32" s="219">
        <f>+'23'!J32</f>
        <v>0</v>
      </c>
      <c r="K32" s="246"/>
      <c r="L32" s="248"/>
      <c r="M32" s="121">
        <f>+K32+'23'!M32+L32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44849</v>
      </c>
      <c r="D34" s="111">
        <f>D14+D23+D32</f>
        <v>0</v>
      </c>
      <c r="E34" s="111">
        <f>E14+E23+E32</f>
        <v>0</v>
      </c>
      <c r="F34" s="112">
        <f>F14+F23+F32</f>
        <v>57</v>
      </c>
      <c r="H34" s="183"/>
      <c r="I34" s="183"/>
      <c r="J34" s="127" t="s">
        <v>27</v>
      </c>
      <c r="K34" s="128">
        <f>SUM(K7:K32)</f>
        <v>44849</v>
      </c>
      <c r="L34" s="217">
        <f>SUM(L7:L32)</f>
        <v>0</v>
      </c>
      <c r="M34" s="124">
        <f>SUM(M7:M32)</f>
        <v>1022215</v>
      </c>
    </row>
    <row r="35" spans="1:13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(13*1440)/1440*G42*2.74*1440/1000000</f>
        <v>49.21031232</v>
      </c>
      <c r="J37" s="129">
        <f>+I37+'23'!J37</f>
        <v>1142.514237850527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57</v>
      </c>
      <c r="D38" s="122">
        <f>+C38+'23'!D38</f>
        <v>1708</v>
      </c>
      <c r="E38" s="147">
        <f t="shared" ref="E38:E51" si="0">D38/60</f>
        <v>28.466666666666665</v>
      </c>
      <c r="F38" s="327">
        <v>1230</v>
      </c>
      <c r="G38" s="327">
        <v>959.4</v>
      </c>
      <c r="H38" s="192" t="s">
        <v>63</v>
      </c>
      <c r="I38" s="250">
        <f>15.51+14.383+14.261</f>
        <v>44.153999999999996</v>
      </c>
      <c r="J38" s="131">
        <f>+I38+'23'!J38</f>
        <v>1049.9519999999998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+C39+'23'!D39</f>
        <v>0</v>
      </c>
      <c r="E39" s="147">
        <f t="shared" si="0"/>
        <v>0</v>
      </c>
      <c r="F39" s="327">
        <v>1230</v>
      </c>
      <c r="G39" s="327">
        <v>959.4</v>
      </c>
      <c r="H39" s="192" t="s">
        <v>64</v>
      </c>
      <c r="I39" s="146"/>
      <c r="J39" s="133">
        <f>J37/G4</f>
        <v>47.604759910438624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+C40+'23'!D40</f>
        <v>414</v>
      </c>
      <c r="E40" s="147">
        <f t="shared" si="0"/>
        <v>6.9</v>
      </c>
      <c r="F40" s="327">
        <v>1230</v>
      </c>
      <c r="G40" s="327">
        <v>959.4</v>
      </c>
      <c r="H40" s="192" t="s">
        <v>66</v>
      </c>
      <c r="I40" s="122">
        <f>(K34+L34)/1000</f>
        <v>44.848999999999997</v>
      </c>
      <c r="J40" s="135">
        <f>+I40+'23'!J40</f>
        <v>1022.2150000000003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+C41+'23'!D41</f>
        <v>60</v>
      </c>
      <c r="E41" s="147">
        <f t="shared" si="0"/>
        <v>1</v>
      </c>
      <c r="F41" s="327"/>
      <c r="G41" s="327"/>
      <c r="H41" s="192" t="s">
        <v>68</v>
      </c>
      <c r="I41" s="146"/>
      <c r="J41" s="133">
        <f>J40/G4</f>
        <v>42.592291666666675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+C42+'23'!D42</f>
        <v>0</v>
      </c>
      <c r="E42" s="147">
        <f t="shared" si="0"/>
        <v>0</v>
      </c>
      <c r="F42" s="327">
        <f>+(480*F38+480*F39+480*F40)/1440</f>
        <v>1230</v>
      </c>
      <c r="G42" s="327">
        <f>+(480*G38+480*G39+480*G40)/1440</f>
        <v>959.4</v>
      </c>
      <c r="H42" s="192" t="s">
        <v>69</v>
      </c>
      <c r="I42" s="251"/>
      <c r="J42" s="136"/>
      <c r="K42" s="134" t="s">
        <v>70</v>
      </c>
    </row>
    <row r="43" spans="1:13" ht="17.45" customHeight="1">
      <c r="A43" s="763" t="s">
        <v>71</v>
      </c>
      <c r="B43" s="764"/>
      <c r="C43" s="168">
        <f>SUMIF($G$7:$G$31,"Water",$F$7:$F$31)</f>
        <v>0</v>
      </c>
      <c r="D43" s="122">
        <f>+C43+'23'!D43</f>
        <v>0</v>
      </c>
      <c r="E43" s="147">
        <f t="shared" si="0"/>
        <v>0</v>
      </c>
      <c r="F43" s="327"/>
      <c r="G43" s="328"/>
      <c r="H43" s="193" t="s">
        <v>72</v>
      </c>
      <c r="I43" s="122">
        <f>+Report1!Z32</f>
        <v>60.1</v>
      </c>
      <c r="J43" s="137">
        <f>+I43+'23'!J43</f>
        <v>1367.3999999999999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+C44+'23'!D44</f>
        <v>0</v>
      </c>
      <c r="E44" s="147">
        <f t="shared" si="0"/>
        <v>0</v>
      </c>
      <c r="F44" s="327"/>
      <c r="G44" s="328"/>
      <c r="H44" s="193" t="s">
        <v>73</v>
      </c>
      <c r="I44" s="122">
        <f>I43/I38</f>
        <v>1.3611450831181775</v>
      </c>
      <c r="J44" s="138">
        <f>J43/J38</f>
        <v>1.3023452500685748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+C45+'23'!D45</f>
        <v>0</v>
      </c>
      <c r="E45" s="147">
        <f t="shared" si="0"/>
        <v>0</v>
      </c>
      <c r="F45" s="327"/>
      <c r="G45" s="330"/>
      <c r="H45" s="193" t="s">
        <v>74</v>
      </c>
      <c r="I45" s="122">
        <f>I43/I40</f>
        <v>1.3400521750763674</v>
      </c>
      <c r="J45" s="138">
        <f>J43/J40</f>
        <v>1.3376833640672456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+C46+'23'!D46</f>
        <v>0</v>
      </c>
      <c r="E46" s="147">
        <f t="shared" si="0"/>
        <v>0</v>
      </c>
      <c r="F46" s="327"/>
      <c r="G46" s="328"/>
      <c r="H46" s="193" t="s">
        <v>76</v>
      </c>
      <c r="I46" s="144">
        <f>+SUMIF(Listrik!P31,"&gt;0")</f>
        <v>36643.119999999639</v>
      </c>
      <c r="J46" s="139">
        <f>+I46+'23'!J46</f>
        <v>884972.2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+C47+'23'!D47</f>
        <v>0</v>
      </c>
      <c r="E47" s="147">
        <f t="shared" si="0"/>
        <v>0</v>
      </c>
      <c r="F47" s="327"/>
      <c r="G47" s="328"/>
      <c r="H47" s="193" t="s">
        <v>79</v>
      </c>
      <c r="I47" s="122">
        <f>I46/I38</f>
        <v>829.89355437785116</v>
      </c>
      <c r="J47" s="139">
        <f>J46/J38</f>
        <v>842.86919782999621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+C48+'23'!D48</f>
        <v>0</v>
      </c>
      <c r="E48" s="147">
        <f t="shared" si="0"/>
        <v>0</v>
      </c>
      <c r="F48" s="327"/>
      <c r="G48" s="328"/>
      <c r="H48" s="193" t="s">
        <v>80</v>
      </c>
      <c r="I48" s="122">
        <f>I46/I40</f>
        <v>817.03315570023062</v>
      </c>
      <c r="J48" s="139">
        <f>J46/J40</f>
        <v>865.73979055286782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+C49+'23'!D49</f>
        <v>0</v>
      </c>
      <c r="E49" s="147">
        <f t="shared" si="0"/>
        <v>0</v>
      </c>
      <c r="F49" s="190"/>
      <c r="H49" s="193" t="s">
        <v>271</v>
      </c>
      <c r="I49" s="122">
        <f>+Report1!T32</f>
        <v>3983.3025099075294</v>
      </c>
      <c r="J49" s="139">
        <f>+I49+'23'!J49</f>
        <v>95000.643152810109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+C50+'23'!D50</f>
        <v>0</v>
      </c>
      <c r="E50" s="147">
        <f t="shared" si="0"/>
        <v>0</v>
      </c>
      <c r="F50" s="190"/>
      <c r="H50" s="193" t="s">
        <v>82</v>
      </c>
      <c r="I50" s="144">
        <f>I49/I38</f>
        <v>90.213854008867372</v>
      </c>
      <c r="J50" s="137">
        <f>J49/J38</f>
        <v>90.480939274185985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+C51+'23'!D51</f>
        <v>0</v>
      </c>
      <c r="E51" s="147">
        <f t="shared" si="0"/>
        <v>0</v>
      </c>
      <c r="F51" s="190"/>
      <c r="H51" s="195" t="s">
        <v>84</v>
      </c>
      <c r="I51" s="145">
        <f>I49/I40</f>
        <v>88.815860106301812</v>
      </c>
      <c r="J51" s="140">
        <f>J49/J40</f>
        <v>92.936068393449602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57</v>
      </c>
      <c r="D52" s="148">
        <f>SUM(D38:D51)</f>
        <v>2182</v>
      </c>
      <c r="E52" s="149">
        <f>SUM(E38:E51)</f>
        <v>36.366666666666667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3.9583333333333331E-2</v>
      </c>
      <c r="D53" s="150">
        <f>D52/(24*60*G4)</f>
        <v>6.3136574074074067E-2</v>
      </c>
      <c r="E53" s="151">
        <f>E52/(G4*24)</f>
        <v>6.3136574074074081E-2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+D34+'23'!J56</f>
        <v>5860</v>
      </c>
      <c r="K56" s="206">
        <f>J56/(J40+J56/1000)/1000</f>
        <v>5.6999732509787696E-3</v>
      </c>
    </row>
    <row r="57" spans="1:11">
      <c r="A57" s="181"/>
      <c r="I57" s="204" t="s">
        <v>87</v>
      </c>
      <c r="J57" s="205">
        <f>+E34+'23'!J57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7" zoomScale="80" zoomScaleNormal="80" workbookViewId="0">
      <selection activeCell="D17" sqref="D17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3.7109375" style="153" customWidth="1"/>
    <col min="14" max="16384" width="9.140625" style="153"/>
  </cols>
  <sheetData>
    <row r="1" spans="1:13" ht="15.75">
      <c r="A1" s="152"/>
    </row>
    <row r="2" spans="1:13" ht="15.75">
      <c r="A2" s="152" t="s">
        <v>184</v>
      </c>
    </row>
    <row r="3" spans="1:13" ht="15">
      <c r="A3" s="154"/>
    </row>
    <row r="4" spans="1:13" ht="20.25">
      <c r="A4" s="155" t="s">
        <v>3</v>
      </c>
      <c r="B4" s="156"/>
      <c r="F4" s="157" t="s">
        <v>28</v>
      </c>
      <c r="G4" s="158">
        <v>23</v>
      </c>
      <c r="H4" s="158" t="str">
        <f>+'1'!H4</f>
        <v>.08.25</v>
      </c>
      <c r="J4" s="153">
        <f>549+583+607</f>
        <v>1739</v>
      </c>
    </row>
    <row r="5" spans="1:13" ht="13.5" thickBot="1">
      <c r="C5" s="159"/>
      <c r="D5" s="159"/>
    </row>
    <row r="6" spans="1:13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</row>
    <row r="7" spans="1:13" ht="13.5" customHeight="1" thickBot="1">
      <c r="A7" s="769"/>
      <c r="B7" s="220" t="s">
        <v>609</v>
      </c>
      <c r="C7" s="221">
        <v>14165</v>
      </c>
      <c r="D7" s="222">
        <v>279</v>
      </c>
      <c r="E7" s="223"/>
      <c r="F7" s="233">
        <v>6</v>
      </c>
      <c r="G7" s="234" t="s">
        <v>11</v>
      </c>
      <c r="H7" s="235" t="s">
        <v>407</v>
      </c>
      <c r="I7" s="772" t="s">
        <v>405</v>
      </c>
      <c r="J7" s="219" t="str">
        <f>+'22'!J7</f>
        <v>T 13 VP OW</v>
      </c>
      <c r="K7" s="243">
        <f>+C34</f>
        <v>41916</v>
      </c>
      <c r="L7" s="247"/>
      <c r="M7" s="121">
        <f>+K7+'22'!M7+L7</f>
        <v>310920</v>
      </c>
    </row>
    <row r="8" spans="1:13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+'22'!J8</f>
        <v>T 15,5 VP OW</v>
      </c>
      <c r="K8" s="244"/>
      <c r="L8" s="244"/>
      <c r="M8" s="121">
        <f>+K8+'22'!M8+L8</f>
        <v>79695</v>
      </c>
    </row>
    <row r="9" spans="1:13" ht="13.5" thickBot="1">
      <c r="A9" s="770"/>
      <c r="B9" s="220"/>
      <c r="C9" s="221"/>
      <c r="D9" s="222"/>
      <c r="E9" s="225"/>
      <c r="F9" s="233">
        <v>15</v>
      </c>
      <c r="G9" s="237" t="s">
        <v>11</v>
      </c>
      <c r="H9" s="238" t="s">
        <v>408</v>
      </c>
      <c r="I9" s="773"/>
      <c r="J9" s="219" t="str">
        <f>+'22'!J9</f>
        <v>T 19 VP OW</v>
      </c>
      <c r="K9" s="244"/>
      <c r="L9" s="244"/>
      <c r="M9" s="121">
        <f>+K9+'22'!M9+L9</f>
        <v>10916</v>
      </c>
    </row>
    <row r="10" spans="1:13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605</v>
      </c>
      <c r="I10" s="773"/>
      <c r="J10" s="219" t="str">
        <f>+'22'!J10</f>
        <v>F 15 VP OW</v>
      </c>
      <c r="K10" s="244"/>
      <c r="L10" s="244"/>
      <c r="M10" s="121">
        <f>+K10+'22'!M10+L10</f>
        <v>10380</v>
      </c>
    </row>
    <row r="11" spans="1:13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+'22'!J11</f>
        <v>F 13,5 VP OW</v>
      </c>
      <c r="K11" s="244"/>
      <c r="L11" s="244"/>
      <c r="M11" s="121">
        <f>+K11+'22'!M11+L11</f>
        <v>131921</v>
      </c>
    </row>
    <row r="12" spans="1:13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+'22'!J12</f>
        <v>F 13 VP OW</v>
      </c>
      <c r="K12" s="244"/>
      <c r="L12" s="244"/>
      <c r="M12" s="121">
        <f>+K12+'22'!M12+L12</f>
        <v>172900</v>
      </c>
    </row>
    <row r="13" spans="1:13" ht="13.5" thickBot="1">
      <c r="A13" s="770"/>
      <c r="B13" s="220"/>
      <c r="C13" s="221"/>
      <c r="D13" s="221"/>
      <c r="E13" s="224"/>
      <c r="F13" s="233"/>
      <c r="G13" s="237"/>
      <c r="H13" s="590"/>
      <c r="I13" s="774"/>
      <c r="J13" s="219" t="str">
        <f>+'22'!J13</f>
        <v>F 12 VP OW</v>
      </c>
      <c r="K13" s="244"/>
      <c r="L13" s="244"/>
      <c r="M13" s="121">
        <f>+K13+'22'!M13+L13</f>
        <v>238456</v>
      </c>
    </row>
    <row r="14" spans="1:13" ht="13.5" thickBot="1">
      <c r="A14" s="771"/>
      <c r="B14" s="170" t="s">
        <v>2</v>
      </c>
      <c r="C14" s="103">
        <f>SUM(C7:C13)</f>
        <v>14165</v>
      </c>
      <c r="D14" s="115">
        <f>SUM(D7:D13)</f>
        <v>279</v>
      </c>
      <c r="E14" s="116">
        <f>SUM(E5:E13)</f>
        <v>0</v>
      </c>
      <c r="F14" s="120">
        <f>SUM(F7:F13)</f>
        <v>21</v>
      </c>
      <c r="G14" s="163"/>
      <c r="H14" s="589"/>
      <c r="I14" s="172"/>
      <c r="J14" s="219" t="str">
        <f>+'22'!J14</f>
        <v>F 12,5 VP OW</v>
      </c>
      <c r="K14" s="244"/>
      <c r="L14" s="244"/>
      <c r="M14" s="121">
        <f>+K14+'22'!M14+L14</f>
        <v>22178</v>
      </c>
    </row>
    <row r="15" spans="1:13" ht="13.5" customHeight="1" thickBot="1">
      <c r="A15" s="769"/>
      <c r="B15" s="170"/>
      <c r="C15" s="117">
        <f>C14/($C$23+$D$23+$E$23)</f>
        <v>1.1410504269373287</v>
      </c>
      <c r="D15" s="118">
        <f>D14/($C$23+$D$23+$E$23)</f>
        <v>2.2474625422909619E-2</v>
      </c>
      <c r="E15" s="119">
        <f>E14/($C$23+$D$23+$E$23)</f>
        <v>0</v>
      </c>
      <c r="F15" s="233">
        <v>6</v>
      </c>
      <c r="G15" s="234" t="s">
        <v>11</v>
      </c>
      <c r="H15" s="235" t="s">
        <v>581</v>
      </c>
      <c r="I15" s="772" t="s">
        <v>405</v>
      </c>
      <c r="J15" s="219">
        <f>+'22'!J15</f>
        <v>0</v>
      </c>
      <c r="K15" s="244"/>
      <c r="L15" s="244"/>
      <c r="M15" s="121">
        <f>+K15+'22'!M15+L15</f>
        <v>0</v>
      </c>
    </row>
    <row r="16" spans="1:13" ht="13.5" thickBot="1">
      <c r="A16" s="775"/>
      <c r="B16" s="220" t="s">
        <v>609</v>
      </c>
      <c r="C16" s="227">
        <v>12123</v>
      </c>
      <c r="D16" s="228">
        <v>291</v>
      </c>
      <c r="E16" s="229"/>
      <c r="F16" s="236">
        <v>2</v>
      </c>
      <c r="G16" s="237" t="s">
        <v>11</v>
      </c>
      <c r="H16" s="235" t="s">
        <v>607</v>
      </c>
      <c r="I16" s="773"/>
      <c r="J16" s="219">
        <f>+'22'!J16</f>
        <v>0</v>
      </c>
      <c r="K16" s="244"/>
      <c r="L16" s="234"/>
      <c r="M16" s="121">
        <f>+K16+'22'!M16+L16</f>
        <v>0</v>
      </c>
    </row>
    <row r="17" spans="1:13" ht="13.5" thickBot="1">
      <c r="A17" s="775"/>
      <c r="B17" s="220"/>
      <c r="C17" s="221"/>
      <c r="D17" s="222"/>
      <c r="E17" s="230"/>
      <c r="F17" s="233">
        <f>20-8</f>
        <v>12</v>
      </c>
      <c r="G17" s="237" t="s">
        <v>11</v>
      </c>
      <c r="H17" s="238" t="s">
        <v>408</v>
      </c>
      <c r="I17" s="773"/>
      <c r="J17" s="219">
        <f>+'22'!J17</f>
        <v>0</v>
      </c>
      <c r="K17" s="244"/>
      <c r="L17" s="234"/>
      <c r="M17" s="121">
        <f>+K17+'22'!M17+L17</f>
        <v>0</v>
      </c>
    </row>
    <row r="18" spans="1:13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603</v>
      </c>
      <c r="I18" s="773"/>
      <c r="J18" s="219">
        <f>+'22'!J18</f>
        <v>0</v>
      </c>
      <c r="K18" s="244"/>
      <c r="L18" s="244"/>
      <c r="M18" s="121">
        <f>+K18+'22'!M18+L18</f>
        <v>0</v>
      </c>
    </row>
    <row r="19" spans="1:13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+'22'!J19</f>
        <v>0</v>
      </c>
      <c r="K19" s="244"/>
      <c r="L19" s="244"/>
      <c r="M19" s="121">
        <f>+K19+'22'!M19+L19</f>
        <v>0</v>
      </c>
    </row>
    <row r="20" spans="1:13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+'22'!J20</f>
        <v>0</v>
      </c>
      <c r="K20" s="245"/>
      <c r="L20" s="245"/>
      <c r="M20" s="121">
        <f>+K20+'22'!M20+L20</f>
        <v>0</v>
      </c>
    </row>
    <row r="21" spans="1:13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+'22'!J21</f>
        <v>0</v>
      </c>
      <c r="K21" s="244"/>
      <c r="L21" s="244"/>
      <c r="M21" s="121">
        <f>+K21+'22'!M21+L21</f>
        <v>0</v>
      </c>
    </row>
    <row r="22" spans="1:13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+'22'!J22</f>
        <v>0</v>
      </c>
      <c r="K22" s="244"/>
      <c r="L22" s="244"/>
      <c r="M22" s="121">
        <f>+K22+'22'!M22+L22</f>
        <v>0</v>
      </c>
    </row>
    <row r="23" spans="1:13" ht="13.5" thickBot="1">
      <c r="A23" s="776"/>
      <c r="B23" s="173" t="s">
        <v>2</v>
      </c>
      <c r="C23" s="104">
        <f>SUM(C16:C22)</f>
        <v>12123</v>
      </c>
      <c r="D23" s="115">
        <f>SUM(D16:D22)</f>
        <v>291</v>
      </c>
      <c r="E23" s="116">
        <f>SUM(E18:E22)</f>
        <v>0</v>
      </c>
      <c r="F23" s="120">
        <f>SUM(F15:F22)</f>
        <v>20</v>
      </c>
      <c r="G23" s="163"/>
      <c r="H23" s="171"/>
      <c r="I23" s="174"/>
      <c r="J23" s="219">
        <f>+'22'!J23</f>
        <v>0</v>
      </c>
      <c r="K23" s="244"/>
      <c r="L23" s="244"/>
      <c r="M23" s="121">
        <f>+K23+'22'!M23+L23</f>
        <v>0</v>
      </c>
    </row>
    <row r="24" spans="1:13" ht="13.5" customHeight="1" thickBot="1">
      <c r="A24" s="769"/>
      <c r="B24" s="175"/>
      <c r="C24" s="117">
        <f>C23/($C$23+$D$23+$E$23)</f>
        <v>0.97655872402126631</v>
      </c>
      <c r="D24" s="118">
        <f>D23/($C$23+$D$23+$E$23)</f>
        <v>2.3441275978733689E-2</v>
      </c>
      <c r="E24" s="119">
        <f>E23/($C$23+$D$23+$E$23)</f>
        <v>0</v>
      </c>
      <c r="F24" s="233">
        <v>4</v>
      </c>
      <c r="G24" s="234" t="s">
        <v>11</v>
      </c>
      <c r="H24" s="235" t="s">
        <v>581</v>
      </c>
      <c r="I24" s="772" t="s">
        <v>599</v>
      </c>
      <c r="J24" s="219">
        <f>+'22'!J24</f>
        <v>0</v>
      </c>
      <c r="K24" s="244"/>
      <c r="L24" s="244"/>
      <c r="M24" s="121">
        <f>+K24+'22'!M24+L24</f>
        <v>0</v>
      </c>
    </row>
    <row r="25" spans="1:13" ht="13.5" thickBot="1">
      <c r="A25" s="775"/>
      <c r="B25" s="220" t="s">
        <v>609</v>
      </c>
      <c r="C25" s="231">
        <v>15628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+'22'!J25</f>
        <v>0</v>
      </c>
      <c r="K25" s="244"/>
      <c r="L25" s="244"/>
      <c r="M25" s="121">
        <f>+K25+'22'!M25+L25</f>
        <v>0</v>
      </c>
    </row>
    <row r="26" spans="1:13" ht="13.5" thickBot="1">
      <c r="A26" s="775"/>
      <c r="B26" s="220"/>
      <c r="C26" s="231"/>
      <c r="D26" s="222"/>
      <c r="E26" s="232"/>
      <c r="F26" s="233">
        <v>16</v>
      </c>
      <c r="G26" s="237" t="s">
        <v>11</v>
      </c>
      <c r="H26" s="238" t="s">
        <v>408</v>
      </c>
      <c r="I26" s="773"/>
      <c r="J26" s="219">
        <f>+'22'!J26</f>
        <v>0</v>
      </c>
      <c r="K26" s="244"/>
      <c r="L26" s="244"/>
      <c r="M26" s="121">
        <f>+K26+'22'!M26+L26</f>
        <v>0</v>
      </c>
    </row>
    <row r="27" spans="1:13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604</v>
      </c>
      <c r="I27" s="773"/>
      <c r="J27" s="219">
        <f>+'22'!J27</f>
        <v>0</v>
      </c>
      <c r="K27" s="244"/>
      <c r="L27" s="244"/>
      <c r="M27" s="121">
        <f>+K27+'22'!M27+L27</f>
        <v>0</v>
      </c>
    </row>
    <row r="28" spans="1:13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+'22'!J28</f>
        <v>0</v>
      </c>
      <c r="K28" s="244"/>
      <c r="L28" s="244"/>
      <c r="M28" s="121">
        <f>+K28+'22'!M28+L28</f>
        <v>0</v>
      </c>
    </row>
    <row r="29" spans="1:13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+'22'!J29</f>
        <v>0</v>
      </c>
      <c r="K29" s="244"/>
      <c r="L29" s="244"/>
      <c r="M29" s="121">
        <f>+K29+'22'!M29+L29</f>
        <v>0</v>
      </c>
    </row>
    <row r="30" spans="1:13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+'22'!J30</f>
        <v>0</v>
      </c>
      <c r="K30" s="244"/>
      <c r="L30" s="244"/>
      <c r="M30" s="121">
        <f>+K30+'22'!M30+L30</f>
        <v>0</v>
      </c>
    </row>
    <row r="31" spans="1:13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+'22'!J31</f>
        <v>0</v>
      </c>
      <c r="K31" s="244"/>
      <c r="L31" s="244"/>
      <c r="M31" s="121">
        <f>+K31+'22'!M31+L31</f>
        <v>0</v>
      </c>
    </row>
    <row r="32" spans="1:13" ht="13.5" thickBot="1">
      <c r="A32" s="776"/>
      <c r="B32" s="170" t="s">
        <v>2</v>
      </c>
      <c r="C32" s="103">
        <f>SUM(C25:C31)</f>
        <v>15628</v>
      </c>
      <c r="D32" s="104">
        <f>SUM(D25:D31)</f>
        <v>0</v>
      </c>
      <c r="E32" s="105">
        <f>SUM(E25:E31)</f>
        <v>0</v>
      </c>
      <c r="F32" s="106">
        <f>SUM(F24:F31)</f>
        <v>20</v>
      </c>
      <c r="G32" s="176"/>
      <c r="H32" s="177"/>
      <c r="I32" s="174"/>
      <c r="J32" s="219">
        <f>+'22'!J32</f>
        <v>0</v>
      </c>
      <c r="K32" s="246"/>
      <c r="L32" s="248"/>
      <c r="M32" s="121">
        <f>+K32+'22'!M32+L32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41916</v>
      </c>
      <c r="D34" s="111">
        <f>D14+D23+D32</f>
        <v>570</v>
      </c>
      <c r="E34" s="111">
        <f>E14+E23+E32</f>
        <v>0</v>
      </c>
      <c r="F34" s="112">
        <f>F14+F23+F32</f>
        <v>61</v>
      </c>
      <c r="H34" s="183"/>
      <c r="I34" s="183"/>
      <c r="J34" s="127" t="s">
        <v>27</v>
      </c>
      <c r="K34" s="128">
        <f>SUM(K7:K32)</f>
        <v>41916</v>
      </c>
      <c r="L34" s="217">
        <f>SUM(L7:L32)</f>
        <v>0</v>
      </c>
      <c r="M34" s="124">
        <f>SUM(M7:M32)</f>
        <v>977366</v>
      </c>
    </row>
    <row r="35" spans="1:13" ht="13.5" thickBot="1">
      <c r="A35" s="184"/>
      <c r="B35" s="185"/>
      <c r="C35" s="108">
        <f>C34/($C$34+$D$34+$E$34)</f>
        <v>0.98658381584521959</v>
      </c>
      <c r="D35" s="108">
        <f>D34/($C$34+$D$34+$E$34)</f>
        <v>1.3416184154780398E-2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(13*1440)/1440*G42*2.74*1440/1000000</f>
        <v>49.000011840000006</v>
      </c>
      <c r="J37" s="129">
        <f>+I37+'22'!J37</f>
        <v>1093.3039255305271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61</v>
      </c>
      <c r="D38" s="122">
        <f>+C38+'22'!D38</f>
        <v>1651</v>
      </c>
      <c r="E38" s="147">
        <f t="shared" ref="E38:E51" si="0">D38/60</f>
        <v>27.516666666666666</v>
      </c>
      <c r="F38" s="327">
        <v>1230</v>
      </c>
      <c r="G38" s="327">
        <v>947.0999999999998</v>
      </c>
      <c r="H38" s="192" t="s">
        <v>63</v>
      </c>
      <c r="I38" s="250">
        <f>14.521+15.425+15.631</f>
        <v>45.576999999999998</v>
      </c>
      <c r="J38" s="131">
        <f>+I38+'22'!J38</f>
        <v>1005.7979999999999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+C39+'22'!D39</f>
        <v>0</v>
      </c>
      <c r="E39" s="147">
        <f t="shared" si="0"/>
        <v>0</v>
      </c>
      <c r="F39" s="327">
        <v>1230</v>
      </c>
      <c r="G39" s="327">
        <v>947.0999999999998</v>
      </c>
      <c r="H39" s="192" t="s">
        <v>64</v>
      </c>
      <c r="I39" s="146"/>
      <c r="J39" s="133">
        <f>J37/G4</f>
        <v>47.534953283935963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+C40+'22'!D40</f>
        <v>414</v>
      </c>
      <c r="E40" s="147">
        <f t="shared" si="0"/>
        <v>6.9</v>
      </c>
      <c r="F40" s="327">
        <v>1230</v>
      </c>
      <c r="G40" s="327">
        <v>971.7</v>
      </c>
      <c r="H40" s="192" t="s">
        <v>66</v>
      </c>
      <c r="I40" s="122">
        <f>(K34+L34)/1000</f>
        <v>41.915999999999997</v>
      </c>
      <c r="J40" s="135">
        <f>+I40+'22'!J40</f>
        <v>977.36600000000021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+C41+'22'!D41</f>
        <v>60</v>
      </c>
      <c r="E41" s="147">
        <f t="shared" si="0"/>
        <v>1</v>
      </c>
      <c r="F41" s="327"/>
      <c r="G41" s="327"/>
      <c r="H41" s="192" t="s">
        <v>68</v>
      </c>
      <c r="I41" s="146"/>
      <c r="J41" s="133">
        <f>J40/G4</f>
        <v>42.49417391304349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+C42+'22'!D42</f>
        <v>0</v>
      </c>
      <c r="E42" s="147">
        <f t="shared" si="0"/>
        <v>0</v>
      </c>
      <c r="F42" s="327">
        <f>+(480*F38+480*F39+480*F40)/1440</f>
        <v>1230</v>
      </c>
      <c r="G42" s="327">
        <f>+(480*G38+480*G39+480*G40)/1440</f>
        <v>955.29999999999984</v>
      </c>
      <c r="H42" s="192" t="s">
        <v>69</v>
      </c>
      <c r="I42" s="251" t="s">
        <v>606</v>
      </c>
      <c r="J42" s="136"/>
      <c r="K42" s="134" t="s">
        <v>70</v>
      </c>
    </row>
    <row r="43" spans="1:13" ht="17.45" customHeight="1">
      <c r="A43" s="763" t="s">
        <v>71</v>
      </c>
      <c r="B43" s="764"/>
      <c r="C43" s="168">
        <f>SUMIF($G$7:$G$31,"Water",$F$7:$F$31)</f>
        <v>0</v>
      </c>
      <c r="D43" s="122">
        <f>+C43+'22'!D43</f>
        <v>0</v>
      </c>
      <c r="E43" s="147">
        <f t="shared" si="0"/>
        <v>0</v>
      </c>
      <c r="F43" s="327"/>
      <c r="G43" s="328"/>
      <c r="H43" s="193" t="s">
        <v>72</v>
      </c>
      <c r="I43" s="122">
        <f>+Report1!Z31</f>
        <v>59.7</v>
      </c>
      <c r="J43" s="137">
        <f>+I43+'22'!J43</f>
        <v>1307.3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+C44+'22'!D44</f>
        <v>0</v>
      </c>
      <c r="E44" s="147">
        <f t="shared" si="0"/>
        <v>0</v>
      </c>
      <c r="F44" s="327"/>
      <c r="G44" s="328"/>
      <c r="H44" s="193" t="s">
        <v>73</v>
      </c>
      <c r="I44" s="122">
        <f>I43/I38</f>
        <v>1.3098712069684271</v>
      </c>
      <c r="J44" s="138">
        <f>J43/J38</f>
        <v>1.2997639685105757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+C45+'22'!D45</f>
        <v>0</v>
      </c>
      <c r="E45" s="147">
        <f t="shared" si="0"/>
        <v>0</v>
      </c>
      <c r="F45" s="327"/>
      <c r="G45" s="330"/>
      <c r="H45" s="193" t="s">
        <v>74</v>
      </c>
      <c r="I45" s="122">
        <f>I43/I40</f>
        <v>1.4242771256799314</v>
      </c>
      <c r="J45" s="138">
        <f>J43/J40</f>
        <v>1.3375746649668596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+C46+'22'!D46</f>
        <v>0</v>
      </c>
      <c r="E46" s="147">
        <f t="shared" si="0"/>
        <v>0</v>
      </c>
      <c r="F46" s="327"/>
      <c r="G46" s="328"/>
      <c r="H46" s="193" t="s">
        <v>76</v>
      </c>
      <c r="I46" s="144">
        <f>+SUMIF(Listrik!P30,"&gt;0")</f>
        <v>37109.539999999273</v>
      </c>
      <c r="J46" s="139">
        <f>+I46+'22'!J46</f>
        <v>848329.08000000031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+C47+'22'!D47</f>
        <v>0</v>
      </c>
      <c r="E47" s="147">
        <f t="shared" si="0"/>
        <v>0</v>
      </c>
      <c r="F47" s="327"/>
      <c r="G47" s="328"/>
      <c r="H47" s="193" t="s">
        <v>79</v>
      </c>
      <c r="I47" s="122">
        <f>I46/I38</f>
        <v>814.21638106938315</v>
      </c>
      <c r="J47" s="139">
        <f>J46/J38</f>
        <v>843.43882171171583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+C48+'22'!D48</f>
        <v>0</v>
      </c>
      <c r="E48" s="147">
        <f t="shared" si="0"/>
        <v>0</v>
      </c>
      <c r="F48" s="327"/>
      <c r="G48" s="328"/>
      <c r="H48" s="193" t="s">
        <v>80</v>
      </c>
      <c r="I48" s="122">
        <f>I46/I40</f>
        <v>885.33113846739377</v>
      </c>
      <c r="J48" s="139">
        <f>J46/J40</f>
        <v>867.97482212395369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+C49+'22'!D49</f>
        <v>0</v>
      </c>
      <c r="E49" s="147">
        <f t="shared" si="0"/>
        <v>0</v>
      </c>
      <c r="F49" s="190"/>
      <c r="H49" s="193" t="s">
        <v>271</v>
      </c>
      <c r="I49" s="122">
        <f>+Report1!T31</f>
        <v>4005.5209420136894</v>
      </c>
      <c r="J49" s="139">
        <f>+I49+'22'!J49</f>
        <v>91017.340642902578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+C50+'22'!D50</f>
        <v>0</v>
      </c>
      <c r="E50" s="147">
        <f t="shared" si="0"/>
        <v>0</v>
      </c>
      <c r="F50" s="190"/>
      <c r="H50" s="193" t="s">
        <v>82</v>
      </c>
      <c r="I50" s="144">
        <f>I49/I38</f>
        <v>87.884699344267716</v>
      </c>
      <c r="J50" s="137">
        <f>J49/J38</f>
        <v>90.492664176010081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+C51+'22'!D51</f>
        <v>0</v>
      </c>
      <c r="E51" s="147">
        <f t="shared" si="0"/>
        <v>0</v>
      </c>
      <c r="F51" s="190"/>
      <c r="H51" s="195" t="s">
        <v>84</v>
      </c>
      <c r="I51" s="145">
        <f>I49/I40</f>
        <v>95.560667573568324</v>
      </c>
      <c r="J51" s="140">
        <f>J49/J40</f>
        <v>93.125134947299742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61</v>
      </c>
      <c r="D52" s="148">
        <f>SUM(D38:D51)</f>
        <v>2125</v>
      </c>
      <c r="E52" s="149">
        <f>SUM(E38:E51)</f>
        <v>35.416666666666664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4.2361111111111113E-2</v>
      </c>
      <c r="D53" s="150">
        <f>D52/(24*60*G4)</f>
        <v>6.4160628019323665E-2</v>
      </c>
      <c r="E53" s="151">
        <f>E52/(G4*24)</f>
        <v>6.4160628019323665E-2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+D34+'22'!J56</f>
        <v>5860</v>
      </c>
      <c r="K56" s="206">
        <f>J56/(J40+J56/1000)/1000</f>
        <v>5.9599725800578898E-3</v>
      </c>
    </row>
    <row r="57" spans="1:11">
      <c r="A57" s="181"/>
      <c r="I57" s="204" t="s">
        <v>87</v>
      </c>
      <c r="J57" s="205">
        <f>+E34+'22'!J57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E4" zoomScale="80" zoomScaleNormal="80" workbookViewId="0">
      <selection activeCell="F40" sqref="F40:G40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7109375" style="153" bestFit="1" customWidth="1"/>
    <col min="12" max="12" width="8.28515625" style="153" customWidth="1"/>
    <col min="13" max="13" width="15.28515625" style="153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22</v>
      </c>
      <c r="H4" s="158" t="str">
        <f>+'1'!H4</f>
        <v>.08.25</v>
      </c>
      <c r="J4" s="153">
        <f>551+567+647</f>
        <v>1765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f>480-Q5</f>
        <v>480</v>
      </c>
      <c r="R6" s="153">
        <f t="shared" ref="R6:R9" si="0">+O6*Q6</f>
        <v>590400</v>
      </c>
      <c r="S6" s="153">
        <f t="shared" ref="S6:S9" si="1">+P6*Q6</f>
        <v>454607.99999999994</v>
      </c>
    </row>
    <row r="7" spans="1:19" ht="13.5" customHeight="1" thickBot="1">
      <c r="A7" s="769"/>
      <c r="B7" s="220" t="s">
        <v>521</v>
      </c>
      <c r="C7" s="221">
        <v>13379</v>
      </c>
      <c r="D7" s="222"/>
      <c r="E7" s="223"/>
      <c r="F7" s="233">
        <v>8</v>
      </c>
      <c r="G7" s="234" t="s">
        <v>11</v>
      </c>
      <c r="H7" s="235" t="s">
        <v>563</v>
      </c>
      <c r="I7" s="772" t="s">
        <v>405</v>
      </c>
      <c r="J7" s="219" t="str">
        <f>+'21'!J7</f>
        <v>T 13 VP OW</v>
      </c>
      <c r="K7" s="243">
        <f>+C25</f>
        <v>16535</v>
      </c>
      <c r="L7" s="247"/>
      <c r="M7" s="121">
        <f>+K7+'21'!M7+L7</f>
        <v>269004</v>
      </c>
      <c r="N7" s="153" t="s">
        <v>390</v>
      </c>
      <c r="O7" s="153">
        <v>1230</v>
      </c>
      <c r="P7" s="153">
        <f>+O7-O7*0.23</f>
        <v>947.09999999999991</v>
      </c>
      <c r="Q7" s="153">
        <f>60*5+41</f>
        <v>341</v>
      </c>
      <c r="R7" s="153">
        <f t="shared" si="0"/>
        <v>419430</v>
      </c>
      <c r="S7" s="153">
        <f t="shared" si="1"/>
        <v>322961.09999999998</v>
      </c>
    </row>
    <row r="8" spans="1:1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+'21'!J8</f>
        <v>T 15,5 VP OW</v>
      </c>
      <c r="K8" s="244"/>
      <c r="L8" s="244"/>
      <c r="M8" s="121">
        <f>+K8+'21'!M8+L8</f>
        <v>79695</v>
      </c>
      <c r="P8" s="153">
        <f t="shared" ref="P8:P9" si="2">+O8-O8*0.25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v>12</v>
      </c>
      <c r="G9" s="237" t="s">
        <v>11</v>
      </c>
      <c r="H9" s="238" t="s">
        <v>408</v>
      </c>
      <c r="I9" s="773"/>
      <c r="J9" s="219" t="str">
        <f>+'21'!J9</f>
        <v>T 19 VP OW</v>
      </c>
      <c r="K9" s="244"/>
      <c r="L9" s="244"/>
      <c r="M9" s="121">
        <f>+K9+'21'!M9+L9</f>
        <v>10916</v>
      </c>
      <c r="P9" s="153">
        <f t="shared" si="2"/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586</v>
      </c>
      <c r="I10" s="773"/>
      <c r="J10" s="219" t="str">
        <f>+'21'!J10</f>
        <v>F 15 VP OW</v>
      </c>
      <c r="K10" s="244"/>
      <c r="L10" s="244"/>
      <c r="M10" s="121">
        <f>+K10+'21'!M10+L10</f>
        <v>10380</v>
      </c>
      <c r="Q10" s="153">
        <f>SUM(Q5:Q9)</f>
        <v>821</v>
      </c>
      <c r="R10" s="153">
        <f>SUM(R5:R9)</f>
        <v>1009830</v>
      </c>
      <c r="S10" s="153">
        <f>SUM(S5:S9)</f>
        <v>777569.09999999986</v>
      </c>
    </row>
    <row r="11" spans="1:19" ht="39" thickBot="1">
      <c r="A11" s="770"/>
      <c r="B11" s="220"/>
      <c r="C11" s="221"/>
      <c r="D11" s="222"/>
      <c r="E11" s="224"/>
      <c r="F11" s="233"/>
      <c r="G11" s="237"/>
      <c r="H11" s="238" t="s">
        <v>597</v>
      </c>
      <c r="I11" s="773"/>
      <c r="J11" s="219" t="str">
        <f>+'21'!J11</f>
        <v>F 13,5 VP OW</v>
      </c>
      <c r="K11" s="244"/>
      <c r="L11" s="244"/>
      <c r="M11" s="121">
        <f>+K11+'21'!M11+L11</f>
        <v>131921</v>
      </c>
      <c r="O11" s="153" t="s">
        <v>404</v>
      </c>
      <c r="R11" s="153">
        <f>+R10/Q10</f>
        <v>1230</v>
      </c>
      <c r="S11" s="153">
        <f>+S10/Q10</f>
        <v>947.0999999999998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+'21'!J12</f>
        <v>F 13 VP OW</v>
      </c>
      <c r="K12" s="244"/>
      <c r="L12" s="244"/>
      <c r="M12" s="121">
        <f>+K12+'21'!M12+L12</f>
        <v>172900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+'21'!J13</f>
        <v>F 12 VP OW</v>
      </c>
      <c r="K13" s="244">
        <f>+C7+C16</f>
        <v>28232</v>
      </c>
      <c r="L13" s="244"/>
      <c r="M13" s="121">
        <f>+K13+'21'!M13+L13</f>
        <v>238456</v>
      </c>
    </row>
    <row r="14" spans="1:19" ht="13.5" thickBot="1">
      <c r="A14" s="771"/>
      <c r="B14" s="170" t="s">
        <v>2</v>
      </c>
      <c r="C14" s="103">
        <f>SUM(C7:C13)</f>
        <v>13379</v>
      </c>
      <c r="D14" s="115">
        <f>SUM(D7:D13)</f>
        <v>0</v>
      </c>
      <c r="E14" s="116">
        <f>SUM(E5:E13)</f>
        <v>0</v>
      </c>
      <c r="F14" s="120">
        <f>SUM(F7:F13)</f>
        <v>20</v>
      </c>
      <c r="G14" s="163"/>
      <c r="H14" s="171"/>
      <c r="I14" s="172"/>
      <c r="J14" s="219" t="str">
        <f>+'21'!J14</f>
        <v>F 12,5 VP OW</v>
      </c>
      <c r="K14" s="244"/>
      <c r="L14" s="244"/>
      <c r="M14" s="121">
        <f>+K14+'21'!M14+L14</f>
        <v>22178</v>
      </c>
    </row>
    <row r="15" spans="1:19" ht="13.5" customHeight="1" thickBot="1">
      <c r="A15" s="769"/>
      <c r="B15" s="170"/>
      <c r="C15" s="117">
        <f>C14/($C$23+$D$23+$E$23)</f>
        <v>0.90076078906618195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598</v>
      </c>
      <c r="J15" s="219">
        <f>+'21'!J15</f>
        <v>0</v>
      </c>
      <c r="K15" s="244"/>
      <c r="L15" s="244"/>
      <c r="M15" s="121">
        <f>+K15+'21'!M15+L15</f>
        <v>0</v>
      </c>
      <c r="N15" s="153" t="s">
        <v>390</v>
      </c>
      <c r="O15" s="153">
        <v>1230</v>
      </c>
      <c r="P15" s="153">
        <f>+O15-O15*0.23</f>
        <v>947.09999999999991</v>
      </c>
      <c r="Q15" s="153">
        <v>341</v>
      </c>
      <c r="R15" s="153">
        <f t="shared" ref="R15:R18" si="3">+O15*Q15</f>
        <v>419430</v>
      </c>
      <c r="S15" s="153">
        <f t="shared" ref="S15:S18" si="4">+P15*Q15</f>
        <v>322961.09999999998</v>
      </c>
    </row>
    <row r="16" spans="1:19" ht="13.5" thickBot="1">
      <c r="A16" s="775"/>
      <c r="B16" s="220" t="s">
        <v>521</v>
      </c>
      <c r="C16" s="227">
        <v>14853</v>
      </c>
      <c r="D16" s="228"/>
      <c r="E16" s="229"/>
      <c r="F16" s="236">
        <v>6</v>
      </c>
      <c r="G16" s="237" t="s">
        <v>11</v>
      </c>
      <c r="H16" s="235" t="s">
        <v>508</v>
      </c>
      <c r="I16" s="773"/>
      <c r="J16" s="219">
        <f>+'21'!J16</f>
        <v>0</v>
      </c>
      <c r="K16" s="234"/>
      <c r="L16" s="234"/>
      <c r="M16" s="121">
        <f>+K16+'21'!M16+L16</f>
        <v>0</v>
      </c>
      <c r="N16" s="153" t="s">
        <v>412</v>
      </c>
      <c r="O16" s="153">
        <v>1230</v>
      </c>
      <c r="P16" s="153">
        <f>+O16-O16*0.22</f>
        <v>959.4</v>
      </c>
      <c r="Q16" s="153">
        <f>480-Q15</f>
        <v>139</v>
      </c>
      <c r="R16" s="153">
        <f t="shared" si="3"/>
        <v>170970</v>
      </c>
      <c r="S16" s="153">
        <f t="shared" si="4"/>
        <v>133356.6</v>
      </c>
    </row>
    <row r="17" spans="1:25" ht="13.5" thickBot="1">
      <c r="A17" s="775"/>
      <c r="B17" s="220"/>
      <c r="C17" s="221"/>
      <c r="D17" s="222"/>
      <c r="E17" s="230"/>
      <c r="F17" s="233">
        <f>22-6</f>
        <v>16</v>
      </c>
      <c r="G17" s="237" t="s">
        <v>11</v>
      </c>
      <c r="H17" s="238" t="s">
        <v>408</v>
      </c>
      <c r="I17" s="773"/>
      <c r="J17" s="219">
        <f>+'21'!J17</f>
        <v>0</v>
      </c>
      <c r="K17" s="234"/>
      <c r="L17" s="234"/>
      <c r="M17" s="121">
        <f>+K17+'21'!M17+L17</f>
        <v>0</v>
      </c>
      <c r="P17" s="153">
        <f t="shared" ref="P17:P18" si="5">+O17-O17*0.25</f>
        <v>0</v>
      </c>
      <c r="R17" s="153">
        <f t="shared" si="3"/>
        <v>0</v>
      </c>
      <c r="S17" s="153">
        <f t="shared" si="4"/>
        <v>0</v>
      </c>
    </row>
    <row r="18" spans="1:25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586</v>
      </c>
      <c r="I18" s="773"/>
      <c r="J18" s="219">
        <f>+'21'!J18</f>
        <v>0</v>
      </c>
      <c r="K18" s="244"/>
      <c r="L18" s="244"/>
      <c r="M18" s="121">
        <f>+K18+'21'!M18+L18</f>
        <v>0</v>
      </c>
      <c r="P18" s="153">
        <f t="shared" si="5"/>
        <v>0</v>
      </c>
      <c r="R18" s="153">
        <f t="shared" si="3"/>
        <v>0</v>
      </c>
      <c r="S18" s="153">
        <f t="shared" si="4"/>
        <v>0</v>
      </c>
    </row>
    <row r="19" spans="1:25" ht="39" thickBot="1">
      <c r="A19" s="775"/>
      <c r="B19" s="220"/>
      <c r="C19" s="221"/>
      <c r="D19" s="222"/>
      <c r="E19" s="230"/>
      <c r="F19" s="240"/>
      <c r="G19" s="237"/>
      <c r="H19" s="238" t="s">
        <v>596</v>
      </c>
      <c r="I19" s="773"/>
      <c r="J19" s="219">
        <f>+'21'!J19</f>
        <v>0</v>
      </c>
      <c r="K19" s="244"/>
      <c r="L19" s="244"/>
      <c r="M19" s="121">
        <f>+K19+'21'!M19+L19</f>
        <v>0</v>
      </c>
      <c r="Q19" s="153">
        <f>SUM(Q14:Q18)</f>
        <v>480</v>
      </c>
      <c r="R19" s="153">
        <f>SUM(R14:R18)</f>
        <v>590400</v>
      </c>
      <c r="S19" s="153">
        <f>SUM(S14:S18)</f>
        <v>456317.69999999995</v>
      </c>
    </row>
    <row r="20" spans="1:25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+'21'!J20</f>
        <v>0</v>
      </c>
      <c r="K20" s="245"/>
      <c r="L20" s="245"/>
      <c r="M20" s="121">
        <f>+K20+'21'!M20+L20</f>
        <v>0</v>
      </c>
      <c r="O20" s="153" t="s">
        <v>404</v>
      </c>
      <c r="R20" s="153">
        <f>+R19/Q19</f>
        <v>1230</v>
      </c>
      <c r="S20" s="153">
        <f>+S19/Q19</f>
        <v>950.6618749999999</v>
      </c>
    </row>
    <row r="21" spans="1:25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+'21'!J21</f>
        <v>0</v>
      </c>
      <c r="K21" s="244"/>
      <c r="L21" s="244"/>
      <c r="M21" s="121">
        <f>+K21+'21'!M21+L21</f>
        <v>0</v>
      </c>
    </row>
    <row r="22" spans="1:25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+'21'!J22</f>
        <v>0</v>
      </c>
      <c r="K22" s="244"/>
      <c r="L22" s="244"/>
      <c r="M22" s="121">
        <f>+K22+'21'!M22+L22</f>
        <v>0</v>
      </c>
    </row>
    <row r="23" spans="1:25" ht="13.5" thickBot="1">
      <c r="A23" s="776"/>
      <c r="B23" s="173" t="s">
        <v>2</v>
      </c>
      <c r="C23" s="104">
        <f>SUM(C16:C22)</f>
        <v>14853</v>
      </c>
      <c r="D23" s="115">
        <f>SUM(D16:D22)</f>
        <v>0</v>
      </c>
      <c r="E23" s="116">
        <f>SUM(E18:E22)</f>
        <v>0</v>
      </c>
      <c r="F23" s="120">
        <f>SUM(F15:F22)</f>
        <v>22</v>
      </c>
      <c r="G23" s="163"/>
      <c r="H23" s="171"/>
      <c r="I23" s="174"/>
      <c r="J23" s="219">
        <f>+'21'!J23</f>
        <v>0</v>
      </c>
      <c r="K23" s="244"/>
      <c r="L23" s="244"/>
      <c r="M23" s="121">
        <f>+K23+'21'!M23+L23</f>
        <v>0</v>
      </c>
      <c r="N23" s="153" t="s">
        <v>412</v>
      </c>
      <c r="O23" s="153">
        <v>1230</v>
      </c>
      <c r="P23" s="153">
        <f>+O23-O23*0.22</f>
        <v>959.4</v>
      </c>
      <c r="Q23" s="153">
        <f>480-Q22</f>
        <v>480</v>
      </c>
      <c r="R23" s="153">
        <f t="shared" ref="R23:R26" si="6">+O23*Q23</f>
        <v>590400</v>
      </c>
      <c r="S23" s="153">
        <f t="shared" ref="S23:S26" si="7">+P23*Q23</f>
        <v>460512</v>
      </c>
      <c r="T23" s="153" t="s">
        <v>412</v>
      </c>
      <c r="U23" s="153">
        <v>1230</v>
      </c>
      <c r="V23" s="153">
        <f>+U23-U23*0.21</f>
        <v>971.7</v>
      </c>
      <c r="W23" s="153">
        <f>480-W22</f>
        <v>480</v>
      </c>
      <c r="X23" s="153">
        <f t="shared" ref="X23:X26" si="8">+U23*W23</f>
        <v>590400</v>
      </c>
      <c r="Y23" s="153">
        <f t="shared" ref="Y23:Y26" si="9">+V23*W23</f>
        <v>466416</v>
      </c>
    </row>
    <row r="24" spans="1:25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8</v>
      </c>
      <c r="G24" s="234" t="s">
        <v>11</v>
      </c>
      <c r="H24" s="235" t="s">
        <v>563</v>
      </c>
      <c r="I24" s="772" t="s">
        <v>620</v>
      </c>
      <c r="J24" s="219">
        <f>+'21'!J24</f>
        <v>0</v>
      </c>
      <c r="K24" s="244"/>
      <c r="L24" s="244"/>
      <c r="M24" s="121">
        <f>+K24+'21'!M24+L24</f>
        <v>0</v>
      </c>
      <c r="P24" s="153">
        <f>+O24-O24*0.23</f>
        <v>0</v>
      </c>
      <c r="R24" s="153">
        <f t="shared" si="6"/>
        <v>0</v>
      </c>
      <c r="S24" s="153">
        <f t="shared" si="7"/>
        <v>0</v>
      </c>
      <c r="T24" s="153" t="s">
        <v>412</v>
      </c>
      <c r="U24" s="153">
        <v>1230</v>
      </c>
      <c r="V24" s="153">
        <v>959.4</v>
      </c>
      <c r="W24" s="153">
        <v>139</v>
      </c>
      <c r="X24" s="153">
        <f t="shared" si="8"/>
        <v>170970</v>
      </c>
      <c r="Y24" s="153">
        <f t="shared" si="9"/>
        <v>133356.6</v>
      </c>
    </row>
    <row r="25" spans="1:25" ht="13.5" thickBot="1">
      <c r="A25" s="775"/>
      <c r="B25" s="220" t="s">
        <v>414</v>
      </c>
      <c r="C25" s="231">
        <v>16535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+'21'!J25</f>
        <v>0</v>
      </c>
      <c r="K25" s="244"/>
      <c r="L25" s="244"/>
      <c r="M25" s="121">
        <f>+K25+'21'!M25+L25</f>
        <v>0</v>
      </c>
      <c r="P25" s="153">
        <f t="shared" ref="P25:P26" si="10">+O25-O25*0.25</f>
        <v>0</v>
      </c>
      <c r="R25" s="153">
        <f t="shared" si="6"/>
        <v>0</v>
      </c>
      <c r="S25" s="153">
        <f t="shared" si="7"/>
        <v>0</v>
      </c>
      <c r="V25" s="153">
        <v>0</v>
      </c>
      <c r="X25" s="153">
        <f t="shared" si="8"/>
        <v>0</v>
      </c>
      <c r="Y25" s="153">
        <f t="shared" si="9"/>
        <v>0</v>
      </c>
    </row>
    <row r="26" spans="1:25" ht="13.5" thickBot="1">
      <c r="A26" s="775"/>
      <c r="B26" s="220"/>
      <c r="C26" s="231"/>
      <c r="D26" s="222"/>
      <c r="E26" s="232"/>
      <c r="F26" s="233">
        <v>17</v>
      </c>
      <c r="G26" s="237" t="s">
        <v>11</v>
      </c>
      <c r="H26" s="238" t="s">
        <v>428</v>
      </c>
      <c r="I26" s="773"/>
      <c r="J26" s="219">
        <f>+'21'!J26</f>
        <v>0</v>
      </c>
      <c r="K26" s="244"/>
      <c r="L26" s="244"/>
      <c r="M26" s="121">
        <f>+K26+'21'!M26+L26</f>
        <v>0</v>
      </c>
      <c r="P26" s="153">
        <f t="shared" si="10"/>
        <v>0</v>
      </c>
      <c r="R26" s="153">
        <f t="shared" si="6"/>
        <v>0</v>
      </c>
      <c r="S26" s="153">
        <f t="shared" si="7"/>
        <v>0</v>
      </c>
      <c r="V26" s="153">
        <f t="shared" ref="V26" si="11">+U26-U26*0.25</f>
        <v>0</v>
      </c>
      <c r="X26" s="153">
        <f t="shared" si="8"/>
        <v>0</v>
      </c>
      <c r="Y26" s="153">
        <f t="shared" si="9"/>
        <v>0</v>
      </c>
    </row>
    <row r="27" spans="1:25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619</v>
      </c>
      <c r="I27" s="773"/>
      <c r="J27" s="219">
        <f>+'21'!J27</f>
        <v>0</v>
      </c>
      <c r="K27" s="244"/>
      <c r="L27" s="244"/>
      <c r="M27" s="121">
        <f>+K27+'21'!M27+L27</f>
        <v>0</v>
      </c>
      <c r="Q27" s="153">
        <f>SUM(Q22:Q26)</f>
        <v>480</v>
      </c>
      <c r="R27" s="153">
        <f>SUM(R22:R26)</f>
        <v>590400</v>
      </c>
      <c r="S27" s="153">
        <f>SUM(S22:S26)</f>
        <v>460512</v>
      </c>
      <c r="W27" s="153">
        <f>SUM(W22:W26)</f>
        <v>619</v>
      </c>
      <c r="X27" s="153">
        <f>SUM(X22:X26)</f>
        <v>761370</v>
      </c>
      <c r="Y27" s="153">
        <f>SUM(Y22:Y26)</f>
        <v>599772.6</v>
      </c>
    </row>
    <row r="28" spans="1:25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+'21'!J28</f>
        <v>0</v>
      </c>
      <c r="K28" s="244"/>
      <c r="L28" s="244"/>
      <c r="M28" s="121">
        <f>+K28+'21'!M28+L28</f>
        <v>0</v>
      </c>
      <c r="O28" s="153" t="s">
        <v>404</v>
      </c>
      <c r="R28" s="153">
        <f>+R27/Q27</f>
        <v>1230</v>
      </c>
      <c r="S28" s="153">
        <f>+S27/Q27</f>
        <v>959.4</v>
      </c>
      <c r="U28" s="153" t="s">
        <v>404</v>
      </c>
      <c r="X28" s="153">
        <f>+X27/W27</f>
        <v>1230</v>
      </c>
      <c r="Y28" s="153">
        <f>+Y27/W27</f>
        <v>968.93796445880446</v>
      </c>
    </row>
    <row r="29" spans="1:25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+'21'!J29</f>
        <v>0</v>
      </c>
      <c r="K29" s="244"/>
      <c r="L29" s="244"/>
      <c r="M29" s="121">
        <f>+K29+'21'!M29+L29</f>
        <v>0</v>
      </c>
    </row>
    <row r="30" spans="1:25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+'21'!J30</f>
        <v>0</v>
      </c>
      <c r="K30" s="244"/>
      <c r="L30" s="244"/>
      <c r="M30" s="121">
        <f>+K30+'21'!M30+L30</f>
        <v>0</v>
      </c>
    </row>
    <row r="31" spans="1:25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+'21'!J31</f>
        <v>0</v>
      </c>
      <c r="K31" s="244"/>
      <c r="L31" s="244"/>
      <c r="M31" s="121">
        <f>+K31+'21'!M31+L31</f>
        <v>0</v>
      </c>
    </row>
    <row r="32" spans="1:25" ht="13.5" thickBot="1">
      <c r="A32" s="776"/>
      <c r="B32" s="170" t="s">
        <v>2</v>
      </c>
      <c r="C32" s="103">
        <f>SUM(C25:C31)</f>
        <v>16535</v>
      </c>
      <c r="D32" s="104">
        <f>SUM(D25:D31)</f>
        <v>0</v>
      </c>
      <c r="E32" s="105">
        <f>SUM(E25:E31)</f>
        <v>0</v>
      </c>
      <c r="F32" s="106">
        <f>SUM(F24:F31)</f>
        <v>25</v>
      </c>
      <c r="G32" s="176"/>
      <c r="H32" s="177"/>
      <c r="I32" s="174"/>
      <c r="J32" s="219">
        <f>+'21'!J32</f>
        <v>0</v>
      </c>
      <c r="K32" s="246"/>
      <c r="L32" s="248"/>
      <c r="M32" s="121">
        <f>+K32+'21'!M32+L32</f>
        <v>0</v>
      </c>
      <c r="N32" s="153" t="s">
        <v>390</v>
      </c>
      <c r="O32" s="153">
        <v>1230</v>
      </c>
      <c r="P32" s="153">
        <v>947.09999999999991</v>
      </c>
      <c r="Q32" s="153">
        <f>480+341</f>
        <v>821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 t="s">
        <v>412</v>
      </c>
      <c r="O33" s="153">
        <v>1230</v>
      </c>
      <c r="P33" s="153">
        <v>968.93796445880446</v>
      </c>
      <c r="Q33" s="153">
        <v>619</v>
      </c>
    </row>
    <row r="34" spans="1:17" ht="13.5" thickBot="1">
      <c r="A34" s="765" t="s">
        <v>56</v>
      </c>
      <c r="B34" s="766"/>
      <c r="C34" s="111">
        <f>C14+C23+C32</f>
        <v>44767</v>
      </c>
      <c r="D34" s="111">
        <f>D14+D23+D32</f>
        <v>0</v>
      </c>
      <c r="E34" s="111">
        <f>E14+E23+E32</f>
        <v>0</v>
      </c>
      <c r="F34" s="112">
        <f>F14+F23+F32</f>
        <v>67</v>
      </c>
      <c r="H34" s="183"/>
      <c r="I34" s="183"/>
      <c r="J34" s="127" t="s">
        <v>27</v>
      </c>
      <c r="K34" s="128">
        <f>SUM(K7:K32)</f>
        <v>44767</v>
      </c>
      <c r="L34" s="217">
        <f>SUM(L7:L32)</f>
        <v>0</v>
      </c>
      <c r="M34" s="124">
        <f>SUM(M7:M32)</f>
        <v>935450</v>
      </c>
      <c r="Q34" s="153">
        <f>+Q32+Q33</f>
        <v>1440</v>
      </c>
    </row>
    <row r="35" spans="1:17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(12*821+13*619)/1440*G42*2.74*1440/1000000</f>
        <v>46.708177565904158</v>
      </c>
      <c r="J37" s="129">
        <f>+I37+'21'!J37</f>
        <v>1044.303913690527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67</v>
      </c>
      <c r="D38" s="122">
        <f>+C38+'21'!D38</f>
        <v>1590</v>
      </c>
      <c r="E38" s="147">
        <f t="shared" ref="E38:E51" si="12">D38/60</f>
        <v>26.5</v>
      </c>
      <c r="F38" s="327">
        <v>1230</v>
      </c>
      <c r="G38" s="327">
        <v>947.0999999999998</v>
      </c>
      <c r="H38" s="192" t="s">
        <v>63</v>
      </c>
      <c r="I38" s="250">
        <f>15.284+13.758+16.015</f>
        <v>45.057000000000002</v>
      </c>
      <c r="J38" s="131">
        <f>+I38+'21'!J38</f>
        <v>960.22099999999989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+C39+'21'!D39</f>
        <v>0</v>
      </c>
      <c r="E39" s="147">
        <f t="shared" si="12"/>
        <v>0</v>
      </c>
      <c r="F39" s="327">
        <v>1230</v>
      </c>
      <c r="G39" s="327">
        <v>950.6618749999999</v>
      </c>
      <c r="H39" s="192" t="s">
        <v>64</v>
      </c>
      <c r="I39" s="146"/>
      <c r="J39" s="133">
        <f>J37/G4</f>
        <v>47.468359713205771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+C40+'21'!D40</f>
        <v>414</v>
      </c>
      <c r="E40" s="147">
        <f t="shared" si="12"/>
        <v>6.9</v>
      </c>
      <c r="F40" s="327">
        <v>1230</v>
      </c>
      <c r="G40" s="327">
        <v>959.4</v>
      </c>
      <c r="H40" s="192" t="s">
        <v>66</v>
      </c>
      <c r="I40" s="122">
        <f>(K34+L34)/1000</f>
        <v>44.767000000000003</v>
      </c>
      <c r="J40" s="135">
        <f>+I40+'21'!J40</f>
        <v>935.45000000000016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+C41+'21'!D41</f>
        <v>60</v>
      </c>
      <c r="E41" s="147">
        <f t="shared" si="12"/>
        <v>1</v>
      </c>
      <c r="F41" s="327"/>
      <c r="G41" s="327"/>
      <c r="H41" s="192" t="s">
        <v>68</v>
      </c>
      <c r="I41" s="146"/>
      <c r="J41" s="133">
        <f>J40/G4</f>
        <v>42.520454545454555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+C42+'21'!D42</f>
        <v>0</v>
      </c>
      <c r="E42" s="147">
        <f t="shared" si="12"/>
        <v>0</v>
      </c>
      <c r="F42" s="327">
        <f>+(480*F38+480*F39+480*F40)/1440</f>
        <v>1230</v>
      </c>
      <c r="G42" s="327">
        <f>+(480*G38+480*G39+480*G40)/1440</f>
        <v>952.38729166666644</v>
      </c>
      <c r="H42" s="192" t="s">
        <v>69</v>
      </c>
      <c r="I42" s="251" t="s">
        <v>600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+C43+'21'!D43</f>
        <v>0</v>
      </c>
      <c r="E43" s="147">
        <f t="shared" si="12"/>
        <v>0</v>
      </c>
      <c r="F43" s="327"/>
      <c r="G43" s="328"/>
      <c r="H43" s="193" t="s">
        <v>72</v>
      </c>
      <c r="I43" s="122">
        <f>+Report1!Z30</f>
        <v>59.1</v>
      </c>
      <c r="J43" s="137">
        <f>+I43+'21'!J43</f>
        <v>1247.5999999999999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+C44+'21'!D44</f>
        <v>0</v>
      </c>
      <c r="E44" s="147">
        <f t="shared" si="12"/>
        <v>0</v>
      </c>
      <c r="F44" s="327"/>
      <c r="G44" s="328"/>
      <c r="H44" s="193" t="s">
        <v>73</v>
      </c>
      <c r="I44" s="122">
        <f>I43/I38</f>
        <v>1.3116718822824422</v>
      </c>
      <c r="J44" s="138">
        <f>J43/J38</f>
        <v>1.2992842272768457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+C45+'21'!D45</f>
        <v>0</v>
      </c>
      <c r="E45" s="147">
        <f t="shared" si="12"/>
        <v>0</v>
      </c>
      <c r="F45" s="327"/>
      <c r="G45" s="330"/>
      <c r="H45" s="193" t="s">
        <v>74</v>
      </c>
      <c r="I45" s="122">
        <f>I43/I40</f>
        <v>1.3201688743940849</v>
      </c>
      <c r="J45" s="138">
        <f>J43/J40</f>
        <v>1.3336896680741885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+C46+'21'!D46</f>
        <v>0</v>
      </c>
      <c r="E46" s="147">
        <f t="shared" si="12"/>
        <v>0</v>
      </c>
      <c r="F46" s="327"/>
      <c r="G46" s="328"/>
      <c r="H46" s="193" t="s">
        <v>76</v>
      </c>
      <c r="I46" s="144">
        <f>+SUMIF(Listrik!P29,"&gt;0")</f>
        <v>37575.120000001094</v>
      </c>
      <c r="J46" s="139">
        <f>+I46+'21'!J46</f>
        <v>811219.54000000108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+C47+'21'!D47</f>
        <v>0</v>
      </c>
      <c r="E47" s="147">
        <f t="shared" si="12"/>
        <v>0</v>
      </c>
      <c r="F47" s="327"/>
      <c r="G47" s="328"/>
      <c r="H47" s="193" t="s">
        <v>79</v>
      </c>
      <c r="I47" s="122">
        <f>I46/I38</f>
        <v>833.94633464281003</v>
      </c>
      <c r="J47" s="139">
        <f>J46/J38</f>
        <v>844.82586821158998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+C48+'21'!D48</f>
        <v>0</v>
      </c>
      <c r="E48" s="147">
        <f t="shared" si="12"/>
        <v>0</v>
      </c>
      <c r="F48" s="327"/>
      <c r="G48" s="328"/>
      <c r="H48" s="193" t="s">
        <v>80</v>
      </c>
      <c r="I48" s="122">
        <f>I46/I40</f>
        <v>839.34862733712532</v>
      </c>
      <c r="J48" s="139">
        <f>J46/J40</f>
        <v>867.1971136886001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+C49+'21'!D49</f>
        <v>0</v>
      </c>
      <c r="E49" s="147">
        <f t="shared" si="12"/>
        <v>0</v>
      </c>
      <c r="F49" s="190"/>
      <c r="H49" s="193" t="s">
        <v>271</v>
      </c>
      <c r="I49" s="122">
        <f>+Report1!T30</f>
        <v>3777.3497595126541</v>
      </c>
      <c r="J49" s="139">
        <f>+I49+'21'!J49</f>
        <v>87011.819700888882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+C50+'21'!D50</f>
        <v>0</v>
      </c>
      <c r="E50" s="147">
        <f t="shared" si="12"/>
        <v>0</v>
      </c>
      <c r="F50" s="190"/>
      <c r="H50" s="193" t="s">
        <v>82</v>
      </c>
      <c r="I50" s="144">
        <f>I49/I38</f>
        <v>83.834914874773148</v>
      </c>
      <c r="J50" s="137">
        <f>J49/J38</f>
        <v>90.616451526147515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+C51+'21'!D51</f>
        <v>0</v>
      </c>
      <c r="E51" s="147">
        <f t="shared" si="12"/>
        <v>0</v>
      </c>
      <c r="F51" s="190"/>
      <c r="H51" s="195" t="s">
        <v>84</v>
      </c>
      <c r="I51" s="145">
        <f>I49/I40</f>
        <v>84.377996281025176</v>
      </c>
      <c r="J51" s="140">
        <f>J49/J40</f>
        <v>93.016002673460761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67</v>
      </c>
      <c r="D52" s="148">
        <f>SUM(D38:D51)</f>
        <v>2064</v>
      </c>
      <c r="E52" s="149">
        <f>SUM(E38:E51)</f>
        <v>34.4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4.6527777777777779E-2</v>
      </c>
      <c r="D53" s="150">
        <f>D52/(24*60*G4)</f>
        <v>6.5151515151515155E-2</v>
      </c>
      <c r="E53" s="151">
        <f>E52/(G4*24)</f>
        <v>6.5151515151515155E-2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+D34+'21'!J56</f>
        <v>5290</v>
      </c>
      <c r="K56" s="206">
        <f>J56/(J40+J56/1000)/1000</f>
        <v>5.6232327741990345E-3</v>
      </c>
    </row>
    <row r="57" spans="1:11">
      <c r="A57" s="181"/>
      <c r="I57" s="204" t="s">
        <v>87</v>
      </c>
      <c r="J57" s="205">
        <f>+E34+'21'!J57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Views>
    <sheetView topLeftCell="F1" zoomScale="80" zoomScaleNormal="80" workbookViewId="0">
      <selection activeCell="X14" sqref="X14:AC19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710937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7109375" style="153" customWidth="1"/>
    <col min="14" max="15" width="0" style="153" hidden="1" customWidth="1"/>
    <col min="16" max="16" width="10.28515625" style="153" hidden="1" customWidth="1"/>
    <col min="17" max="17" width="9.28515625" style="153" hidden="1" customWidth="1"/>
    <col min="18" max="23" width="0" style="153" hidden="1" customWidth="1"/>
    <col min="24" max="16384" width="9.140625" style="153"/>
  </cols>
  <sheetData>
    <row r="1" spans="1:29" ht="15.75">
      <c r="A1" s="152"/>
    </row>
    <row r="2" spans="1:29" ht="15.75">
      <c r="A2" s="152" t="s">
        <v>184</v>
      </c>
    </row>
    <row r="3" spans="1:29" ht="15">
      <c r="A3" s="154"/>
    </row>
    <row r="4" spans="1:29" ht="20.25">
      <c r="A4" s="155" t="s">
        <v>3</v>
      </c>
      <c r="B4" s="156"/>
      <c r="F4" s="157" t="s">
        <v>28</v>
      </c>
      <c r="G4" s="158">
        <v>21</v>
      </c>
      <c r="H4" s="158" t="str">
        <f>+'1'!H4</f>
        <v>.08.25</v>
      </c>
      <c r="J4" s="153">
        <f>646+464+505</f>
        <v>1615</v>
      </c>
    </row>
    <row r="5" spans="1:29" ht="13.5" thickBot="1">
      <c r="C5" s="159"/>
      <c r="D5" s="159"/>
    </row>
    <row r="6" spans="1:2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86" t="s">
        <v>91</v>
      </c>
      <c r="O6" s="419" t="s">
        <v>191</v>
      </c>
      <c r="P6" s="419" t="s">
        <v>191</v>
      </c>
      <c r="Q6" s="419" t="s">
        <v>192</v>
      </c>
      <c r="R6" s="419" t="s">
        <v>193</v>
      </c>
      <c r="S6" s="419" t="s">
        <v>194</v>
      </c>
      <c r="T6" s="419" t="s">
        <v>189</v>
      </c>
      <c r="U6" s="420" t="s">
        <v>195</v>
      </c>
      <c r="V6" s="419" t="s">
        <v>196</v>
      </c>
      <c r="W6" s="419" t="s">
        <v>190</v>
      </c>
      <c r="X6" s="153" t="s">
        <v>503</v>
      </c>
      <c r="Y6" s="153">
        <v>1230</v>
      </c>
      <c r="Z6" s="153">
        <f>+Y6-Y6*0.23</f>
        <v>947.09999999999991</v>
      </c>
      <c r="AA6" s="153">
        <f>60*5+44</f>
        <v>344</v>
      </c>
      <c r="AB6" s="153">
        <f t="shared" ref="AB6:AB9" si="0">+Y6*AA6</f>
        <v>423120</v>
      </c>
      <c r="AC6" s="153">
        <f t="shared" ref="AC6:AC9" si="1">+Z6*AA6</f>
        <v>325802.39999999997</v>
      </c>
    </row>
    <row r="7" spans="1:29" ht="13.5" customHeight="1" thickBot="1">
      <c r="A7" s="769"/>
      <c r="B7" s="220" t="s">
        <v>520</v>
      </c>
      <c r="C7" s="221">
        <v>14933</v>
      </c>
      <c r="D7" s="222"/>
      <c r="E7" s="223"/>
      <c r="F7" s="233"/>
      <c r="G7" s="234" t="s">
        <v>11</v>
      </c>
      <c r="H7" s="235" t="s">
        <v>387</v>
      </c>
      <c r="I7" s="772" t="s">
        <v>405</v>
      </c>
      <c r="J7" s="332" t="str">
        <f>+'20'!J7</f>
        <v>T 13 VP OW</v>
      </c>
      <c r="K7" s="243"/>
      <c r="L7" s="247"/>
      <c r="M7" s="121">
        <f>+K7+'20'!M7+L7</f>
        <v>252469</v>
      </c>
      <c r="N7" s="421">
        <v>14.5</v>
      </c>
      <c r="O7" s="204">
        <v>1200</v>
      </c>
      <c r="P7" s="204">
        <v>1120</v>
      </c>
      <c r="Q7" s="204">
        <v>896</v>
      </c>
      <c r="R7" s="422">
        <f>1-(Q7/P7)</f>
        <v>0.19999999999999996</v>
      </c>
      <c r="S7" s="423">
        <v>45</v>
      </c>
      <c r="T7" s="424">
        <v>256.5</v>
      </c>
      <c r="U7" s="425">
        <f>(O7*(1-R7)*N7*T7*S7)/100000000</f>
        <v>1.606716</v>
      </c>
      <c r="V7" s="426">
        <f>+C14/1000</f>
        <v>14.933</v>
      </c>
      <c r="W7" s="427">
        <f>SUM(V7:V9)/SUM(U7:U9)</f>
        <v>0.71493176621898824</v>
      </c>
      <c r="X7" s="153" t="s">
        <v>390</v>
      </c>
      <c r="Y7" s="153">
        <v>1230</v>
      </c>
      <c r="Z7" s="153">
        <f>+Y7-Y7*0.23</f>
        <v>947.09999999999991</v>
      </c>
      <c r="AA7" s="153">
        <f>480-AA6</f>
        <v>136</v>
      </c>
      <c r="AB7" s="153">
        <f t="shared" si="0"/>
        <v>167280</v>
      </c>
      <c r="AC7" s="153">
        <f t="shared" si="1"/>
        <v>128805.59999999999</v>
      </c>
    </row>
    <row r="8" spans="1:29" ht="13.5" thickBot="1">
      <c r="A8" s="770"/>
      <c r="B8" s="220"/>
      <c r="C8" s="221"/>
      <c r="D8" s="222"/>
      <c r="E8" s="224"/>
      <c r="F8" s="236">
        <v>6</v>
      </c>
      <c r="G8" s="237" t="s">
        <v>11</v>
      </c>
      <c r="H8" s="235" t="s">
        <v>388</v>
      </c>
      <c r="I8" s="773"/>
      <c r="J8" s="219" t="str">
        <f>+'20'!J8</f>
        <v>T 15,5 VP OW</v>
      </c>
      <c r="K8" s="244"/>
      <c r="L8" s="244"/>
      <c r="M8" s="121">
        <f>+K8+'20'!M8+L8</f>
        <v>79695</v>
      </c>
      <c r="N8" s="421">
        <v>18</v>
      </c>
      <c r="O8" s="204">
        <v>1200</v>
      </c>
      <c r="P8" s="204">
        <v>930</v>
      </c>
      <c r="Q8" s="204">
        <v>744</v>
      </c>
      <c r="R8" s="422">
        <f>1-(Q8/P8)</f>
        <v>0.19999999999999996</v>
      </c>
      <c r="S8" s="423">
        <f>480-S7</f>
        <v>435</v>
      </c>
      <c r="T8" s="424">
        <v>256.5</v>
      </c>
      <c r="U8" s="425">
        <f>(O8*(1-R8)*N8*T8*S8)/100000000</f>
        <v>19.280591999999999</v>
      </c>
      <c r="V8" s="426"/>
      <c r="W8" s="428"/>
      <c r="Z8" s="153">
        <f t="shared" ref="Z8:Z9" si="2">+Y8-Y8*0.25</f>
        <v>0</v>
      </c>
      <c r="AB8" s="153">
        <f t="shared" si="0"/>
        <v>0</v>
      </c>
      <c r="AC8" s="153">
        <f t="shared" si="1"/>
        <v>0</v>
      </c>
    </row>
    <row r="9" spans="1:29" ht="13.5" thickBot="1">
      <c r="A9" s="770"/>
      <c r="B9" s="220"/>
      <c r="C9" s="221"/>
      <c r="D9" s="222"/>
      <c r="E9" s="225"/>
      <c r="F9" s="233">
        <v>14</v>
      </c>
      <c r="G9" s="237" t="s">
        <v>11</v>
      </c>
      <c r="H9" s="238" t="s">
        <v>428</v>
      </c>
      <c r="I9" s="773"/>
      <c r="J9" s="219" t="str">
        <f>+'20'!J9</f>
        <v>T 19 VP OW</v>
      </c>
      <c r="K9" s="244"/>
      <c r="L9" s="244"/>
      <c r="M9" s="121">
        <f>+K9+'20'!M9+L9</f>
        <v>10916</v>
      </c>
      <c r="N9" s="429"/>
      <c r="Z9" s="153">
        <f t="shared" si="2"/>
        <v>0</v>
      </c>
      <c r="AB9" s="153">
        <f t="shared" si="0"/>
        <v>0</v>
      </c>
      <c r="AC9" s="153">
        <f t="shared" si="1"/>
        <v>0</v>
      </c>
    </row>
    <row r="10" spans="1:2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593</v>
      </c>
      <c r="I10" s="773"/>
      <c r="J10" s="219" t="str">
        <f>+'20'!J10</f>
        <v>F 15 VP OW</v>
      </c>
      <c r="K10" s="244"/>
      <c r="L10" s="244"/>
      <c r="M10" s="121">
        <f>+K10+'20'!M10+L10</f>
        <v>10380</v>
      </c>
      <c r="N10" s="429"/>
      <c r="AA10" s="153">
        <f>SUM(AA5:AA9)</f>
        <v>480</v>
      </c>
      <c r="AB10" s="153">
        <f>SUM(AB5:AB9)</f>
        <v>590400</v>
      </c>
      <c r="AC10" s="153">
        <f>SUM(AC5:AC9)</f>
        <v>454607.99999999994</v>
      </c>
    </row>
    <row r="11" spans="1:29" ht="13.5" thickBot="1">
      <c r="A11" s="770"/>
      <c r="B11" s="220"/>
      <c r="C11" s="221"/>
      <c r="D11" s="222"/>
      <c r="E11" s="224"/>
      <c r="F11" s="233"/>
      <c r="G11" s="237"/>
      <c r="H11" s="238" t="s">
        <v>592</v>
      </c>
      <c r="I11" s="773"/>
      <c r="J11" s="219" t="str">
        <f>+'20'!J11</f>
        <v>F 13,5 VP OW</v>
      </c>
      <c r="K11" s="244"/>
      <c r="L11" s="244"/>
      <c r="M11" s="121">
        <f>+K11+'20'!M11+L11</f>
        <v>131921</v>
      </c>
      <c r="N11" s="429"/>
      <c r="Y11" s="153" t="s">
        <v>404</v>
      </c>
      <c r="AB11" s="153">
        <f>+AB10/AA10</f>
        <v>1230</v>
      </c>
      <c r="AC11" s="153">
        <f>+AC10/AA10</f>
        <v>947.09999999999991</v>
      </c>
    </row>
    <row r="12" spans="1:2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+'20'!J12</f>
        <v>F 13 VP OW</v>
      </c>
      <c r="K12" s="244">
        <f>+C7+C16</f>
        <v>15503</v>
      </c>
      <c r="L12" s="244"/>
      <c r="M12" s="121">
        <f>+K12+'20'!M12+L12</f>
        <v>172900</v>
      </c>
      <c r="N12" s="429"/>
    </row>
    <row r="13" spans="1:2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+'20'!J13</f>
        <v>F 12 VP OW</v>
      </c>
      <c r="K13" s="244">
        <f>+C17+C25</f>
        <v>26404</v>
      </c>
      <c r="L13" s="244"/>
      <c r="M13" s="121">
        <f>+K13+'20'!M13+L13</f>
        <v>210224</v>
      </c>
      <c r="N13" s="430"/>
      <c r="O13" s="431"/>
      <c r="P13" s="431"/>
      <c r="Q13" s="431"/>
      <c r="R13" s="431"/>
      <c r="S13" s="431"/>
      <c r="T13" s="431"/>
      <c r="U13" s="431"/>
      <c r="V13" s="431"/>
      <c r="W13" s="431"/>
    </row>
    <row r="14" spans="1:29" ht="13.5" thickBot="1">
      <c r="A14" s="771"/>
      <c r="B14" s="170" t="s">
        <v>2</v>
      </c>
      <c r="C14" s="103">
        <f>SUM(C7:C13)</f>
        <v>14933</v>
      </c>
      <c r="D14" s="115">
        <f>SUM(D7:D13)</f>
        <v>0</v>
      </c>
      <c r="E14" s="116">
        <f>SUM(E5:E13)</f>
        <v>0</v>
      </c>
      <c r="F14" s="120">
        <f>SUM(F7:F13)</f>
        <v>20</v>
      </c>
      <c r="G14" s="163"/>
      <c r="H14" s="171"/>
      <c r="I14" s="172"/>
      <c r="J14" s="219" t="str">
        <f>+'20'!J14</f>
        <v>F 12,5 VP OW</v>
      </c>
      <c r="K14" s="244"/>
      <c r="L14" s="244"/>
      <c r="M14" s="121">
        <f>+K14+'20'!M14+L14</f>
        <v>22178</v>
      </c>
      <c r="X14" s="153" t="s">
        <v>390</v>
      </c>
      <c r="Y14" s="153">
        <v>1230</v>
      </c>
      <c r="Z14" s="153">
        <f>+Y14-Y14*0.23</f>
        <v>947.09999999999991</v>
      </c>
      <c r="AA14" s="153">
        <f>480-AA13</f>
        <v>480</v>
      </c>
      <c r="AB14" s="153">
        <f t="shared" ref="AB14:AB17" si="3">+Y14*AA14</f>
        <v>590400</v>
      </c>
      <c r="AC14" s="153">
        <f t="shared" ref="AC14:AC17" si="4">+Z14*AA14</f>
        <v>454607.99999999994</v>
      </c>
    </row>
    <row r="15" spans="1:29" ht="13.5" customHeight="1" thickBot="1">
      <c r="A15" s="769"/>
      <c r="B15" s="170"/>
      <c r="C15" s="117">
        <f>C14/($C$23+$D$23+$E$23)</f>
        <v>1.2076829761423373</v>
      </c>
      <c r="D15" s="118">
        <f>D14/($C$23+$D$23+$E$23)</f>
        <v>0</v>
      </c>
      <c r="E15" s="119">
        <f>E14/($C$23+$D$23+$E$23)</f>
        <v>0</v>
      </c>
      <c r="F15" s="233">
        <v>12</v>
      </c>
      <c r="G15" s="234" t="s">
        <v>11</v>
      </c>
      <c r="H15" s="235" t="s">
        <v>563</v>
      </c>
      <c r="I15" s="772" t="s">
        <v>405</v>
      </c>
      <c r="J15" s="219">
        <f>+'20'!J15</f>
        <v>0</v>
      </c>
      <c r="K15" s="244"/>
      <c r="L15" s="244"/>
      <c r="M15" s="121">
        <f>+K15+'20'!M15+L15</f>
        <v>0</v>
      </c>
      <c r="N15" s="421">
        <v>18</v>
      </c>
      <c r="O15" s="204">
        <v>1200</v>
      </c>
      <c r="P15" s="204">
        <v>850</v>
      </c>
      <c r="Q15" s="204">
        <v>680</v>
      </c>
      <c r="R15" s="422">
        <f>1-(Q15/P15)</f>
        <v>0.19999999999999996</v>
      </c>
      <c r="S15" s="423">
        <v>480</v>
      </c>
      <c r="T15" s="424">
        <v>256.5</v>
      </c>
      <c r="U15" s="425">
        <f>(O15*(1-R15)*N15*T15*S15)/100000000</f>
        <v>21.275136</v>
      </c>
      <c r="V15" s="426">
        <f>+C23/1000</f>
        <v>12.365</v>
      </c>
      <c r="W15" s="427">
        <f>SUM(V15:V17)/SUM(U15:U17)</f>
        <v>0.58119487461795782</v>
      </c>
      <c r="AA15" s="153">
        <f>480-AA14</f>
        <v>0</v>
      </c>
      <c r="AB15" s="153">
        <f t="shared" si="3"/>
        <v>0</v>
      </c>
      <c r="AC15" s="153">
        <f t="shared" si="4"/>
        <v>0</v>
      </c>
    </row>
    <row r="16" spans="1:29" ht="13.5" thickBot="1">
      <c r="A16" s="775"/>
      <c r="B16" s="220" t="s">
        <v>520</v>
      </c>
      <c r="C16" s="227">
        <f>267+303</f>
        <v>570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+'20'!J16</f>
        <v>0</v>
      </c>
      <c r="K16" s="234"/>
      <c r="L16" s="234"/>
      <c r="M16" s="121">
        <f>+K16+'20'!M16+L16</f>
        <v>0</v>
      </c>
      <c r="N16" s="432"/>
      <c r="O16" s="204"/>
      <c r="P16" s="204"/>
      <c r="Q16" s="433"/>
      <c r="R16" s="422"/>
      <c r="S16" s="204"/>
      <c r="T16" s="424"/>
      <c r="U16" s="425"/>
      <c r="V16" s="426"/>
      <c r="W16" s="428"/>
      <c r="Z16" s="153">
        <f t="shared" ref="Z16:Z17" si="5">+Y16-Y16*0.25</f>
        <v>0</v>
      </c>
      <c r="AB16" s="153">
        <f t="shared" si="3"/>
        <v>0</v>
      </c>
      <c r="AC16" s="153">
        <f t="shared" si="4"/>
        <v>0</v>
      </c>
    </row>
    <row r="17" spans="1:29" ht="13.5" thickBot="1">
      <c r="A17" s="775"/>
      <c r="B17" s="220" t="s">
        <v>521</v>
      </c>
      <c r="C17" s="221">
        <f>6324+5471</f>
        <v>11795</v>
      </c>
      <c r="D17" s="222"/>
      <c r="E17" s="230"/>
      <c r="F17" s="233">
        <v>10</v>
      </c>
      <c r="G17" s="237" t="s">
        <v>11</v>
      </c>
      <c r="H17" s="238" t="s">
        <v>434</v>
      </c>
      <c r="I17" s="773"/>
      <c r="J17" s="219">
        <f>+'20'!J17</f>
        <v>0</v>
      </c>
      <c r="K17" s="234"/>
      <c r="L17" s="234"/>
      <c r="M17" s="121">
        <f>+K17+'20'!M17+L17</f>
        <v>0</v>
      </c>
      <c r="N17" s="429"/>
      <c r="O17" s="204"/>
      <c r="R17" s="422"/>
      <c r="T17" s="424"/>
      <c r="U17" s="425"/>
      <c r="Z17" s="153">
        <f t="shared" si="5"/>
        <v>0</v>
      </c>
      <c r="AB17" s="153">
        <f t="shared" si="3"/>
        <v>0</v>
      </c>
      <c r="AC17" s="153">
        <f t="shared" si="4"/>
        <v>0</v>
      </c>
    </row>
    <row r="18" spans="1:2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586</v>
      </c>
      <c r="I18" s="773"/>
      <c r="J18" s="219">
        <f>+'20'!J18</f>
        <v>0</v>
      </c>
      <c r="K18" s="244"/>
      <c r="L18" s="244"/>
      <c r="M18" s="121">
        <f>+K18+'20'!M18+L18</f>
        <v>0</v>
      </c>
      <c r="N18" s="429"/>
      <c r="AA18" s="153">
        <f>SUM(AA13:AA17)</f>
        <v>480</v>
      </c>
      <c r="AB18" s="153">
        <f>SUM(AB13:AB17)</f>
        <v>590400</v>
      </c>
      <c r="AC18" s="153">
        <f>SUM(AC13:AC17)</f>
        <v>454607.99999999994</v>
      </c>
    </row>
    <row r="19" spans="1:29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+'20'!J19</f>
        <v>0</v>
      </c>
      <c r="K19" s="244"/>
      <c r="L19" s="244"/>
      <c r="M19" s="121">
        <f>+K19+'20'!M19+L19</f>
        <v>0</v>
      </c>
      <c r="N19" s="429"/>
      <c r="Y19" s="153" t="s">
        <v>404</v>
      </c>
      <c r="AB19" s="153">
        <f>+AB18/AA18</f>
        <v>1230</v>
      </c>
      <c r="AC19" s="153">
        <f>+AC18/AA18</f>
        <v>947.09999999999991</v>
      </c>
    </row>
    <row r="20" spans="1:2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+'20'!J20</f>
        <v>0</v>
      </c>
      <c r="K20" s="245"/>
      <c r="L20" s="245"/>
      <c r="M20" s="121">
        <f>+K20+'20'!M20+L20</f>
        <v>0</v>
      </c>
      <c r="N20" s="429"/>
    </row>
    <row r="21" spans="1:2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+'20'!J21</f>
        <v>0</v>
      </c>
      <c r="K21" s="244"/>
      <c r="L21" s="244"/>
      <c r="M21" s="121">
        <f>+K21+'20'!M21+L21</f>
        <v>0</v>
      </c>
      <c r="N21" s="430"/>
      <c r="O21" s="431"/>
      <c r="P21" s="431"/>
      <c r="Q21" s="431"/>
      <c r="R21" s="431"/>
      <c r="S21" s="431"/>
      <c r="T21" s="431"/>
      <c r="U21" s="431"/>
      <c r="V21" s="431"/>
      <c r="W21" s="431"/>
    </row>
    <row r="22" spans="1:2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+'20'!J22</f>
        <v>0</v>
      </c>
      <c r="K22" s="244"/>
      <c r="L22" s="244"/>
      <c r="M22" s="121">
        <f>+K22+'20'!M22+L22</f>
        <v>0</v>
      </c>
    </row>
    <row r="23" spans="1:29" ht="13.5" thickBot="1">
      <c r="A23" s="776"/>
      <c r="B23" s="173" t="s">
        <v>2</v>
      </c>
      <c r="C23" s="104">
        <f>SUM(C16:C22)</f>
        <v>12365</v>
      </c>
      <c r="D23" s="115">
        <f>SUM(D16:D22)</f>
        <v>0</v>
      </c>
      <c r="E23" s="116">
        <f>SUM(E18:E22)</f>
        <v>0</v>
      </c>
      <c r="F23" s="120">
        <f>SUM(F15:F22)</f>
        <v>22</v>
      </c>
      <c r="G23" s="163"/>
      <c r="H23" s="171"/>
      <c r="I23" s="174"/>
      <c r="J23" s="219">
        <f>+'20'!J23</f>
        <v>0</v>
      </c>
      <c r="K23" s="244"/>
      <c r="L23" s="244"/>
      <c r="M23" s="121">
        <f>+K23+'20'!M23+L23</f>
        <v>0</v>
      </c>
      <c r="N23" s="434"/>
      <c r="O23" s="435"/>
      <c r="P23" s="435"/>
      <c r="Q23" s="435"/>
      <c r="R23" s="435"/>
      <c r="S23" s="435"/>
      <c r="T23" s="435"/>
      <c r="U23" s="435"/>
      <c r="V23" s="435"/>
      <c r="W23" s="435"/>
    </row>
    <row r="24" spans="1:2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12</v>
      </c>
      <c r="G24" s="234" t="s">
        <v>11</v>
      </c>
      <c r="H24" s="235" t="s">
        <v>563</v>
      </c>
      <c r="I24" s="772" t="s">
        <v>405</v>
      </c>
      <c r="J24" s="219">
        <f>+'20'!J24</f>
        <v>0</v>
      </c>
      <c r="K24" s="244"/>
      <c r="L24" s="244"/>
      <c r="M24" s="121">
        <f>+K24+'20'!M24+L24</f>
        <v>0</v>
      </c>
      <c r="N24" s="421">
        <v>14.5</v>
      </c>
      <c r="O24" s="204">
        <v>1130</v>
      </c>
      <c r="P24" s="204">
        <v>1130</v>
      </c>
      <c r="Q24" s="204">
        <v>915</v>
      </c>
      <c r="R24" s="422">
        <f>1-(Q24/P24)</f>
        <v>0.19026548672566368</v>
      </c>
      <c r="S24" s="423">
        <v>9</v>
      </c>
      <c r="T24" s="424">
        <v>266</v>
      </c>
      <c r="U24" s="425">
        <f>(O24*(1-R24)*N24*T24*S24)/100000000</f>
        <v>0.31762394999999999</v>
      </c>
      <c r="V24" s="426">
        <f>+C32/1000</f>
        <v>14.609</v>
      </c>
      <c r="W24" s="427">
        <f>SUM(V24:V25)/SUM(U24:U25)</f>
        <v>45.994642406531376</v>
      </c>
    </row>
    <row r="25" spans="1:29" ht="13.5" thickBot="1">
      <c r="A25" s="775"/>
      <c r="B25" s="220" t="s">
        <v>521</v>
      </c>
      <c r="C25" s="231">
        <f>7841+6768</f>
        <v>14609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+'20'!J25</f>
        <v>0</v>
      </c>
      <c r="K25" s="244"/>
      <c r="L25" s="244"/>
      <c r="M25" s="121">
        <f>+K25+'20'!M25+L25</f>
        <v>0</v>
      </c>
      <c r="N25" s="421"/>
      <c r="O25" s="204"/>
      <c r="P25" s="204"/>
      <c r="Q25" s="204"/>
      <c r="R25" s="422"/>
      <c r="S25" s="423"/>
      <c r="T25" s="424"/>
      <c r="U25" s="425"/>
      <c r="V25" s="426"/>
      <c r="W25" s="427"/>
    </row>
    <row r="26" spans="1:29" ht="13.5" thickBot="1">
      <c r="A26" s="775"/>
      <c r="B26" s="220"/>
      <c r="C26" s="231"/>
      <c r="D26" s="222"/>
      <c r="E26" s="232"/>
      <c r="F26" s="233">
        <v>16</v>
      </c>
      <c r="G26" s="237" t="s">
        <v>11</v>
      </c>
      <c r="H26" s="238" t="s">
        <v>434</v>
      </c>
      <c r="I26" s="773"/>
      <c r="J26" s="219">
        <f>+'20'!J26</f>
        <v>0</v>
      </c>
      <c r="K26" s="244"/>
      <c r="L26" s="244"/>
      <c r="M26" s="121">
        <f>+K26+'20'!M26+L26</f>
        <v>0</v>
      </c>
    </row>
    <row r="27" spans="1:29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586</v>
      </c>
      <c r="I27" s="773"/>
      <c r="J27" s="219">
        <f>+'20'!J27</f>
        <v>0</v>
      </c>
      <c r="K27" s="244"/>
      <c r="L27" s="244"/>
      <c r="M27" s="121">
        <f>+K27+'20'!M27+L27</f>
        <v>0</v>
      </c>
    </row>
    <row r="28" spans="1:2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+'20'!J28</f>
        <v>0</v>
      </c>
      <c r="K28" s="244"/>
      <c r="L28" s="244"/>
      <c r="M28" s="121">
        <f>+K28+'20'!M28+L28</f>
        <v>0</v>
      </c>
    </row>
    <row r="29" spans="1:2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+'20'!J29</f>
        <v>0</v>
      </c>
      <c r="K29" s="244"/>
      <c r="L29" s="244"/>
      <c r="M29" s="121">
        <f>+K29+'20'!M29+L29</f>
        <v>0</v>
      </c>
    </row>
    <row r="30" spans="1:2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+'20'!J30</f>
        <v>0</v>
      </c>
      <c r="K30" s="244"/>
      <c r="L30" s="244"/>
      <c r="M30" s="121">
        <f>+K30+'20'!M30+L30</f>
        <v>0</v>
      </c>
      <c r="N30" s="159"/>
    </row>
    <row r="31" spans="1:2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+'20'!J31</f>
        <v>0</v>
      </c>
      <c r="K31" s="244"/>
      <c r="L31" s="244"/>
      <c r="M31" s="121">
        <f>+K31+'20'!M31+L31</f>
        <v>0</v>
      </c>
    </row>
    <row r="32" spans="1:29" ht="13.5" thickBot="1">
      <c r="A32" s="776"/>
      <c r="B32" s="170" t="s">
        <v>2</v>
      </c>
      <c r="C32" s="103">
        <f>SUM(C25:C31)</f>
        <v>14609</v>
      </c>
      <c r="D32" s="104">
        <f>SUM(D25:D31)</f>
        <v>0</v>
      </c>
      <c r="E32" s="105">
        <f>SUM(E25:E31)</f>
        <v>0</v>
      </c>
      <c r="F32" s="106">
        <f>SUM(F24:F31)</f>
        <v>28</v>
      </c>
      <c r="G32" s="176"/>
      <c r="H32" s="177"/>
      <c r="I32" s="174"/>
      <c r="J32" s="219">
        <f>+'20'!J32</f>
        <v>0</v>
      </c>
      <c r="K32" s="246"/>
      <c r="L32" s="248"/>
      <c r="M32" s="121">
        <f>+K32+'20'!M32+L32</f>
        <v>0</v>
      </c>
    </row>
    <row r="33" spans="1:2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X33" s="153" t="s">
        <v>503</v>
      </c>
      <c r="Y33" s="153">
        <v>1230</v>
      </c>
      <c r="Z33" s="153">
        <v>947.09999999999991</v>
      </c>
      <c r="AA33" s="153">
        <v>344</v>
      </c>
    </row>
    <row r="34" spans="1:27" ht="13.5" thickBot="1">
      <c r="A34" s="765" t="s">
        <v>56</v>
      </c>
      <c r="B34" s="766"/>
      <c r="C34" s="111">
        <f>C14+C23+C32</f>
        <v>41907</v>
      </c>
      <c r="D34" s="111">
        <f>D14+D23+D32</f>
        <v>0</v>
      </c>
      <c r="E34" s="111">
        <f>E14+E23+E32</f>
        <v>0</v>
      </c>
      <c r="F34" s="112">
        <f>F14+F23+F32</f>
        <v>70</v>
      </c>
      <c r="H34" s="183"/>
      <c r="I34" s="183"/>
      <c r="J34" s="127" t="s">
        <v>27</v>
      </c>
      <c r="K34" s="128">
        <f>SUM(K7:K32)</f>
        <v>41907</v>
      </c>
      <c r="L34" s="217">
        <f>SUM(L7:L32)</f>
        <v>0</v>
      </c>
      <c r="M34" s="124">
        <f>SUM(M7:M32)</f>
        <v>890683</v>
      </c>
      <c r="N34" s="159"/>
      <c r="X34" s="153" t="s">
        <v>390</v>
      </c>
      <c r="Y34" s="153">
        <v>1230</v>
      </c>
      <c r="Z34" s="153">
        <v>947.09999999999991</v>
      </c>
      <c r="AA34" s="153">
        <f>1440-AA33</f>
        <v>1096</v>
      </c>
    </row>
    <row r="35" spans="1:27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2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2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(13*344+1096*12)/1440*G42*2.74*1440/1000000</f>
        <v>45.735231696</v>
      </c>
      <c r="J37" s="129">
        <f>+I37+'20'!J37</f>
        <v>997.59573612462282</v>
      </c>
      <c r="K37" s="130" t="s">
        <v>62</v>
      </c>
    </row>
    <row r="38" spans="1:27" ht="17.45" customHeight="1">
      <c r="A38" s="759" t="s">
        <v>11</v>
      </c>
      <c r="B38" s="760"/>
      <c r="C38" s="168">
        <f>SUMIF($G$7:$G$31,"Process",$F$7:$F$31)</f>
        <v>70</v>
      </c>
      <c r="D38" s="122">
        <f>+C38+'20'!D38</f>
        <v>1523</v>
      </c>
      <c r="E38" s="147">
        <f t="shared" ref="E38:E51" si="6">D38/60</f>
        <v>25.383333333333333</v>
      </c>
      <c r="F38" s="327">
        <v>1230</v>
      </c>
      <c r="G38" s="327">
        <v>947.09999999999991</v>
      </c>
      <c r="H38" s="192" t="s">
        <v>63</v>
      </c>
      <c r="I38" s="250">
        <f>14.681+13.892+13.545</f>
        <v>42.118000000000002</v>
      </c>
      <c r="J38" s="131">
        <f>+I38+'20'!J38</f>
        <v>915.16399999999987</v>
      </c>
      <c r="K38" s="132" t="s">
        <v>62</v>
      </c>
    </row>
    <row r="39" spans="1:27" ht="17.45" customHeight="1">
      <c r="A39" s="763" t="s">
        <v>12</v>
      </c>
      <c r="B39" s="764"/>
      <c r="C39" s="168">
        <f>SUMIF($G$7:$G$31,"Cleaning",$F$7:$F$31)</f>
        <v>0</v>
      </c>
      <c r="D39" s="122">
        <f>+C39+'20'!D39</f>
        <v>0</v>
      </c>
      <c r="E39" s="147">
        <f t="shared" si="6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47.504558863077278</v>
      </c>
      <c r="K39" s="134" t="s">
        <v>62</v>
      </c>
    </row>
    <row r="40" spans="1:27" ht="17.45" customHeight="1">
      <c r="A40" s="763" t="s">
        <v>65</v>
      </c>
      <c r="B40" s="764"/>
      <c r="C40" s="168">
        <f>SUMIF($G$7:$G$31,"Mechanical",$F$7:$F$31)</f>
        <v>0</v>
      </c>
      <c r="D40" s="122">
        <f>+C40+'20'!D40</f>
        <v>414</v>
      </c>
      <c r="E40" s="147">
        <f t="shared" si="6"/>
        <v>6.9</v>
      </c>
      <c r="F40" s="327">
        <v>1230</v>
      </c>
      <c r="G40" s="327">
        <v>947.09999999999991</v>
      </c>
      <c r="H40" s="192" t="s">
        <v>66</v>
      </c>
      <c r="I40" s="122">
        <f>(K34+L34)/1000</f>
        <v>41.906999999999996</v>
      </c>
      <c r="J40" s="135">
        <f>+I40+'20'!J40</f>
        <v>890.68300000000011</v>
      </c>
      <c r="K40" s="134" t="s">
        <v>62</v>
      </c>
    </row>
    <row r="41" spans="1:27" ht="17.45" customHeight="1">
      <c r="A41" s="763" t="s">
        <v>67</v>
      </c>
      <c r="B41" s="764"/>
      <c r="C41" s="168">
        <f>SUMIF($G$7:$G$31,"Electrical",$F$7:$F$31)</f>
        <v>0</v>
      </c>
      <c r="D41" s="122">
        <f>+C41+'20'!D41</f>
        <v>60</v>
      </c>
      <c r="E41" s="147">
        <f t="shared" si="6"/>
        <v>1</v>
      </c>
      <c r="F41" s="327"/>
      <c r="G41" s="327"/>
      <c r="H41" s="192" t="s">
        <v>68</v>
      </c>
      <c r="I41" s="146"/>
      <c r="J41" s="133">
        <f>J40/G4</f>
        <v>42.413476190476196</v>
      </c>
      <c r="K41" s="134" t="s">
        <v>62</v>
      </c>
    </row>
    <row r="42" spans="1:27" ht="17.45" customHeight="1">
      <c r="A42" s="763" t="s">
        <v>15</v>
      </c>
      <c r="B42" s="764"/>
      <c r="C42" s="168">
        <f>SUMIF($G$7:$G$31,"Instrument",$F$7:$F$31)</f>
        <v>0</v>
      </c>
      <c r="D42" s="122">
        <f>+C42+'20'!D42</f>
        <v>0</v>
      </c>
      <c r="E42" s="147">
        <f t="shared" si="6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27" ht="17.45" customHeight="1">
      <c r="A43" s="763" t="s">
        <v>71</v>
      </c>
      <c r="B43" s="764"/>
      <c r="C43" s="168">
        <f>SUMIF($G$7:$G$31,"Water",$F$7:$F$31)</f>
        <v>0</v>
      </c>
      <c r="D43" s="122">
        <f>+C43+'20'!D43</f>
        <v>0</v>
      </c>
      <c r="E43" s="147">
        <f t="shared" si="6"/>
        <v>0</v>
      </c>
      <c r="F43" s="327"/>
      <c r="G43" s="328"/>
      <c r="H43" s="193" t="s">
        <v>72</v>
      </c>
      <c r="I43" s="122">
        <f>+Report1!Z29</f>
        <v>56.3</v>
      </c>
      <c r="J43" s="137">
        <f>+I43+'20'!J43</f>
        <v>1188.5</v>
      </c>
      <c r="K43" s="134" t="s">
        <v>62</v>
      </c>
      <c r="L43" s="194"/>
    </row>
    <row r="44" spans="1:27" ht="17.45" customHeight="1">
      <c r="A44" s="763" t="s">
        <v>16</v>
      </c>
      <c r="B44" s="764"/>
      <c r="C44" s="168">
        <f>SUMIF($G$7:$G$31,"PLN",$F$7:$F$31)</f>
        <v>0</v>
      </c>
      <c r="D44" s="122">
        <f>+C44+'20'!D44</f>
        <v>0</v>
      </c>
      <c r="E44" s="147">
        <f t="shared" si="6"/>
        <v>0</v>
      </c>
      <c r="F44" s="327"/>
      <c r="G44" s="328"/>
      <c r="H44" s="193" t="s">
        <v>73</v>
      </c>
      <c r="I44" s="122">
        <f>I43/I38</f>
        <v>1.3367206420057931</v>
      </c>
      <c r="J44" s="138">
        <f>J43/J38</f>
        <v>1.2986743359660129</v>
      </c>
      <c r="K44" s="134" t="s">
        <v>62</v>
      </c>
    </row>
    <row r="45" spans="1:27" ht="17.45" customHeight="1">
      <c r="A45" s="763" t="s">
        <v>17</v>
      </c>
      <c r="B45" s="764"/>
      <c r="C45" s="168">
        <f>SUMIF($G$7:$G$31,"Boiler",$F$7:$F$31)</f>
        <v>0</v>
      </c>
      <c r="D45" s="122">
        <f>+C45+'20'!D45</f>
        <v>0</v>
      </c>
      <c r="E45" s="147">
        <f t="shared" si="6"/>
        <v>0</v>
      </c>
      <c r="F45" s="327"/>
      <c r="G45" s="330"/>
      <c r="H45" s="193" t="s">
        <v>74</v>
      </c>
      <c r="I45" s="122">
        <f>I43/I40</f>
        <v>1.3434509747774834</v>
      </c>
      <c r="J45" s="138">
        <f>J43/J40</f>
        <v>1.3343692424802089</v>
      </c>
      <c r="K45" s="134" t="s">
        <v>62</v>
      </c>
    </row>
    <row r="46" spans="1:27" ht="17.45" customHeight="1">
      <c r="A46" s="763" t="s">
        <v>75</v>
      </c>
      <c r="B46" s="764"/>
      <c r="C46" s="168">
        <f>SUMIF($G$7:$G$31,"Gas",$F$7:$F$31)</f>
        <v>0</v>
      </c>
      <c r="D46" s="122">
        <f>+C46+'20'!D46</f>
        <v>0</v>
      </c>
      <c r="E46" s="147">
        <f t="shared" si="6"/>
        <v>0</v>
      </c>
      <c r="F46" s="327"/>
      <c r="G46" s="328"/>
      <c r="H46" s="193" t="s">
        <v>76</v>
      </c>
      <c r="I46" s="144">
        <f>+SUMIF(Listrik!P28,"&gt;0")</f>
        <v>35401.899999998546</v>
      </c>
      <c r="J46" s="139">
        <f>+I46+'20'!J46</f>
        <v>773644.42</v>
      </c>
      <c r="K46" s="134" t="s">
        <v>77</v>
      </c>
    </row>
    <row r="47" spans="1:27" ht="17.45" customHeight="1">
      <c r="A47" s="763" t="s">
        <v>78</v>
      </c>
      <c r="B47" s="764"/>
      <c r="C47" s="168">
        <f>SUMIF($G$7:$G$31,"Gas",$F$7:$F$31)</f>
        <v>0</v>
      </c>
      <c r="D47" s="122">
        <f>+C47+'20'!D47</f>
        <v>0</v>
      </c>
      <c r="E47" s="147">
        <f t="shared" si="6"/>
        <v>0</v>
      </c>
      <c r="F47" s="327"/>
      <c r="G47" s="328"/>
      <c r="H47" s="193" t="s">
        <v>79</v>
      </c>
      <c r="I47" s="122">
        <f>I46/I38</f>
        <v>840.5408613893951</v>
      </c>
      <c r="J47" s="139">
        <f>J46/J38</f>
        <v>845.36150897544064</v>
      </c>
      <c r="K47" s="134" t="s">
        <v>23</v>
      </c>
    </row>
    <row r="48" spans="1:27" ht="17.45" customHeight="1">
      <c r="A48" s="763" t="s">
        <v>13</v>
      </c>
      <c r="B48" s="764"/>
      <c r="C48" s="168">
        <f>SUMIF($G$7:$G$31,"Start Up",$F$7:$F$31)</f>
        <v>0</v>
      </c>
      <c r="D48" s="122">
        <f>+C48+'20'!D48</f>
        <v>0</v>
      </c>
      <c r="E48" s="147">
        <f t="shared" si="6"/>
        <v>0</v>
      </c>
      <c r="F48" s="327"/>
      <c r="G48" s="328"/>
      <c r="H48" s="193" t="s">
        <v>80</v>
      </c>
      <c r="I48" s="122">
        <f>I46/I40</f>
        <v>844.77294962651945</v>
      </c>
      <c r="J48" s="139">
        <f>J46/J40</f>
        <v>868.5968183966686</v>
      </c>
      <c r="K48" s="134" t="s">
        <v>23</v>
      </c>
    </row>
    <row r="49" spans="1:23" ht="17.45" customHeight="1">
      <c r="A49" s="777" t="s">
        <v>19</v>
      </c>
      <c r="B49" s="764"/>
      <c r="C49" s="168">
        <f>SUMIF($G$7:$G$31,"Others",$F$7:$F$31)</f>
        <v>0</v>
      </c>
      <c r="D49" s="122">
        <f>+C49+'20'!D49</f>
        <v>0</v>
      </c>
      <c r="E49" s="147">
        <f t="shared" si="6"/>
        <v>0</v>
      </c>
      <c r="F49" s="190"/>
      <c r="H49" s="193" t="s">
        <v>271</v>
      </c>
      <c r="I49" s="122">
        <f>+Report1!T29</f>
        <v>3638.8274487826138</v>
      </c>
      <c r="J49" s="139">
        <f>+I49+'20'!J49</f>
        <v>83234.469941376228</v>
      </c>
      <c r="K49" s="134" t="s">
        <v>81</v>
      </c>
    </row>
    <row r="50" spans="1:23" ht="17.45" customHeight="1">
      <c r="A50" s="763" t="s">
        <v>18</v>
      </c>
      <c r="B50" s="764"/>
      <c r="C50" s="168">
        <f>SUMIF($G$7:$G$31,"Steam",$F$7:$F$31)</f>
        <v>0</v>
      </c>
      <c r="D50" s="122">
        <f>+C50+'20'!D50</f>
        <v>0</v>
      </c>
      <c r="E50" s="147">
        <f t="shared" si="6"/>
        <v>0</v>
      </c>
      <c r="F50" s="190"/>
      <c r="H50" s="193" t="s">
        <v>82</v>
      </c>
      <c r="I50" s="144">
        <f>I49/I38</f>
        <v>86.396017113410267</v>
      </c>
      <c r="J50" s="137">
        <f>J49/J38</f>
        <v>90.950332335380594</v>
      </c>
      <c r="K50" s="134" t="s">
        <v>81</v>
      </c>
    </row>
    <row r="51" spans="1:23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+C51+'20'!D51</f>
        <v>0</v>
      </c>
      <c r="E51" s="147">
        <f t="shared" si="6"/>
        <v>0</v>
      </c>
      <c r="F51" s="190"/>
      <c r="H51" s="195" t="s">
        <v>84</v>
      </c>
      <c r="I51" s="145">
        <f>I49/I40</f>
        <v>86.831017462061567</v>
      </c>
      <c r="J51" s="140">
        <f>J49/J40</f>
        <v>93.450161214906103</v>
      </c>
      <c r="K51" s="141" t="s">
        <v>81</v>
      </c>
    </row>
    <row r="52" spans="1:23" ht="13.5" thickBot="1">
      <c r="A52" s="759" t="s">
        <v>27</v>
      </c>
      <c r="B52" s="760"/>
      <c r="C52" s="148">
        <f>SUM(C38:C51)</f>
        <v>70</v>
      </c>
      <c r="D52" s="148">
        <f>SUM(D38:D51)</f>
        <v>1997</v>
      </c>
      <c r="E52" s="149">
        <f>SUM(E38:E51)</f>
        <v>33.283333333333331</v>
      </c>
      <c r="F52" s="190"/>
      <c r="H52" s="196"/>
      <c r="I52" s="197"/>
      <c r="J52" s="142"/>
      <c r="K52" s="143"/>
    </row>
    <row r="53" spans="1:23" ht="13.5" thickBot="1">
      <c r="A53" s="761"/>
      <c r="B53" s="762"/>
      <c r="C53" s="150">
        <f>C52/(24*60)</f>
        <v>4.8611111111111112E-2</v>
      </c>
      <c r="D53" s="150">
        <f>D52/(24*60*G4)</f>
        <v>6.6038359788359785E-2</v>
      </c>
      <c r="E53" s="151">
        <f>E52/(G4*24)</f>
        <v>6.6038359788359785E-2</v>
      </c>
      <c r="F53" s="190"/>
    </row>
    <row r="54" spans="1:23">
      <c r="E54" s="198"/>
      <c r="F54" s="190"/>
    </row>
    <row r="55" spans="1:23">
      <c r="E55" s="198"/>
    </row>
    <row r="56" spans="1:23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+D34+'20'!J56</f>
        <v>5290</v>
      </c>
      <c r="K56" s="206">
        <f>J56/(J40+J56/1000)/1000</f>
        <v>5.9041957737565745E-3</v>
      </c>
    </row>
    <row r="57" spans="1:23">
      <c r="A57" s="181"/>
      <c r="I57" s="204" t="s">
        <v>87</v>
      </c>
      <c r="J57" s="205">
        <f>+E34+'20'!J57</f>
        <v>0</v>
      </c>
      <c r="K57" s="206">
        <f>J57/(J40+J57/1000)/1000</f>
        <v>0</v>
      </c>
    </row>
    <row r="58" spans="1:23">
      <c r="A58" s="207"/>
      <c r="B58" s="208"/>
      <c r="F58" s="190"/>
      <c r="H58" s="209"/>
      <c r="J58" s="153">
        <v>5290</v>
      </c>
    </row>
    <row r="59" spans="1:23">
      <c r="A59" s="210"/>
      <c r="B59" s="181"/>
      <c r="C59" s="181"/>
      <c r="D59" s="181"/>
      <c r="E59" s="181"/>
      <c r="F59" s="194"/>
      <c r="G59" s="181"/>
      <c r="H59" s="209"/>
      <c r="J59" s="159">
        <f>+J56-J58</f>
        <v>0</v>
      </c>
    </row>
    <row r="60" spans="1:23">
      <c r="H60" s="209"/>
    </row>
    <row r="61" spans="1:23">
      <c r="A61" s="211"/>
      <c r="B61" s="212"/>
      <c r="C61" s="212"/>
      <c r="D61" s="212"/>
      <c r="E61" s="212"/>
      <c r="F61" s="213"/>
      <c r="G61" s="212"/>
      <c r="H61" s="214"/>
      <c r="W61" s="153" t="s">
        <v>0</v>
      </c>
    </row>
  </sheetData>
  <mergeCells count="24"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topLeftCell="A19" zoomScale="80" zoomScaleNormal="80" workbookViewId="0">
      <selection activeCell="D25" sqref="D2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5.42578125" style="153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20</v>
      </c>
      <c r="H4" s="158" t="str">
        <f>+'1'!H4</f>
        <v>.08.25</v>
      </c>
      <c r="J4" s="153">
        <f>470+494+498</f>
        <v>1462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503</v>
      </c>
      <c r="O6" s="153">
        <v>1230</v>
      </c>
      <c r="P6" s="153">
        <f>+O6-O6*0.23</f>
        <v>947.09999999999991</v>
      </c>
      <c r="Q6" s="153">
        <f>60+50</f>
        <v>110</v>
      </c>
      <c r="R6" s="153">
        <f t="shared" ref="R6:R9" si="0">+O6*Q6</f>
        <v>135300</v>
      </c>
      <c r="S6" s="153">
        <f t="shared" ref="S6:S9" si="1">+P6*Q6</f>
        <v>104180.99999999999</v>
      </c>
    </row>
    <row r="7" spans="1:19" ht="13.5" customHeight="1" thickBot="1">
      <c r="A7" s="769"/>
      <c r="B7" s="220" t="s">
        <v>520</v>
      </c>
      <c r="C7" s="221">
        <f>3541+4286</f>
        <v>7827</v>
      </c>
      <c r="D7" s="222"/>
      <c r="E7" s="223"/>
      <c r="F7" s="233">
        <v>12</v>
      </c>
      <c r="G7" s="234" t="s">
        <v>11</v>
      </c>
      <c r="H7" s="235" t="s">
        <v>563</v>
      </c>
      <c r="I7" s="772" t="s">
        <v>405</v>
      </c>
      <c r="J7" s="219" t="str">
        <f>+'19'!J7</f>
        <v>T 13 VP OW</v>
      </c>
      <c r="K7" s="243"/>
      <c r="L7" s="247"/>
      <c r="M7" s="121">
        <f>+K7+'19'!M7+L7</f>
        <v>252469</v>
      </c>
      <c r="N7" s="153" t="s">
        <v>390</v>
      </c>
      <c r="O7" s="153">
        <v>1230</v>
      </c>
      <c r="P7" s="153">
        <f>+O7-O7*0.23</f>
        <v>947.09999999999991</v>
      </c>
      <c r="Q7" s="153">
        <f>480-Q6</f>
        <v>370</v>
      </c>
      <c r="R7" s="153">
        <f t="shared" si="0"/>
        <v>455100</v>
      </c>
      <c r="S7" s="153">
        <f t="shared" si="1"/>
        <v>350426.99999999994</v>
      </c>
    </row>
    <row r="8" spans="1:19" ht="13.5" thickBot="1">
      <c r="A8" s="770"/>
      <c r="B8" s="220" t="s">
        <v>521</v>
      </c>
      <c r="C8" s="221">
        <f>4077+1725</f>
        <v>5802</v>
      </c>
      <c r="D8" s="222"/>
      <c r="E8" s="224"/>
      <c r="F8" s="236"/>
      <c r="G8" s="237" t="s">
        <v>11</v>
      </c>
      <c r="H8" s="235" t="s">
        <v>286</v>
      </c>
      <c r="I8" s="773"/>
      <c r="J8" s="219" t="str">
        <f>+'19'!J8</f>
        <v>T 15,5 VP OW</v>
      </c>
      <c r="K8" s="244"/>
      <c r="L8" s="244"/>
      <c r="M8" s="121">
        <f>+K8+'19'!M8+L8</f>
        <v>79695</v>
      </c>
      <c r="P8" s="153">
        <f t="shared" ref="P8:P9" si="2">+O8-O8*0.25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f>29-12</f>
        <v>17</v>
      </c>
      <c r="G9" s="237" t="s">
        <v>11</v>
      </c>
      <c r="H9" s="238" t="s">
        <v>535</v>
      </c>
      <c r="I9" s="773"/>
      <c r="J9" s="219" t="str">
        <f>+'19'!J9</f>
        <v>T 19 VP OW</v>
      </c>
      <c r="K9" s="244"/>
      <c r="L9" s="244"/>
      <c r="M9" s="121">
        <f>+K9+'19'!M9+L9</f>
        <v>10916</v>
      </c>
      <c r="P9" s="153">
        <f t="shared" si="2"/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588</v>
      </c>
      <c r="I10" s="773"/>
      <c r="J10" s="219" t="str">
        <f>+'19'!J10</f>
        <v>F 15 VP OW</v>
      </c>
      <c r="K10" s="244"/>
      <c r="L10" s="244"/>
      <c r="M10" s="121">
        <f>+K10+'19'!M10+L10</f>
        <v>10380</v>
      </c>
      <c r="Q10" s="153">
        <f>SUM(Q5:Q9)</f>
        <v>480</v>
      </c>
      <c r="R10" s="153">
        <f>SUM(R5:R9)</f>
        <v>590400</v>
      </c>
      <c r="S10" s="153">
        <f>SUM(S5:S9)</f>
        <v>454607.99999999994</v>
      </c>
    </row>
    <row r="11" spans="1:19" ht="13.5" thickBot="1">
      <c r="A11" s="770"/>
      <c r="B11" s="220"/>
      <c r="C11" s="221"/>
      <c r="D11" s="222"/>
      <c r="E11" s="224"/>
      <c r="F11" s="233"/>
      <c r="G11" s="237"/>
      <c r="H11" s="238" t="s">
        <v>589</v>
      </c>
      <c r="I11" s="773"/>
      <c r="J11" s="219" t="str">
        <f>+'19'!J11</f>
        <v>F 13,5 VP OW</v>
      </c>
      <c r="K11" s="244"/>
      <c r="L11" s="244"/>
      <c r="M11" s="121">
        <f>+K11+'19'!M11+L11</f>
        <v>131921</v>
      </c>
      <c r="O11" s="153" t="s">
        <v>404</v>
      </c>
      <c r="R11" s="153">
        <f>+R10/Q10</f>
        <v>1230</v>
      </c>
      <c r="S11" s="153">
        <f>+S10/Q10</f>
        <v>947.09999999999991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+'19'!J12</f>
        <v>F 13 VP OW</v>
      </c>
      <c r="K12" s="244">
        <f>+C7+C26</f>
        <v>17715</v>
      </c>
      <c r="L12" s="244"/>
      <c r="M12" s="121">
        <f>+K12+'19'!M12+L12</f>
        <v>157397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+'19'!J13</f>
        <v>F 12 VP OW</v>
      </c>
      <c r="K13" s="244">
        <f>+C8+C16+C25</f>
        <v>23326</v>
      </c>
      <c r="L13" s="244"/>
      <c r="M13" s="121">
        <f>+K13+'19'!M13+L13</f>
        <v>183820</v>
      </c>
    </row>
    <row r="14" spans="1:19" ht="13.5" thickBot="1">
      <c r="A14" s="771"/>
      <c r="B14" s="170" t="s">
        <v>2</v>
      </c>
      <c r="C14" s="103">
        <f>SUM(C7:C13)</f>
        <v>13629</v>
      </c>
      <c r="D14" s="115">
        <f>SUM(D7:D13)</f>
        <v>0</v>
      </c>
      <c r="E14" s="116">
        <f>SUM(E5:E13)</f>
        <v>0</v>
      </c>
      <c r="F14" s="120">
        <f>SUM(F7:F13)</f>
        <v>29</v>
      </c>
      <c r="G14" s="163"/>
      <c r="H14" s="171"/>
      <c r="I14" s="172"/>
      <c r="J14" s="219" t="str">
        <f>+'19'!J14</f>
        <v>F 12,5 VP OW</v>
      </c>
      <c r="K14" s="244"/>
      <c r="L14" s="244"/>
      <c r="M14" s="121">
        <f>+K14+'19'!M14+L14</f>
        <v>22178</v>
      </c>
    </row>
    <row r="15" spans="1:19" ht="13.5" customHeight="1" thickBot="1">
      <c r="A15" s="769"/>
      <c r="B15" s="170"/>
      <c r="C15" s="117">
        <f>C14/($C$23+$D$23+$E$23)</f>
        <v>1.0257394445698804</v>
      </c>
      <c r="D15" s="118">
        <f>D14/($C$23+$D$23+$E$23)</f>
        <v>0</v>
      </c>
      <c r="E15" s="119">
        <f>E14/($C$23+$D$23+$E$23)</f>
        <v>0</v>
      </c>
      <c r="F15" s="233">
        <v>8</v>
      </c>
      <c r="G15" s="234" t="s">
        <v>11</v>
      </c>
      <c r="H15" s="235" t="s">
        <v>563</v>
      </c>
      <c r="I15" s="772" t="s">
        <v>405</v>
      </c>
      <c r="J15" s="219">
        <f>+'19'!J15</f>
        <v>0</v>
      </c>
      <c r="K15" s="244"/>
      <c r="L15" s="244"/>
      <c r="M15" s="121">
        <f>+K15+'19'!M15+L15</f>
        <v>0</v>
      </c>
    </row>
    <row r="16" spans="1:19" ht="13.5" thickBot="1">
      <c r="A16" s="775"/>
      <c r="B16" s="220" t="s">
        <v>521</v>
      </c>
      <c r="C16" s="227">
        <v>13287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+'19'!J16</f>
        <v>0</v>
      </c>
      <c r="K16" s="234"/>
      <c r="L16" s="234"/>
      <c r="M16" s="121">
        <f>+K16+'19'!M16+L16</f>
        <v>0</v>
      </c>
      <c r="N16" s="153" t="s">
        <v>390</v>
      </c>
      <c r="O16" s="153">
        <v>1230</v>
      </c>
      <c r="P16" s="153">
        <f>+O16-O16*0.23</f>
        <v>947.09999999999991</v>
      </c>
      <c r="Q16" s="153">
        <f>480-Q15</f>
        <v>480</v>
      </c>
      <c r="R16" s="153">
        <f t="shared" ref="R16:R18" si="3">+O16*Q16</f>
        <v>590400</v>
      </c>
      <c r="S16" s="153">
        <f t="shared" ref="S16:S18" si="4">+P16*Q16</f>
        <v>454607.99999999994</v>
      </c>
    </row>
    <row r="17" spans="1:19" ht="13.5" thickBot="1">
      <c r="A17" s="775"/>
      <c r="B17" s="220"/>
      <c r="C17" s="221"/>
      <c r="D17" s="222"/>
      <c r="E17" s="230"/>
      <c r="F17" s="233">
        <f>23-8</f>
        <v>15</v>
      </c>
      <c r="G17" s="237" t="s">
        <v>11</v>
      </c>
      <c r="H17" s="238" t="s">
        <v>428</v>
      </c>
      <c r="I17" s="773"/>
      <c r="J17" s="219">
        <f>+'19'!J17</f>
        <v>0</v>
      </c>
      <c r="K17" s="234"/>
      <c r="L17" s="234"/>
      <c r="M17" s="121">
        <f>+K17+'19'!M17+L17</f>
        <v>0</v>
      </c>
      <c r="P17" s="153">
        <f t="shared" ref="P17:P18" si="5">+O17-O17*0.25</f>
        <v>0</v>
      </c>
      <c r="R17" s="153">
        <f t="shared" si="3"/>
        <v>0</v>
      </c>
      <c r="S17" s="153">
        <f t="shared" si="4"/>
        <v>0</v>
      </c>
    </row>
    <row r="18" spans="1:1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586</v>
      </c>
      <c r="I18" s="773"/>
      <c r="J18" s="219">
        <f>+'19'!J18</f>
        <v>0</v>
      </c>
      <c r="K18" s="244"/>
      <c r="L18" s="244"/>
      <c r="M18" s="121">
        <f>+K18+'19'!M18+L18</f>
        <v>0</v>
      </c>
      <c r="P18" s="153">
        <f t="shared" si="5"/>
        <v>0</v>
      </c>
      <c r="R18" s="153">
        <f t="shared" si="3"/>
        <v>0</v>
      </c>
      <c r="S18" s="153">
        <f t="shared" si="4"/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+'19'!J19</f>
        <v>0</v>
      </c>
      <c r="K19" s="244"/>
      <c r="L19" s="244"/>
      <c r="M19" s="121">
        <f>+K19+'19'!M19+L19</f>
        <v>0</v>
      </c>
      <c r="Q19" s="153">
        <f>SUM(Q14:Q18)</f>
        <v>480</v>
      </c>
      <c r="R19" s="153">
        <f>SUM(R14:R18)</f>
        <v>590400</v>
      </c>
      <c r="S19" s="153">
        <f>SUM(S14:S18)</f>
        <v>454607.99999999994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+'19'!J20</f>
        <v>0</v>
      </c>
      <c r="K20" s="245"/>
      <c r="L20" s="245"/>
      <c r="M20" s="121">
        <f>+K20+'19'!M20+L20</f>
        <v>0</v>
      </c>
      <c r="O20" s="153" t="s">
        <v>404</v>
      </c>
      <c r="R20" s="153">
        <f>+R19/Q19</f>
        <v>1230</v>
      </c>
      <c r="S20" s="153">
        <f>+S19/Q19</f>
        <v>947.09999999999991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+'19'!J21</f>
        <v>0</v>
      </c>
      <c r="K21" s="244"/>
      <c r="L21" s="244"/>
      <c r="M21" s="121">
        <f>+K21+'19'!M21+L21</f>
        <v>0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+'19'!J22</f>
        <v>0</v>
      </c>
      <c r="K22" s="244"/>
      <c r="L22" s="244"/>
      <c r="M22" s="121">
        <f>+K22+'19'!M22+L22</f>
        <v>0</v>
      </c>
    </row>
    <row r="23" spans="1:19" ht="13.5" thickBot="1">
      <c r="A23" s="776"/>
      <c r="B23" s="173" t="s">
        <v>2</v>
      </c>
      <c r="C23" s="104">
        <f>SUM(C16:C22)</f>
        <v>13287</v>
      </c>
      <c r="D23" s="115">
        <f>SUM(D16:D22)</f>
        <v>0</v>
      </c>
      <c r="E23" s="116">
        <f>SUM(E18:E22)</f>
        <v>0</v>
      </c>
      <c r="F23" s="120">
        <f>SUM(F15:F22)</f>
        <v>23</v>
      </c>
      <c r="G23" s="163"/>
      <c r="H23" s="171"/>
      <c r="I23" s="174"/>
      <c r="J23" s="219">
        <f>+'19'!J23</f>
        <v>0</v>
      </c>
      <c r="K23" s="244"/>
      <c r="L23" s="244"/>
      <c r="M23" s="121">
        <f>+K23+'19'!M23+L23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12</v>
      </c>
      <c r="G24" s="234" t="s">
        <v>11</v>
      </c>
      <c r="H24" s="235" t="s">
        <v>563</v>
      </c>
      <c r="I24" s="772" t="s">
        <v>405</v>
      </c>
      <c r="J24" s="219">
        <f>+'19'!J24</f>
        <v>0</v>
      </c>
      <c r="K24" s="244"/>
      <c r="L24" s="244"/>
      <c r="M24" s="121">
        <f>+K24+'19'!M24+L24</f>
        <v>0</v>
      </c>
      <c r="N24" s="153" t="s">
        <v>390</v>
      </c>
      <c r="O24" s="153">
        <v>1230</v>
      </c>
      <c r="P24" s="153">
        <f>+O24-O24*0.23</f>
        <v>947.09999999999991</v>
      </c>
      <c r="Q24" s="153">
        <v>28</v>
      </c>
      <c r="R24" s="153">
        <f t="shared" ref="R24:R27" si="6">+O24*Q24</f>
        <v>34440</v>
      </c>
      <c r="S24" s="153">
        <f t="shared" ref="S24:S27" si="7">+P24*Q24</f>
        <v>26518.799999999996</v>
      </c>
    </row>
    <row r="25" spans="1:19" ht="13.5" thickBot="1">
      <c r="A25" s="775"/>
      <c r="B25" s="220" t="s">
        <v>521</v>
      </c>
      <c r="C25" s="231">
        <f>2854+1383</f>
        <v>4237</v>
      </c>
      <c r="D25" s="222">
        <v>400</v>
      </c>
      <c r="E25" s="230"/>
      <c r="F25" s="236"/>
      <c r="G25" s="237" t="s">
        <v>11</v>
      </c>
      <c r="H25" s="235" t="s">
        <v>286</v>
      </c>
      <c r="I25" s="773"/>
      <c r="J25" s="219">
        <f>+'19'!J25</f>
        <v>0</v>
      </c>
      <c r="K25" s="244"/>
      <c r="L25" s="244"/>
      <c r="M25" s="121">
        <f>+K25+'19'!M25+L25</f>
        <v>0</v>
      </c>
      <c r="N25" s="153" t="s">
        <v>503</v>
      </c>
      <c r="O25" s="153">
        <v>1230</v>
      </c>
      <c r="P25" s="153">
        <f>+O25-O25*0.23</f>
        <v>947.09999999999991</v>
      </c>
      <c r="Q25" s="153">
        <f>480-Q24</f>
        <v>452</v>
      </c>
      <c r="R25" s="153">
        <f t="shared" si="6"/>
        <v>555960</v>
      </c>
      <c r="S25" s="153">
        <f t="shared" si="7"/>
        <v>428089.19999999995</v>
      </c>
    </row>
    <row r="26" spans="1:19" ht="13.5" thickBot="1">
      <c r="A26" s="775"/>
      <c r="B26" s="220" t="s">
        <v>520</v>
      </c>
      <c r="C26" s="231">
        <f>4623+5265</f>
        <v>9888</v>
      </c>
      <c r="D26" s="222"/>
      <c r="E26" s="232"/>
      <c r="F26" s="233">
        <f>27-12</f>
        <v>15</v>
      </c>
      <c r="G26" s="237" t="s">
        <v>11</v>
      </c>
      <c r="H26" s="238" t="s">
        <v>389</v>
      </c>
      <c r="I26" s="773"/>
      <c r="J26" s="219">
        <f>+'19'!J26</f>
        <v>0</v>
      </c>
      <c r="K26" s="244"/>
      <c r="L26" s="244"/>
      <c r="M26" s="121">
        <f>+K26+'19'!M26+L26</f>
        <v>0</v>
      </c>
      <c r="P26" s="153">
        <f t="shared" ref="P26:P27" si="8">+O26-O26*0.25</f>
        <v>0</v>
      </c>
      <c r="R26" s="153">
        <f t="shared" si="6"/>
        <v>0</v>
      </c>
      <c r="S26" s="153">
        <f t="shared" si="7"/>
        <v>0</v>
      </c>
    </row>
    <row r="27" spans="1:19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586</v>
      </c>
      <c r="I27" s="773"/>
      <c r="J27" s="219">
        <f>+'19'!J27</f>
        <v>0</v>
      </c>
      <c r="K27" s="244"/>
      <c r="L27" s="244"/>
      <c r="M27" s="121">
        <f>+K27+'19'!M27+L27</f>
        <v>0</v>
      </c>
      <c r="P27" s="153">
        <f t="shared" si="8"/>
        <v>0</v>
      </c>
      <c r="R27" s="153">
        <f t="shared" si="6"/>
        <v>0</v>
      </c>
      <c r="S27" s="153">
        <f t="shared" si="7"/>
        <v>0</v>
      </c>
    </row>
    <row r="28" spans="1:19" ht="26.25" thickBot="1">
      <c r="A28" s="775"/>
      <c r="B28" s="220"/>
      <c r="C28" s="221"/>
      <c r="D28" s="222"/>
      <c r="E28" s="230"/>
      <c r="F28" s="236"/>
      <c r="G28" s="237"/>
      <c r="H28" s="238" t="s">
        <v>587</v>
      </c>
      <c r="I28" s="773"/>
      <c r="J28" s="219">
        <f>+'19'!J28</f>
        <v>0</v>
      </c>
      <c r="K28" s="244"/>
      <c r="L28" s="244"/>
      <c r="M28" s="121">
        <f>+K28+'19'!M28+L28</f>
        <v>0</v>
      </c>
      <c r="Q28" s="153">
        <f>SUM(Q23:Q27)</f>
        <v>480</v>
      </c>
      <c r="R28" s="153">
        <f>SUM(R23:R27)</f>
        <v>590400</v>
      </c>
      <c r="S28" s="153">
        <f>SUM(S23:S27)</f>
        <v>454607.99999999994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+'19'!J29</f>
        <v>0</v>
      </c>
      <c r="K29" s="244"/>
      <c r="L29" s="244"/>
      <c r="M29" s="121">
        <f>+K29+'19'!M29+L29</f>
        <v>0</v>
      </c>
      <c r="O29" s="153" t="s">
        <v>404</v>
      </c>
      <c r="R29" s="153">
        <f>+R28/Q28</f>
        <v>1230</v>
      </c>
      <c r="S29" s="153">
        <f>+S28/Q28</f>
        <v>947.09999999999991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+'19'!J30</f>
        <v>0</v>
      </c>
      <c r="K30" s="244"/>
      <c r="L30" s="244"/>
      <c r="M30" s="121">
        <f>+K30+'19'!M30+L30</f>
        <v>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+'19'!J31</f>
        <v>0</v>
      </c>
      <c r="K31" s="244"/>
      <c r="L31" s="244"/>
      <c r="M31" s="121">
        <f>+K31+'19'!M31+L31</f>
        <v>0</v>
      </c>
    </row>
    <row r="32" spans="1:19" ht="13.5" thickBot="1">
      <c r="A32" s="776"/>
      <c r="B32" s="170" t="s">
        <v>2</v>
      </c>
      <c r="C32" s="103">
        <f>SUM(C25:C31)</f>
        <v>14125</v>
      </c>
      <c r="D32" s="104">
        <f>SUM(D25:D31)</f>
        <v>400</v>
      </c>
      <c r="E32" s="105">
        <f>SUM(E25:E31)</f>
        <v>0</v>
      </c>
      <c r="F32" s="106">
        <f>SUM(F24:F31)</f>
        <v>27</v>
      </c>
      <c r="G32" s="176"/>
      <c r="H32" s="177"/>
      <c r="I32" s="174"/>
      <c r="J32" s="219">
        <f>+'19'!J32</f>
        <v>0</v>
      </c>
      <c r="K32" s="246"/>
      <c r="L32" s="248"/>
      <c r="M32" s="121">
        <f>+K32+'19'!M32+L32</f>
        <v>0</v>
      </c>
      <c r="N32" s="153" t="s">
        <v>503</v>
      </c>
      <c r="O32" s="153">
        <v>1230</v>
      </c>
      <c r="P32" s="153">
        <v>947.09999999999991</v>
      </c>
      <c r="Q32" s="153">
        <f>110+452</f>
        <v>562</v>
      </c>
    </row>
    <row r="33" spans="1:17" ht="13.5" thickBot="1">
      <c r="A33" s="178"/>
      <c r="B33" s="179"/>
      <c r="C33" s="107">
        <f>C32/($C$32+$D$32+$E$32)</f>
        <v>0.97246127366609292</v>
      </c>
      <c r="D33" s="108">
        <f>D32/($C$32+$D$32+$E$32)</f>
        <v>2.7538726333907058E-2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 t="s">
        <v>390</v>
      </c>
      <c r="O33" s="153">
        <v>1230</v>
      </c>
      <c r="P33" s="153">
        <v>947.09999999999991</v>
      </c>
      <c r="Q33" s="153">
        <f>370+480+28</f>
        <v>878</v>
      </c>
    </row>
    <row r="34" spans="1:17" ht="13.5" thickBot="1">
      <c r="A34" s="765" t="s">
        <v>56</v>
      </c>
      <c r="B34" s="766"/>
      <c r="C34" s="111">
        <f>C14+C23+C32</f>
        <v>41041</v>
      </c>
      <c r="D34" s="111">
        <f>D14+D23+D32</f>
        <v>400</v>
      </c>
      <c r="E34" s="111">
        <f>E14+E23+E32</f>
        <v>0</v>
      </c>
      <c r="F34" s="112">
        <f>F14+F23+F32</f>
        <v>79</v>
      </c>
      <c r="H34" s="183"/>
      <c r="I34" s="183"/>
      <c r="J34" s="127" t="s">
        <v>27</v>
      </c>
      <c r="K34" s="128">
        <f>SUM(K7:K32)</f>
        <v>41041</v>
      </c>
      <c r="L34" s="217">
        <f>SUM(L7:L32)</f>
        <v>0</v>
      </c>
      <c r="M34" s="124">
        <f>SUM(M7:M32)</f>
        <v>848776</v>
      </c>
      <c r="Q34" s="153">
        <f>+Q32+Q33</f>
        <v>1440</v>
      </c>
    </row>
    <row r="35" spans="1:17" ht="13.5" thickBot="1">
      <c r="A35" s="184"/>
      <c r="B35" s="185"/>
      <c r="C35" s="108">
        <f>C34/($C$34+$D$34+$E$34)</f>
        <v>0.99034772326922615</v>
      </c>
      <c r="D35" s="108">
        <f>D34/($C$34+$D$34+$E$34)</f>
        <v>9.6522767307738715E-3</v>
      </c>
      <c r="E35" s="113">
        <f>E34/($C$34+$D$34+$E$34)</f>
        <v>0</v>
      </c>
      <c r="K35" s="159"/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(13*562+878*12)/1440*G42*2.74*1440/1000000</f>
        <v>46.300953468000003</v>
      </c>
      <c r="J37" s="129">
        <f>+I37+'19'!J37</f>
        <v>951.86050442862279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79</v>
      </c>
      <c r="D38" s="122">
        <f>+C38+'19'!D38</f>
        <v>1453</v>
      </c>
      <c r="E38" s="147">
        <f t="shared" ref="E38:E51" si="9">D38/60</f>
        <v>24.216666666666665</v>
      </c>
      <c r="F38" s="327">
        <v>1230</v>
      </c>
      <c r="G38" s="327">
        <v>947.09999999999991</v>
      </c>
      <c r="H38" s="192" t="s">
        <v>63</v>
      </c>
      <c r="I38" s="250">
        <f>5.145+9.316+14.594+15.165</f>
        <v>44.22</v>
      </c>
      <c r="J38" s="131">
        <f>+I38+'19'!J38</f>
        <v>873.04599999999982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+C39+'19'!D39</f>
        <v>0</v>
      </c>
      <c r="E39" s="147">
        <f t="shared" si="9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47.593025221431141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+C40+'19'!D40</f>
        <v>414</v>
      </c>
      <c r="E40" s="147">
        <f t="shared" si="9"/>
        <v>6.9</v>
      </c>
      <c r="F40" s="327">
        <v>1230</v>
      </c>
      <c r="G40" s="327">
        <v>947.09999999999991</v>
      </c>
      <c r="H40" s="192" t="s">
        <v>66</v>
      </c>
      <c r="I40" s="122">
        <f>(K34+L34)/1000</f>
        <v>41.040999999999997</v>
      </c>
      <c r="J40" s="135">
        <f>+I40+'19'!J40</f>
        <v>848.77600000000007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+C41+'19'!D41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42.438800000000001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+C42+'19'!D42</f>
        <v>0</v>
      </c>
      <c r="E42" s="147">
        <f t="shared" si="9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+C43+'19'!D43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+Report1!Z28</f>
        <v>57.8</v>
      </c>
      <c r="J43" s="137">
        <f>+I43+'19'!J43</f>
        <v>1132.2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+C44+'19'!D44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1.3071008593396654</v>
      </c>
      <c r="J44" s="138">
        <f>J43/J38</f>
        <v>1.2968388836327069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+C45+'19'!D45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1.4083477498111645</v>
      </c>
      <c r="J45" s="138">
        <f>J43/J40</f>
        <v>1.3339208460182663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+C46+'19'!D46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+SUMIF(Listrik!P27,"&gt;0")</f>
        <v>36876.800000000003</v>
      </c>
      <c r="J46" s="139">
        <f>+I46+'19'!J46</f>
        <v>738242.52000000153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+C47+'19'!D47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833.93939393939399</v>
      </c>
      <c r="J47" s="139">
        <f>J46/J38</f>
        <v>845.59406949920356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+C48+'19'!D48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898.53561073073286</v>
      </c>
      <c r="J48" s="139">
        <f>J46/J40</f>
        <v>869.77308500711786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+C49+'19'!D49</f>
        <v>0</v>
      </c>
      <c r="E49" s="147">
        <f t="shared" si="9"/>
        <v>0</v>
      </c>
      <c r="F49" s="190"/>
      <c r="H49" s="193" t="s">
        <v>271</v>
      </c>
      <c r="I49" s="122">
        <f>+Report1!T28</f>
        <v>3761.0336378673346</v>
      </c>
      <c r="J49" s="139">
        <f>+I49+'19'!J49</f>
        <v>79595.642492593615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+C50+'19'!D50</f>
        <v>0</v>
      </c>
      <c r="E50" s="147">
        <f t="shared" si="9"/>
        <v>0</v>
      </c>
      <c r="F50" s="190"/>
      <c r="H50" s="193" t="s">
        <v>82</v>
      </c>
      <c r="I50" s="144">
        <f>I49/I38</f>
        <v>85.052773357470258</v>
      </c>
      <c r="J50" s="137">
        <f>J49/J38</f>
        <v>91.170044296169536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+C51+'19'!D51</f>
        <v>0</v>
      </c>
      <c r="E51" s="147">
        <f t="shared" si="9"/>
        <v>0</v>
      </c>
      <c r="F51" s="190"/>
      <c r="H51" s="195" t="s">
        <v>84</v>
      </c>
      <c r="I51" s="145">
        <f>I49/I40</f>
        <v>91.640886865995824</v>
      </c>
      <c r="J51" s="140">
        <f>J49/J40</f>
        <v>93.776971182730904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79</v>
      </c>
      <c r="D52" s="148">
        <f>SUM(D38:D51)</f>
        <v>1927</v>
      </c>
      <c r="E52" s="149">
        <f>SUM(E38:E51)</f>
        <v>32.116666666666667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5.486111111111111E-2</v>
      </c>
      <c r="D53" s="150">
        <f>D52/(24*60*G4)</f>
        <v>6.6909722222222218E-2</v>
      </c>
      <c r="E53" s="151">
        <f>E52/(G4*24)</f>
        <v>6.6909722222222218E-2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+D34+'19'!J56</f>
        <v>5290</v>
      </c>
      <c r="K56" s="206">
        <f>J56/(J40+J56/1000)/1000</f>
        <v>6.1939007055660808E-3</v>
      </c>
    </row>
    <row r="57" spans="1:11">
      <c r="A57" s="181"/>
      <c r="I57" s="204" t="s">
        <v>87</v>
      </c>
      <c r="J57" s="205">
        <f>+E34+'19'!J57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10" zoomScale="80" zoomScaleNormal="80" workbookViewId="0">
      <selection activeCell="F18" sqref="F1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4.140625" style="153" customWidth="1"/>
    <col min="14" max="14" width="10.140625" style="153" bestFit="1" customWidth="1"/>
    <col min="15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19</v>
      </c>
      <c r="H4" s="158" t="str">
        <f>+'1'!H4</f>
        <v>.08.25</v>
      </c>
      <c r="J4" s="153">
        <f>545+504+576</f>
        <v>1625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503</v>
      </c>
      <c r="O6" s="153">
        <v>1230</v>
      </c>
      <c r="P6" s="153">
        <f>+O6-O6*0.23</f>
        <v>947.09999999999991</v>
      </c>
      <c r="Q6" s="153">
        <v>450</v>
      </c>
      <c r="R6" s="153">
        <f t="shared" ref="R6:R9" si="0">+O6*Q6</f>
        <v>553500</v>
      </c>
      <c r="S6" s="153">
        <f t="shared" ref="S6:S9" si="1">+P6*Q6</f>
        <v>426194.99999999994</v>
      </c>
    </row>
    <row r="7" spans="1:19" ht="13.5" customHeight="1" thickBot="1">
      <c r="A7" s="769"/>
      <c r="B7" s="220" t="s">
        <v>520</v>
      </c>
      <c r="C7" s="221">
        <v>14131</v>
      </c>
      <c r="D7" s="222"/>
      <c r="E7" s="223"/>
      <c r="F7" s="233">
        <v>8</v>
      </c>
      <c r="G7" s="234" t="s">
        <v>11</v>
      </c>
      <c r="H7" s="235" t="s">
        <v>407</v>
      </c>
      <c r="I7" s="772" t="s">
        <v>405</v>
      </c>
      <c r="J7" s="219" t="str">
        <f>+'18'!J7</f>
        <v>T 13 VP OW</v>
      </c>
      <c r="K7" s="243"/>
      <c r="L7" s="247"/>
      <c r="M7" s="121">
        <f>+K7+'18'!M7+L7</f>
        <v>252469</v>
      </c>
      <c r="P7" s="153">
        <f>+O7-O7*0.23</f>
        <v>0</v>
      </c>
      <c r="R7" s="153">
        <f t="shared" si="0"/>
        <v>0</v>
      </c>
      <c r="S7" s="153">
        <f t="shared" si="1"/>
        <v>0</v>
      </c>
    </row>
    <row r="8" spans="1:1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+'18'!J8</f>
        <v>T 15,5 VP OW</v>
      </c>
      <c r="K8" s="244"/>
      <c r="L8" s="244"/>
      <c r="M8" s="121">
        <f>+K8+'18'!M8+L8</f>
        <v>79695</v>
      </c>
      <c r="P8" s="153">
        <f t="shared" ref="P8:P9" si="2">+O8-O8*0.25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v>10</v>
      </c>
      <c r="G9" s="237" t="s">
        <v>11</v>
      </c>
      <c r="H9" s="238" t="s">
        <v>389</v>
      </c>
      <c r="I9" s="773"/>
      <c r="J9" s="219" t="str">
        <f>+'18'!J9</f>
        <v>T 19 VP OW</v>
      </c>
      <c r="K9" s="244"/>
      <c r="L9" s="244"/>
      <c r="M9" s="121">
        <f>+K9+'18'!M9+L9</f>
        <v>10916</v>
      </c>
      <c r="P9" s="153">
        <f t="shared" si="2"/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582</v>
      </c>
      <c r="I10" s="773"/>
      <c r="J10" s="219" t="str">
        <f>+'18'!J10</f>
        <v>F 15 VP OW</v>
      </c>
      <c r="K10" s="244"/>
      <c r="L10" s="244"/>
      <c r="M10" s="121">
        <f>+K10+'18'!M10+L10</f>
        <v>10380</v>
      </c>
      <c r="Q10" s="153">
        <f>SUM(Q5:Q9)</f>
        <v>450</v>
      </c>
      <c r="R10" s="153">
        <f>SUM(R5:R9)</f>
        <v>553500</v>
      </c>
      <c r="S10" s="153">
        <f>SUM(S5:S9)</f>
        <v>426194.99999999994</v>
      </c>
    </row>
    <row r="11" spans="1:19" ht="57.75" customHeight="1" thickBot="1">
      <c r="A11" s="770"/>
      <c r="B11" s="220"/>
      <c r="C11" s="221"/>
      <c r="D11" s="222"/>
      <c r="E11" s="224"/>
      <c r="F11" s="233">
        <v>30</v>
      </c>
      <c r="G11" s="237" t="s">
        <v>11</v>
      </c>
      <c r="H11" s="238" t="s">
        <v>576</v>
      </c>
      <c r="I11" s="773"/>
      <c r="J11" s="219" t="str">
        <f>+'18'!J11</f>
        <v>F 13,5 VP OW</v>
      </c>
      <c r="K11" s="244"/>
      <c r="L11" s="244"/>
      <c r="M11" s="121">
        <f>+K11+'18'!M11+L11</f>
        <v>131921</v>
      </c>
      <c r="O11" s="153" t="s">
        <v>404</v>
      </c>
      <c r="R11" s="153">
        <f>+R10/Q10</f>
        <v>1230</v>
      </c>
      <c r="S11" s="153">
        <f>+S10/Q10</f>
        <v>947.09999999999991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+'18'!J12</f>
        <v>F 13 VP OW</v>
      </c>
      <c r="K12" s="244">
        <f>+C34</f>
        <v>34768</v>
      </c>
      <c r="L12" s="244"/>
      <c r="M12" s="121">
        <f>+K12+'18'!M12+L12</f>
        <v>139682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+'18'!J13</f>
        <v>F 12 VP OW</v>
      </c>
      <c r="K13" s="244"/>
      <c r="L13" s="244"/>
      <c r="M13" s="121">
        <f>+K13+'18'!M13+L13</f>
        <v>160494</v>
      </c>
    </row>
    <row r="14" spans="1:19" ht="13.5" thickBot="1">
      <c r="A14" s="771"/>
      <c r="B14" s="170" t="s">
        <v>2</v>
      </c>
      <c r="C14" s="103">
        <f>SUM(C7:C13)</f>
        <v>14131</v>
      </c>
      <c r="D14" s="115">
        <f>SUM(D7:D13)</f>
        <v>0</v>
      </c>
      <c r="E14" s="116">
        <f>SUM(E5:E13)</f>
        <v>0</v>
      </c>
      <c r="F14" s="120">
        <f>SUM(F7:F13)</f>
        <v>48</v>
      </c>
      <c r="G14" s="163"/>
      <c r="H14" s="171"/>
      <c r="I14" s="172"/>
      <c r="J14" s="219" t="str">
        <f>+'18'!J14</f>
        <v>F 12,5 VP OW</v>
      </c>
      <c r="K14" s="244"/>
      <c r="L14" s="244"/>
      <c r="M14" s="121">
        <f>+K14+'18'!M14+L14</f>
        <v>22178</v>
      </c>
      <c r="N14" s="153" t="s">
        <v>503</v>
      </c>
      <c r="O14" s="153">
        <v>1200</v>
      </c>
      <c r="P14" s="153">
        <f>+O14-O14*0.23</f>
        <v>924</v>
      </c>
      <c r="Q14" s="153">
        <f>480-60-115</f>
        <v>305</v>
      </c>
      <c r="R14" s="153">
        <f t="shared" ref="R14:R17" si="3">+O14*Q14</f>
        <v>366000</v>
      </c>
      <c r="S14" s="153">
        <f t="shared" ref="S14:S17" si="4">+P14*Q14</f>
        <v>281820</v>
      </c>
    </row>
    <row r="15" spans="1:19" ht="13.5" customHeight="1" thickBot="1">
      <c r="A15" s="769"/>
      <c r="B15" s="170"/>
      <c r="C15" s="117">
        <f>C14/($C$23+$D$23+$E$23)</f>
        <v>2.109734249029561</v>
      </c>
      <c r="D15" s="118">
        <f>D14/($C$23+$D$23+$E$23)</f>
        <v>0</v>
      </c>
      <c r="E15" s="119">
        <f>E14/($C$23+$D$23+$E$23)</f>
        <v>0</v>
      </c>
      <c r="F15" s="233">
        <v>4</v>
      </c>
      <c r="G15" s="234" t="s">
        <v>11</v>
      </c>
      <c r="H15" s="235" t="s">
        <v>581</v>
      </c>
      <c r="I15" s="772" t="s">
        <v>577</v>
      </c>
      <c r="J15" s="219">
        <f>+'18'!J15</f>
        <v>0</v>
      </c>
      <c r="K15" s="244"/>
      <c r="L15" s="244"/>
      <c r="M15" s="121">
        <f>+K15+'18'!M15+L15</f>
        <v>0</v>
      </c>
      <c r="P15" s="153">
        <f>+O15-O15*0.23</f>
        <v>0</v>
      </c>
      <c r="R15" s="153">
        <f t="shared" si="3"/>
        <v>0</v>
      </c>
      <c r="S15" s="153">
        <f t="shared" si="4"/>
        <v>0</v>
      </c>
    </row>
    <row r="16" spans="1:19" ht="13.5" thickBot="1">
      <c r="A16" s="775"/>
      <c r="B16" s="220" t="s">
        <v>520</v>
      </c>
      <c r="C16" s="227">
        <v>6698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+'18'!J16</f>
        <v>0</v>
      </c>
      <c r="K16" s="234"/>
      <c r="L16" s="234"/>
      <c r="M16" s="121">
        <f>+K16+'18'!M16+L16</f>
        <v>0</v>
      </c>
      <c r="P16" s="153">
        <f t="shared" ref="P16:P17" si="5">+O16-O16*0.25</f>
        <v>0</v>
      </c>
      <c r="R16" s="153">
        <f t="shared" si="3"/>
        <v>0</v>
      </c>
      <c r="S16" s="153">
        <f t="shared" si="4"/>
        <v>0</v>
      </c>
    </row>
    <row r="17" spans="1:19" ht="13.5" thickBot="1">
      <c r="A17" s="775"/>
      <c r="B17" s="220"/>
      <c r="C17" s="221"/>
      <c r="D17" s="222"/>
      <c r="E17" s="230"/>
      <c r="F17" s="233">
        <v>7</v>
      </c>
      <c r="G17" s="237" t="s">
        <v>11</v>
      </c>
      <c r="H17" s="238" t="s">
        <v>580</v>
      </c>
      <c r="I17" s="773"/>
      <c r="J17" s="219">
        <f>+'18'!J17</f>
        <v>0</v>
      </c>
      <c r="K17" s="234"/>
      <c r="L17" s="234"/>
      <c r="M17" s="121">
        <f>+K17+'18'!M17+L17</f>
        <v>0</v>
      </c>
      <c r="P17" s="153">
        <f t="shared" si="5"/>
        <v>0</v>
      </c>
      <c r="R17" s="153">
        <f t="shared" si="3"/>
        <v>0</v>
      </c>
      <c r="S17" s="153">
        <f t="shared" si="4"/>
        <v>0</v>
      </c>
    </row>
    <row r="18" spans="1:19" ht="123.75" customHeight="1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574</v>
      </c>
      <c r="I18" s="773"/>
      <c r="J18" s="219">
        <f>+'18'!J18</f>
        <v>0</v>
      </c>
      <c r="K18" s="244"/>
      <c r="L18" s="244"/>
      <c r="M18" s="121">
        <f>+K18+'18'!M18+L18</f>
        <v>0</v>
      </c>
      <c r="Q18" s="153">
        <f>SUM(Q13:Q17)</f>
        <v>305</v>
      </c>
      <c r="R18" s="153">
        <f>SUM(R13:R17)</f>
        <v>366000</v>
      </c>
      <c r="S18" s="153">
        <f>SUM(S13:S17)</f>
        <v>281820</v>
      </c>
    </row>
    <row r="19" spans="1:19" ht="83.25" customHeight="1" thickBot="1">
      <c r="A19" s="775"/>
      <c r="B19" s="220"/>
      <c r="C19" s="221"/>
      <c r="D19" s="222"/>
      <c r="E19" s="230"/>
      <c r="F19" s="240">
        <v>60</v>
      </c>
      <c r="G19" s="237" t="s">
        <v>11</v>
      </c>
      <c r="H19" s="238" t="s">
        <v>575</v>
      </c>
      <c r="I19" s="773"/>
      <c r="J19" s="219">
        <f>+'18'!J19</f>
        <v>0</v>
      </c>
      <c r="K19" s="244"/>
      <c r="L19" s="244"/>
      <c r="M19" s="121">
        <f>+K19+'18'!M19+L19</f>
        <v>0</v>
      </c>
      <c r="O19" s="153" t="s">
        <v>404</v>
      </c>
      <c r="Q19" s="153">
        <v>175</v>
      </c>
      <c r="R19" s="153">
        <f>+R18/Q18</f>
        <v>1200</v>
      </c>
      <c r="S19" s="153">
        <f>+S18/Q18</f>
        <v>924</v>
      </c>
    </row>
    <row r="20" spans="1:19" ht="13.5" thickBot="1">
      <c r="A20" s="775"/>
      <c r="B20" s="220"/>
      <c r="C20" s="221"/>
      <c r="D20" s="222"/>
      <c r="E20" s="230"/>
      <c r="F20" s="233">
        <v>115</v>
      </c>
      <c r="G20" s="237" t="s">
        <v>65</v>
      </c>
      <c r="H20" s="238"/>
      <c r="I20" s="773"/>
      <c r="J20" s="219">
        <f>+'18'!J20</f>
        <v>0</v>
      </c>
      <c r="K20" s="245"/>
      <c r="L20" s="245"/>
      <c r="M20" s="121">
        <f>+K20+'18'!M20+L20</f>
        <v>0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+'18'!J21</f>
        <v>0</v>
      </c>
      <c r="K21" s="244"/>
      <c r="L21" s="244"/>
      <c r="M21" s="121">
        <f>+K21+'18'!M21+L21</f>
        <v>0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+'18'!J22</f>
        <v>0</v>
      </c>
      <c r="K22" s="244"/>
      <c r="L22" s="244"/>
      <c r="M22" s="121">
        <f>+K22+'18'!M22+L22</f>
        <v>0</v>
      </c>
      <c r="N22" s="153" t="s">
        <v>503</v>
      </c>
      <c r="O22" s="153">
        <v>1210</v>
      </c>
      <c r="P22" s="153">
        <f>+O22-O22*0.23</f>
        <v>931.7</v>
      </c>
      <c r="Q22" s="153">
        <v>480</v>
      </c>
      <c r="R22" s="153">
        <f t="shared" ref="R22:R25" si="6">+O22*Q22</f>
        <v>580800</v>
      </c>
      <c r="S22" s="153">
        <f t="shared" ref="S22:S25" si="7">+P22*Q22</f>
        <v>447216</v>
      </c>
    </row>
    <row r="23" spans="1:19" ht="13.5" thickBot="1">
      <c r="A23" s="776"/>
      <c r="B23" s="173" t="s">
        <v>2</v>
      </c>
      <c r="C23" s="104">
        <f>SUM(C16:C22)</f>
        <v>6698</v>
      </c>
      <c r="D23" s="115">
        <f>SUM(D16:D22)</f>
        <v>0</v>
      </c>
      <c r="E23" s="116">
        <f>SUM(E18:E22)</f>
        <v>0</v>
      </c>
      <c r="F23" s="120">
        <f>SUM(F15:F22)</f>
        <v>186</v>
      </c>
      <c r="G23" s="163"/>
      <c r="H23" s="171"/>
      <c r="I23" s="174"/>
      <c r="J23" s="219">
        <f>+'18'!J23</f>
        <v>0</v>
      </c>
      <c r="K23" s="244"/>
      <c r="L23" s="244"/>
      <c r="M23" s="121">
        <f>+K23+'18'!M23+L23</f>
        <v>0</v>
      </c>
      <c r="P23" s="153">
        <f>+O23-O23*0.23</f>
        <v>0</v>
      </c>
      <c r="R23" s="153">
        <f t="shared" si="6"/>
        <v>0</v>
      </c>
      <c r="S23" s="153">
        <f t="shared" si="7"/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12</v>
      </c>
      <c r="G24" s="234" t="s">
        <v>11</v>
      </c>
      <c r="H24" s="235" t="s">
        <v>563</v>
      </c>
      <c r="I24" s="772" t="s">
        <v>578</v>
      </c>
      <c r="J24" s="219">
        <f>+'18'!J24</f>
        <v>0</v>
      </c>
      <c r="K24" s="244"/>
      <c r="L24" s="244"/>
      <c r="M24" s="121">
        <f>+K24+'18'!M24+L24</f>
        <v>0</v>
      </c>
      <c r="P24" s="153">
        <f t="shared" ref="P24:P25" si="8">+O24-O24*0.25</f>
        <v>0</v>
      </c>
      <c r="R24" s="153">
        <f t="shared" si="6"/>
        <v>0</v>
      </c>
      <c r="S24" s="153">
        <f t="shared" si="7"/>
        <v>0</v>
      </c>
    </row>
    <row r="25" spans="1:19" ht="13.5" thickBot="1">
      <c r="A25" s="775"/>
      <c r="B25" s="220" t="s">
        <v>520</v>
      </c>
      <c r="C25" s="231">
        <v>13939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+'18'!J25</f>
        <v>0</v>
      </c>
      <c r="K25" s="244"/>
      <c r="L25" s="244"/>
      <c r="M25" s="121">
        <f>+K25+'18'!M25+L25</f>
        <v>0</v>
      </c>
      <c r="P25" s="153">
        <f t="shared" si="8"/>
        <v>0</v>
      </c>
      <c r="R25" s="153">
        <f t="shared" si="6"/>
        <v>0</v>
      </c>
      <c r="S25" s="153">
        <f t="shared" si="7"/>
        <v>0</v>
      </c>
    </row>
    <row r="26" spans="1:19" ht="13.5" thickBot="1">
      <c r="A26" s="775"/>
      <c r="B26" s="220"/>
      <c r="C26" s="231"/>
      <c r="D26" s="222"/>
      <c r="E26" s="232"/>
      <c r="F26" s="233">
        <v>12</v>
      </c>
      <c r="G26" s="237" t="s">
        <v>11</v>
      </c>
      <c r="H26" s="238" t="s">
        <v>408</v>
      </c>
      <c r="I26" s="773"/>
      <c r="J26" s="219">
        <f>+'18'!J26</f>
        <v>0</v>
      </c>
      <c r="K26" s="244"/>
      <c r="L26" s="244"/>
      <c r="M26" s="121">
        <f>+K26+'18'!M26+L26</f>
        <v>0</v>
      </c>
      <c r="Q26" s="153">
        <f>SUM(Q21:Q25)</f>
        <v>480</v>
      </c>
      <c r="R26" s="153">
        <f>SUM(R21:R25)</f>
        <v>580800</v>
      </c>
      <c r="S26" s="153">
        <f>SUM(S21:S25)</f>
        <v>447216</v>
      </c>
    </row>
    <row r="27" spans="1:19" ht="51.7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573</v>
      </c>
      <c r="I27" s="773"/>
      <c r="J27" s="219">
        <f>+'18'!J27</f>
        <v>0</v>
      </c>
      <c r="K27" s="244"/>
      <c r="L27" s="244"/>
      <c r="M27" s="121">
        <f>+K27+'18'!M27+L27</f>
        <v>0</v>
      </c>
      <c r="O27" s="153" t="s">
        <v>404</v>
      </c>
      <c r="Q27" s="153">
        <v>175</v>
      </c>
      <c r="R27" s="153">
        <f>+R26/Q26</f>
        <v>1210</v>
      </c>
      <c r="S27" s="153">
        <f>+S26/Q26</f>
        <v>931.7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+'18'!J28</f>
        <v>0</v>
      </c>
      <c r="K28" s="244"/>
      <c r="L28" s="244"/>
      <c r="M28" s="121">
        <f>+K28+'18'!M28+L28</f>
        <v>0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+'18'!J29</f>
        <v>0</v>
      </c>
      <c r="K29" s="244"/>
      <c r="L29" s="244"/>
      <c r="M29" s="121">
        <f>+K29+'18'!M29+L29</f>
        <v>0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+'18'!J30</f>
        <v>0</v>
      </c>
      <c r="K30" s="244"/>
      <c r="L30" s="244"/>
      <c r="M30" s="121">
        <f>+K30+'18'!M30+L30</f>
        <v>0</v>
      </c>
      <c r="N30" s="153">
        <v>450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+'18'!J31</f>
        <v>0</v>
      </c>
      <c r="K31" s="244"/>
      <c r="L31" s="244"/>
      <c r="M31" s="121">
        <f>+K31+'18'!M31+L31</f>
        <v>0</v>
      </c>
      <c r="N31" s="153">
        <v>305</v>
      </c>
    </row>
    <row r="32" spans="1:19" ht="13.5" thickBot="1">
      <c r="A32" s="776"/>
      <c r="B32" s="170" t="s">
        <v>2</v>
      </c>
      <c r="C32" s="103">
        <f>SUM(C25:C31)</f>
        <v>13939</v>
      </c>
      <c r="D32" s="104">
        <f>SUM(D25:D31)</f>
        <v>0</v>
      </c>
      <c r="E32" s="105">
        <f>SUM(E25:E31)</f>
        <v>0</v>
      </c>
      <c r="F32" s="106">
        <f>SUM(F24:F31)</f>
        <v>24</v>
      </c>
      <c r="G32" s="176"/>
      <c r="H32" s="177"/>
      <c r="I32" s="174"/>
      <c r="J32" s="219">
        <f>+'18'!J32</f>
        <v>0</v>
      </c>
      <c r="K32" s="246"/>
      <c r="L32" s="248"/>
      <c r="M32" s="121">
        <f>+K32+'18'!M32+L32</f>
        <v>0</v>
      </c>
      <c r="N32" s="153">
        <v>480</v>
      </c>
    </row>
    <row r="33" spans="1:14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>
        <f>+N30+N31+N32</f>
        <v>1235</v>
      </c>
    </row>
    <row r="34" spans="1:14" ht="13.5" thickBot="1">
      <c r="A34" s="765" t="s">
        <v>56</v>
      </c>
      <c r="B34" s="766"/>
      <c r="C34" s="111">
        <f>C14+C23+C32</f>
        <v>34768</v>
      </c>
      <c r="D34" s="111">
        <f>D14+D23+D32</f>
        <v>0</v>
      </c>
      <c r="E34" s="111">
        <f>E14+E23+E32</f>
        <v>0</v>
      </c>
      <c r="F34" s="112">
        <f>F14+F23+F32</f>
        <v>258</v>
      </c>
      <c r="H34" s="183"/>
      <c r="I34" s="183"/>
      <c r="J34" s="127" t="s">
        <v>27</v>
      </c>
      <c r="K34" s="128">
        <f>SUM(K7:K32)</f>
        <v>34768</v>
      </c>
      <c r="L34" s="217">
        <f>SUM(L7:L32)</f>
        <v>0</v>
      </c>
      <c r="M34" s="124">
        <f>SUM(M7:M32)</f>
        <v>807735</v>
      </c>
      <c r="N34" s="159"/>
    </row>
    <row r="35" spans="1:14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4" ht="13.5" thickBot="1">
      <c r="A36" s="183"/>
      <c r="B36" s="183"/>
      <c r="C36" s="159"/>
      <c r="D36" s="159"/>
      <c r="E36" s="159"/>
      <c r="G36" s="159"/>
      <c r="H36" s="186" t="s">
        <v>229</v>
      </c>
      <c r="I36" s="166" t="s">
        <v>36</v>
      </c>
      <c r="J36" s="166" t="s">
        <v>37</v>
      </c>
      <c r="K36" s="187"/>
    </row>
    <row r="37" spans="1:14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(13*1235)/1235*G42*2.74*1235/1000000</f>
        <v>41.149328220000001</v>
      </c>
      <c r="J37" s="129">
        <f>+I37+'18'!J37</f>
        <v>905.5595509606228</v>
      </c>
      <c r="K37" s="130" t="s">
        <v>62</v>
      </c>
    </row>
    <row r="38" spans="1:14" ht="17.45" customHeight="1">
      <c r="A38" s="759" t="s">
        <v>11</v>
      </c>
      <c r="B38" s="760"/>
      <c r="C38" s="168">
        <f>SUMIF($G$7:$G$31,"Process",$F$7:$F$31)</f>
        <v>143</v>
      </c>
      <c r="D38" s="122">
        <f>+C38+'18'!D38</f>
        <v>1374</v>
      </c>
      <c r="E38" s="147">
        <f t="shared" ref="E38:E51" si="9">D38/60</f>
        <v>22.9</v>
      </c>
      <c r="F38" s="327">
        <v>1230</v>
      </c>
      <c r="G38" s="327">
        <v>947.09999999999991</v>
      </c>
      <c r="H38" s="192" t="s">
        <v>63</v>
      </c>
      <c r="I38" s="250">
        <f>14.44+7.31+15.335</f>
        <v>37.085000000000001</v>
      </c>
      <c r="J38" s="131">
        <f>+I38+'18'!J38</f>
        <v>828.82599999999979</v>
      </c>
      <c r="K38" s="132" t="s">
        <v>62</v>
      </c>
    </row>
    <row r="39" spans="1:14" ht="17.45" customHeight="1">
      <c r="A39" s="763" t="s">
        <v>12</v>
      </c>
      <c r="B39" s="764"/>
      <c r="C39" s="168">
        <f>SUMIF($G$7:$G$31,"Cleaning",$F$7:$F$31)</f>
        <v>0</v>
      </c>
      <c r="D39" s="122">
        <f>+C39+'18'!D39</f>
        <v>0</v>
      </c>
      <c r="E39" s="147">
        <f t="shared" si="9"/>
        <v>0</v>
      </c>
      <c r="F39" s="327">
        <v>1200</v>
      </c>
      <c r="G39" s="327">
        <v>924</v>
      </c>
      <c r="H39" s="192" t="s">
        <v>64</v>
      </c>
      <c r="I39" s="146"/>
      <c r="J39" s="133">
        <f>J37/G4</f>
        <v>47.661028997927517</v>
      </c>
      <c r="K39" s="134" t="s">
        <v>62</v>
      </c>
    </row>
    <row r="40" spans="1:14" ht="17.45" customHeight="1">
      <c r="A40" s="763" t="s">
        <v>65</v>
      </c>
      <c r="B40" s="764"/>
      <c r="C40" s="168">
        <f>SUMIF($G$7:$G$31,"Mechanical",$F$7:$F$31)</f>
        <v>115</v>
      </c>
      <c r="D40" s="122">
        <f>+C40+'18'!D40</f>
        <v>414</v>
      </c>
      <c r="E40" s="147">
        <f t="shared" si="9"/>
        <v>6.9</v>
      </c>
      <c r="F40" s="327">
        <v>1210</v>
      </c>
      <c r="G40" s="327">
        <v>931.7</v>
      </c>
      <c r="H40" s="192" t="s">
        <v>66</v>
      </c>
      <c r="I40" s="122">
        <f>(K34+L34)/1000</f>
        <v>34.768000000000001</v>
      </c>
      <c r="J40" s="135">
        <f>+I40+'18'!J40</f>
        <v>807.73500000000013</v>
      </c>
      <c r="K40" s="134" t="s">
        <v>62</v>
      </c>
    </row>
    <row r="41" spans="1:14" ht="17.45" customHeight="1">
      <c r="A41" s="763" t="s">
        <v>67</v>
      </c>
      <c r="B41" s="764"/>
      <c r="C41" s="168">
        <f>SUMIF($G$7:$G$31,"Electrical",$F$7:$F$31)</f>
        <v>0</v>
      </c>
      <c r="D41" s="122">
        <f>+C41+'18'!D41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42.512368421052635</v>
      </c>
      <c r="K41" s="134" t="s">
        <v>62</v>
      </c>
    </row>
    <row r="42" spans="1:14" ht="17.45" customHeight="1">
      <c r="A42" s="763" t="s">
        <v>15</v>
      </c>
      <c r="B42" s="764"/>
      <c r="C42" s="168">
        <f>SUMIF($G$7:$G$31,"Instrument",$F$7:$F$31)</f>
        <v>0</v>
      </c>
      <c r="D42" s="122">
        <f>+C42+'18'!D42</f>
        <v>0</v>
      </c>
      <c r="E42" s="147">
        <f t="shared" si="9"/>
        <v>0</v>
      </c>
      <c r="F42" s="327">
        <f>+(450*F38+305*F39+480*F40)/1235</f>
        <v>1214.8178137651821</v>
      </c>
      <c r="G42" s="327">
        <f>+(450*G38+305*G39+480*G40)/1235</f>
        <v>935.40971659919023</v>
      </c>
      <c r="H42" s="192" t="s">
        <v>69</v>
      </c>
      <c r="I42" s="251" t="s">
        <v>579</v>
      </c>
      <c r="J42" s="136"/>
      <c r="K42" s="134" t="s">
        <v>70</v>
      </c>
    </row>
    <row r="43" spans="1:14" ht="17.45" customHeight="1">
      <c r="A43" s="763" t="s">
        <v>71</v>
      </c>
      <c r="B43" s="764"/>
      <c r="C43" s="168">
        <f>SUMIF($G$7:$G$31,"Water",$F$7:$F$31)</f>
        <v>0</v>
      </c>
      <c r="D43" s="122">
        <f>+C43+'18'!D43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+Report1!Z27</f>
        <v>52.7</v>
      </c>
      <c r="J43" s="137">
        <f>+I43+'18'!J43</f>
        <v>1074.4000000000001</v>
      </c>
      <c r="K43" s="134" t="s">
        <v>62</v>
      </c>
      <c r="L43" s="194"/>
    </row>
    <row r="44" spans="1:14" ht="17.45" customHeight="1">
      <c r="A44" s="763" t="s">
        <v>16</v>
      </c>
      <c r="B44" s="764"/>
      <c r="C44" s="168">
        <f>SUMIF($G$7:$G$31,"PLN",$F$7:$F$31)</f>
        <v>0</v>
      </c>
      <c r="D44" s="122">
        <f>+C44+'18'!D44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1.4210597276526897</v>
      </c>
      <c r="J44" s="138">
        <f>J43/J38</f>
        <v>1.2962913808205827</v>
      </c>
      <c r="K44" s="134" t="s">
        <v>62</v>
      </c>
    </row>
    <row r="45" spans="1:14" ht="17.45" customHeight="1">
      <c r="A45" s="763" t="s">
        <v>17</v>
      </c>
      <c r="B45" s="764"/>
      <c r="C45" s="168">
        <f>SUMIF($G$7:$G$31,"Boiler",$F$7:$F$31)</f>
        <v>0</v>
      </c>
      <c r="D45" s="122">
        <f>+C45+'18'!D45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1.5157616198803499</v>
      </c>
      <c r="J45" s="138">
        <f>J43/J40</f>
        <v>1.3301392164509398</v>
      </c>
      <c r="K45" s="134" t="s">
        <v>62</v>
      </c>
    </row>
    <row r="46" spans="1:14" ht="17.45" customHeight="1">
      <c r="A46" s="763" t="s">
        <v>75</v>
      </c>
      <c r="B46" s="764"/>
      <c r="C46" s="168">
        <f>SUMIF($G$7:$G$31,"Gas",$F$7:$F$31)</f>
        <v>0</v>
      </c>
      <c r="D46" s="122">
        <f>+C46+'18'!D46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+SUMIF(Listrik!P26,"&gt;0")</f>
        <v>34346.46</v>
      </c>
      <c r="J46" s="139">
        <f>+I46+'18'!J46</f>
        <v>701365.72000000149</v>
      </c>
      <c r="K46" s="134" t="s">
        <v>77</v>
      </c>
    </row>
    <row r="47" spans="1:14" ht="17.45" customHeight="1">
      <c r="A47" s="763" t="s">
        <v>78</v>
      </c>
      <c r="B47" s="764"/>
      <c r="C47" s="168">
        <f>SUMIF($G$7:$G$31,"Gas",$F$7:$F$31)</f>
        <v>0</v>
      </c>
      <c r="D47" s="122">
        <f>+C47+'18'!D47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926.15504921127138</v>
      </c>
      <c r="J47" s="139">
        <f>J46/J38</f>
        <v>846.21587643244982</v>
      </c>
      <c r="K47" s="134" t="s">
        <v>23</v>
      </c>
    </row>
    <row r="48" spans="1:14" ht="17.45" customHeight="1">
      <c r="A48" s="763" t="s">
        <v>13</v>
      </c>
      <c r="B48" s="764"/>
      <c r="C48" s="168">
        <f>SUMIF($G$7:$G$31,"Start Up",$F$7:$F$31)</f>
        <v>0</v>
      </c>
      <c r="D48" s="122">
        <f>+C48+'18'!D48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987.87563276576157</v>
      </c>
      <c r="J48" s="139">
        <f>J46/J40</f>
        <v>868.31166162169689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+C49+'18'!D49</f>
        <v>0</v>
      </c>
      <c r="E49" s="147">
        <f t="shared" si="9"/>
        <v>0</v>
      </c>
      <c r="F49" s="190"/>
      <c r="H49" s="193" t="s">
        <v>271</v>
      </c>
      <c r="I49" s="122">
        <f>+Report1!T27</f>
        <v>3462.3535284399341</v>
      </c>
      <c r="J49" s="139">
        <f>+I49+'18'!J49</f>
        <v>75834.608854726277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+C50+'18'!D50</f>
        <v>0</v>
      </c>
      <c r="E50" s="147">
        <f t="shared" si="9"/>
        <v>0</v>
      </c>
      <c r="F50" s="190"/>
      <c r="H50" s="193" t="s">
        <v>82</v>
      </c>
      <c r="I50" s="144">
        <f>I49/I38</f>
        <v>93.362640648238752</v>
      </c>
      <c r="J50" s="137">
        <f>J49/J38</f>
        <v>91.496416442928066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+C51+'18'!D51</f>
        <v>0</v>
      </c>
      <c r="E51" s="147">
        <f t="shared" si="9"/>
        <v>0</v>
      </c>
      <c r="F51" s="190"/>
      <c r="H51" s="195" t="s">
        <v>84</v>
      </c>
      <c r="I51" s="145">
        <f>I49/I40</f>
        <v>99.584489428207945</v>
      </c>
      <c r="J51" s="140">
        <f>J49/J40</f>
        <v>93.885505586270583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258</v>
      </c>
      <c r="D52" s="148">
        <f>SUM(D38:D51)</f>
        <v>1848</v>
      </c>
      <c r="E52" s="149">
        <f>SUM(E38:E51)</f>
        <v>30.799999999999997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0.17916666666666667</v>
      </c>
      <c r="D53" s="150">
        <f>D52/(24*60*G4)</f>
        <v>6.7543859649122809E-2</v>
      </c>
      <c r="E53" s="151">
        <f>E52/(G4*24)</f>
        <v>6.7543859649122795E-2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+D34+'18'!J56</f>
        <v>4890</v>
      </c>
      <c r="K56" s="206">
        <f>J56/(J40+J56/1000)/1000</f>
        <v>6.0175357637286559E-3</v>
      </c>
    </row>
    <row r="57" spans="1:11">
      <c r="A57" s="181"/>
      <c r="I57" s="204" t="s">
        <v>87</v>
      </c>
      <c r="J57" s="205">
        <f>+E34+'18'!J57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zoomScale="80" zoomScaleNormal="80" workbookViewId="0">
      <selection activeCell="F17" sqref="F17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2.28515625" style="153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5.140625" style="153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18</v>
      </c>
      <c r="H4" s="158" t="str">
        <f>+'1'!H4</f>
        <v>.08.25</v>
      </c>
      <c r="J4" s="153">
        <f>485+551+534</f>
        <v>1570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v>480</v>
      </c>
      <c r="R6" s="153">
        <f t="shared" ref="R6:R9" si="0">+O6*Q6</f>
        <v>590400</v>
      </c>
      <c r="S6" s="153">
        <f t="shared" ref="S6:S9" si="1">+P6*Q6</f>
        <v>454607.99999999994</v>
      </c>
    </row>
    <row r="7" spans="1:19" ht="13.5" customHeight="1" thickBot="1">
      <c r="A7" s="769"/>
      <c r="B7" s="220" t="s">
        <v>521</v>
      </c>
      <c r="C7" s="221">
        <v>15256</v>
      </c>
      <c r="D7" s="222"/>
      <c r="E7" s="223"/>
      <c r="F7" s="233"/>
      <c r="G7" s="234" t="s">
        <v>11</v>
      </c>
      <c r="H7" s="235" t="s">
        <v>387</v>
      </c>
      <c r="I7" s="772" t="s">
        <v>405</v>
      </c>
      <c r="J7" s="219" t="str">
        <f>+'17'!J7</f>
        <v>T 13 VP OW</v>
      </c>
      <c r="K7" s="243"/>
      <c r="L7" s="247"/>
      <c r="M7" s="121">
        <f>+K7+'17'!M7+L7</f>
        <v>252469</v>
      </c>
      <c r="N7" s="153" t="s">
        <v>390</v>
      </c>
      <c r="O7" s="153">
        <v>1230</v>
      </c>
      <c r="P7" s="153">
        <f>+O7-O7*0.23</f>
        <v>947.09999999999991</v>
      </c>
      <c r="Q7" s="153">
        <v>480</v>
      </c>
      <c r="R7" s="153">
        <f t="shared" si="0"/>
        <v>590400</v>
      </c>
      <c r="S7" s="153">
        <f t="shared" si="1"/>
        <v>454607.99999999994</v>
      </c>
    </row>
    <row r="8" spans="1:1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+'17'!J8</f>
        <v>T 15,5 VP OW</v>
      </c>
      <c r="K8" s="244"/>
      <c r="L8" s="244"/>
      <c r="M8" s="121">
        <f>+K8+'17'!M8+L8</f>
        <v>79695</v>
      </c>
      <c r="P8" s="153">
        <f>+O8-O8*0.23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v>18</v>
      </c>
      <c r="G9" s="237" t="s">
        <v>11</v>
      </c>
      <c r="H9" s="238" t="s">
        <v>408</v>
      </c>
      <c r="I9" s="773"/>
      <c r="J9" s="219" t="str">
        <f>+'17'!J9</f>
        <v>T 19 VP OW</v>
      </c>
      <c r="K9" s="244"/>
      <c r="L9" s="244"/>
      <c r="M9" s="121">
        <f>+K9+'17'!M9+L9</f>
        <v>10916</v>
      </c>
      <c r="P9" s="153">
        <f t="shared" ref="P9" si="2">+O9-O9*0.25</f>
        <v>0</v>
      </c>
      <c r="R9" s="153">
        <f t="shared" si="0"/>
        <v>0</v>
      </c>
      <c r="S9" s="153">
        <f t="shared" si="1"/>
        <v>0</v>
      </c>
    </row>
    <row r="10" spans="1:19" ht="39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569</v>
      </c>
      <c r="I10" s="773"/>
      <c r="J10" s="219" t="str">
        <f>+'17'!J10</f>
        <v>F 15 VP OW</v>
      </c>
      <c r="K10" s="244"/>
      <c r="L10" s="244"/>
      <c r="M10" s="121">
        <f>+K10+'17'!M10+L10</f>
        <v>10380</v>
      </c>
      <c r="Q10" s="153">
        <f>SUM(Q5:Q9)</f>
        <v>960</v>
      </c>
      <c r="R10" s="153">
        <f>SUM(R5:R9)</f>
        <v>1180800</v>
      </c>
      <c r="S10" s="153">
        <f>SUM(S5:S9)</f>
        <v>909215.99999999988</v>
      </c>
    </row>
    <row r="11" spans="1:19" ht="13.5" thickBot="1">
      <c r="A11" s="770"/>
      <c r="B11" s="220"/>
      <c r="C11" s="221"/>
      <c r="D11" s="222"/>
      <c r="E11" s="224"/>
      <c r="F11" s="233"/>
      <c r="G11" s="237"/>
      <c r="H11" s="238" t="s">
        <v>570</v>
      </c>
      <c r="I11" s="773"/>
      <c r="J11" s="219" t="str">
        <f>+'17'!J11</f>
        <v>F 13,5 VP OW</v>
      </c>
      <c r="K11" s="244"/>
      <c r="L11" s="244"/>
      <c r="M11" s="121">
        <f>+K11+'17'!M11+L11</f>
        <v>131921</v>
      </c>
      <c r="O11" s="153" t="s">
        <v>404</v>
      </c>
      <c r="R11" s="153">
        <f>+R10/Q10</f>
        <v>1230</v>
      </c>
      <c r="S11" s="153">
        <f>+S10/Q10</f>
        <v>947.09999999999991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+'17'!J12</f>
        <v>F 13 VP OW</v>
      </c>
      <c r="K12" s="244">
        <f>+C26</f>
        <v>2179</v>
      </c>
      <c r="L12" s="244"/>
      <c r="M12" s="121">
        <f>+K12+'17'!M12+L12</f>
        <v>104914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+'17'!J13</f>
        <v>F 12 VP OW</v>
      </c>
      <c r="K13" s="244">
        <f>+C7+C16+C25</f>
        <v>41093</v>
      </c>
      <c r="L13" s="244"/>
      <c r="M13" s="121">
        <f>+K13+'17'!M13+L13</f>
        <v>160494</v>
      </c>
    </row>
    <row r="14" spans="1:19" ht="13.5" thickBot="1">
      <c r="A14" s="771"/>
      <c r="B14" s="170" t="s">
        <v>2</v>
      </c>
      <c r="C14" s="103">
        <f>SUM(C7:C13)</f>
        <v>15256</v>
      </c>
      <c r="D14" s="115">
        <f>SUM(D7:D13)</f>
        <v>0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19" t="str">
        <f>+'17'!J14</f>
        <v>F 12,5 VP OW</v>
      </c>
      <c r="K14" s="244"/>
      <c r="L14" s="244"/>
      <c r="M14" s="121">
        <f>+K14+'17'!M14+L14</f>
        <v>22178</v>
      </c>
    </row>
    <row r="15" spans="1:19" ht="13.5" customHeight="1" thickBot="1">
      <c r="A15" s="769"/>
      <c r="B15" s="170"/>
      <c r="C15" s="117">
        <f>C14/($C$23+$D$23+$E$23)</f>
        <v>1.152962515114873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+'17'!J15</f>
        <v>0</v>
      </c>
      <c r="K15" s="244"/>
      <c r="L15" s="244"/>
      <c r="M15" s="121">
        <f>+K15+'17'!M15+L15</f>
        <v>0</v>
      </c>
    </row>
    <row r="16" spans="1:19" ht="13.5" thickBot="1">
      <c r="A16" s="775"/>
      <c r="B16" s="220" t="s">
        <v>521</v>
      </c>
      <c r="C16" s="227">
        <v>13232</v>
      </c>
      <c r="D16" s="228"/>
      <c r="E16" s="229"/>
      <c r="F16" s="236">
        <v>4</v>
      </c>
      <c r="G16" s="237" t="s">
        <v>11</v>
      </c>
      <c r="H16" s="235" t="s">
        <v>508</v>
      </c>
      <c r="I16" s="773"/>
      <c r="J16" s="219">
        <f>+'17'!J16</f>
        <v>0</v>
      </c>
      <c r="K16" s="234"/>
      <c r="L16" s="234"/>
      <c r="M16" s="121">
        <f>+K16+'17'!M16+L16</f>
        <v>0</v>
      </c>
    </row>
    <row r="17" spans="1:19" ht="13.5" thickBot="1">
      <c r="A17" s="775"/>
      <c r="B17" s="220"/>
      <c r="C17" s="221"/>
      <c r="D17" s="222"/>
      <c r="E17" s="230"/>
      <c r="F17" s="233">
        <v>14</v>
      </c>
      <c r="G17" s="237" t="s">
        <v>11</v>
      </c>
      <c r="H17" s="238" t="s">
        <v>408</v>
      </c>
      <c r="I17" s="773"/>
      <c r="J17" s="219">
        <f>+'17'!J17</f>
        <v>0</v>
      </c>
      <c r="K17" s="234"/>
      <c r="L17" s="234"/>
      <c r="M17" s="121">
        <f>+K17+'17'!M17+L17</f>
        <v>0</v>
      </c>
    </row>
    <row r="18" spans="1:19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562</v>
      </c>
      <c r="I18" s="773"/>
      <c r="J18" s="219">
        <f>+'17'!J18</f>
        <v>0</v>
      </c>
      <c r="K18" s="244"/>
      <c r="L18" s="244"/>
      <c r="M18" s="121">
        <f>+K18+'17'!M18+L18</f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+'17'!J19</f>
        <v>0</v>
      </c>
      <c r="K19" s="244"/>
      <c r="L19" s="244"/>
      <c r="M19" s="121">
        <f>+K19+'17'!M19+L19</f>
        <v>0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+'17'!J20</f>
        <v>0</v>
      </c>
      <c r="K20" s="245"/>
      <c r="L20" s="245"/>
      <c r="M20" s="121">
        <f>+K20+'17'!M20+L20</f>
        <v>0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+'17'!J21</f>
        <v>0</v>
      </c>
      <c r="K21" s="244"/>
      <c r="L21" s="244"/>
      <c r="M21" s="121">
        <f>+K21+'17'!M21+L21</f>
        <v>0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+'17'!J22</f>
        <v>0</v>
      </c>
      <c r="K22" s="244"/>
      <c r="L22" s="244"/>
      <c r="M22" s="121">
        <f>+K22+'17'!M22+L22</f>
        <v>0</v>
      </c>
    </row>
    <row r="23" spans="1:19" ht="13.5" thickBot="1">
      <c r="A23" s="776"/>
      <c r="B23" s="173" t="s">
        <v>2</v>
      </c>
      <c r="C23" s="104">
        <f>SUM(C16:C22)</f>
        <v>13232</v>
      </c>
      <c r="D23" s="115">
        <f>SUM(D16:D22)</f>
        <v>0</v>
      </c>
      <c r="E23" s="116">
        <f>SUM(E18:E22)</f>
        <v>0</v>
      </c>
      <c r="F23" s="120">
        <f>SUM(F15:F22)</f>
        <v>18</v>
      </c>
      <c r="G23" s="163"/>
      <c r="H23" s="171"/>
      <c r="I23" s="174"/>
      <c r="J23" s="219">
        <f>+'17'!J23</f>
        <v>0</v>
      </c>
      <c r="K23" s="244"/>
      <c r="L23" s="244"/>
      <c r="M23" s="121">
        <f>+K23+'17'!M23+L23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+'17'!J24</f>
        <v>0</v>
      </c>
      <c r="K24" s="244"/>
      <c r="L24" s="244"/>
      <c r="M24" s="121">
        <f>+K24+'17'!M24+L24</f>
        <v>0</v>
      </c>
      <c r="N24" s="153" t="s">
        <v>390</v>
      </c>
      <c r="O24" s="153">
        <v>1230</v>
      </c>
      <c r="P24" s="153">
        <f>+O24-O24*0.23</f>
        <v>947.09999999999991</v>
      </c>
      <c r="Q24" s="153">
        <f>60*5+16</f>
        <v>316</v>
      </c>
      <c r="R24" s="153">
        <f t="shared" ref="R24:R27" si="3">+O24*Q24</f>
        <v>388680</v>
      </c>
      <c r="S24" s="153">
        <f t="shared" ref="S24:S27" si="4">+P24*Q24</f>
        <v>299283.59999999998</v>
      </c>
    </row>
    <row r="25" spans="1:19" ht="13.5" thickBot="1">
      <c r="A25" s="775"/>
      <c r="B25" s="220" t="s">
        <v>521</v>
      </c>
      <c r="C25" s="231">
        <f>6756+5849</f>
        <v>12605</v>
      </c>
      <c r="D25" s="222"/>
      <c r="E25" s="230"/>
      <c r="F25" s="236">
        <v>4</v>
      </c>
      <c r="G25" s="237" t="s">
        <v>11</v>
      </c>
      <c r="H25" s="235" t="s">
        <v>508</v>
      </c>
      <c r="I25" s="773"/>
      <c r="J25" s="219">
        <f>+'17'!J25</f>
        <v>0</v>
      </c>
      <c r="K25" s="244"/>
      <c r="L25" s="244"/>
      <c r="M25" s="121">
        <f>+K25+'17'!M25+L25</f>
        <v>0</v>
      </c>
      <c r="N25" s="153" t="s">
        <v>503</v>
      </c>
      <c r="O25" s="153">
        <v>1230</v>
      </c>
      <c r="P25" s="153">
        <f>+O25-O25*0.23</f>
        <v>947.09999999999991</v>
      </c>
      <c r="Q25" s="153">
        <f>480-Q24</f>
        <v>164</v>
      </c>
      <c r="R25" s="153">
        <f t="shared" si="3"/>
        <v>201720</v>
      </c>
      <c r="S25" s="153">
        <f t="shared" si="4"/>
        <v>155324.4</v>
      </c>
    </row>
    <row r="26" spans="1:19" ht="13.5" thickBot="1">
      <c r="A26" s="775"/>
      <c r="B26" s="220" t="s">
        <v>520</v>
      </c>
      <c r="C26" s="231">
        <f>987+1192</f>
        <v>2179</v>
      </c>
      <c r="D26" s="222"/>
      <c r="E26" s="232"/>
      <c r="F26" s="233">
        <v>14</v>
      </c>
      <c r="G26" s="237" t="s">
        <v>11</v>
      </c>
      <c r="H26" s="238" t="s">
        <v>408</v>
      </c>
      <c r="I26" s="773"/>
      <c r="J26" s="219">
        <f>+'17'!J26</f>
        <v>0</v>
      </c>
      <c r="K26" s="244"/>
      <c r="L26" s="244"/>
      <c r="M26" s="121">
        <f>+K26+'17'!M26+L26</f>
        <v>0</v>
      </c>
      <c r="P26" s="153">
        <f t="shared" ref="P26:P27" si="5">+O26-O26*0.25</f>
        <v>0</v>
      </c>
      <c r="R26" s="153">
        <f t="shared" si="3"/>
        <v>0</v>
      </c>
      <c r="S26" s="153">
        <f t="shared" si="4"/>
        <v>0</v>
      </c>
    </row>
    <row r="27" spans="1:19" ht="13.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562</v>
      </c>
      <c r="I27" s="773"/>
      <c r="J27" s="219">
        <f>+'17'!J27</f>
        <v>0</v>
      </c>
      <c r="K27" s="244"/>
      <c r="L27" s="244"/>
      <c r="M27" s="121">
        <f>+K27+'17'!M27+L27</f>
        <v>0</v>
      </c>
      <c r="P27" s="153">
        <f t="shared" si="5"/>
        <v>0</v>
      </c>
      <c r="R27" s="153">
        <f t="shared" si="3"/>
        <v>0</v>
      </c>
      <c r="S27" s="153">
        <f t="shared" si="4"/>
        <v>0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 t="s">
        <v>571</v>
      </c>
      <c r="I28" s="773"/>
      <c r="J28" s="219">
        <f>+'17'!J28</f>
        <v>0</v>
      </c>
      <c r="K28" s="244"/>
      <c r="L28" s="244"/>
      <c r="M28" s="121">
        <f>+K28+'17'!M28+L28</f>
        <v>0</v>
      </c>
      <c r="Q28" s="153">
        <f>SUM(Q23:Q27)</f>
        <v>480</v>
      </c>
      <c r="R28" s="153">
        <f>SUM(R23:R27)</f>
        <v>590400</v>
      </c>
      <c r="S28" s="153">
        <f>SUM(S23:S27)</f>
        <v>454608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+'17'!J29</f>
        <v>0</v>
      </c>
      <c r="K29" s="244"/>
      <c r="L29" s="244"/>
      <c r="M29" s="121">
        <f>+K29+'17'!M29+L29</f>
        <v>0</v>
      </c>
      <c r="O29" s="153" t="s">
        <v>404</v>
      </c>
      <c r="R29" s="153">
        <f>+R28/Q28</f>
        <v>1230</v>
      </c>
      <c r="S29" s="153">
        <f>+S28/Q28</f>
        <v>947.1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+'17'!J30</f>
        <v>0</v>
      </c>
      <c r="K30" s="244"/>
      <c r="L30" s="244"/>
      <c r="M30" s="121">
        <f>+K30+'17'!M30+L30</f>
        <v>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+'17'!J31</f>
        <v>0</v>
      </c>
      <c r="K31" s="244"/>
      <c r="L31" s="244"/>
      <c r="M31" s="121">
        <f>+K31+'17'!M31+L31</f>
        <v>0</v>
      </c>
    </row>
    <row r="32" spans="1:19" ht="13.5" thickBot="1">
      <c r="A32" s="776"/>
      <c r="B32" s="170" t="s">
        <v>2</v>
      </c>
      <c r="C32" s="103">
        <f>SUM(C25:C31)</f>
        <v>14784</v>
      </c>
      <c r="D32" s="104">
        <f>SUM(D25:D31)</f>
        <v>0</v>
      </c>
      <c r="E32" s="105">
        <f>SUM(E25:E31)</f>
        <v>0</v>
      </c>
      <c r="F32" s="106">
        <f>SUM(F24:F31)</f>
        <v>18</v>
      </c>
      <c r="G32" s="176"/>
      <c r="H32" s="177"/>
      <c r="I32" s="174"/>
      <c r="J32" s="219">
        <f>+'17'!J32</f>
        <v>0</v>
      </c>
      <c r="K32" s="246"/>
      <c r="L32" s="248"/>
      <c r="M32" s="121">
        <f>+K32+'17'!M32+L32</f>
        <v>0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7" ht="13.5" thickBot="1">
      <c r="A34" s="765" t="s">
        <v>56</v>
      </c>
      <c r="B34" s="766"/>
      <c r="C34" s="111">
        <f>C14+C23+C32</f>
        <v>43272</v>
      </c>
      <c r="D34" s="111">
        <f>D14+D23+D32</f>
        <v>0</v>
      </c>
      <c r="E34" s="111">
        <f>E14+E23+E32</f>
        <v>0</v>
      </c>
      <c r="F34" s="112">
        <f>F14+F23+F32</f>
        <v>54</v>
      </c>
      <c r="H34" s="183"/>
      <c r="I34" s="183"/>
      <c r="J34" s="127" t="s">
        <v>27</v>
      </c>
      <c r="K34" s="128">
        <f>SUM(K7:K32)</f>
        <v>43272</v>
      </c>
      <c r="L34" s="217">
        <f>SUM(L7:L32)</f>
        <v>0</v>
      </c>
      <c r="M34" s="124">
        <f>SUM(M7:M32)</f>
        <v>772967</v>
      </c>
      <c r="N34" s="153" t="s">
        <v>390</v>
      </c>
      <c r="O34" s="153">
        <v>1230</v>
      </c>
      <c r="P34" s="153">
        <f>+O34-O34*0.23</f>
        <v>947.09999999999991</v>
      </c>
      <c r="Q34" s="153">
        <f>480+480+316</f>
        <v>1276</v>
      </c>
    </row>
    <row r="35" spans="1:17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N35" s="153" t="s">
        <v>503</v>
      </c>
      <c r="O35" s="153">
        <v>1230</v>
      </c>
      <c r="P35" s="153">
        <f>+O35-O35*0.23</f>
        <v>947.09999999999991</v>
      </c>
      <c r="Q35" s="153">
        <v>164</v>
      </c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  <c r="Q36" s="153">
        <f>+Q34+Q35</f>
        <v>1440</v>
      </c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(12*1276+13*164)/1440*G42*2.74*1440/1000000</f>
        <v>45.268121975999989</v>
      </c>
      <c r="J37" s="129">
        <f>+I37+'17'!J37</f>
        <v>864.41022274062277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54</v>
      </c>
      <c r="D38" s="122">
        <f>+C38+'17'!D38</f>
        <v>1231</v>
      </c>
      <c r="E38" s="147">
        <f t="shared" ref="E38:E51" si="6">D38/60</f>
        <v>20.516666666666666</v>
      </c>
      <c r="F38" s="327">
        <v>1230</v>
      </c>
      <c r="G38" s="327">
        <v>947.09999999999991</v>
      </c>
      <c r="H38" s="192" t="s">
        <v>63</v>
      </c>
      <c r="I38" s="250">
        <f>14.144+13.671+13.34</f>
        <v>41.155000000000001</v>
      </c>
      <c r="J38" s="131">
        <f>+I38+'17'!J38</f>
        <v>791.74099999999976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+C39+'17'!D39</f>
        <v>0</v>
      </c>
      <c r="E39" s="147">
        <f t="shared" si="6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48.022790152256817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+C40+'17'!D40</f>
        <v>299</v>
      </c>
      <c r="E40" s="147">
        <f t="shared" si="6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43.271999999999998</v>
      </c>
      <c r="J40" s="135">
        <f>+I40+'17'!J40</f>
        <v>772.9670000000001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+C41+'17'!D41</f>
        <v>60</v>
      </c>
      <c r="E41" s="147">
        <f t="shared" si="6"/>
        <v>1</v>
      </c>
      <c r="F41" s="327"/>
      <c r="G41" s="327"/>
      <c r="H41" s="192" t="s">
        <v>68</v>
      </c>
      <c r="I41" s="146"/>
      <c r="J41" s="133">
        <f>J40/G4</f>
        <v>42.94261111111112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+C42+'17'!D42</f>
        <v>0</v>
      </c>
      <c r="E42" s="147">
        <f t="shared" si="6"/>
        <v>0</v>
      </c>
      <c r="F42" s="327">
        <f>+(F38*480+F39*480+F40*480)/1440</f>
        <v>1230</v>
      </c>
      <c r="G42" s="327">
        <f>+(G38*480+G39*480+G40*480)/1440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17" ht="17.45" customHeight="1">
      <c r="A43" s="763" t="s">
        <v>222</v>
      </c>
      <c r="B43" s="764"/>
      <c r="C43" s="168">
        <f>SUMIF($G$7:$G$31,"Change Grade",$F$7:$F$31)</f>
        <v>0</v>
      </c>
      <c r="D43" s="122">
        <f>+C43+'17'!D43</f>
        <v>0</v>
      </c>
      <c r="E43" s="147">
        <f t="shared" si="6"/>
        <v>0</v>
      </c>
      <c r="F43" s="327"/>
      <c r="G43" s="328"/>
      <c r="H43" s="193" t="s">
        <v>72</v>
      </c>
      <c r="I43" s="122">
        <f>+Report1!Z26</f>
        <v>55.8</v>
      </c>
      <c r="J43" s="137">
        <f>+I43+'17'!J43</f>
        <v>1021.7000000000002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+C44+'17'!D44</f>
        <v>0</v>
      </c>
      <c r="E44" s="147">
        <f t="shared" si="6"/>
        <v>0</v>
      </c>
      <c r="F44" s="327"/>
      <c r="G44" s="328"/>
      <c r="H44" s="193" t="s">
        <v>73</v>
      </c>
      <c r="I44" s="122">
        <f>I43/I38</f>
        <v>1.3558498359859068</v>
      </c>
      <c r="J44" s="138">
        <f>J43/J38</f>
        <v>1.2904472548472297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+C45+'17'!D45</f>
        <v>0</v>
      </c>
      <c r="E45" s="147">
        <f t="shared" si="6"/>
        <v>0</v>
      </c>
      <c r="F45" s="327"/>
      <c r="G45" s="330"/>
      <c r="H45" s="193" t="s">
        <v>74</v>
      </c>
      <c r="I45" s="122">
        <f>I43/I40</f>
        <v>1.2895174708818635</v>
      </c>
      <c r="J45" s="138">
        <f>J43/J40</f>
        <v>1.3217899341110293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+C46+'17'!D46</f>
        <v>0</v>
      </c>
      <c r="E46" s="147">
        <f t="shared" si="6"/>
        <v>0</v>
      </c>
      <c r="F46" s="327"/>
      <c r="G46" s="328"/>
      <c r="H46" s="193" t="s">
        <v>76</v>
      </c>
      <c r="I46" s="144">
        <f>+SUMIF(Listrik!P25,"&gt;0")</f>
        <v>36478.58</v>
      </c>
      <c r="J46" s="139">
        <f>+I46+'17'!J46</f>
        <v>667019.26000000152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+C47+'17'!D47</f>
        <v>0</v>
      </c>
      <c r="E47" s="147">
        <f t="shared" si="6"/>
        <v>0</v>
      </c>
      <c r="F47" s="327"/>
      <c r="G47" s="328"/>
      <c r="H47" s="193" t="s">
        <v>79</v>
      </c>
      <c r="I47" s="122">
        <f>I46/I38</f>
        <v>886.37055035840115</v>
      </c>
      <c r="J47" s="139">
        <f>J46/J38</f>
        <v>842.47154056693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+C48+'17'!D48</f>
        <v>0</v>
      </c>
      <c r="E48" s="147">
        <f t="shared" si="6"/>
        <v>0</v>
      </c>
      <c r="F48" s="327"/>
      <c r="G48" s="328"/>
      <c r="H48" s="193" t="s">
        <v>80</v>
      </c>
      <c r="I48" s="122">
        <f>I46/I40</f>
        <v>843.00656313551497</v>
      </c>
      <c r="J48" s="139">
        <f>J46/J40</f>
        <v>862.93368280922914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+C49+'17'!D49</f>
        <v>0</v>
      </c>
      <c r="E49" s="147">
        <f t="shared" si="6"/>
        <v>0</v>
      </c>
      <c r="F49" s="190"/>
      <c r="H49" s="193" t="s">
        <v>271</v>
      </c>
      <c r="I49" s="122">
        <f>+Report1!T26</f>
        <v>3160.9695138609882</v>
      </c>
      <c r="J49" s="139">
        <f>+I49+'17'!J49</f>
        <v>72372.255326286337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+C50+'17'!D50</f>
        <v>0</v>
      </c>
      <c r="E50" s="147">
        <f t="shared" si="6"/>
        <v>0</v>
      </c>
      <c r="F50" s="190"/>
      <c r="H50" s="193" t="s">
        <v>82</v>
      </c>
      <c r="I50" s="144">
        <f>I49/I38</f>
        <v>76.806451557793423</v>
      </c>
      <c r="J50" s="137">
        <f>J49/J38</f>
        <v>91.409002851041393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+C51+'17'!D51</f>
        <v>0</v>
      </c>
      <c r="E51" s="147">
        <f t="shared" si="6"/>
        <v>0</v>
      </c>
      <c r="F51" s="190"/>
      <c r="H51" s="195" t="s">
        <v>84</v>
      </c>
      <c r="I51" s="145">
        <f>I49/I40</f>
        <v>73.048842527754402</v>
      </c>
      <c r="J51" s="140">
        <f>J49/J40</f>
        <v>93.629165703434083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54</v>
      </c>
      <c r="D52" s="148">
        <f>SUM(D38:D51)</f>
        <v>1590</v>
      </c>
      <c r="E52" s="149">
        <f>SUM(E38:E51)</f>
        <v>26.5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3.7499999999999999E-2</v>
      </c>
      <c r="D53" s="150">
        <f>D52/(24*60*G4)</f>
        <v>6.1342592592592594E-2</v>
      </c>
      <c r="E53" s="151">
        <f>E52/(G4*24)</f>
        <v>6.1342592592592594E-2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+D34+'17'!J56</f>
        <v>4890</v>
      </c>
      <c r="K56" s="206">
        <f>J56/(J40+J56/1000)/1000</f>
        <v>6.2865025319563872E-3</v>
      </c>
    </row>
    <row r="57" spans="1:11">
      <c r="A57" s="181"/>
      <c r="I57" s="204" t="s">
        <v>87</v>
      </c>
      <c r="J57" s="205">
        <f>+E34+'17'!J57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zoomScale="80" zoomScaleNormal="80" workbookViewId="0">
      <selection activeCell="X10" sqref="A7:X14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17</v>
      </c>
      <c r="H4" s="158" t="str">
        <f>+'1'!H4</f>
        <v>.08.25</v>
      </c>
      <c r="J4" s="153">
        <f>398+430+532</f>
        <v>1360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504</v>
      </c>
      <c r="O6" s="153">
        <v>1230</v>
      </c>
      <c r="P6" s="153">
        <f>+O6-O6*0.23</f>
        <v>947.09999999999991</v>
      </c>
      <c r="Q6" s="153">
        <v>480</v>
      </c>
      <c r="R6" s="153">
        <f t="shared" ref="R6:R9" si="0">+O6*Q6</f>
        <v>590400</v>
      </c>
      <c r="S6" s="153">
        <f t="shared" ref="S6:S9" si="1">+P6*Q6</f>
        <v>454607.99999999994</v>
      </c>
    </row>
    <row r="7" spans="1:19" ht="13.5" customHeight="1" thickBot="1">
      <c r="A7" s="769"/>
      <c r="B7" s="220" t="s">
        <v>519</v>
      </c>
      <c r="C7" s="221">
        <v>15888</v>
      </c>
      <c r="D7" s="222"/>
      <c r="E7" s="223"/>
      <c r="F7" s="233">
        <v>9</v>
      </c>
      <c r="G7" s="234" t="s">
        <v>11</v>
      </c>
      <c r="H7" s="235" t="s">
        <v>407</v>
      </c>
      <c r="I7" s="772" t="s">
        <v>405</v>
      </c>
      <c r="J7" s="219" t="str">
        <f>+'16'!J7</f>
        <v>T 13 VP OW</v>
      </c>
      <c r="K7" s="243"/>
      <c r="L7" s="247"/>
      <c r="M7" s="121">
        <f>+K7+'16'!M7+L7</f>
        <v>252469</v>
      </c>
      <c r="R7" s="153">
        <f t="shared" si="0"/>
        <v>0</v>
      </c>
      <c r="S7" s="153">
        <f t="shared" si="1"/>
        <v>0</v>
      </c>
    </row>
    <row r="8" spans="1:19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+'16'!J8</f>
        <v>T 15,5 VP OW</v>
      </c>
      <c r="K8" s="244"/>
      <c r="L8" s="244"/>
      <c r="M8" s="121">
        <f>+K8+'16'!M8+L8</f>
        <v>79695</v>
      </c>
      <c r="P8" s="153">
        <f t="shared" ref="P8:P9" si="2">+O8-O8*0.25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f>28-9</f>
        <v>19</v>
      </c>
      <c r="G9" s="237" t="s">
        <v>11</v>
      </c>
      <c r="H9" s="238" t="s">
        <v>408</v>
      </c>
      <c r="I9" s="773"/>
      <c r="J9" s="219" t="str">
        <f>+'16'!J9</f>
        <v>T 19 VP OW</v>
      </c>
      <c r="K9" s="244"/>
      <c r="L9" s="244"/>
      <c r="M9" s="121">
        <f>+K9+'16'!M9+L9</f>
        <v>10916</v>
      </c>
      <c r="P9" s="153">
        <f t="shared" si="2"/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564</v>
      </c>
      <c r="I10" s="773"/>
      <c r="J10" s="219" t="str">
        <f>+'16'!J10</f>
        <v>F 15 VP OW</v>
      </c>
      <c r="K10" s="244"/>
      <c r="L10" s="244"/>
      <c r="M10" s="121">
        <f>+K10+'16'!M10+L10</f>
        <v>10380</v>
      </c>
      <c r="Q10" s="153">
        <f>SUM(Q5:Q9)</f>
        <v>480</v>
      </c>
      <c r="R10" s="153">
        <f>SUM(R5:R9)</f>
        <v>590400</v>
      </c>
      <c r="S10" s="153">
        <f>SUM(S5:S9)</f>
        <v>454607.99999999994</v>
      </c>
    </row>
    <row r="11" spans="1:19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+'16'!J11</f>
        <v>F 13,5 VP OW</v>
      </c>
      <c r="K11" s="244">
        <f>+C7+C16+C25</f>
        <v>30589</v>
      </c>
      <c r="L11" s="244"/>
      <c r="M11" s="121">
        <f>+K11+'16'!M11+L11</f>
        <v>131921</v>
      </c>
      <c r="O11" s="153" t="s">
        <v>404</v>
      </c>
      <c r="R11" s="153">
        <f>+R10/Q10</f>
        <v>1230</v>
      </c>
      <c r="S11" s="153">
        <f>+S10/Q10</f>
        <v>947.09999999999991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+'16'!J12</f>
        <v>F 13 VP OW</v>
      </c>
      <c r="K12" s="244"/>
      <c r="L12" s="244"/>
      <c r="M12" s="121">
        <f>+K12+'16'!M12+L12</f>
        <v>102735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+'16'!J13</f>
        <v>F 12 VP OW</v>
      </c>
      <c r="K13" s="244">
        <f>+C26</f>
        <v>13146</v>
      </c>
      <c r="L13" s="244"/>
      <c r="M13" s="121">
        <f>+K13+'16'!M13+L13</f>
        <v>119401</v>
      </c>
    </row>
    <row r="14" spans="1:19" ht="13.5" thickBot="1">
      <c r="A14" s="771"/>
      <c r="B14" s="170" t="s">
        <v>2</v>
      </c>
      <c r="C14" s="103">
        <f>SUM(C7:C13)</f>
        <v>15888</v>
      </c>
      <c r="D14" s="115">
        <f>SUM(D7:D13)</f>
        <v>0</v>
      </c>
      <c r="E14" s="116">
        <f>SUM(E5:E13)</f>
        <v>0</v>
      </c>
      <c r="F14" s="120">
        <f>SUM(F7:F13)</f>
        <v>28</v>
      </c>
      <c r="G14" s="163"/>
      <c r="H14" s="171"/>
      <c r="I14" s="172"/>
      <c r="J14" s="219" t="str">
        <f>+'16'!J14</f>
        <v>F 12,5 VP OW</v>
      </c>
      <c r="K14" s="244"/>
      <c r="L14" s="244"/>
      <c r="M14" s="121">
        <f>+K14+'16'!M14+L14</f>
        <v>22178</v>
      </c>
    </row>
    <row r="15" spans="1:19" ht="13.5" customHeight="1" thickBot="1">
      <c r="A15" s="769"/>
      <c r="B15" s="170"/>
      <c r="C15" s="117">
        <f>C14/($C$23+$D$23+$E$23)</f>
        <v>1.1244957180267534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+'16'!J15</f>
        <v>0</v>
      </c>
      <c r="K15" s="244"/>
      <c r="L15" s="244"/>
      <c r="M15" s="121">
        <f>+K15+'16'!M15+L15</f>
        <v>0</v>
      </c>
      <c r="N15" s="153" t="s">
        <v>504</v>
      </c>
      <c r="O15" s="153">
        <v>1230</v>
      </c>
      <c r="P15" s="153">
        <f>+O15-O15*0.23</f>
        <v>947.09999999999991</v>
      </c>
      <c r="Q15" s="153">
        <f>60*6+55</f>
        <v>415</v>
      </c>
      <c r="R15" s="153">
        <f t="shared" ref="R15:R18" si="3">+O15*Q15</f>
        <v>510450</v>
      </c>
      <c r="S15" s="153">
        <f t="shared" ref="S15:S18" si="4">+P15*Q15</f>
        <v>393046.49999999994</v>
      </c>
    </row>
    <row r="16" spans="1:19" ht="13.5" thickBot="1">
      <c r="A16" s="775"/>
      <c r="B16" s="220" t="s">
        <v>519</v>
      </c>
      <c r="C16" s="227">
        <v>14129</v>
      </c>
      <c r="D16" s="228"/>
      <c r="E16" s="229"/>
      <c r="F16" s="236">
        <v>8</v>
      </c>
      <c r="G16" s="237" t="s">
        <v>11</v>
      </c>
      <c r="H16" s="235" t="s">
        <v>429</v>
      </c>
      <c r="I16" s="773"/>
      <c r="J16" s="219">
        <f>+'16'!J16</f>
        <v>0</v>
      </c>
      <c r="K16" s="234"/>
      <c r="L16" s="234"/>
      <c r="M16" s="121">
        <f>+K16+'16'!M16+L16</f>
        <v>0</v>
      </c>
      <c r="N16" s="153" t="s">
        <v>390</v>
      </c>
      <c r="O16" s="153">
        <v>1230</v>
      </c>
      <c r="P16" s="153">
        <f>+O16-O16*0.23</f>
        <v>947.09999999999991</v>
      </c>
      <c r="Q16" s="153">
        <f>480-Q15</f>
        <v>65</v>
      </c>
      <c r="R16" s="153">
        <f t="shared" si="3"/>
        <v>79950</v>
      </c>
      <c r="S16" s="153">
        <f t="shared" si="4"/>
        <v>61561.499999999993</v>
      </c>
    </row>
    <row r="17" spans="1:19" ht="13.5" thickBot="1">
      <c r="A17" s="775"/>
      <c r="B17" s="220"/>
      <c r="C17" s="221"/>
      <c r="D17" s="222"/>
      <c r="E17" s="230"/>
      <c r="F17" s="233">
        <v>10</v>
      </c>
      <c r="G17" s="237" t="s">
        <v>11</v>
      </c>
      <c r="H17" s="238" t="s">
        <v>408</v>
      </c>
      <c r="I17" s="773"/>
      <c r="J17" s="219">
        <f>+'16'!J17</f>
        <v>0</v>
      </c>
      <c r="K17" s="234"/>
      <c r="L17" s="234"/>
      <c r="M17" s="121">
        <f>+K17+'16'!M17+L17</f>
        <v>0</v>
      </c>
      <c r="P17" s="153">
        <f t="shared" ref="P17:P18" si="5">+O17-O17*0.25</f>
        <v>0</v>
      </c>
      <c r="R17" s="153">
        <f t="shared" si="3"/>
        <v>0</v>
      </c>
      <c r="S17" s="153">
        <f t="shared" si="4"/>
        <v>0</v>
      </c>
    </row>
    <row r="18" spans="1:19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560</v>
      </c>
      <c r="I18" s="773"/>
      <c r="J18" s="219">
        <f>+'16'!J18</f>
        <v>0</v>
      </c>
      <c r="K18" s="244"/>
      <c r="L18" s="244"/>
      <c r="M18" s="121">
        <f>+K18+'16'!M18+L18</f>
        <v>0</v>
      </c>
      <c r="P18" s="153">
        <f t="shared" si="5"/>
        <v>0</v>
      </c>
      <c r="R18" s="153">
        <f t="shared" si="3"/>
        <v>0</v>
      </c>
      <c r="S18" s="153">
        <f t="shared" si="4"/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 t="s">
        <v>561</v>
      </c>
      <c r="I19" s="773"/>
      <c r="J19" s="219">
        <f>+'16'!J19</f>
        <v>0</v>
      </c>
      <c r="K19" s="244"/>
      <c r="L19" s="244"/>
      <c r="M19" s="121">
        <f>+K19+'16'!M19+L19</f>
        <v>0</v>
      </c>
      <c r="Q19" s="153">
        <f>SUM(Q14:Q18)</f>
        <v>480</v>
      </c>
      <c r="R19" s="153">
        <f>SUM(R14:R18)</f>
        <v>590400</v>
      </c>
      <c r="S19" s="153">
        <f>SUM(S14:S18)</f>
        <v>454607.99999999994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+'16'!J20</f>
        <v>0</v>
      </c>
      <c r="K20" s="245"/>
      <c r="L20" s="245"/>
      <c r="M20" s="121">
        <f>+K20+'16'!M20+L20</f>
        <v>0</v>
      </c>
      <c r="O20" s="153" t="s">
        <v>404</v>
      </c>
      <c r="R20" s="153">
        <f>+R19/Q19</f>
        <v>1230</v>
      </c>
      <c r="S20" s="153">
        <f>+S19/Q19</f>
        <v>947.09999999999991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+'16'!J21</f>
        <v>0</v>
      </c>
      <c r="K21" s="244"/>
      <c r="L21" s="244"/>
      <c r="M21" s="121">
        <f>+K21+'16'!M21+L21</f>
        <v>0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+'16'!J22</f>
        <v>0</v>
      </c>
      <c r="K22" s="244"/>
      <c r="L22" s="244"/>
      <c r="M22" s="121">
        <f>+K22+'16'!M22+L22</f>
        <v>0</v>
      </c>
    </row>
    <row r="23" spans="1:19" ht="13.5" thickBot="1">
      <c r="A23" s="776"/>
      <c r="B23" s="173" t="s">
        <v>2</v>
      </c>
      <c r="C23" s="104">
        <f>SUM(C16:C22)</f>
        <v>14129</v>
      </c>
      <c r="D23" s="115">
        <f>SUM(D16:D22)</f>
        <v>0</v>
      </c>
      <c r="E23" s="116">
        <f>SUM(E18:E22)</f>
        <v>0</v>
      </c>
      <c r="F23" s="120">
        <f>SUM(F15:F22)</f>
        <v>18</v>
      </c>
      <c r="G23" s="163"/>
      <c r="H23" s="171"/>
      <c r="I23" s="174"/>
      <c r="J23" s="219">
        <f>+'16'!J23</f>
        <v>0</v>
      </c>
      <c r="K23" s="244"/>
      <c r="L23" s="244"/>
      <c r="M23" s="121">
        <f>+K23+'16'!M23+L23</f>
        <v>0</v>
      </c>
      <c r="N23" s="153" t="s">
        <v>390</v>
      </c>
      <c r="O23" s="153">
        <v>1230</v>
      </c>
      <c r="P23" s="153">
        <f>+O23-O23*0.23</f>
        <v>947.09999999999991</v>
      </c>
      <c r="Q23" s="153">
        <v>480</v>
      </c>
      <c r="R23" s="153">
        <f t="shared" ref="R23:R26" si="6">+O23*Q23</f>
        <v>590400</v>
      </c>
      <c r="S23" s="153">
        <f t="shared" ref="S23:S26" si="7">+P23*Q23</f>
        <v>454607.99999999994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+'16'!J24</f>
        <v>0</v>
      </c>
      <c r="K24" s="244"/>
      <c r="L24" s="244"/>
      <c r="M24" s="121">
        <f>+K24+'16'!M24+L24</f>
        <v>0</v>
      </c>
      <c r="P24" s="153">
        <f>+O24-O24*0.23</f>
        <v>0</v>
      </c>
      <c r="Q24" s="153">
        <f>480-Q23</f>
        <v>0</v>
      </c>
      <c r="R24" s="153">
        <f t="shared" si="6"/>
        <v>0</v>
      </c>
      <c r="S24" s="153">
        <f t="shared" si="7"/>
        <v>0</v>
      </c>
    </row>
    <row r="25" spans="1:19" ht="13.5" thickBot="1">
      <c r="A25" s="775"/>
      <c r="B25" s="220" t="s">
        <v>519</v>
      </c>
      <c r="C25" s="231">
        <v>572</v>
      </c>
      <c r="D25" s="222"/>
      <c r="E25" s="230"/>
      <c r="F25" s="236">
        <v>8</v>
      </c>
      <c r="G25" s="237" t="s">
        <v>11</v>
      </c>
      <c r="H25" s="235" t="s">
        <v>508</v>
      </c>
      <c r="I25" s="773"/>
      <c r="J25" s="219">
        <f>+'16'!J25</f>
        <v>0</v>
      </c>
      <c r="K25" s="244"/>
      <c r="L25" s="244"/>
      <c r="M25" s="121">
        <f>+K25+'16'!M25+L25</f>
        <v>0</v>
      </c>
      <c r="P25" s="153">
        <f t="shared" ref="P25:P26" si="8">+O25-O25*0.25</f>
        <v>0</v>
      </c>
      <c r="R25" s="153">
        <f t="shared" si="6"/>
        <v>0</v>
      </c>
      <c r="S25" s="153">
        <f t="shared" si="7"/>
        <v>0</v>
      </c>
    </row>
    <row r="26" spans="1:19" ht="13.5" thickBot="1">
      <c r="A26" s="775"/>
      <c r="B26" s="220" t="s">
        <v>521</v>
      </c>
      <c r="C26" s="231">
        <f>7040+6106</f>
        <v>13146</v>
      </c>
      <c r="D26" s="222"/>
      <c r="E26" s="232"/>
      <c r="F26" s="233">
        <v>10</v>
      </c>
      <c r="G26" s="237" t="s">
        <v>11</v>
      </c>
      <c r="H26" s="238" t="s">
        <v>408</v>
      </c>
      <c r="I26" s="773"/>
      <c r="J26" s="219">
        <f>+'16'!J26</f>
        <v>0</v>
      </c>
      <c r="K26" s="244"/>
      <c r="L26" s="244"/>
      <c r="M26" s="121">
        <f>+K26+'16'!M26+L26</f>
        <v>0</v>
      </c>
      <c r="P26" s="153">
        <f t="shared" si="8"/>
        <v>0</v>
      </c>
      <c r="R26" s="153">
        <f t="shared" si="6"/>
        <v>0</v>
      </c>
      <c r="S26" s="153">
        <f t="shared" si="7"/>
        <v>0</v>
      </c>
    </row>
    <row r="27" spans="1:19" ht="13.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562</v>
      </c>
      <c r="I27" s="773"/>
      <c r="J27" s="219">
        <f>+'16'!J27</f>
        <v>0</v>
      </c>
      <c r="K27" s="244"/>
      <c r="L27" s="244"/>
      <c r="M27" s="121">
        <f>+K27+'16'!M27+L27</f>
        <v>0</v>
      </c>
      <c r="Q27" s="153">
        <f>SUM(Q22:Q26)</f>
        <v>480</v>
      </c>
      <c r="R27" s="153">
        <f>SUM(R22:R26)</f>
        <v>590400</v>
      </c>
      <c r="S27" s="153">
        <f>SUM(S22:S26)</f>
        <v>454607.99999999994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+'16'!J28</f>
        <v>0</v>
      </c>
      <c r="K28" s="244"/>
      <c r="L28" s="244"/>
      <c r="M28" s="121">
        <f>+K28+'16'!M28+L28</f>
        <v>0</v>
      </c>
      <c r="O28" s="153" t="s">
        <v>404</v>
      </c>
      <c r="R28" s="153">
        <f>+R27/Q27</f>
        <v>1230</v>
      </c>
      <c r="S28" s="153">
        <f>+S27/Q27</f>
        <v>947.09999999999991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+'16'!J29</f>
        <v>0</v>
      </c>
      <c r="K29" s="244"/>
      <c r="L29" s="244"/>
      <c r="M29" s="121">
        <f>+K29+'16'!M29+L29</f>
        <v>0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+'16'!J30</f>
        <v>0</v>
      </c>
      <c r="K30" s="244"/>
      <c r="L30" s="244"/>
      <c r="M30" s="121">
        <f>+K30+'16'!M30+L30</f>
        <v>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+'16'!J31</f>
        <v>0</v>
      </c>
      <c r="K31" s="244"/>
      <c r="L31" s="244"/>
      <c r="M31" s="121">
        <f>+K31+'16'!M31+L31</f>
        <v>0</v>
      </c>
    </row>
    <row r="32" spans="1:19" ht="13.5" thickBot="1">
      <c r="A32" s="776"/>
      <c r="B32" s="170" t="s">
        <v>2</v>
      </c>
      <c r="C32" s="103">
        <f>SUM(C25:C31)</f>
        <v>13718</v>
      </c>
      <c r="D32" s="104">
        <f>SUM(D25:D31)</f>
        <v>0</v>
      </c>
      <c r="E32" s="105">
        <f>SUM(E25:E31)</f>
        <v>0</v>
      </c>
      <c r="F32" s="106">
        <f>SUM(F24:F31)</f>
        <v>18</v>
      </c>
      <c r="G32" s="176"/>
      <c r="H32" s="177"/>
      <c r="I32" s="174"/>
      <c r="J32" s="219">
        <f>+'16'!J32</f>
        <v>0</v>
      </c>
      <c r="K32" s="246"/>
      <c r="L32" s="248"/>
      <c r="M32" s="121">
        <f>+K32+'16'!M32+L32</f>
        <v>0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 t="s">
        <v>504</v>
      </c>
      <c r="O33" s="153">
        <v>1230</v>
      </c>
      <c r="P33" s="153">
        <v>947.09999999999991</v>
      </c>
      <c r="Q33" s="153">
        <f>480+415</f>
        <v>895</v>
      </c>
    </row>
    <row r="34" spans="1:17" ht="13.5" thickBot="1">
      <c r="A34" s="765" t="s">
        <v>56</v>
      </c>
      <c r="B34" s="766"/>
      <c r="C34" s="111">
        <f>C14+C23+C32</f>
        <v>43735</v>
      </c>
      <c r="D34" s="111">
        <f>D14+D23+D32</f>
        <v>0</v>
      </c>
      <c r="E34" s="111">
        <f>E14+E23+E32</f>
        <v>0</v>
      </c>
      <c r="F34" s="112">
        <f>F14+F23+F32</f>
        <v>64</v>
      </c>
      <c r="H34" s="183"/>
      <c r="I34" s="183"/>
      <c r="J34" s="127" t="s">
        <v>27</v>
      </c>
      <c r="K34" s="128">
        <f>SUM(K7:K32)</f>
        <v>43735</v>
      </c>
      <c r="L34" s="217">
        <f>SUM(L7:L32)</f>
        <v>0</v>
      </c>
      <c r="M34" s="124">
        <f>SUM(M7:M32)</f>
        <v>729695</v>
      </c>
      <c r="N34" s="153" t="s">
        <v>390</v>
      </c>
      <c r="O34" s="153">
        <v>1230</v>
      </c>
      <c r="P34" s="153">
        <v>947.09999999999991</v>
      </c>
      <c r="Q34" s="153">
        <f>65+480</f>
        <v>545</v>
      </c>
    </row>
    <row r="35" spans="1:17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Q35" s="153">
        <f>+Q33+Q34</f>
        <v>1440</v>
      </c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(13.5*895+12*545)/1440*G42*2.74*1440/1000000</f>
        <v>48.326393114999995</v>
      </c>
      <c r="J37" s="129">
        <f>+I37+'16'!J37</f>
        <v>819.1421007646228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64</v>
      </c>
      <c r="D38" s="122">
        <f>+C38+'16'!D38</f>
        <v>1177</v>
      </c>
      <c r="E38" s="147">
        <f t="shared" ref="E38:E51" si="9">D38/60</f>
        <v>19.616666666666667</v>
      </c>
      <c r="F38" s="327">
        <v>1230</v>
      </c>
      <c r="G38" s="327">
        <v>947.09999999999991</v>
      </c>
      <c r="H38" s="192" t="s">
        <v>63</v>
      </c>
      <c r="I38" s="250">
        <f>14.687+16.025+13.875</f>
        <v>44.586999999999996</v>
      </c>
      <c r="J38" s="131">
        <f>+I38+'16'!J38</f>
        <v>750.58599999999979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+C39+'16'!D39</f>
        <v>0</v>
      </c>
      <c r="E39" s="147">
        <f t="shared" si="9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48.18482945674252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+C40+'16'!D40</f>
        <v>299</v>
      </c>
      <c r="E40" s="147">
        <f t="shared" si="9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43.734999999999999</v>
      </c>
      <c r="J40" s="135">
        <f>+I40+'16'!J40</f>
        <v>729.69500000000005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+C41+'16'!D41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42.923235294117653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+C42+'16'!D42</f>
        <v>0</v>
      </c>
      <c r="E42" s="147">
        <f t="shared" si="9"/>
        <v>0</v>
      </c>
      <c r="F42" s="327">
        <f>+(F38*480+F40*480+F39*480)/1440</f>
        <v>1230</v>
      </c>
      <c r="G42" s="327">
        <f>+(G38*480+G40*480+G39*480)/1440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+C43+'16'!D43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+Report1!Z25</f>
        <v>59.2</v>
      </c>
      <c r="J43" s="137">
        <f>+I43+'16'!J43</f>
        <v>965.9000000000002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+C44+'16'!D44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1.32774126987687</v>
      </c>
      <c r="J44" s="138">
        <f>J43/J38</f>
        <v>1.2868611991164243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+C45+'16'!D45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1.3536069509546131</v>
      </c>
      <c r="J45" s="138">
        <f>J43/J40</f>
        <v>1.3237037392335156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+C46+'16'!D46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+SUMIF(Listrik!P24,"&gt;0")</f>
        <v>37209.540000000728</v>
      </c>
      <c r="J46" s="139">
        <f>+I46+'16'!J46</f>
        <v>630540.68000000156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+C47+'16'!D47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834.53786978268852</v>
      </c>
      <c r="J47" s="139">
        <f>J46/J38</f>
        <v>840.06453624235166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+C48+'16'!D48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850.79547273352534</v>
      </c>
      <c r="J48" s="139">
        <f>J46/J40</f>
        <v>864.11539067692877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+C49+'16'!D49</f>
        <v>0</v>
      </c>
      <c r="E49" s="147">
        <f t="shared" si="9"/>
        <v>0</v>
      </c>
      <c r="F49" s="190"/>
      <c r="H49" s="193" t="s">
        <v>271</v>
      </c>
      <c r="I49" s="122">
        <f>+Report1!T25</f>
        <v>4164.439975063824</v>
      </c>
      <c r="J49" s="139">
        <f>+I49+'16'!J49</f>
        <v>69211.285812425354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+C50+'16'!D50</f>
        <v>0</v>
      </c>
      <c r="E50" s="147">
        <f t="shared" si="9"/>
        <v>0</v>
      </c>
      <c r="F50" s="190"/>
      <c r="H50" s="193" t="s">
        <v>82</v>
      </c>
      <c r="I50" s="144">
        <f>I49/I38</f>
        <v>93.400317919210181</v>
      </c>
      <c r="J50" s="137">
        <f>J49/J38</f>
        <v>92.209667929358361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+C51+'16'!D51</f>
        <v>0</v>
      </c>
      <c r="E51" s="147">
        <f t="shared" si="9"/>
        <v>0</v>
      </c>
      <c r="F51" s="190"/>
      <c r="H51" s="195" t="s">
        <v>84</v>
      </c>
      <c r="I51" s="145">
        <f>I49/I40</f>
        <v>95.219846234453499</v>
      </c>
      <c r="J51" s="140">
        <f>J49/J40</f>
        <v>94.84960951140593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64</v>
      </c>
      <c r="D52" s="148">
        <f>SUM(D38:D51)</f>
        <v>1536</v>
      </c>
      <c r="E52" s="149">
        <f>SUM(E38:E51)</f>
        <v>25.6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4.4444444444444446E-2</v>
      </c>
      <c r="D53" s="150">
        <f>D52/(24*60*G4)</f>
        <v>6.2745098039215685E-2</v>
      </c>
      <c r="E53" s="151">
        <f>E52/(G4*24)</f>
        <v>6.2745098039215685E-2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+D34+'16'!J56</f>
        <v>4890</v>
      </c>
      <c r="K56" s="206">
        <f>J56/(J40+J56/1000)/1000</f>
        <v>6.656819837050851E-3</v>
      </c>
    </row>
    <row r="57" spans="1:11">
      <c r="A57" s="181"/>
      <c r="I57" s="204" t="s">
        <v>87</v>
      </c>
      <c r="J57" s="205">
        <f>+E34+'16'!J57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1:B41"/>
    <mergeCell ref="A42:B42"/>
    <mergeCell ref="A43:B43"/>
    <mergeCell ref="A44:B44"/>
    <mergeCell ref="A45:B45"/>
    <mergeCell ref="A46:B46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16" zoomScale="80" zoomScaleNormal="80" workbookViewId="0">
      <selection activeCell="H18" sqref="H18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3" ht="15.75">
      <c r="A1" s="152"/>
    </row>
    <row r="2" spans="1:13" ht="15.75">
      <c r="A2" s="152" t="s">
        <v>184</v>
      </c>
    </row>
    <row r="3" spans="1:13" ht="15">
      <c r="A3" s="154"/>
    </row>
    <row r="4" spans="1:13" ht="20.25">
      <c r="A4" s="155" t="s">
        <v>3</v>
      </c>
      <c r="B4" s="156"/>
      <c r="F4" s="157" t="s">
        <v>28</v>
      </c>
      <c r="G4" s="158">
        <v>16</v>
      </c>
      <c r="H4" s="158" t="str">
        <f>+'1'!H4</f>
        <v>.08.25</v>
      </c>
      <c r="J4" s="153">
        <f>490+469+454</f>
        <v>1413</v>
      </c>
    </row>
    <row r="5" spans="1:13" ht="13.5" thickBot="1">
      <c r="C5" s="159"/>
      <c r="D5" s="159"/>
    </row>
    <row r="6" spans="1:13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</row>
    <row r="7" spans="1:13" ht="13.5" customHeight="1" thickBot="1">
      <c r="A7" s="769"/>
      <c r="B7" s="220" t="s">
        <v>519</v>
      </c>
      <c r="C7" s="221">
        <v>14193</v>
      </c>
      <c r="D7" s="222"/>
      <c r="E7" s="223"/>
      <c r="F7" s="233">
        <v>8</v>
      </c>
      <c r="G7" s="234" t="s">
        <v>11</v>
      </c>
      <c r="H7" s="235" t="s">
        <v>563</v>
      </c>
      <c r="I7" s="772" t="s">
        <v>405</v>
      </c>
      <c r="J7" s="219" t="str">
        <f>+'15'!J7</f>
        <v>T 13 VP OW</v>
      </c>
      <c r="K7" s="243"/>
      <c r="L7" s="247"/>
      <c r="M7" s="121">
        <f>+K7+'15'!M7+L7</f>
        <v>252469</v>
      </c>
    </row>
    <row r="8" spans="1:13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+'15'!J8</f>
        <v>T 15,5 VP OW</v>
      </c>
      <c r="K8" s="244"/>
      <c r="L8" s="244"/>
      <c r="M8" s="121">
        <f>+K8+'15'!M8+L8</f>
        <v>79695</v>
      </c>
    </row>
    <row r="9" spans="1:13" ht="13.5" thickBot="1">
      <c r="A9" s="770"/>
      <c r="B9" s="220"/>
      <c r="C9" s="221"/>
      <c r="D9" s="222"/>
      <c r="E9" s="225"/>
      <c r="F9" s="233">
        <f>26-8</f>
        <v>18</v>
      </c>
      <c r="G9" s="237" t="s">
        <v>11</v>
      </c>
      <c r="H9" s="238" t="s">
        <v>408</v>
      </c>
      <c r="I9" s="773"/>
      <c r="J9" s="219" t="str">
        <f>+'15'!J9</f>
        <v>T 19 VP OW</v>
      </c>
      <c r="K9" s="244"/>
      <c r="L9" s="244"/>
      <c r="M9" s="121">
        <f>+K9+'15'!M9+L9</f>
        <v>10916</v>
      </c>
    </row>
    <row r="10" spans="1:13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558</v>
      </c>
      <c r="I10" s="773"/>
      <c r="J10" s="219" t="str">
        <f>+'15'!J10</f>
        <v>F 15 VP OW</v>
      </c>
      <c r="K10" s="244"/>
      <c r="L10" s="244"/>
      <c r="M10" s="121">
        <f>+K10+'15'!M10+L10</f>
        <v>10380</v>
      </c>
    </row>
    <row r="11" spans="1:13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+'15'!J11</f>
        <v>F 13,5 VP OW</v>
      </c>
      <c r="K11" s="244">
        <f>+C34</f>
        <v>45956</v>
      </c>
      <c r="L11" s="244"/>
      <c r="M11" s="121">
        <f>+K11+'15'!M11+L11</f>
        <v>101332</v>
      </c>
    </row>
    <row r="12" spans="1:13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+'15'!J12</f>
        <v>F 13 VP OW</v>
      </c>
      <c r="K12" s="244"/>
      <c r="L12" s="244"/>
      <c r="M12" s="121">
        <f>+K12+'15'!M12+L12</f>
        <v>102735</v>
      </c>
    </row>
    <row r="13" spans="1:13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+'15'!J13</f>
        <v>F 12 VP OW</v>
      </c>
      <c r="K13" s="244"/>
      <c r="L13" s="244"/>
      <c r="M13" s="121">
        <f>+K13+'15'!M13+L13</f>
        <v>106255</v>
      </c>
    </row>
    <row r="14" spans="1:13" ht="13.5" thickBot="1">
      <c r="A14" s="771"/>
      <c r="B14" s="170" t="s">
        <v>2</v>
      </c>
      <c r="C14" s="103">
        <f>SUM(C7:C13)</f>
        <v>14193</v>
      </c>
      <c r="D14" s="115">
        <f>SUM(D7:D13)</f>
        <v>0</v>
      </c>
      <c r="E14" s="116">
        <f>SUM(E5:E13)</f>
        <v>0</v>
      </c>
      <c r="F14" s="120">
        <f>SUM(F7:F13)</f>
        <v>26</v>
      </c>
      <c r="G14" s="163"/>
      <c r="H14" s="171"/>
      <c r="I14" s="172"/>
      <c r="J14" s="219" t="str">
        <f>+'15'!J14</f>
        <v>F 12,5 VP OW</v>
      </c>
      <c r="K14" s="244"/>
      <c r="L14" s="244"/>
      <c r="M14" s="121">
        <f>+K14+'15'!M14+L14</f>
        <v>22178</v>
      </c>
    </row>
    <row r="15" spans="1:13" ht="13.5" customHeight="1" thickBot="1">
      <c r="A15" s="769"/>
      <c r="B15" s="170"/>
      <c r="C15" s="117">
        <f>C14/($C$23+$D$23+$E$23)</f>
        <v>1.0082403921290048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+'15'!J15</f>
        <v>0</v>
      </c>
      <c r="K15" s="244"/>
      <c r="L15" s="244"/>
      <c r="M15" s="121">
        <f>+K15+'15'!M15+L15</f>
        <v>0</v>
      </c>
    </row>
    <row r="16" spans="1:13" ht="13.5" thickBot="1">
      <c r="A16" s="775"/>
      <c r="B16" s="220" t="s">
        <v>519</v>
      </c>
      <c r="C16" s="227">
        <v>13517</v>
      </c>
      <c r="D16" s="228">
        <v>560</v>
      </c>
      <c r="E16" s="229"/>
      <c r="F16" s="236">
        <v>9</v>
      </c>
      <c r="G16" s="237" t="s">
        <v>11</v>
      </c>
      <c r="H16" s="235" t="s">
        <v>536</v>
      </c>
      <c r="I16" s="773"/>
      <c r="J16" s="219">
        <f>+'15'!J16</f>
        <v>0</v>
      </c>
      <c r="K16" s="234"/>
      <c r="L16" s="234"/>
      <c r="M16" s="121">
        <f>+K16+'15'!M16+L16</f>
        <v>0</v>
      </c>
    </row>
    <row r="17" spans="1:13" ht="13.5" thickBot="1">
      <c r="A17" s="775"/>
      <c r="B17" s="220"/>
      <c r="C17" s="221"/>
      <c r="D17" s="222"/>
      <c r="E17" s="230"/>
      <c r="F17" s="233">
        <v>10</v>
      </c>
      <c r="G17" s="237" t="s">
        <v>11</v>
      </c>
      <c r="H17" s="238" t="s">
        <v>408</v>
      </c>
      <c r="I17" s="773"/>
      <c r="J17" s="219">
        <f>+'15'!J17</f>
        <v>0</v>
      </c>
      <c r="K17" s="234"/>
      <c r="L17" s="234"/>
      <c r="M17" s="121">
        <f>+K17+'15'!M17+L17</f>
        <v>0</v>
      </c>
    </row>
    <row r="18" spans="1:13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556</v>
      </c>
      <c r="I18" s="773"/>
      <c r="J18" s="219">
        <f>+'15'!J18</f>
        <v>0</v>
      </c>
      <c r="K18" s="244"/>
      <c r="L18" s="244"/>
      <c r="M18" s="121">
        <f>+K18+'15'!M18+L18</f>
        <v>0</v>
      </c>
    </row>
    <row r="19" spans="1:13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+'15'!J19</f>
        <v>0</v>
      </c>
      <c r="K19" s="244"/>
      <c r="L19" s="244"/>
      <c r="M19" s="121">
        <f>+K19+'15'!M19+L19</f>
        <v>0</v>
      </c>
    </row>
    <row r="20" spans="1:13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+'15'!J20</f>
        <v>0</v>
      </c>
      <c r="K20" s="245"/>
      <c r="L20" s="245"/>
      <c r="M20" s="121">
        <f>+K20+'15'!M20+L20</f>
        <v>0</v>
      </c>
    </row>
    <row r="21" spans="1:13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+'15'!J21</f>
        <v>0</v>
      </c>
      <c r="K21" s="244"/>
      <c r="L21" s="244"/>
      <c r="M21" s="121">
        <f>+K21+'15'!M21+L21</f>
        <v>0</v>
      </c>
    </row>
    <row r="22" spans="1:13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+'15'!J22</f>
        <v>0</v>
      </c>
      <c r="K22" s="244"/>
      <c r="L22" s="244"/>
      <c r="M22" s="121">
        <f>+K22+'15'!M22+L22</f>
        <v>0</v>
      </c>
    </row>
    <row r="23" spans="1:13" ht="13.5" thickBot="1">
      <c r="A23" s="776"/>
      <c r="B23" s="173" t="s">
        <v>2</v>
      </c>
      <c r="C23" s="104">
        <f>SUM(C16:C22)</f>
        <v>13517</v>
      </c>
      <c r="D23" s="115">
        <f>SUM(D16:D22)</f>
        <v>560</v>
      </c>
      <c r="E23" s="116">
        <f>SUM(E18:E22)</f>
        <v>0</v>
      </c>
      <c r="F23" s="120">
        <f>SUM(F15:F22)</f>
        <v>19</v>
      </c>
      <c r="G23" s="163"/>
      <c r="H23" s="171"/>
      <c r="I23" s="174"/>
      <c r="J23" s="219">
        <f>+'15'!J23</f>
        <v>0</v>
      </c>
      <c r="K23" s="244"/>
      <c r="L23" s="244"/>
      <c r="M23" s="121">
        <f>+K23+'15'!M23+L23</f>
        <v>0</v>
      </c>
    </row>
    <row r="24" spans="1:13" ht="13.5" customHeight="1" thickBot="1">
      <c r="A24" s="769"/>
      <c r="B24" s="175"/>
      <c r="C24" s="117">
        <f>C23/($C$23+$D$23+$E$23)</f>
        <v>0.96021879661859766</v>
      </c>
      <c r="D24" s="118">
        <f>D23/($C$23+$D$23+$E$23)</f>
        <v>3.9781203381402286E-2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+'15'!J24</f>
        <v>0</v>
      </c>
      <c r="K24" s="244"/>
      <c r="L24" s="244"/>
      <c r="M24" s="121">
        <f>+K24+'15'!M24+L24</f>
        <v>0</v>
      </c>
    </row>
    <row r="25" spans="1:13" ht="13.5" thickBot="1">
      <c r="A25" s="775"/>
      <c r="B25" s="220" t="s">
        <v>519</v>
      </c>
      <c r="C25" s="231">
        <v>18246</v>
      </c>
      <c r="D25" s="222"/>
      <c r="E25" s="230"/>
      <c r="F25" s="236">
        <v>7</v>
      </c>
      <c r="G25" s="237" t="s">
        <v>11</v>
      </c>
      <c r="H25" s="235" t="s">
        <v>388</v>
      </c>
      <c r="I25" s="773"/>
      <c r="J25" s="219">
        <f>+'15'!J25</f>
        <v>0</v>
      </c>
      <c r="K25" s="244"/>
      <c r="L25" s="244"/>
      <c r="M25" s="121">
        <f>+K25+'15'!M25+L25</f>
        <v>0</v>
      </c>
    </row>
    <row r="26" spans="1:13" ht="13.5" thickBot="1">
      <c r="A26" s="775"/>
      <c r="B26" s="220"/>
      <c r="C26" s="231"/>
      <c r="D26" s="222"/>
      <c r="E26" s="232"/>
      <c r="F26" s="233">
        <v>10</v>
      </c>
      <c r="G26" s="237" t="s">
        <v>11</v>
      </c>
      <c r="H26" s="238" t="s">
        <v>389</v>
      </c>
      <c r="I26" s="773"/>
      <c r="J26" s="219">
        <f>+'15'!J26</f>
        <v>0</v>
      </c>
      <c r="K26" s="244"/>
      <c r="L26" s="244"/>
      <c r="M26" s="121">
        <f>+K26+'15'!M26+L26</f>
        <v>0</v>
      </c>
    </row>
    <row r="27" spans="1:13" ht="13.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556</v>
      </c>
      <c r="I27" s="773"/>
      <c r="J27" s="219">
        <f>+'15'!J27</f>
        <v>0</v>
      </c>
      <c r="K27" s="244"/>
      <c r="L27" s="244"/>
      <c r="M27" s="121">
        <f>+K27+'15'!M27+L27</f>
        <v>0</v>
      </c>
    </row>
    <row r="28" spans="1:13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+'15'!J28</f>
        <v>0</v>
      </c>
      <c r="K28" s="244"/>
      <c r="L28" s="244"/>
      <c r="M28" s="121">
        <f>+K28+'15'!M28+L28</f>
        <v>0</v>
      </c>
    </row>
    <row r="29" spans="1:13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+'15'!J29</f>
        <v>0</v>
      </c>
      <c r="K29" s="244"/>
      <c r="L29" s="244"/>
      <c r="M29" s="121">
        <f>+K29+'15'!M29+L29</f>
        <v>0</v>
      </c>
    </row>
    <row r="30" spans="1:13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+'15'!J30</f>
        <v>0</v>
      </c>
      <c r="K30" s="244"/>
      <c r="L30" s="244"/>
      <c r="M30" s="121">
        <f>+K30+'15'!M30+L30</f>
        <v>0</v>
      </c>
    </row>
    <row r="31" spans="1:13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+'15'!J31</f>
        <v>0</v>
      </c>
      <c r="K31" s="244"/>
      <c r="L31" s="244"/>
      <c r="M31" s="121">
        <f>+K31+'15'!M31+L31</f>
        <v>0</v>
      </c>
    </row>
    <row r="32" spans="1:13" ht="13.5" thickBot="1">
      <c r="A32" s="776"/>
      <c r="B32" s="170" t="s">
        <v>2</v>
      </c>
      <c r="C32" s="103">
        <f>SUM(C25:C31)</f>
        <v>18246</v>
      </c>
      <c r="D32" s="104">
        <f>SUM(D25:D31)</f>
        <v>0</v>
      </c>
      <c r="E32" s="105">
        <f>SUM(E25:E31)</f>
        <v>0</v>
      </c>
      <c r="F32" s="106">
        <f>SUM(F24:F31)</f>
        <v>17</v>
      </c>
      <c r="G32" s="176"/>
      <c r="H32" s="177"/>
      <c r="I32" s="174"/>
      <c r="J32" s="219">
        <f>+'15'!J32</f>
        <v>0</v>
      </c>
      <c r="K32" s="246"/>
      <c r="L32" s="248"/>
      <c r="M32" s="121">
        <f>+K32+'15'!M32+L32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45956</v>
      </c>
      <c r="D34" s="111">
        <f>D14+D23+D32</f>
        <v>560</v>
      </c>
      <c r="E34" s="111">
        <f>E14+E23+E32</f>
        <v>0</v>
      </c>
      <c r="F34" s="112">
        <f>F14+F23+F32</f>
        <v>62</v>
      </c>
      <c r="H34" s="183"/>
      <c r="I34" s="183"/>
      <c r="J34" s="127" t="s">
        <v>27</v>
      </c>
      <c r="K34" s="128">
        <f>SUM(K7:K32)</f>
        <v>45956</v>
      </c>
      <c r="L34" s="217">
        <f>SUM(L7:L32)</f>
        <v>0</v>
      </c>
      <c r="M34" s="124">
        <f>SUM(M7:M32)</f>
        <v>685960</v>
      </c>
    </row>
    <row r="35" spans="1:13" ht="13.5" thickBot="1">
      <c r="A35" s="184"/>
      <c r="B35" s="185"/>
      <c r="C35" s="108">
        <f>C34/($C$34+$D$34+$E$34)</f>
        <v>0.98796113165362454</v>
      </c>
      <c r="D35" s="108">
        <f>D34/($C$34+$D$34+$E$34)</f>
        <v>1.203886834637544E-2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(13.5*1440)/1440*G42*2.74*1440/1000000</f>
        <v>50.44784975999999</v>
      </c>
      <c r="J37" s="129">
        <f>+I37+'15'!J37</f>
        <v>770.81570764962282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62</v>
      </c>
      <c r="D38" s="122">
        <f>+C38+'15'!D38</f>
        <v>1113</v>
      </c>
      <c r="E38" s="147">
        <f t="shared" ref="E38:E51" si="0">D38/60</f>
        <v>18.55</v>
      </c>
      <c r="F38" s="327">
        <v>1230</v>
      </c>
      <c r="G38" s="327">
        <v>947.09999999999991</v>
      </c>
      <c r="H38" s="192" t="s">
        <v>63</v>
      </c>
      <c r="I38" s="250">
        <f>15.41+15.547+16.801</f>
        <v>47.757999999999996</v>
      </c>
      <c r="J38" s="131">
        <f>+I38+'15'!J38</f>
        <v>705.9989999999998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+C39+'15'!D39</f>
        <v>0</v>
      </c>
      <c r="E39" s="147">
        <f t="shared" si="0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48.175981728101426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+C40+'15'!D40</f>
        <v>299</v>
      </c>
      <c r="E40" s="147">
        <f t="shared" si="0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45.956000000000003</v>
      </c>
      <c r="J40" s="135">
        <f>+I40+'15'!J40</f>
        <v>685.96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+C41+'15'!D41</f>
        <v>60</v>
      </c>
      <c r="E41" s="147">
        <f t="shared" si="0"/>
        <v>1</v>
      </c>
      <c r="F41" s="327"/>
      <c r="G41" s="327"/>
      <c r="H41" s="192" t="s">
        <v>68</v>
      </c>
      <c r="I41" s="146"/>
      <c r="J41" s="133">
        <f>J40/G4</f>
        <v>42.872500000000002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+C42+'15'!D42</f>
        <v>0</v>
      </c>
      <c r="E42" s="147">
        <f t="shared" si="0"/>
        <v>0</v>
      </c>
      <c r="F42" s="327">
        <f>+(F38*480+F40*480+F39*480)/1440</f>
        <v>1230</v>
      </c>
      <c r="G42" s="327">
        <f>+(G38*480+G40*480+G39*480)/1440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13" ht="17.45" customHeight="1">
      <c r="A43" s="763" t="s">
        <v>222</v>
      </c>
      <c r="B43" s="764"/>
      <c r="C43" s="168">
        <f>SUMIF($G$7:$G$31,"Change Grade",$F$7:$F$31)</f>
        <v>0</v>
      </c>
      <c r="D43" s="122">
        <f>+C43+'15'!D43</f>
        <v>0</v>
      </c>
      <c r="E43" s="147">
        <f t="shared" si="0"/>
        <v>0</v>
      </c>
      <c r="F43" s="327"/>
      <c r="G43" s="328"/>
      <c r="H43" s="193" t="s">
        <v>72</v>
      </c>
      <c r="I43" s="122">
        <f>+Report1!Z24</f>
        <v>59.6</v>
      </c>
      <c r="J43" s="137">
        <f>+I43+'15'!J43</f>
        <v>906.70000000000016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+C44+'15'!D44</f>
        <v>0</v>
      </c>
      <c r="E44" s="147">
        <f t="shared" si="0"/>
        <v>0</v>
      </c>
      <c r="F44" s="327"/>
      <c r="G44" s="328"/>
      <c r="H44" s="193" t="s">
        <v>73</v>
      </c>
      <c r="I44" s="122">
        <f>I43/I38</f>
        <v>1.2479584572218267</v>
      </c>
      <c r="J44" s="138">
        <f>J43/J38</f>
        <v>1.2842794394892916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+C45+'15'!D45</f>
        <v>0</v>
      </c>
      <c r="E45" s="147">
        <f t="shared" si="0"/>
        <v>0</v>
      </c>
      <c r="F45" s="327"/>
      <c r="G45" s="330"/>
      <c r="H45" s="193" t="s">
        <v>74</v>
      </c>
      <c r="I45" s="122">
        <f>I43/I40</f>
        <v>1.2968926799547393</v>
      </c>
      <c r="J45" s="138">
        <f>J43/J40</f>
        <v>1.3217971893404865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+C46+'15'!D46</f>
        <v>0</v>
      </c>
      <c r="E46" s="147">
        <f t="shared" si="0"/>
        <v>0</v>
      </c>
      <c r="F46" s="327"/>
      <c r="G46" s="328"/>
      <c r="H46" s="193" t="s">
        <v>76</v>
      </c>
      <c r="I46" s="144">
        <f>+SUMIF(Listrik!P23,"&gt;0")</f>
        <v>37046.800000000003</v>
      </c>
      <c r="J46" s="139">
        <f>+I46+'15'!J46</f>
        <v>593331.14000000083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+C47+'15'!D47</f>
        <v>0</v>
      </c>
      <c r="E47" s="147">
        <f t="shared" si="0"/>
        <v>0</v>
      </c>
      <c r="F47" s="327"/>
      <c r="G47" s="328"/>
      <c r="H47" s="193" t="s">
        <v>79</v>
      </c>
      <c r="I47" s="122">
        <f>I46/I38</f>
        <v>775.71925122492576</v>
      </c>
      <c r="J47" s="139">
        <f>J46/J38</f>
        <v>840.41356999089373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+C48+'15'!D48</f>
        <v>0</v>
      </c>
      <c r="E48" s="147">
        <f t="shared" si="0"/>
        <v>0</v>
      </c>
      <c r="F48" s="327"/>
      <c r="G48" s="328"/>
      <c r="H48" s="193" t="s">
        <v>80</v>
      </c>
      <c r="I48" s="122">
        <f>I46/I40</f>
        <v>806.13630429106104</v>
      </c>
      <c r="J48" s="139">
        <f>J46/J40</f>
        <v>864.96463350632803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+C49+'15'!D49</f>
        <v>0</v>
      </c>
      <c r="E49" s="147">
        <f t="shared" si="0"/>
        <v>0</v>
      </c>
      <c r="F49" s="190"/>
      <c r="H49" s="193" t="s">
        <v>271</v>
      </c>
      <c r="I49" s="122">
        <f>+Report1!T24</f>
        <v>4247.3597849015123</v>
      </c>
      <c r="J49" s="139">
        <f>+I49+'15'!J49</f>
        <v>65046.845837361536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+C50+'15'!D50</f>
        <v>0</v>
      </c>
      <c r="E50" s="147">
        <f t="shared" si="0"/>
        <v>0</v>
      </c>
      <c r="F50" s="190"/>
      <c r="H50" s="193" t="s">
        <v>82</v>
      </c>
      <c r="I50" s="144">
        <f>I49/I38</f>
        <v>88.935043027377873</v>
      </c>
      <c r="J50" s="137">
        <f>J49/J38</f>
        <v>92.134473047924359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+C51+'15'!D51</f>
        <v>0</v>
      </c>
      <c r="E51" s="147">
        <f t="shared" si="0"/>
        <v>0</v>
      </c>
      <c r="F51" s="190"/>
      <c r="H51" s="195" t="s">
        <v>84</v>
      </c>
      <c r="I51" s="145">
        <f>I49/I40</f>
        <v>92.422312318337362</v>
      </c>
      <c r="J51" s="140">
        <f>J49/J40</f>
        <v>94.826004194649158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62</v>
      </c>
      <c r="D52" s="148">
        <f>SUM(D38:D51)</f>
        <v>1472</v>
      </c>
      <c r="E52" s="149">
        <f>SUM(E38:E51)</f>
        <v>24.533333333333335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4.3055555555555555E-2</v>
      </c>
      <c r="D53" s="150">
        <f>D52/(24*60*G4)</f>
        <v>6.3888888888888884E-2</v>
      </c>
      <c r="E53" s="151">
        <f>E52/(G4*24)</f>
        <v>6.3888888888888898E-2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+D34+'15'!J56</f>
        <v>4890</v>
      </c>
      <c r="K56" s="206">
        <f>J56/(J40+J56/1000)/1000</f>
        <v>7.0782369544763694E-3</v>
      </c>
    </row>
    <row r="57" spans="1:11">
      <c r="A57" s="181"/>
      <c r="I57" s="204" t="s">
        <v>87</v>
      </c>
      <c r="J57" s="205">
        <f>+E34+'15'!J57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  <mergeCell ref="A42:B42"/>
    <mergeCell ref="A39:B39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view="pageBreakPreview" topLeftCell="A19" zoomScale="80" zoomScaleNormal="75" zoomScaleSheetLayoutView="80" workbookViewId="0">
      <selection activeCell="K14" sqref="K14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3" ht="15.75">
      <c r="A1" s="152"/>
    </row>
    <row r="2" spans="1:13" ht="15.75">
      <c r="A2" s="152" t="s">
        <v>184</v>
      </c>
    </row>
    <row r="3" spans="1:13" ht="15">
      <c r="A3" s="154"/>
    </row>
    <row r="4" spans="1:13" ht="20.25">
      <c r="A4" s="155" t="s">
        <v>3</v>
      </c>
      <c r="B4" s="156"/>
      <c r="F4" s="157" t="s">
        <v>28</v>
      </c>
      <c r="G4" s="158">
        <v>15</v>
      </c>
      <c r="H4" s="158" t="str">
        <f>+'1'!H4</f>
        <v>.08.25</v>
      </c>
      <c r="J4" s="153">
        <f>314+321+510</f>
        <v>1145</v>
      </c>
    </row>
    <row r="5" spans="1:13" ht="13.5" thickBot="1">
      <c r="C5" s="159"/>
      <c r="D5" s="159"/>
    </row>
    <row r="6" spans="1:13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</row>
    <row r="7" spans="1:13" ht="13.5" customHeight="1" thickBot="1">
      <c r="A7" s="769"/>
      <c r="B7" s="220" t="s">
        <v>519</v>
      </c>
      <c r="C7" s="221">
        <v>13324</v>
      </c>
      <c r="D7" s="222"/>
      <c r="E7" s="223"/>
      <c r="F7" s="233">
        <v>6</v>
      </c>
      <c r="G7" s="234" t="s">
        <v>11</v>
      </c>
      <c r="H7" s="235" t="s">
        <v>407</v>
      </c>
      <c r="I7" s="772" t="s">
        <v>405</v>
      </c>
      <c r="J7" s="219" t="str">
        <f>+'14'!J7</f>
        <v>T 13 VP OW</v>
      </c>
      <c r="K7" s="243"/>
      <c r="L7" s="247"/>
      <c r="M7" s="121">
        <f>+K7+'14'!M7+L7</f>
        <v>252469</v>
      </c>
    </row>
    <row r="8" spans="1:13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+'14'!J8</f>
        <v>T 15,5 VP OW</v>
      </c>
      <c r="K8" s="244"/>
      <c r="L8" s="244"/>
      <c r="M8" s="121">
        <f>+K8+'14'!M8+L8</f>
        <v>79695</v>
      </c>
    </row>
    <row r="9" spans="1:13" ht="13.5" thickBot="1">
      <c r="A9" s="770"/>
      <c r="B9" s="220"/>
      <c r="C9" s="221"/>
      <c r="D9" s="222"/>
      <c r="E9" s="225"/>
      <c r="F9" s="233">
        <v>12</v>
      </c>
      <c r="G9" s="237" t="s">
        <v>11</v>
      </c>
      <c r="H9" s="238" t="s">
        <v>408</v>
      </c>
      <c r="I9" s="773"/>
      <c r="J9" s="219" t="str">
        <f>+'14'!J9</f>
        <v>T 19 VP OW</v>
      </c>
      <c r="K9" s="244"/>
      <c r="L9" s="244"/>
      <c r="M9" s="121">
        <f>+K9+'14'!M9+L9</f>
        <v>10916</v>
      </c>
    </row>
    <row r="10" spans="1:13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558</v>
      </c>
      <c r="I10" s="773"/>
      <c r="J10" s="219" t="str">
        <f>+'14'!J10</f>
        <v>F 15 VP OW</v>
      </c>
      <c r="K10" s="244"/>
      <c r="L10" s="244"/>
      <c r="M10" s="121">
        <f>+K10+'14'!M10+L10</f>
        <v>10380</v>
      </c>
    </row>
    <row r="11" spans="1:13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+'14'!J11</f>
        <v>F 13,5 VP OW</v>
      </c>
      <c r="K11" s="244">
        <f>+C34</f>
        <v>44925</v>
      </c>
      <c r="L11" s="244"/>
      <c r="M11" s="121">
        <f>+K11+'14'!M11+L11</f>
        <v>55376</v>
      </c>
    </row>
    <row r="12" spans="1:13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+'14'!J12</f>
        <v>F 13 VP OW</v>
      </c>
      <c r="K12" s="244"/>
      <c r="L12" s="244"/>
      <c r="M12" s="121">
        <f>+K12+'14'!M12+L12</f>
        <v>102735</v>
      </c>
    </row>
    <row r="13" spans="1:13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+'14'!J13</f>
        <v>F 12 VP OW</v>
      </c>
      <c r="K13" s="244"/>
      <c r="L13" s="244"/>
      <c r="M13" s="121">
        <f>+K13+'14'!M13+L13</f>
        <v>106255</v>
      </c>
    </row>
    <row r="14" spans="1:13" ht="13.5" thickBot="1">
      <c r="A14" s="771"/>
      <c r="B14" s="170" t="s">
        <v>2</v>
      </c>
      <c r="C14" s="103">
        <f>SUM(C7:C13)</f>
        <v>13324</v>
      </c>
      <c r="D14" s="115">
        <f>SUM(D7:D13)</f>
        <v>0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19" t="str">
        <f>+'14'!J14</f>
        <v>F 12,5 VP OW</v>
      </c>
      <c r="K14" s="244"/>
      <c r="L14" s="244"/>
      <c r="M14" s="121">
        <f>+K14+'14'!M14+L14</f>
        <v>22178</v>
      </c>
    </row>
    <row r="15" spans="1:13" ht="13.5" customHeight="1" thickBot="1">
      <c r="A15" s="769"/>
      <c r="B15" s="170"/>
      <c r="C15" s="117">
        <f>C14/($C$23+$D$23+$E$23)</f>
        <v>1.2255334805003679</v>
      </c>
      <c r="D15" s="118">
        <f>D14/($C$23+$D$23+$E$23)</f>
        <v>0</v>
      </c>
      <c r="E15" s="119">
        <f>E14/($C$23+$D$23+$E$23)</f>
        <v>0</v>
      </c>
      <c r="F15" s="233">
        <v>8</v>
      </c>
      <c r="G15" s="234" t="s">
        <v>11</v>
      </c>
      <c r="H15" s="235" t="s">
        <v>407</v>
      </c>
      <c r="I15" s="772" t="s">
        <v>405</v>
      </c>
      <c r="J15" s="219">
        <f>+'14'!J15</f>
        <v>0</v>
      </c>
      <c r="K15" s="244"/>
      <c r="L15" s="244"/>
      <c r="M15" s="121">
        <f>+K15+'14'!M15+L15</f>
        <v>0</v>
      </c>
    </row>
    <row r="16" spans="1:13" ht="13.5" thickBot="1">
      <c r="A16" s="775"/>
      <c r="B16" s="220" t="s">
        <v>519</v>
      </c>
      <c r="C16" s="227">
        <v>10872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+'14'!J16</f>
        <v>0</v>
      </c>
      <c r="K16" s="234"/>
      <c r="L16" s="234"/>
      <c r="M16" s="121">
        <f>+K16+'14'!M16+L16</f>
        <v>0</v>
      </c>
    </row>
    <row r="17" spans="1:13" ht="13.5" thickBot="1">
      <c r="A17" s="775"/>
      <c r="B17" s="220"/>
      <c r="C17" s="221"/>
      <c r="D17" s="222"/>
      <c r="E17" s="230"/>
      <c r="F17" s="233">
        <v>10</v>
      </c>
      <c r="G17" s="237" t="s">
        <v>11</v>
      </c>
      <c r="H17" s="238" t="s">
        <v>408</v>
      </c>
      <c r="I17" s="773"/>
      <c r="J17" s="219">
        <f>+'14'!J17</f>
        <v>0</v>
      </c>
      <c r="K17" s="234"/>
      <c r="L17" s="234"/>
      <c r="M17" s="121">
        <f>+K17+'14'!M17+L17</f>
        <v>0</v>
      </c>
    </row>
    <row r="18" spans="1:13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557</v>
      </c>
      <c r="I18" s="773"/>
      <c r="J18" s="219">
        <f>+'14'!J18</f>
        <v>0</v>
      </c>
      <c r="K18" s="244"/>
      <c r="L18" s="244"/>
      <c r="M18" s="121">
        <f>+K18+'14'!M18+L18</f>
        <v>0</v>
      </c>
    </row>
    <row r="19" spans="1:13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+'14'!J19</f>
        <v>0</v>
      </c>
      <c r="K19" s="244"/>
      <c r="L19" s="244"/>
      <c r="M19" s="121">
        <f>+K19+'14'!M19+L19</f>
        <v>0</v>
      </c>
    </row>
    <row r="20" spans="1:13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+'14'!J20</f>
        <v>0</v>
      </c>
      <c r="K20" s="245"/>
      <c r="L20" s="245"/>
      <c r="M20" s="121">
        <f>+K20+'14'!M20+L20</f>
        <v>0</v>
      </c>
    </row>
    <row r="21" spans="1:13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+'14'!J21</f>
        <v>0</v>
      </c>
      <c r="K21" s="244"/>
      <c r="L21" s="244"/>
      <c r="M21" s="121">
        <f>+K21+'14'!M21+L21</f>
        <v>0</v>
      </c>
    </row>
    <row r="22" spans="1:13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+'14'!J22</f>
        <v>0</v>
      </c>
      <c r="K22" s="244"/>
      <c r="L22" s="244"/>
      <c r="M22" s="121">
        <f>+K22+'14'!M22+L22</f>
        <v>0</v>
      </c>
    </row>
    <row r="23" spans="1:13" ht="13.5" thickBot="1">
      <c r="A23" s="776"/>
      <c r="B23" s="173" t="s">
        <v>2</v>
      </c>
      <c r="C23" s="104">
        <f>SUM(C16:C22)</f>
        <v>10872</v>
      </c>
      <c r="D23" s="115">
        <f>SUM(D16:D22)</f>
        <v>0</v>
      </c>
      <c r="E23" s="116">
        <f>SUM(E18:E22)</f>
        <v>0</v>
      </c>
      <c r="F23" s="120">
        <f>SUM(F15:F22)</f>
        <v>18</v>
      </c>
      <c r="G23" s="163"/>
      <c r="H23" s="171"/>
      <c r="I23" s="174"/>
      <c r="J23" s="219">
        <f>+'14'!J23</f>
        <v>0</v>
      </c>
      <c r="K23" s="244"/>
      <c r="L23" s="244"/>
      <c r="M23" s="121">
        <f>+K23+'14'!M23+L23</f>
        <v>0</v>
      </c>
    </row>
    <row r="24" spans="1:13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+'14'!J24</f>
        <v>0</v>
      </c>
      <c r="K24" s="244"/>
      <c r="L24" s="244"/>
      <c r="M24" s="121">
        <f>+K24+'14'!M24+L24</f>
        <v>0</v>
      </c>
    </row>
    <row r="25" spans="1:13" ht="13.5" thickBot="1">
      <c r="A25" s="775"/>
      <c r="B25" s="220" t="s">
        <v>519</v>
      </c>
      <c r="C25" s="231">
        <v>20729</v>
      </c>
      <c r="D25" s="222">
        <v>309</v>
      </c>
      <c r="E25" s="230"/>
      <c r="F25" s="236">
        <v>7</v>
      </c>
      <c r="G25" s="237" t="s">
        <v>11</v>
      </c>
      <c r="H25" s="235" t="s">
        <v>429</v>
      </c>
      <c r="I25" s="773"/>
      <c r="J25" s="219">
        <f>+'14'!J25</f>
        <v>0</v>
      </c>
      <c r="K25" s="244"/>
      <c r="L25" s="244"/>
      <c r="M25" s="121">
        <f>+K25+'14'!M25+L25</f>
        <v>0</v>
      </c>
    </row>
    <row r="26" spans="1:13" ht="13.5" thickBot="1">
      <c r="A26" s="775"/>
      <c r="B26" s="220"/>
      <c r="C26" s="231"/>
      <c r="D26" s="222"/>
      <c r="E26" s="232"/>
      <c r="F26" s="233">
        <v>10</v>
      </c>
      <c r="G26" s="237" t="s">
        <v>11</v>
      </c>
      <c r="H26" s="238" t="s">
        <v>428</v>
      </c>
      <c r="I26" s="773"/>
      <c r="J26" s="219">
        <f>+'14'!J26</f>
        <v>0</v>
      </c>
      <c r="K26" s="244"/>
      <c r="L26" s="244"/>
      <c r="M26" s="121">
        <f>+K26+'14'!M26+L26</f>
        <v>0</v>
      </c>
    </row>
    <row r="27" spans="1:13" ht="13.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556</v>
      </c>
      <c r="I27" s="773"/>
      <c r="J27" s="219">
        <f>+'14'!J27</f>
        <v>0</v>
      </c>
      <c r="K27" s="244"/>
      <c r="L27" s="244"/>
      <c r="M27" s="121">
        <f>+K27+'14'!M27+L27</f>
        <v>0</v>
      </c>
    </row>
    <row r="28" spans="1:13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+'14'!J28</f>
        <v>0</v>
      </c>
      <c r="K28" s="244"/>
      <c r="L28" s="244"/>
      <c r="M28" s="121">
        <f>+K28+'14'!M28+L28</f>
        <v>0</v>
      </c>
    </row>
    <row r="29" spans="1:13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+'14'!J29</f>
        <v>0</v>
      </c>
      <c r="K29" s="244"/>
      <c r="L29" s="244"/>
      <c r="M29" s="121">
        <f>+K29+'14'!M29+L29</f>
        <v>0</v>
      </c>
    </row>
    <row r="30" spans="1:13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+'14'!J30</f>
        <v>0</v>
      </c>
      <c r="K30" s="244"/>
      <c r="L30" s="244"/>
      <c r="M30" s="121">
        <f>+K30+'14'!M30+L30</f>
        <v>0</v>
      </c>
    </row>
    <row r="31" spans="1:13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+'14'!J31</f>
        <v>0</v>
      </c>
      <c r="K31" s="244"/>
      <c r="L31" s="244"/>
      <c r="M31" s="121">
        <f>+K31+'14'!M31+L31</f>
        <v>0</v>
      </c>
    </row>
    <row r="32" spans="1:13" ht="13.5" thickBot="1">
      <c r="A32" s="776"/>
      <c r="B32" s="170" t="s">
        <v>2</v>
      </c>
      <c r="C32" s="103">
        <f>SUM(C25:C31)</f>
        <v>20729</v>
      </c>
      <c r="D32" s="104">
        <f>SUM(D25:D31)</f>
        <v>309</v>
      </c>
      <c r="E32" s="105">
        <f>SUM(E25:E31)</f>
        <v>0</v>
      </c>
      <c r="F32" s="106">
        <f>SUM(F24:F31)</f>
        <v>17</v>
      </c>
      <c r="G32" s="176"/>
      <c r="H32" s="177"/>
      <c r="I32" s="174"/>
      <c r="J32" s="219">
        <f>+'14'!J32</f>
        <v>0</v>
      </c>
      <c r="K32" s="246"/>
      <c r="L32" s="248"/>
      <c r="M32" s="121">
        <f>+K32+'14'!M32+L32</f>
        <v>0</v>
      </c>
    </row>
    <row r="33" spans="1:13" ht="13.5" thickBot="1">
      <c r="A33" s="178"/>
      <c r="B33" s="179"/>
      <c r="C33" s="107">
        <f>C32/($C$32+$D$32+$E$32)</f>
        <v>0.98531229204296988</v>
      </c>
      <c r="D33" s="108">
        <f>D32/($C$32+$D$32+$E$32)</f>
        <v>1.4687707957030135E-2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44925</v>
      </c>
      <c r="D34" s="111">
        <f>D14+D23+D32</f>
        <v>309</v>
      </c>
      <c r="E34" s="111">
        <f>E14+E23+E32</f>
        <v>0</v>
      </c>
      <c r="F34" s="112">
        <f>F14+F23+F32</f>
        <v>53</v>
      </c>
      <c r="H34" s="183"/>
      <c r="I34" s="183"/>
      <c r="J34" s="127" t="s">
        <v>27</v>
      </c>
      <c r="K34" s="128">
        <f>SUM(K7:K32)</f>
        <v>44925</v>
      </c>
      <c r="L34" s="217">
        <f>SUM(L7:L32)</f>
        <v>0</v>
      </c>
      <c r="M34" s="124">
        <f>SUM(M7:M32)</f>
        <v>640004</v>
      </c>
    </row>
    <row r="35" spans="1:13" ht="13.5" thickBot="1">
      <c r="A35" s="184"/>
      <c r="B35" s="185"/>
      <c r="C35" s="108">
        <f>C34/($C$34+$D$34+$E$34)</f>
        <v>0.99316885528584697</v>
      </c>
      <c r="D35" s="108">
        <f>D34/($C$34+$D$34+$E$34)</f>
        <v>6.8311447141530708E-3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(13.5*1440)/1440*G42*2.74*1440/1000000</f>
        <v>50.447849759999997</v>
      </c>
      <c r="J37" s="129">
        <f>+I37+'14'!J37</f>
        <v>720.36785788962288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53</v>
      </c>
      <c r="D38" s="122">
        <f>+C38+'14'!D38</f>
        <v>1051</v>
      </c>
      <c r="E38" s="147">
        <f t="shared" ref="E38:E51" si="0">D38/60</f>
        <v>17.516666666666666</v>
      </c>
      <c r="F38" s="327">
        <v>1230</v>
      </c>
      <c r="G38" s="327">
        <v>947.09999999999991</v>
      </c>
      <c r="H38" s="192" t="s">
        <v>63</v>
      </c>
      <c r="I38" s="250">
        <f>15.159+15.453+15.601</f>
        <v>46.213000000000001</v>
      </c>
      <c r="J38" s="131">
        <f>+I38+'14'!J38</f>
        <v>658.24099999999976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+C39+'14'!D39</f>
        <v>0</v>
      </c>
      <c r="E39" s="147">
        <f t="shared" si="0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48.024523859308189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+C40+'14'!D40</f>
        <v>299</v>
      </c>
      <c r="E40" s="147">
        <f t="shared" si="0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44.924999999999997</v>
      </c>
      <c r="J40" s="135">
        <f>+I40+'14'!J40</f>
        <v>640.00400000000002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+C41+'14'!D41</f>
        <v>60</v>
      </c>
      <c r="E41" s="147">
        <f t="shared" si="0"/>
        <v>1</v>
      </c>
      <c r="F41" s="327"/>
      <c r="G41" s="327"/>
      <c r="H41" s="192" t="s">
        <v>68</v>
      </c>
      <c r="I41" s="146"/>
      <c r="J41" s="133">
        <f>J40/G4</f>
        <v>42.666933333333333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+C42+'14'!D42</f>
        <v>0</v>
      </c>
      <c r="E42" s="147">
        <f t="shared" si="0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13" ht="17.45" customHeight="1">
      <c r="A43" s="763" t="s">
        <v>222</v>
      </c>
      <c r="B43" s="764"/>
      <c r="C43" s="168">
        <f>SUMIF($G$7:$G$31,"Change Grade",$F$7:$F$31)</f>
        <v>0</v>
      </c>
      <c r="D43" s="122">
        <f>+C43+'14'!D43</f>
        <v>0</v>
      </c>
      <c r="E43" s="147">
        <f t="shared" si="0"/>
        <v>0</v>
      </c>
      <c r="F43" s="327"/>
      <c r="G43" s="328"/>
      <c r="H43" s="193" t="s">
        <v>72</v>
      </c>
      <c r="I43" s="122">
        <f>+Report1!Z23</f>
        <v>60.6</v>
      </c>
      <c r="J43" s="137">
        <f>+I43+'14'!J43</f>
        <v>847.10000000000014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+C44+'14'!D44</f>
        <v>0</v>
      </c>
      <c r="E44" s="147">
        <f t="shared" si="0"/>
        <v>0</v>
      </c>
      <c r="F44" s="327"/>
      <c r="G44" s="328"/>
      <c r="H44" s="193" t="s">
        <v>73</v>
      </c>
      <c r="I44" s="122">
        <f>I43/I38</f>
        <v>1.3113193257308549</v>
      </c>
      <c r="J44" s="138">
        <f>J43/J38</f>
        <v>1.286914671070323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+C45+'14'!D45</f>
        <v>0</v>
      </c>
      <c r="E45" s="147">
        <f t="shared" si="0"/>
        <v>0</v>
      </c>
      <c r="F45" s="327"/>
      <c r="G45" s="330"/>
      <c r="H45" s="193" t="s">
        <v>74</v>
      </c>
      <c r="I45" s="122">
        <f>I43/I40</f>
        <v>1.3489148580968282</v>
      </c>
      <c r="J45" s="138">
        <f>J43/J40</f>
        <v>1.3235854775907652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+C46+'14'!D46</f>
        <v>0</v>
      </c>
      <c r="E46" s="147">
        <f t="shared" si="0"/>
        <v>0</v>
      </c>
      <c r="F46" s="327"/>
      <c r="G46" s="328"/>
      <c r="H46" s="193" t="s">
        <v>76</v>
      </c>
      <c r="I46" s="144">
        <f>+SUMIF(Listrik!P22,"&gt;0")</f>
        <v>37218.46</v>
      </c>
      <c r="J46" s="139">
        <f>+I46+'14'!J46</f>
        <v>556284.34000000078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+C47+'14'!D47</f>
        <v>0</v>
      </c>
      <c r="E47" s="147">
        <f t="shared" si="0"/>
        <v>0</v>
      </c>
      <c r="F47" s="327"/>
      <c r="G47" s="328"/>
      <c r="H47" s="193" t="s">
        <v>79</v>
      </c>
      <c r="I47" s="122">
        <f>I46/I38</f>
        <v>805.3677536623893</v>
      </c>
      <c r="J47" s="139">
        <f>J46/J38</f>
        <v>845.10739987330021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+C48+'14'!D48</f>
        <v>0</v>
      </c>
      <c r="E48" s="147">
        <f t="shared" si="0"/>
        <v>0</v>
      </c>
      <c r="F48" s="327"/>
      <c r="G48" s="328"/>
      <c r="H48" s="193" t="s">
        <v>80</v>
      </c>
      <c r="I48" s="122">
        <f>I46/I40</f>
        <v>828.45765164162492</v>
      </c>
      <c r="J48" s="139">
        <f>J46/J40</f>
        <v>869.18884881969609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+C49+'14'!D49</f>
        <v>0</v>
      </c>
      <c r="E49" s="147">
        <f t="shared" si="0"/>
        <v>0</v>
      </c>
      <c r="F49" s="190"/>
      <c r="H49" s="193" t="s">
        <v>271</v>
      </c>
      <c r="I49" s="122">
        <f>+Report1!T23</f>
        <v>4106.7766394818718</v>
      </c>
      <c r="J49" s="139">
        <f>+I49+'14'!J49</f>
        <v>60799.486052460023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+C50+'14'!D50</f>
        <v>0</v>
      </c>
      <c r="E50" s="147">
        <f t="shared" si="0"/>
        <v>0</v>
      </c>
      <c r="F50" s="190"/>
      <c r="H50" s="193" t="s">
        <v>82</v>
      </c>
      <c r="I50" s="144">
        <f>I49/I38</f>
        <v>88.866263594267238</v>
      </c>
      <c r="J50" s="137">
        <f>J49/J38</f>
        <v>92.366604408506987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+C51+'14'!D51</f>
        <v>0</v>
      </c>
      <c r="E51" s="147">
        <f t="shared" si="0"/>
        <v>0</v>
      </c>
      <c r="F51" s="190"/>
      <c r="H51" s="195" t="s">
        <v>84</v>
      </c>
      <c r="I51" s="145">
        <f>I49/I40</f>
        <v>91.41405986604056</v>
      </c>
      <c r="J51" s="140">
        <f>J49/J40</f>
        <v>94.998603215698679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53</v>
      </c>
      <c r="D52" s="148">
        <f>SUM(D38:D51)</f>
        <v>1410</v>
      </c>
      <c r="E52" s="149">
        <f>SUM(E38:E51)</f>
        <v>23.5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3.6805555555555557E-2</v>
      </c>
      <c r="D53" s="150">
        <f>D52/(24*60*G4)</f>
        <v>6.5277777777777782E-2</v>
      </c>
      <c r="E53" s="151">
        <f>E52/(G4*24)</f>
        <v>6.5277777777777782E-2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+D34+'14'!J56</f>
        <v>4330</v>
      </c>
      <c r="K56" s="206">
        <f>J56/(J40+J56/1000)/1000</f>
        <v>6.7201172062936292E-3</v>
      </c>
    </row>
    <row r="57" spans="1:11">
      <c r="A57" s="181"/>
      <c r="I57" s="204" t="s">
        <v>87</v>
      </c>
      <c r="J57" s="205">
        <f>+E34+'14'!J57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view="pageBreakPreview" topLeftCell="A4" zoomScale="80" zoomScaleNormal="75" zoomScaleSheetLayoutView="80" workbookViewId="0">
      <selection activeCell="D15" sqref="D1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20" ht="15.75">
      <c r="A1" s="152"/>
    </row>
    <row r="2" spans="1:20" ht="15.75">
      <c r="A2" s="152" t="s">
        <v>184</v>
      </c>
    </row>
    <row r="3" spans="1:20" ht="15">
      <c r="A3" s="154"/>
    </row>
    <row r="4" spans="1:20" ht="20.25">
      <c r="A4" s="155" t="s">
        <v>3</v>
      </c>
      <c r="B4" s="156"/>
      <c r="F4" s="157" t="s">
        <v>28</v>
      </c>
      <c r="G4" s="158">
        <v>14</v>
      </c>
      <c r="H4" s="158" t="str">
        <f>+'1'!H4</f>
        <v>.08.25</v>
      </c>
      <c r="J4" s="153">
        <f>537+558+496</f>
        <v>1591</v>
      </c>
    </row>
    <row r="5" spans="1:20" ht="13.5" thickBot="1">
      <c r="C5" s="159"/>
      <c r="D5" s="159"/>
    </row>
    <row r="6" spans="1:20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O6" s="153" t="s">
        <v>503</v>
      </c>
      <c r="P6" s="153">
        <v>1230</v>
      </c>
      <c r="Q6" s="153">
        <f>+P6-P6*0.23</f>
        <v>947.09999999999991</v>
      </c>
      <c r="R6" s="153">
        <f>60*6+3</f>
        <v>363</v>
      </c>
      <c r="S6" s="153">
        <f t="shared" ref="S6:S9" si="0">+P6*R6</f>
        <v>446490</v>
      </c>
      <c r="T6" s="153">
        <f t="shared" ref="T6:T9" si="1">+Q6*R6</f>
        <v>343797.3</v>
      </c>
    </row>
    <row r="7" spans="1:20" ht="13.5" customHeight="1" thickBot="1">
      <c r="A7" s="769"/>
      <c r="B7" s="220" t="s">
        <v>520</v>
      </c>
      <c r="C7" s="221">
        <v>13336</v>
      </c>
      <c r="D7" s="222"/>
      <c r="E7" s="223"/>
      <c r="F7" s="233">
        <v>6</v>
      </c>
      <c r="G7" s="234" t="s">
        <v>11</v>
      </c>
      <c r="H7" s="235" t="s">
        <v>407</v>
      </c>
      <c r="I7" s="772" t="s">
        <v>405</v>
      </c>
      <c r="J7" s="219" t="str">
        <f>+'13'!J7</f>
        <v>T 13 VP OW</v>
      </c>
      <c r="K7" s="243"/>
      <c r="L7" s="247"/>
      <c r="M7" s="121">
        <f>+K7+'13'!M7+L7</f>
        <v>252469</v>
      </c>
      <c r="O7" s="153" t="s">
        <v>552</v>
      </c>
      <c r="P7" s="153">
        <v>1230</v>
      </c>
      <c r="Q7" s="153">
        <f>+P7-P7*0.23</f>
        <v>947.09999999999991</v>
      </c>
      <c r="R7" s="153">
        <f>480-R6</f>
        <v>117</v>
      </c>
      <c r="S7" s="153">
        <f t="shared" si="0"/>
        <v>143910</v>
      </c>
      <c r="T7" s="153">
        <f t="shared" si="1"/>
        <v>110810.69999999998</v>
      </c>
    </row>
    <row r="8" spans="1:20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+'13'!J8</f>
        <v>T 15,5 VP OW</v>
      </c>
      <c r="K8" s="244"/>
      <c r="L8" s="244"/>
      <c r="M8" s="121">
        <f>+K8+'13'!M8+L8</f>
        <v>79695</v>
      </c>
      <c r="Q8" s="153">
        <f t="shared" ref="Q8:Q9" si="2">+P8-P8*0.25</f>
        <v>0</v>
      </c>
      <c r="S8" s="153">
        <f t="shared" si="0"/>
        <v>0</v>
      </c>
      <c r="T8" s="153">
        <f t="shared" si="1"/>
        <v>0</v>
      </c>
    </row>
    <row r="9" spans="1:20" ht="13.5" thickBot="1">
      <c r="A9" s="770"/>
      <c r="B9" s="220"/>
      <c r="C9" s="221"/>
      <c r="D9" s="222"/>
      <c r="E9" s="225"/>
      <c r="F9" s="233">
        <v>12</v>
      </c>
      <c r="G9" s="237" t="s">
        <v>11</v>
      </c>
      <c r="H9" s="238" t="s">
        <v>428</v>
      </c>
      <c r="I9" s="773"/>
      <c r="J9" s="219" t="str">
        <f>+'13'!J9</f>
        <v>T 19 VP OW</v>
      </c>
      <c r="K9" s="244"/>
      <c r="L9" s="244"/>
      <c r="M9" s="121">
        <f>+K9+'13'!M9+L9</f>
        <v>10916</v>
      </c>
      <c r="Q9" s="153">
        <f t="shared" si="2"/>
        <v>0</v>
      </c>
      <c r="S9" s="153">
        <f t="shared" si="0"/>
        <v>0</v>
      </c>
      <c r="T9" s="153">
        <f t="shared" si="1"/>
        <v>0</v>
      </c>
    </row>
    <row r="10" spans="1:20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550</v>
      </c>
      <c r="I10" s="773"/>
      <c r="J10" s="219" t="str">
        <f>+'13'!J10</f>
        <v>F 15 VP OW</v>
      </c>
      <c r="K10" s="244"/>
      <c r="L10" s="244"/>
      <c r="M10" s="121">
        <f>+K10+'13'!M10+L10</f>
        <v>10380</v>
      </c>
      <c r="R10" s="153">
        <f>SUM(R5:R9)</f>
        <v>480</v>
      </c>
      <c r="S10" s="153">
        <f>SUM(S5:S9)</f>
        <v>590400</v>
      </c>
      <c r="T10" s="153">
        <f>SUM(T5:T9)</f>
        <v>454608</v>
      </c>
    </row>
    <row r="11" spans="1:20" ht="39" thickBot="1">
      <c r="A11" s="770"/>
      <c r="B11" s="220"/>
      <c r="C11" s="221"/>
      <c r="D11" s="222"/>
      <c r="E11" s="224"/>
      <c r="F11" s="233"/>
      <c r="G11" s="237"/>
      <c r="H11" s="238" t="s">
        <v>551</v>
      </c>
      <c r="I11" s="773"/>
      <c r="J11" s="219" t="str">
        <f>+'13'!J11</f>
        <v>F 13,5 VP OW</v>
      </c>
      <c r="K11" s="244"/>
      <c r="L11" s="244"/>
      <c r="M11" s="121">
        <f>+K11+'13'!M11+L11</f>
        <v>10451</v>
      </c>
      <c r="P11" s="153" t="s">
        <v>404</v>
      </c>
      <c r="S11" s="153">
        <f>+S10/R10</f>
        <v>1230</v>
      </c>
      <c r="T11" s="153">
        <f>+T10/R10</f>
        <v>947.1</v>
      </c>
    </row>
    <row r="12" spans="1:20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+'13'!J12</f>
        <v>F 13 VP OW</v>
      </c>
      <c r="K12" s="244">
        <f>+C26+C7</f>
        <v>19868</v>
      </c>
      <c r="L12" s="244"/>
      <c r="M12" s="121">
        <f>+K12+'13'!M12+L12</f>
        <v>102735</v>
      </c>
    </row>
    <row r="13" spans="1:20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+'13'!J13</f>
        <v>F 12 VP OW</v>
      </c>
      <c r="K13" s="244"/>
      <c r="L13" s="244"/>
      <c r="M13" s="121">
        <f>+K13+'13'!M13+L13</f>
        <v>106255</v>
      </c>
    </row>
    <row r="14" spans="1:20" ht="13.5" thickBot="1">
      <c r="A14" s="771"/>
      <c r="B14" s="170" t="s">
        <v>2</v>
      </c>
      <c r="C14" s="103">
        <f>SUM(C7:C13)</f>
        <v>13336</v>
      </c>
      <c r="D14" s="115">
        <f>SUM(D7:D13)</f>
        <v>0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19" t="s">
        <v>555</v>
      </c>
      <c r="K14" s="244">
        <f>+C16+C25</f>
        <v>22178</v>
      </c>
      <c r="L14" s="244"/>
      <c r="M14" s="121">
        <f>+K14+'13'!M14+L14</f>
        <v>22178</v>
      </c>
    </row>
    <row r="15" spans="1:20" ht="13.5" customHeight="1" thickBot="1">
      <c r="A15" s="769"/>
      <c r="B15" s="170"/>
      <c r="C15" s="117">
        <f>C14/($C$23+$D$23+$E$23)</f>
        <v>1.0523159472895132</v>
      </c>
      <c r="D15" s="118">
        <f>D14/($C$23+$D$23+$E$23)</f>
        <v>0</v>
      </c>
      <c r="E15" s="119">
        <f>E14/($C$23+$D$23+$E$23)</f>
        <v>0</v>
      </c>
      <c r="F15" s="233">
        <v>9</v>
      </c>
      <c r="G15" s="234" t="s">
        <v>11</v>
      </c>
      <c r="H15" s="235" t="s">
        <v>407</v>
      </c>
      <c r="I15" s="772" t="s">
        <v>405</v>
      </c>
      <c r="J15" s="219">
        <f>+'13'!J15</f>
        <v>0</v>
      </c>
      <c r="K15" s="244"/>
      <c r="L15" s="244"/>
      <c r="M15" s="121">
        <f>+K15+'13'!M15+L15</f>
        <v>0</v>
      </c>
      <c r="O15" s="153" t="s">
        <v>552</v>
      </c>
      <c r="P15" s="153">
        <v>1230</v>
      </c>
      <c r="Q15" s="153">
        <f>+P15-P15*0.23</f>
        <v>947.09999999999991</v>
      </c>
      <c r="R15" s="153">
        <v>480</v>
      </c>
      <c r="S15" s="153">
        <f t="shared" ref="S15:S18" si="3">+P15*R15</f>
        <v>590400</v>
      </c>
      <c r="T15" s="153">
        <f t="shared" ref="T15:T18" si="4">+Q15*R15</f>
        <v>454607.99999999994</v>
      </c>
    </row>
    <row r="16" spans="1:20" ht="13.5" thickBot="1">
      <c r="A16" s="775"/>
      <c r="B16" s="220" t="s">
        <v>555</v>
      </c>
      <c r="C16" s="227">
        <v>12673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+'13'!J16</f>
        <v>0</v>
      </c>
      <c r="K16" s="234"/>
      <c r="L16" s="234"/>
      <c r="M16" s="121">
        <f>+K16+'13'!M16+L16</f>
        <v>0</v>
      </c>
      <c r="Q16" s="153">
        <f>+P16-P16*0.23</f>
        <v>0</v>
      </c>
      <c r="R16" s="153">
        <f>480-R15</f>
        <v>0</v>
      </c>
      <c r="S16" s="153">
        <f t="shared" si="3"/>
        <v>0</v>
      </c>
      <c r="T16" s="153">
        <f t="shared" si="4"/>
        <v>0</v>
      </c>
    </row>
    <row r="17" spans="1:20" ht="13.5" thickBot="1">
      <c r="A17" s="775"/>
      <c r="B17" s="220"/>
      <c r="C17" s="221"/>
      <c r="D17" s="222"/>
      <c r="E17" s="230"/>
      <c r="F17" s="233">
        <f>26-9</f>
        <v>17</v>
      </c>
      <c r="G17" s="237" t="s">
        <v>11</v>
      </c>
      <c r="H17" s="238" t="s">
        <v>389</v>
      </c>
      <c r="I17" s="773"/>
      <c r="J17" s="219">
        <f>+'13'!J17</f>
        <v>0</v>
      </c>
      <c r="K17" s="234"/>
      <c r="L17" s="234"/>
      <c r="M17" s="121">
        <f>+K17+'13'!M17+L17</f>
        <v>0</v>
      </c>
      <c r="Q17" s="153">
        <f t="shared" ref="Q17:Q18" si="5">+P17-P17*0.25</f>
        <v>0</v>
      </c>
      <c r="S17" s="153">
        <f t="shared" si="3"/>
        <v>0</v>
      </c>
      <c r="T17" s="153">
        <f t="shared" si="4"/>
        <v>0</v>
      </c>
    </row>
    <row r="18" spans="1:20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548</v>
      </c>
      <c r="I18" s="773"/>
      <c r="J18" s="219">
        <f>+'13'!J18</f>
        <v>0</v>
      </c>
      <c r="K18" s="244"/>
      <c r="L18" s="244"/>
      <c r="M18" s="121">
        <f>+K18+'13'!M18+L18</f>
        <v>0</v>
      </c>
      <c r="Q18" s="153">
        <f t="shared" si="5"/>
        <v>0</v>
      </c>
      <c r="S18" s="153">
        <f t="shared" si="3"/>
        <v>0</v>
      </c>
      <c r="T18" s="153">
        <f t="shared" si="4"/>
        <v>0</v>
      </c>
    </row>
    <row r="19" spans="1:20" ht="39" thickBot="1">
      <c r="A19" s="775"/>
      <c r="B19" s="220"/>
      <c r="C19" s="221"/>
      <c r="D19" s="222"/>
      <c r="E19" s="230"/>
      <c r="F19" s="240"/>
      <c r="G19" s="237"/>
      <c r="H19" s="238" t="s">
        <v>549</v>
      </c>
      <c r="I19" s="773"/>
      <c r="J19" s="219">
        <f>+'13'!J19</f>
        <v>0</v>
      </c>
      <c r="K19" s="244"/>
      <c r="L19" s="244"/>
      <c r="M19" s="121">
        <f>+K19+'13'!M19+L19</f>
        <v>0</v>
      </c>
      <c r="R19" s="153">
        <f>SUM(R14:R18)</f>
        <v>480</v>
      </c>
      <c r="S19" s="153">
        <f>SUM(S14:S18)</f>
        <v>590400</v>
      </c>
      <c r="T19" s="153">
        <f>SUM(T14:T18)</f>
        <v>454607.99999999994</v>
      </c>
    </row>
    <row r="20" spans="1:20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+'13'!J20</f>
        <v>0</v>
      </c>
      <c r="K20" s="245"/>
      <c r="L20" s="245"/>
      <c r="M20" s="121">
        <f>+K20+'13'!M20+L20</f>
        <v>0</v>
      </c>
      <c r="P20" s="153" t="s">
        <v>404</v>
      </c>
      <c r="S20" s="153">
        <f>+S19/R19</f>
        <v>1230</v>
      </c>
      <c r="T20" s="153">
        <f>+T19/R19</f>
        <v>947.09999999999991</v>
      </c>
    </row>
    <row r="21" spans="1:20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+'13'!J21</f>
        <v>0</v>
      </c>
      <c r="K21" s="244"/>
      <c r="L21" s="244"/>
      <c r="M21" s="121">
        <f>+K21+'13'!M21+L21</f>
        <v>0</v>
      </c>
    </row>
    <row r="22" spans="1:20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+'13'!J22</f>
        <v>0</v>
      </c>
      <c r="K22" s="244"/>
      <c r="L22" s="244"/>
      <c r="M22" s="121">
        <f>+K22+'13'!M22+L22</f>
        <v>0</v>
      </c>
    </row>
    <row r="23" spans="1:20" ht="13.5" thickBot="1">
      <c r="A23" s="776"/>
      <c r="B23" s="173" t="s">
        <v>2</v>
      </c>
      <c r="C23" s="104">
        <f>SUM(C16:C22)</f>
        <v>12673</v>
      </c>
      <c r="D23" s="115">
        <f>SUM(D16:D22)</f>
        <v>0</v>
      </c>
      <c r="E23" s="116">
        <f>SUM(E18:E22)</f>
        <v>0</v>
      </c>
      <c r="F23" s="120">
        <f>SUM(F15:F22)</f>
        <v>26</v>
      </c>
      <c r="G23" s="163"/>
      <c r="H23" s="171"/>
      <c r="I23" s="174"/>
      <c r="J23" s="219">
        <f>+'13'!J23</f>
        <v>0</v>
      </c>
      <c r="K23" s="244"/>
      <c r="L23" s="244"/>
      <c r="M23" s="121">
        <f>+K23+'13'!M23+L23</f>
        <v>0</v>
      </c>
      <c r="O23" s="153" t="s">
        <v>552</v>
      </c>
      <c r="P23" s="153">
        <v>1230</v>
      </c>
      <c r="Q23" s="153">
        <f>+P23-P23*0.23</f>
        <v>947.09999999999991</v>
      </c>
      <c r="R23" s="153">
        <f>60*3+30</f>
        <v>210</v>
      </c>
      <c r="S23" s="153">
        <f t="shared" ref="S23:S26" si="6">+P23*R23</f>
        <v>258300</v>
      </c>
      <c r="T23" s="153">
        <f t="shared" ref="T23:T26" si="7">+Q23*R23</f>
        <v>198890.99999999997</v>
      </c>
    </row>
    <row r="24" spans="1:20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6</v>
      </c>
      <c r="G24" s="234" t="s">
        <v>11</v>
      </c>
      <c r="H24" s="235" t="s">
        <v>407</v>
      </c>
      <c r="I24" s="772" t="s">
        <v>405</v>
      </c>
      <c r="J24" s="219">
        <f>+'13'!J24</f>
        <v>0</v>
      </c>
      <c r="K24" s="244"/>
      <c r="L24" s="244"/>
      <c r="M24" s="121">
        <f>+K24+'13'!M24+L24</f>
        <v>0</v>
      </c>
      <c r="O24" s="153" t="s">
        <v>503</v>
      </c>
      <c r="P24" s="153">
        <v>1230</v>
      </c>
      <c r="Q24" s="153">
        <f>+P24-P24*0.23</f>
        <v>947.09999999999991</v>
      </c>
      <c r="R24" s="153">
        <f>480-R23</f>
        <v>270</v>
      </c>
      <c r="S24" s="153">
        <f t="shared" si="6"/>
        <v>332100</v>
      </c>
      <c r="T24" s="153">
        <f t="shared" si="7"/>
        <v>255716.99999999997</v>
      </c>
    </row>
    <row r="25" spans="1:20" ht="13.5" thickBot="1">
      <c r="A25" s="775"/>
      <c r="B25" s="220" t="s">
        <v>555</v>
      </c>
      <c r="C25" s="231">
        <f>4386+5119</f>
        <v>9505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+'13'!J25</f>
        <v>0</v>
      </c>
      <c r="K25" s="244"/>
      <c r="L25" s="244"/>
      <c r="M25" s="121">
        <f>+K25+'13'!M25+L25</f>
        <v>0</v>
      </c>
      <c r="Q25" s="153">
        <f t="shared" ref="Q25:Q26" si="8">+P25-P25*0.25</f>
        <v>0</v>
      </c>
      <c r="S25" s="153">
        <f t="shared" si="6"/>
        <v>0</v>
      </c>
      <c r="T25" s="153">
        <f t="shared" si="7"/>
        <v>0</v>
      </c>
    </row>
    <row r="26" spans="1:20" ht="13.5" thickBot="1">
      <c r="A26" s="775"/>
      <c r="B26" s="220" t="s">
        <v>520</v>
      </c>
      <c r="C26" s="231">
        <v>6532</v>
      </c>
      <c r="D26" s="222"/>
      <c r="E26" s="232"/>
      <c r="F26" s="233">
        <f>22-6</f>
        <v>16</v>
      </c>
      <c r="G26" s="237" t="s">
        <v>11</v>
      </c>
      <c r="H26" s="238" t="s">
        <v>428</v>
      </c>
      <c r="I26" s="773"/>
      <c r="J26" s="219">
        <f>+'13'!J26</f>
        <v>0</v>
      </c>
      <c r="K26" s="244"/>
      <c r="L26" s="244"/>
      <c r="M26" s="121">
        <f>+K26+'13'!M26+L26</f>
        <v>0</v>
      </c>
      <c r="Q26" s="153">
        <f t="shared" si="8"/>
        <v>0</v>
      </c>
      <c r="S26" s="153">
        <f t="shared" si="6"/>
        <v>0</v>
      </c>
      <c r="T26" s="153">
        <f t="shared" si="7"/>
        <v>0</v>
      </c>
    </row>
    <row r="27" spans="1:20" ht="13.5" thickBot="1">
      <c r="A27" s="775"/>
      <c r="B27" s="220"/>
      <c r="C27" s="231"/>
      <c r="D27" s="222"/>
      <c r="E27" s="230"/>
      <c r="F27" s="233"/>
      <c r="G27" s="242" t="s">
        <v>12</v>
      </c>
      <c r="H27" s="238" t="s">
        <v>546</v>
      </c>
      <c r="I27" s="773"/>
      <c r="J27" s="219">
        <f>+'13'!J27</f>
        <v>0</v>
      </c>
      <c r="K27" s="244"/>
      <c r="L27" s="244"/>
      <c r="M27" s="121">
        <f>+K27+'13'!M27+L27</f>
        <v>0</v>
      </c>
      <c r="R27" s="153">
        <f>SUM(R22:R26)</f>
        <v>480</v>
      </c>
      <c r="S27" s="153">
        <f>SUM(S22:S26)</f>
        <v>590400</v>
      </c>
      <c r="T27" s="153">
        <f>SUM(T22:T26)</f>
        <v>454607.99999999994</v>
      </c>
    </row>
    <row r="28" spans="1:20" ht="39" thickBot="1">
      <c r="A28" s="775"/>
      <c r="B28" s="220"/>
      <c r="C28" s="221"/>
      <c r="D28" s="222"/>
      <c r="E28" s="230"/>
      <c r="F28" s="236"/>
      <c r="G28" s="237"/>
      <c r="H28" s="238" t="s">
        <v>547</v>
      </c>
      <c r="I28" s="773"/>
      <c r="J28" s="219">
        <f>+'13'!J28</f>
        <v>0</v>
      </c>
      <c r="K28" s="244"/>
      <c r="L28" s="244"/>
      <c r="M28" s="121">
        <f>+K28+'13'!M28+L28</f>
        <v>0</v>
      </c>
      <c r="P28" s="153" t="s">
        <v>404</v>
      </c>
      <c r="S28" s="153">
        <f>+S27/R27</f>
        <v>1230</v>
      </c>
      <c r="T28" s="153">
        <f>+T27/R27</f>
        <v>947.09999999999991</v>
      </c>
    </row>
    <row r="29" spans="1:20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+'13'!J29</f>
        <v>0</v>
      </c>
      <c r="K29" s="244"/>
      <c r="L29" s="244"/>
      <c r="M29" s="121">
        <f>+K29+'13'!M29+L29</f>
        <v>0</v>
      </c>
    </row>
    <row r="30" spans="1:20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+'13'!J30</f>
        <v>0</v>
      </c>
      <c r="K30" s="244"/>
      <c r="L30" s="244"/>
      <c r="M30" s="121">
        <f>+K30+'13'!M30+L30</f>
        <v>0</v>
      </c>
    </row>
    <row r="31" spans="1:20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+'13'!J31</f>
        <v>0</v>
      </c>
      <c r="K31" s="244"/>
      <c r="L31" s="244"/>
      <c r="M31" s="121">
        <f>+K31+'13'!M31+L31</f>
        <v>0</v>
      </c>
      <c r="O31" s="153" t="s">
        <v>503</v>
      </c>
      <c r="P31" s="153">
        <v>1230</v>
      </c>
      <c r="Q31" s="153">
        <v>947.09999999999991</v>
      </c>
      <c r="R31" s="153">
        <f>363+270</f>
        <v>633</v>
      </c>
    </row>
    <row r="32" spans="1:20" ht="13.5" thickBot="1">
      <c r="A32" s="776"/>
      <c r="B32" s="170" t="s">
        <v>2</v>
      </c>
      <c r="C32" s="103">
        <f>SUM(C25:C31)</f>
        <v>16037</v>
      </c>
      <c r="D32" s="104">
        <f>SUM(D25:D31)</f>
        <v>0</v>
      </c>
      <c r="E32" s="105">
        <f>SUM(E25:E31)</f>
        <v>0</v>
      </c>
      <c r="F32" s="106">
        <f>SUM(F24:F31)</f>
        <v>22</v>
      </c>
      <c r="G32" s="176"/>
      <c r="H32" s="177"/>
      <c r="I32" s="174"/>
      <c r="J32" s="219">
        <f>+'13'!J32</f>
        <v>0</v>
      </c>
      <c r="K32" s="246"/>
      <c r="L32" s="248"/>
      <c r="M32" s="121">
        <f>+K32+'13'!M32+L32</f>
        <v>0</v>
      </c>
      <c r="O32" s="153" t="s">
        <v>552</v>
      </c>
      <c r="P32" s="153">
        <v>1230</v>
      </c>
      <c r="Q32" s="153">
        <v>947.09999999999991</v>
      </c>
      <c r="R32" s="153">
        <f>117+480+210</f>
        <v>807</v>
      </c>
    </row>
    <row r="33" spans="1:18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R33" s="153">
        <f>+R31+R32</f>
        <v>1440</v>
      </c>
    </row>
    <row r="34" spans="1:18" ht="13.5" thickBot="1">
      <c r="A34" s="765" t="s">
        <v>56</v>
      </c>
      <c r="B34" s="766"/>
      <c r="C34" s="111">
        <f>C14+C23+C32</f>
        <v>42046</v>
      </c>
      <c r="D34" s="111">
        <f>D14+D23+D32</f>
        <v>0</v>
      </c>
      <c r="E34" s="111">
        <f>E14+E23+E32</f>
        <v>0</v>
      </c>
      <c r="F34" s="112">
        <f>F14+F23+F32</f>
        <v>66</v>
      </c>
      <c r="H34" s="183"/>
      <c r="I34" s="183"/>
      <c r="J34" s="127" t="s">
        <v>27</v>
      </c>
      <c r="K34" s="128">
        <f>SUM(K7:K32)</f>
        <v>42046</v>
      </c>
      <c r="L34" s="217">
        <f>SUM(L7:L32)</f>
        <v>0</v>
      </c>
      <c r="M34" s="124">
        <f>SUM(M7:M32)</f>
        <v>595079</v>
      </c>
    </row>
    <row r="35" spans="1:18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8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8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(13*633+12.5*807)/1440*G42*2.74*1440/1000000</f>
        <v>47.532306591000008</v>
      </c>
      <c r="J37" s="129">
        <f>+I37+'13'!J37</f>
        <v>669.92000812962283</v>
      </c>
      <c r="K37" s="130" t="s">
        <v>62</v>
      </c>
    </row>
    <row r="38" spans="1:18" ht="17.45" customHeight="1">
      <c r="A38" s="759" t="s">
        <v>11</v>
      </c>
      <c r="B38" s="760"/>
      <c r="C38" s="168">
        <f>SUMIF($G$7:$G$31,"Process",$F$7:$F$31)</f>
        <v>66</v>
      </c>
      <c r="D38" s="122">
        <f>+C38+'13'!D38</f>
        <v>998</v>
      </c>
      <c r="E38" s="147">
        <f t="shared" ref="E38:E51" si="9">D38/60</f>
        <v>16.633333333333333</v>
      </c>
      <c r="F38" s="327">
        <v>1230</v>
      </c>
      <c r="G38" s="327">
        <v>947.09999999999991</v>
      </c>
      <c r="H38" s="192" t="s">
        <v>63</v>
      </c>
      <c r="I38" s="250">
        <f>14.945+14.326+6.126+8.297</f>
        <v>43.694000000000003</v>
      </c>
      <c r="J38" s="131">
        <f>+I38+'13'!J38</f>
        <v>612.02799999999979</v>
      </c>
      <c r="K38" s="132" t="s">
        <v>62</v>
      </c>
    </row>
    <row r="39" spans="1:18" ht="17.45" customHeight="1">
      <c r="A39" s="763" t="s">
        <v>12</v>
      </c>
      <c r="B39" s="764"/>
      <c r="C39" s="168">
        <f>SUMIF($G$7:$G$31,"Cleaning",$F$7:$F$31)</f>
        <v>0</v>
      </c>
      <c r="D39" s="122">
        <f>+C39+'13'!D39</f>
        <v>0</v>
      </c>
      <c r="E39" s="147">
        <f t="shared" si="9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47.851429152115919</v>
      </c>
      <c r="K39" s="134" t="s">
        <v>62</v>
      </c>
    </row>
    <row r="40" spans="1:18" ht="17.45" customHeight="1">
      <c r="A40" s="763" t="s">
        <v>65</v>
      </c>
      <c r="B40" s="764"/>
      <c r="C40" s="168">
        <f>SUMIF($G$7:$G$31,"Mechanical",$F$7:$F$31)</f>
        <v>0</v>
      </c>
      <c r="D40" s="122">
        <f>+C40+'13'!D40</f>
        <v>299</v>
      </c>
      <c r="E40" s="147">
        <f t="shared" si="9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42.045999999999999</v>
      </c>
      <c r="J40" s="135">
        <f>+I40+'13'!J40</f>
        <v>595.07900000000006</v>
      </c>
      <c r="K40" s="134" t="s">
        <v>62</v>
      </c>
    </row>
    <row r="41" spans="1:18" ht="17.45" customHeight="1">
      <c r="A41" s="763" t="s">
        <v>67</v>
      </c>
      <c r="B41" s="764"/>
      <c r="C41" s="168">
        <f>SUMIF($G$7:$G$31,"Electrical",$F$7:$F$31)</f>
        <v>0</v>
      </c>
      <c r="D41" s="122">
        <f>+C41+'13'!D41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42.50564285714286</v>
      </c>
      <c r="K41" s="134" t="s">
        <v>62</v>
      </c>
    </row>
    <row r="42" spans="1:18" ht="17.45" customHeight="1">
      <c r="A42" s="763" t="s">
        <v>15</v>
      </c>
      <c r="B42" s="764"/>
      <c r="C42" s="168">
        <f>SUMIF($G$7:$G$31,"Instrument",$F$7:$F$31)</f>
        <v>0</v>
      </c>
      <c r="D42" s="122">
        <f>+C42+'13'!D42</f>
        <v>0</v>
      </c>
      <c r="E42" s="147">
        <f t="shared" si="9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18" ht="17.45" customHeight="1">
      <c r="A43" s="763" t="s">
        <v>71</v>
      </c>
      <c r="B43" s="764"/>
      <c r="C43" s="168">
        <f>SUMIF($G$7:$G$31,"Water",$F$7:$F$31)</f>
        <v>0</v>
      </c>
      <c r="D43" s="122">
        <f>+C43+'13'!D43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+Report1!Z22</f>
        <v>57.5</v>
      </c>
      <c r="J43" s="137">
        <f>+I43+'13'!J43</f>
        <v>786.50000000000011</v>
      </c>
      <c r="K43" s="134" t="s">
        <v>62</v>
      </c>
      <c r="L43" s="194"/>
    </row>
    <row r="44" spans="1:18" ht="17.45" customHeight="1">
      <c r="A44" s="763" t="s">
        <v>16</v>
      </c>
      <c r="B44" s="764"/>
      <c r="C44" s="168">
        <f>SUMIF($G$7:$G$31,"PLN",$F$7:$F$31)</f>
        <v>0</v>
      </c>
      <c r="D44" s="122">
        <f>+C44+'13'!D44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1.3159701560855037</v>
      </c>
      <c r="J44" s="138">
        <f>J43/J38</f>
        <v>1.285071924813898</v>
      </c>
      <c r="K44" s="134" t="s">
        <v>62</v>
      </c>
    </row>
    <row r="45" spans="1:18" ht="17.45" customHeight="1">
      <c r="A45" s="763" t="s">
        <v>17</v>
      </c>
      <c r="B45" s="764"/>
      <c r="C45" s="168">
        <f>SUMIF($G$7:$G$31,"Boiler",$F$7:$F$31)</f>
        <v>0</v>
      </c>
      <c r="D45" s="122">
        <f>+C45+'13'!D45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1.3675498263806307</v>
      </c>
      <c r="J45" s="138">
        <f>J43/J40</f>
        <v>1.3216732568280851</v>
      </c>
      <c r="K45" s="134" t="s">
        <v>62</v>
      </c>
    </row>
    <row r="46" spans="1:18" ht="17.45" customHeight="1">
      <c r="A46" s="763" t="s">
        <v>75</v>
      </c>
      <c r="B46" s="764"/>
      <c r="C46" s="168">
        <f>SUMIF($G$7:$G$31,"Gas",$F$7:$F$31)</f>
        <v>0</v>
      </c>
      <c r="D46" s="122">
        <f>+C46+'13'!D46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+SUMIF(Listrik!P21,"&gt;0")</f>
        <v>38432.160000000731</v>
      </c>
      <c r="J46" s="139">
        <f>+I46+'13'!J46</f>
        <v>519065.88000000076</v>
      </c>
      <c r="K46" s="134" t="s">
        <v>77</v>
      </c>
    </row>
    <row r="47" spans="1:18" ht="17.45" customHeight="1">
      <c r="A47" s="763" t="s">
        <v>78</v>
      </c>
      <c r="B47" s="764"/>
      <c r="C47" s="168">
        <f>SUMIF($G$7:$G$31,"Gas",$F$7:$F$31)</f>
        <v>0</v>
      </c>
      <c r="D47" s="122">
        <f>+C47+'13'!D47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879.57522772006973</v>
      </c>
      <c r="J47" s="139">
        <f>J46/J38</f>
        <v>848.10806041553803</v>
      </c>
      <c r="K47" s="134" t="s">
        <v>23</v>
      </c>
    </row>
    <row r="48" spans="1:18" ht="17.45" customHeight="1">
      <c r="A48" s="763" t="s">
        <v>13</v>
      </c>
      <c r="B48" s="764"/>
      <c r="C48" s="168">
        <f>SUMIF($G$7:$G$31,"Start Up",$F$7:$F$31)</f>
        <v>0</v>
      </c>
      <c r="D48" s="122">
        <f>+C48+'13'!D48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914.05032583362822</v>
      </c>
      <c r="J48" s="139">
        <f>J46/J40</f>
        <v>872.26381707302846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+C49+'13'!D49</f>
        <v>0</v>
      </c>
      <c r="E49" s="147">
        <f t="shared" si="9"/>
        <v>0</v>
      </c>
      <c r="F49" s="190"/>
      <c r="H49" s="193" t="s">
        <v>271</v>
      </c>
      <c r="I49" s="122">
        <f>+Report1!T22</f>
        <v>4189.5462134466388</v>
      </c>
      <c r="J49" s="139">
        <f>+I49+'13'!J49</f>
        <v>56692.709412978154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+C50+'13'!D50</f>
        <v>0</v>
      </c>
      <c r="E50" s="147">
        <f t="shared" si="9"/>
        <v>0</v>
      </c>
      <c r="F50" s="190"/>
      <c r="H50" s="193" t="s">
        <v>82</v>
      </c>
      <c r="I50" s="144">
        <f>I49/I38</f>
        <v>95.883787555422686</v>
      </c>
      <c r="J50" s="137">
        <f>J49/J38</f>
        <v>92.630908084234989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+C51+'13'!D51</f>
        <v>0</v>
      </c>
      <c r="E51" s="147">
        <f t="shared" si="9"/>
        <v>0</v>
      </c>
      <c r="F51" s="190"/>
      <c r="H51" s="195" t="s">
        <v>84</v>
      </c>
      <c r="I51" s="145">
        <f>I49/I40</f>
        <v>99.641968640218778</v>
      </c>
      <c r="J51" s="140">
        <f>J49/J40</f>
        <v>95.269215369687302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66</v>
      </c>
      <c r="D52" s="148">
        <f>SUM(D38:D51)</f>
        <v>1357</v>
      </c>
      <c r="E52" s="149">
        <f>SUM(E38:E51)</f>
        <v>22.616666666666667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4.583333333333333E-2</v>
      </c>
      <c r="D53" s="150">
        <f>D52/(24*60*G4)</f>
        <v>6.7311507936507933E-2</v>
      </c>
      <c r="E53" s="151">
        <f>E52/(G4*24)</f>
        <v>6.7311507936507933E-2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+D34+'13'!J56</f>
        <v>4021</v>
      </c>
      <c r="K56" s="206">
        <f>J56/(J40+J56/1000)/1000</f>
        <v>6.7117342680687699E-3</v>
      </c>
    </row>
    <row r="57" spans="1:11">
      <c r="A57" s="181"/>
      <c r="I57" s="204" t="s">
        <v>87</v>
      </c>
      <c r="J57" s="205">
        <f>+E34+'13'!J57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  <row r="78" spans="23:23">
      <c r="W78" s="153">
        <f>+'14'!K8/1000</f>
        <v>0</v>
      </c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5:B45"/>
    <mergeCell ref="A42:B42"/>
    <mergeCell ref="A43:B43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5" zoomScaleNormal="70" zoomScaleSheetLayoutView="85" workbookViewId="0">
      <selection activeCell="F11" sqref="F11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13</v>
      </c>
      <c r="H4" s="158" t="str">
        <f>+'1'!H4</f>
        <v>.08.25</v>
      </c>
      <c r="J4" s="153">
        <f>421+317+371</f>
        <v>1109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f>60*2+40</f>
        <v>160</v>
      </c>
      <c r="R6" s="153">
        <f t="shared" ref="R6:R9" si="0">+O6*Q6</f>
        <v>196800</v>
      </c>
      <c r="S6" s="153">
        <f t="shared" ref="S6:S9" si="1">+P6*Q6</f>
        <v>151536</v>
      </c>
    </row>
    <row r="7" spans="1:19" ht="13.5" customHeight="1" thickBot="1">
      <c r="A7" s="769"/>
      <c r="B7" s="220" t="s">
        <v>521</v>
      </c>
      <c r="C7" s="221">
        <f>7310+674</f>
        <v>7984</v>
      </c>
      <c r="D7" s="222"/>
      <c r="E7" s="223"/>
      <c r="F7" s="233">
        <v>6</v>
      </c>
      <c r="G7" s="234" t="s">
        <v>11</v>
      </c>
      <c r="H7" s="235" t="s">
        <v>407</v>
      </c>
      <c r="I7" s="772" t="s">
        <v>405</v>
      </c>
      <c r="J7" s="219" t="str">
        <f>+'12'!J7</f>
        <v>T 13 VP OW</v>
      </c>
      <c r="K7" s="243"/>
      <c r="L7" s="247"/>
      <c r="M7" s="121">
        <f>+K7+'12'!M7+L7</f>
        <v>252469</v>
      </c>
      <c r="N7" s="153" t="s">
        <v>503</v>
      </c>
      <c r="O7" s="153">
        <v>1230</v>
      </c>
      <c r="P7" s="153">
        <f>+O7-O7*0.23</f>
        <v>947.09999999999991</v>
      </c>
      <c r="Q7" s="153">
        <f>480-Q6</f>
        <v>320</v>
      </c>
      <c r="R7" s="153">
        <f t="shared" si="0"/>
        <v>393600</v>
      </c>
      <c r="S7" s="153">
        <f t="shared" si="1"/>
        <v>303072</v>
      </c>
    </row>
    <row r="8" spans="1:19" ht="13.5" thickBot="1">
      <c r="A8" s="770"/>
      <c r="B8" s="220" t="s">
        <v>520</v>
      </c>
      <c r="C8" s="221">
        <f>2403+2729</f>
        <v>5132</v>
      </c>
      <c r="D8" s="222"/>
      <c r="E8" s="224"/>
      <c r="F8" s="236"/>
      <c r="G8" s="237" t="s">
        <v>11</v>
      </c>
      <c r="H8" s="235" t="s">
        <v>286</v>
      </c>
      <c r="I8" s="773"/>
      <c r="J8" s="219" t="str">
        <f>+'12'!J8</f>
        <v>T 15,5 VP OW</v>
      </c>
      <c r="K8" s="244"/>
      <c r="L8" s="244"/>
      <c r="M8" s="121">
        <f>+K8+'12'!M8+L8</f>
        <v>79695</v>
      </c>
      <c r="P8" s="153">
        <f t="shared" ref="P8:P9" si="2">+O8-O8*0.25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v>12</v>
      </c>
      <c r="G9" s="237" t="s">
        <v>11</v>
      </c>
      <c r="H9" s="238" t="s">
        <v>389</v>
      </c>
      <c r="I9" s="773"/>
      <c r="J9" s="219" t="str">
        <f>+'12'!J9</f>
        <v>T 19 VP OW</v>
      </c>
      <c r="K9" s="244"/>
      <c r="L9" s="244"/>
      <c r="M9" s="121">
        <f>+K9+'12'!M9+L9</f>
        <v>10916</v>
      </c>
      <c r="P9" s="153">
        <f t="shared" si="2"/>
        <v>0</v>
      </c>
      <c r="R9" s="153">
        <f t="shared" si="0"/>
        <v>0</v>
      </c>
      <c r="S9" s="153">
        <f t="shared" si="1"/>
        <v>0</v>
      </c>
    </row>
    <row r="10" spans="1:19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542</v>
      </c>
      <c r="I10" s="773"/>
      <c r="J10" s="219" t="str">
        <f>+'12'!J10</f>
        <v>F 15 VP OW</v>
      </c>
      <c r="K10" s="244"/>
      <c r="L10" s="244"/>
      <c r="M10" s="121">
        <f>+K10+'12'!M10+L10</f>
        <v>10380</v>
      </c>
      <c r="Q10" s="153">
        <f>SUM(Q5:Q9)</f>
        <v>480</v>
      </c>
      <c r="R10" s="153">
        <f>SUM(R5:R9)</f>
        <v>590400</v>
      </c>
      <c r="S10" s="153">
        <f>SUM(S5:S9)</f>
        <v>454608</v>
      </c>
    </row>
    <row r="11" spans="1:19" ht="39" thickBot="1">
      <c r="A11" s="770"/>
      <c r="B11" s="220"/>
      <c r="C11" s="221"/>
      <c r="D11" s="222"/>
      <c r="E11" s="224"/>
      <c r="F11" s="233"/>
      <c r="G11" s="237"/>
      <c r="H11" s="238" t="s">
        <v>543</v>
      </c>
      <c r="I11" s="773"/>
      <c r="J11" s="219" t="str">
        <f>+'12'!J11</f>
        <v>F 13,5 VP OW</v>
      </c>
      <c r="K11" s="244"/>
      <c r="L11" s="244"/>
      <c r="M11" s="121">
        <f>+K11+'12'!M11+L11</f>
        <v>10451</v>
      </c>
      <c r="O11" s="153" t="s">
        <v>404</v>
      </c>
      <c r="R11" s="153">
        <f>+R10/Q10</f>
        <v>1230</v>
      </c>
      <c r="S11" s="153">
        <f>+S10/Q10</f>
        <v>947.1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+'12'!J12</f>
        <v>F 13 VP OW</v>
      </c>
      <c r="K12" s="244">
        <f>+C8+C16+C25</f>
        <v>36651</v>
      </c>
      <c r="L12" s="244"/>
      <c r="M12" s="121">
        <f>+K12+'12'!M12+L12</f>
        <v>82867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+'12'!J13</f>
        <v>F 12 VP OW</v>
      </c>
      <c r="K13" s="244">
        <f>+C7</f>
        <v>7984</v>
      </c>
      <c r="L13" s="244"/>
      <c r="M13" s="121">
        <f>+K13+'12'!M13+L13</f>
        <v>106255</v>
      </c>
    </row>
    <row r="14" spans="1:19" ht="13.5" thickBot="1">
      <c r="A14" s="771"/>
      <c r="B14" s="170" t="s">
        <v>2</v>
      </c>
      <c r="C14" s="103">
        <f>SUM(C7:C13)</f>
        <v>13116</v>
      </c>
      <c r="D14" s="115">
        <f>SUM(D7:D13)</f>
        <v>0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19">
        <f>+'12'!J14</f>
        <v>0</v>
      </c>
      <c r="K14" s="244"/>
      <c r="L14" s="244"/>
      <c r="M14" s="121">
        <f>+K14+'12'!M14+L14</f>
        <v>0</v>
      </c>
    </row>
    <row r="15" spans="1:19" ht="13.5" customHeight="1" thickBot="1">
      <c r="A15" s="769"/>
      <c r="B15" s="170"/>
      <c r="C15" s="117">
        <f>C14/($C$23+$D$23+$E$23)</f>
        <v>0.90094793240829785</v>
      </c>
      <c r="D15" s="118">
        <f>D14/($C$23+$D$23+$E$23)</f>
        <v>0</v>
      </c>
      <c r="E15" s="119">
        <f>E14/($C$23+$D$23+$E$23)</f>
        <v>0</v>
      </c>
      <c r="F15" s="233">
        <v>6</v>
      </c>
      <c r="G15" s="234" t="s">
        <v>11</v>
      </c>
      <c r="H15" s="235" t="s">
        <v>407</v>
      </c>
      <c r="I15" s="772" t="s">
        <v>405</v>
      </c>
      <c r="J15" s="219">
        <f>+'12'!J15</f>
        <v>0</v>
      </c>
      <c r="K15" s="244"/>
      <c r="L15" s="244"/>
      <c r="M15" s="121">
        <f>+K15+'12'!M15+L15</f>
        <v>0</v>
      </c>
      <c r="R15" s="153">
        <f t="shared" ref="R15:R18" si="3">+O15*Q15</f>
        <v>0</v>
      </c>
      <c r="S15" s="153">
        <f t="shared" ref="S15:S18" si="4">+P15*Q15</f>
        <v>0</v>
      </c>
    </row>
    <row r="16" spans="1:19" ht="13.5" thickBot="1">
      <c r="A16" s="775"/>
      <c r="B16" s="220" t="s">
        <v>520</v>
      </c>
      <c r="C16" s="227">
        <f>6815+7743</f>
        <v>14558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+'12'!J16</f>
        <v>0</v>
      </c>
      <c r="K16" s="234"/>
      <c r="L16" s="234"/>
      <c r="M16" s="121">
        <f>+K16+'12'!M16+L16</f>
        <v>0</v>
      </c>
      <c r="N16" s="153" t="s">
        <v>503</v>
      </c>
      <c r="O16" s="153">
        <v>1230</v>
      </c>
      <c r="P16" s="153">
        <f>+O16-O16*0.23</f>
        <v>947.09999999999991</v>
      </c>
      <c r="Q16" s="153">
        <f>480-Q15</f>
        <v>480</v>
      </c>
      <c r="R16" s="153">
        <f t="shared" si="3"/>
        <v>590400</v>
      </c>
      <c r="S16" s="153">
        <f t="shared" si="4"/>
        <v>454607.99999999994</v>
      </c>
    </row>
    <row r="17" spans="1:19" ht="13.5" thickBot="1">
      <c r="A17" s="775"/>
      <c r="B17" s="220"/>
      <c r="C17" s="221"/>
      <c r="D17" s="222"/>
      <c r="E17" s="230"/>
      <c r="F17" s="233">
        <v>14</v>
      </c>
      <c r="G17" s="237" t="s">
        <v>11</v>
      </c>
      <c r="H17" s="238" t="s">
        <v>428</v>
      </c>
      <c r="I17" s="773"/>
      <c r="J17" s="219">
        <f>+'12'!J17</f>
        <v>0</v>
      </c>
      <c r="K17" s="234"/>
      <c r="L17" s="234"/>
      <c r="M17" s="121">
        <f>+K17+'12'!M17+L17</f>
        <v>0</v>
      </c>
      <c r="P17" s="153">
        <f t="shared" ref="P17:P18" si="5">+O17-O17*0.25</f>
        <v>0</v>
      </c>
      <c r="R17" s="153">
        <f t="shared" si="3"/>
        <v>0</v>
      </c>
      <c r="S17" s="153">
        <f t="shared" si="4"/>
        <v>0</v>
      </c>
    </row>
    <row r="18" spans="1:19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541</v>
      </c>
      <c r="I18" s="773"/>
      <c r="J18" s="219">
        <f>+'12'!J18</f>
        <v>0</v>
      </c>
      <c r="K18" s="244"/>
      <c r="L18" s="244"/>
      <c r="M18" s="121">
        <f>+K18+'12'!M18+L18</f>
        <v>0</v>
      </c>
      <c r="P18" s="153">
        <f t="shared" si="5"/>
        <v>0</v>
      </c>
      <c r="R18" s="153">
        <f t="shared" si="3"/>
        <v>0</v>
      </c>
      <c r="S18" s="153">
        <f t="shared" si="4"/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+'12'!J19</f>
        <v>0</v>
      </c>
      <c r="K19" s="244"/>
      <c r="L19" s="244"/>
      <c r="M19" s="121">
        <f>+K19+'12'!M19+L19</f>
        <v>0</v>
      </c>
      <c r="Q19" s="153">
        <f>SUM(Q14:Q18)</f>
        <v>480</v>
      </c>
      <c r="R19" s="153">
        <f>SUM(R14:R18)</f>
        <v>590400</v>
      </c>
      <c r="S19" s="153">
        <f>SUM(S14:S18)</f>
        <v>454607.99999999994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+'12'!J20</f>
        <v>0</v>
      </c>
      <c r="K20" s="245"/>
      <c r="L20" s="245"/>
      <c r="M20" s="121">
        <f>+K20+'12'!M20+L20</f>
        <v>0</v>
      </c>
      <c r="O20" s="153" t="s">
        <v>404</v>
      </c>
      <c r="R20" s="153">
        <f>+R19/Q19</f>
        <v>1230</v>
      </c>
      <c r="S20" s="153">
        <f>+S19/Q19</f>
        <v>947.09999999999991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+'12'!J21</f>
        <v>0</v>
      </c>
      <c r="K21" s="244"/>
      <c r="L21" s="244"/>
      <c r="M21" s="121">
        <f>+K21+'12'!M21+L21</f>
        <v>0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+'12'!J22</f>
        <v>0</v>
      </c>
      <c r="K22" s="244"/>
      <c r="L22" s="244"/>
      <c r="M22" s="121">
        <f>+K22+'12'!M22+L22</f>
        <v>0</v>
      </c>
    </row>
    <row r="23" spans="1:19" ht="13.5" thickBot="1">
      <c r="A23" s="776"/>
      <c r="B23" s="173" t="s">
        <v>2</v>
      </c>
      <c r="C23" s="104">
        <f>SUM(C16:C22)</f>
        <v>14558</v>
      </c>
      <c r="D23" s="115">
        <f>SUM(D16:D22)</f>
        <v>0</v>
      </c>
      <c r="E23" s="116">
        <f>SUM(E18:E22)</f>
        <v>0</v>
      </c>
      <c r="F23" s="120">
        <f>SUM(F15:F22)</f>
        <v>20</v>
      </c>
      <c r="G23" s="163"/>
      <c r="H23" s="171"/>
      <c r="I23" s="174"/>
      <c r="J23" s="219">
        <f>+'12'!J23</f>
        <v>0</v>
      </c>
      <c r="K23" s="244"/>
      <c r="L23" s="244"/>
      <c r="M23" s="121">
        <f>+K23+'12'!M23+L23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6</v>
      </c>
      <c r="G24" s="234" t="s">
        <v>11</v>
      </c>
      <c r="H24" s="235" t="s">
        <v>407</v>
      </c>
      <c r="I24" s="772" t="s">
        <v>405</v>
      </c>
      <c r="J24" s="219">
        <f>+'12'!J24</f>
        <v>0</v>
      </c>
      <c r="K24" s="244"/>
      <c r="L24" s="244"/>
      <c r="M24" s="121">
        <f>+K24+'12'!M24+L24</f>
        <v>0</v>
      </c>
      <c r="N24" s="153" t="s">
        <v>503</v>
      </c>
      <c r="O24" s="153">
        <v>1230</v>
      </c>
      <c r="P24" s="153">
        <f>+O24-O24*0.23</f>
        <v>947.09999999999991</v>
      </c>
      <c r="Q24" s="153">
        <f>480-Q23</f>
        <v>480</v>
      </c>
      <c r="R24" s="153">
        <f t="shared" ref="R24:R26" si="6">+O24*Q24</f>
        <v>590400</v>
      </c>
      <c r="S24" s="153">
        <f t="shared" ref="S24:S26" si="7">+P24*Q24</f>
        <v>454607.99999999994</v>
      </c>
    </row>
    <row r="25" spans="1:19" ht="13.5" thickBot="1">
      <c r="A25" s="775"/>
      <c r="B25" s="220" t="s">
        <v>520</v>
      </c>
      <c r="C25" s="231">
        <v>16961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+'12'!J25</f>
        <v>0</v>
      </c>
      <c r="K25" s="244"/>
      <c r="L25" s="244"/>
      <c r="M25" s="121">
        <f>+K25+'12'!M25+L25</f>
        <v>0</v>
      </c>
      <c r="P25" s="153">
        <f t="shared" ref="P25:P26" si="8">+O25-O25*0.25</f>
        <v>0</v>
      </c>
      <c r="R25" s="153">
        <f t="shared" si="6"/>
        <v>0</v>
      </c>
      <c r="S25" s="153">
        <f t="shared" si="7"/>
        <v>0</v>
      </c>
    </row>
    <row r="26" spans="1:19" ht="13.5" thickBot="1">
      <c r="A26" s="775"/>
      <c r="B26" s="220"/>
      <c r="C26" s="231"/>
      <c r="D26" s="222"/>
      <c r="E26" s="232"/>
      <c r="F26" s="233">
        <v>18</v>
      </c>
      <c r="G26" s="237" t="s">
        <v>11</v>
      </c>
      <c r="H26" s="238" t="s">
        <v>428</v>
      </c>
      <c r="I26" s="773"/>
      <c r="J26" s="219">
        <f>+'12'!J26</f>
        <v>0</v>
      </c>
      <c r="K26" s="244"/>
      <c r="L26" s="244"/>
      <c r="M26" s="121">
        <f>+K26+'12'!M26+L26</f>
        <v>0</v>
      </c>
      <c r="P26" s="153">
        <f t="shared" si="8"/>
        <v>0</v>
      </c>
      <c r="R26" s="153">
        <f t="shared" si="6"/>
        <v>0</v>
      </c>
      <c r="S26" s="153">
        <f t="shared" si="7"/>
        <v>0</v>
      </c>
    </row>
    <row r="27" spans="1:19" ht="13.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541</v>
      </c>
      <c r="I27" s="773"/>
      <c r="J27" s="219">
        <f>+'12'!J27</f>
        <v>0</v>
      </c>
      <c r="K27" s="244"/>
      <c r="L27" s="244"/>
      <c r="M27" s="121">
        <f>+K27+'12'!M27+L27</f>
        <v>0</v>
      </c>
      <c r="Q27" s="153">
        <f>SUM(Q22:Q26)</f>
        <v>480</v>
      </c>
      <c r="R27" s="153">
        <f>SUM(R22:R26)</f>
        <v>590400</v>
      </c>
      <c r="S27" s="153">
        <f>SUM(S22:S26)</f>
        <v>454607.99999999994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+'12'!J28</f>
        <v>0</v>
      </c>
      <c r="K28" s="244"/>
      <c r="L28" s="244"/>
      <c r="M28" s="121">
        <f>+K28+'12'!M28+L28</f>
        <v>0</v>
      </c>
      <c r="O28" s="153" t="s">
        <v>404</v>
      </c>
      <c r="R28" s="153">
        <f>+R27/Q27</f>
        <v>1230</v>
      </c>
      <c r="S28" s="153">
        <f>+S27/Q27</f>
        <v>947.09999999999991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+'12'!J29</f>
        <v>0</v>
      </c>
      <c r="K29" s="244"/>
      <c r="L29" s="244"/>
      <c r="M29" s="121">
        <f>+K29+'12'!M29+L29</f>
        <v>0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+'12'!J30</f>
        <v>0</v>
      </c>
      <c r="K30" s="244"/>
      <c r="L30" s="244"/>
      <c r="M30" s="121">
        <f>+K30+'12'!M30+L30</f>
        <v>0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+'12'!J31</f>
        <v>0</v>
      </c>
      <c r="K31" s="244"/>
      <c r="L31" s="244"/>
      <c r="M31" s="121">
        <f>+K31+'12'!M31+L31</f>
        <v>0</v>
      </c>
    </row>
    <row r="32" spans="1:19" ht="13.5" thickBot="1">
      <c r="A32" s="776"/>
      <c r="B32" s="170" t="s">
        <v>2</v>
      </c>
      <c r="C32" s="103">
        <f>SUM(C25:C31)</f>
        <v>16961</v>
      </c>
      <c r="D32" s="104">
        <f>SUM(D25:D31)</f>
        <v>0</v>
      </c>
      <c r="E32" s="105">
        <f>SUM(E25:E31)</f>
        <v>0</v>
      </c>
      <c r="F32" s="106">
        <f>SUM(F24:F31)</f>
        <v>24</v>
      </c>
      <c r="G32" s="176"/>
      <c r="H32" s="177"/>
      <c r="I32" s="174"/>
      <c r="J32" s="219">
        <f>+'12'!J32</f>
        <v>0</v>
      </c>
      <c r="K32" s="246"/>
      <c r="L32" s="248"/>
      <c r="M32" s="121">
        <f>+K32+'12'!M32+L32</f>
        <v>0</v>
      </c>
      <c r="N32" s="153" t="s">
        <v>390</v>
      </c>
      <c r="O32" s="153">
        <v>1230</v>
      </c>
      <c r="P32" s="153">
        <v>947.09999999999991</v>
      </c>
      <c r="Q32" s="153">
        <v>160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 t="s">
        <v>503</v>
      </c>
      <c r="O33" s="153">
        <v>1230</v>
      </c>
      <c r="P33" s="153">
        <v>947.09999999999991</v>
      </c>
      <c r="Q33" s="153">
        <v>1280</v>
      </c>
    </row>
    <row r="34" spans="1:17" ht="13.5" thickBot="1">
      <c r="A34" s="765" t="s">
        <v>56</v>
      </c>
      <c r="B34" s="766"/>
      <c r="C34" s="111">
        <f>C14+C23+C32</f>
        <v>44635</v>
      </c>
      <c r="D34" s="111">
        <f>D14+D23+D32</f>
        <v>0</v>
      </c>
      <c r="E34" s="111">
        <f>E14+E23+E32</f>
        <v>0</v>
      </c>
      <c r="F34" s="112">
        <f>F14+F23+F32</f>
        <v>62</v>
      </c>
      <c r="H34" s="183"/>
      <c r="I34" s="183"/>
      <c r="J34" s="127" t="s">
        <v>27</v>
      </c>
      <c r="K34" s="128">
        <f>SUM(K7:K32)</f>
        <v>44635</v>
      </c>
      <c r="L34" s="217">
        <f>SUM(L7:L32)</f>
        <v>0</v>
      </c>
      <c r="M34" s="124">
        <f>SUM(M7:M32)</f>
        <v>553033</v>
      </c>
    </row>
    <row r="35" spans="1:17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(12*160+1280*13)/1440*G42*2.74*1440/1000000</f>
        <v>48.164202240000002</v>
      </c>
      <c r="J37" s="129">
        <f>+I37+'12'!J37</f>
        <v>622.38770153862288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62</v>
      </c>
      <c r="D38" s="122">
        <f>+C38+'12'!D38</f>
        <v>932</v>
      </c>
      <c r="E38" s="147">
        <f t="shared" ref="E38:E51" si="9">D38/60</f>
        <v>15.533333333333333</v>
      </c>
      <c r="F38" s="327">
        <v>1230</v>
      </c>
      <c r="G38" s="327">
        <v>947.09999999999991</v>
      </c>
      <c r="H38" s="192" t="s">
        <v>63</v>
      </c>
      <c r="I38" s="250">
        <f>13.593+16.197+14.895</f>
        <v>44.685000000000002</v>
      </c>
      <c r="J38" s="131">
        <f>+I38+'12'!J38</f>
        <v>568.33399999999983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+C39+'12'!D39</f>
        <v>0</v>
      </c>
      <c r="E39" s="147">
        <f t="shared" si="9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47.875977041432527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+C40+'12'!D40</f>
        <v>299</v>
      </c>
      <c r="E40" s="147">
        <f t="shared" si="9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44.634999999999998</v>
      </c>
      <c r="J40" s="135">
        <f>+I40+'12'!J40</f>
        <v>553.03300000000002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+C41+'12'!D41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42.541000000000004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+C42+'12'!D42</f>
        <v>0</v>
      </c>
      <c r="E42" s="147">
        <f t="shared" si="9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+C43+'12'!D43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+Report1!Z21</f>
        <v>57.2</v>
      </c>
      <c r="J43" s="137">
        <f>+I43+'12'!J43</f>
        <v>729.00000000000011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+C44+'12'!D44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1.2800716123978964</v>
      </c>
      <c r="J44" s="138">
        <f>J43/J38</f>
        <v>1.2826964425848186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+C45+'12'!D45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1.2815055449759158</v>
      </c>
      <c r="J45" s="138">
        <f>J43/J40</f>
        <v>1.3181853524111582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+C46+'12'!D46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+SUMIF(Listrik!P20,"&gt;0")</f>
        <v>37563.819999998545</v>
      </c>
      <c r="J46" s="139">
        <f>+I46+'12'!J46</f>
        <v>480633.72000000003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+C47+'12'!D47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840.63600760878467</v>
      </c>
      <c r="J47" s="139">
        <f>J46/J38</f>
        <v>845.68883790165671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+C48+'12'!D48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841.57768567264577</v>
      </c>
      <c r="J48" s="139">
        <f>J46/J40</f>
        <v>869.08687185032363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+C49+'12'!D49</f>
        <v>0</v>
      </c>
      <c r="E49" s="147">
        <f t="shared" si="9"/>
        <v>0</v>
      </c>
      <c r="F49" s="190"/>
      <c r="H49" s="193" t="s">
        <v>271</v>
      </c>
      <c r="I49" s="122">
        <f>+Report1!T21</f>
        <v>3793.220517500039</v>
      </c>
      <c r="J49" s="139">
        <f>+I49+'12'!J49</f>
        <v>52503.163199531518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+C50+'12'!D50</f>
        <v>0</v>
      </c>
      <c r="E50" s="147">
        <f t="shared" si="9"/>
        <v>0</v>
      </c>
      <c r="F50" s="190"/>
      <c r="H50" s="193" t="s">
        <v>82</v>
      </c>
      <c r="I50" s="144">
        <f>I49/I38</f>
        <v>84.888005314983531</v>
      </c>
      <c r="J50" s="137">
        <f>J49/J38</f>
        <v>92.380823951288392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+C51+'12'!D51</f>
        <v>0</v>
      </c>
      <c r="E51" s="147">
        <f t="shared" si="9"/>
        <v>0</v>
      </c>
      <c r="F51" s="190"/>
      <c r="H51" s="195" t="s">
        <v>84</v>
      </c>
      <c r="I51" s="145">
        <f>I49/I40</f>
        <v>84.983096617005472</v>
      </c>
      <c r="J51" s="140">
        <f>J49/J40</f>
        <v>94.936763628086425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62</v>
      </c>
      <c r="D52" s="148">
        <f>SUM(D38:D51)</f>
        <v>1291</v>
      </c>
      <c r="E52" s="149">
        <f>SUM(E38:E51)</f>
        <v>21.516666666666666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4.3055555555555555E-2</v>
      </c>
      <c r="D53" s="150">
        <f>D52/(24*60*G4)</f>
        <v>6.8963675213675218E-2</v>
      </c>
      <c r="E53" s="151">
        <f>E52/(G4*24)</f>
        <v>6.8963675213675205E-2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+D34+'12'!J56</f>
        <v>4021</v>
      </c>
      <c r="K56" s="206">
        <f>J56/(J40+J56/1000)/1000</f>
        <v>7.2183307183863689E-3</v>
      </c>
    </row>
    <row r="57" spans="1:11">
      <c r="A57" s="181"/>
      <c r="I57" s="204" t="s">
        <v>87</v>
      </c>
      <c r="J57" s="205">
        <f>+E34+'12'!J57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  <mergeCell ref="A42:B42"/>
    <mergeCell ref="A39:B39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topLeftCell="A4" zoomScale="80" zoomScaleNormal="80" workbookViewId="0">
      <selection activeCell="I23" sqref="A15:I23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12</v>
      </c>
      <c r="H4" s="158" t="str">
        <f>+'1'!H4</f>
        <v>.08.25</v>
      </c>
      <c r="J4" s="153">
        <f>733+365+517</f>
        <v>1615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503</v>
      </c>
      <c r="O6" s="153">
        <v>1230</v>
      </c>
      <c r="P6" s="153">
        <f>+O6-O6*0.23</f>
        <v>947.09999999999991</v>
      </c>
      <c r="Q6" s="153">
        <f>480-Q7</f>
        <v>300</v>
      </c>
      <c r="R6" s="153">
        <f>+O6*Q6</f>
        <v>369000</v>
      </c>
      <c r="S6" s="153">
        <f>+P6*Q6</f>
        <v>284130</v>
      </c>
    </row>
    <row r="7" spans="1:19" ht="13.5" customHeight="1" thickBot="1">
      <c r="A7" s="769"/>
      <c r="B7" s="220" t="s">
        <v>520</v>
      </c>
      <c r="C7" s="221">
        <v>13030</v>
      </c>
      <c r="D7" s="222"/>
      <c r="E7" s="223"/>
      <c r="F7" s="233"/>
      <c r="G7" s="234" t="s">
        <v>11</v>
      </c>
      <c r="H7" s="235" t="s">
        <v>387</v>
      </c>
      <c r="I7" s="772" t="s">
        <v>540</v>
      </c>
      <c r="J7" s="219" t="str">
        <f>+'11'!J7</f>
        <v>T 13 VP OW</v>
      </c>
      <c r="K7" s="243"/>
      <c r="L7" s="247"/>
      <c r="M7" s="121">
        <f>+K7+'11'!M7+L7</f>
        <v>252469</v>
      </c>
      <c r="N7" s="153" t="s">
        <v>503</v>
      </c>
      <c r="O7" s="153">
        <v>1230</v>
      </c>
      <c r="P7" s="153">
        <f>+O7-O7*0.29</f>
        <v>873.3</v>
      </c>
      <c r="Q7" s="153">
        <v>180</v>
      </c>
      <c r="R7" s="153">
        <f t="shared" ref="R7:R10" si="0">+O7*Q7</f>
        <v>221400</v>
      </c>
      <c r="S7" s="153">
        <f t="shared" ref="S7:S10" si="1">+P7*Q7</f>
        <v>157194</v>
      </c>
    </row>
    <row r="8" spans="1:19" ht="13.5" thickBot="1">
      <c r="A8" s="770"/>
      <c r="B8" s="220"/>
      <c r="C8" s="221"/>
      <c r="D8" s="222"/>
      <c r="E8" s="224"/>
      <c r="F8" s="236">
        <v>6</v>
      </c>
      <c r="G8" s="237" t="s">
        <v>11</v>
      </c>
      <c r="H8" s="235" t="s">
        <v>388</v>
      </c>
      <c r="I8" s="773"/>
      <c r="J8" s="219" t="str">
        <f>+'11'!J8</f>
        <v>T 15,5 VP OW</v>
      </c>
      <c r="K8" s="244"/>
      <c r="L8" s="244"/>
      <c r="M8" s="121">
        <f>+K8+'11'!M8+L8</f>
        <v>79695</v>
      </c>
      <c r="P8" s="153">
        <f>+O8-O8*0.23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v>14</v>
      </c>
      <c r="G9" s="237" t="s">
        <v>11</v>
      </c>
      <c r="H9" s="238" t="s">
        <v>428</v>
      </c>
      <c r="I9" s="773"/>
      <c r="J9" s="219" t="str">
        <f>+'11'!J9</f>
        <v>T 19 VP OW</v>
      </c>
      <c r="K9" s="244"/>
      <c r="L9" s="244"/>
      <c r="M9" s="121">
        <f>+K9+'11'!M9+L9</f>
        <v>10916</v>
      </c>
      <c r="P9" s="153">
        <f t="shared" ref="P9:P10" si="2">+O9-O9*0.25</f>
        <v>0</v>
      </c>
      <c r="R9" s="153">
        <f t="shared" si="0"/>
        <v>0</v>
      </c>
      <c r="S9" s="153">
        <f t="shared" si="1"/>
        <v>0</v>
      </c>
    </row>
    <row r="10" spans="1:19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527</v>
      </c>
      <c r="I10" s="773"/>
      <c r="J10" s="219" t="str">
        <f>+'11'!J10</f>
        <v>F 15 VP OW</v>
      </c>
      <c r="K10" s="244"/>
      <c r="L10" s="244"/>
      <c r="M10" s="121">
        <f>+K10+'11'!M10+L10</f>
        <v>10380</v>
      </c>
      <c r="P10" s="153">
        <f t="shared" si="2"/>
        <v>0</v>
      </c>
      <c r="R10" s="153">
        <f t="shared" si="0"/>
        <v>0</v>
      </c>
      <c r="S10" s="153">
        <f t="shared" si="1"/>
        <v>0</v>
      </c>
    </row>
    <row r="11" spans="1:19" ht="39" thickBot="1">
      <c r="A11" s="770"/>
      <c r="B11" s="220"/>
      <c r="C11" s="221"/>
      <c r="D11" s="222"/>
      <c r="E11" s="224"/>
      <c r="F11" s="233"/>
      <c r="G11" s="237"/>
      <c r="H11" s="238" t="s">
        <v>539</v>
      </c>
      <c r="I11" s="773"/>
      <c r="J11" s="219" t="str">
        <f>+'11'!J11</f>
        <v>F 13,5 VP OW</v>
      </c>
      <c r="K11" s="244"/>
      <c r="L11" s="244"/>
      <c r="M11" s="121">
        <f>+K11+'11'!M11+L11</f>
        <v>10451</v>
      </c>
      <c r="Q11" s="153">
        <f>SUM(Q6:Q10)</f>
        <v>480</v>
      </c>
      <c r="R11" s="153">
        <f>SUM(R6:R10)</f>
        <v>590400</v>
      </c>
      <c r="S11" s="153">
        <f>SUM(S6:S10)</f>
        <v>441324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+'11'!J12</f>
        <v>F 13 VP OW</v>
      </c>
      <c r="K12" s="244">
        <f>+C7+C16</f>
        <v>22178</v>
      </c>
      <c r="L12" s="244"/>
      <c r="M12" s="121">
        <f>+K12+'11'!M12+L12</f>
        <v>46216</v>
      </c>
      <c r="O12" s="153" t="s">
        <v>404</v>
      </c>
      <c r="R12" s="153">
        <f>+R11/Q11</f>
        <v>1230</v>
      </c>
      <c r="S12" s="153">
        <f>+S11/Q11</f>
        <v>919.42499999999995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+'11'!J13</f>
        <v>F 12 VP OW</v>
      </c>
      <c r="K13" s="244">
        <f>+C17+C25</f>
        <v>19067</v>
      </c>
      <c r="L13" s="244"/>
      <c r="M13" s="121">
        <f>+K13+'11'!M13+L13</f>
        <v>98271</v>
      </c>
    </row>
    <row r="14" spans="1:19" ht="13.5" thickBot="1">
      <c r="A14" s="771"/>
      <c r="B14" s="170" t="s">
        <v>2</v>
      </c>
      <c r="C14" s="103">
        <f>SUM(C7:C13)</f>
        <v>13030</v>
      </c>
      <c r="D14" s="115">
        <f>SUM(D7:D13)</f>
        <v>0</v>
      </c>
      <c r="E14" s="116">
        <f>SUM(E5:E13)</f>
        <v>0</v>
      </c>
      <c r="F14" s="120">
        <f>SUM(F7:F13)</f>
        <v>20</v>
      </c>
      <c r="G14" s="163"/>
      <c r="H14" s="171"/>
      <c r="I14" s="172"/>
      <c r="J14" s="219">
        <f>+'11'!J14</f>
        <v>0</v>
      </c>
      <c r="K14" s="244"/>
      <c r="L14" s="244"/>
      <c r="M14" s="121">
        <f>+K14+'11'!M14+L14</f>
        <v>0</v>
      </c>
    </row>
    <row r="15" spans="1:19" ht="13.5" customHeight="1" thickBot="1">
      <c r="A15" s="769"/>
      <c r="B15" s="170"/>
      <c r="C15" s="117">
        <f>C14/($C$23+$D$23+$E$23)</f>
        <v>0.97007147111375824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+'11'!J15</f>
        <v>0</v>
      </c>
      <c r="K15" s="244"/>
      <c r="L15" s="244"/>
      <c r="M15" s="121">
        <f>+K15+'11'!M15+L15</f>
        <v>0</v>
      </c>
      <c r="N15" s="153" t="s">
        <v>503</v>
      </c>
      <c r="O15" s="153">
        <v>1230</v>
      </c>
      <c r="P15" s="153">
        <f>+O15-O15*0.23</f>
        <v>947.09999999999991</v>
      </c>
      <c r="Q15" s="153">
        <f>60*3+40</f>
        <v>220</v>
      </c>
      <c r="R15" s="153">
        <f>+O15*Q15</f>
        <v>270600</v>
      </c>
      <c r="S15" s="153">
        <f>+P15*Q15</f>
        <v>208361.99999999997</v>
      </c>
    </row>
    <row r="16" spans="1:19" ht="13.5" thickBot="1">
      <c r="A16" s="775"/>
      <c r="B16" s="220" t="s">
        <v>520</v>
      </c>
      <c r="C16" s="227">
        <f>4284+4864</f>
        <v>9148</v>
      </c>
      <c r="D16" s="228"/>
      <c r="E16" s="229"/>
      <c r="F16" s="236">
        <v>6</v>
      </c>
      <c r="G16" s="237" t="s">
        <v>11</v>
      </c>
      <c r="H16" s="235" t="s">
        <v>508</v>
      </c>
      <c r="I16" s="773"/>
      <c r="J16" s="219">
        <f>+'11'!J16</f>
        <v>0</v>
      </c>
      <c r="K16" s="234"/>
      <c r="L16" s="234"/>
      <c r="M16" s="121">
        <f>+K16+'11'!M16+L16</f>
        <v>0</v>
      </c>
      <c r="N16" s="153" t="s">
        <v>390</v>
      </c>
      <c r="O16" s="153">
        <v>1230</v>
      </c>
      <c r="P16" s="153">
        <f>+O16-O16*0.23</f>
        <v>947.09999999999991</v>
      </c>
      <c r="Q16" s="153">
        <f>480-Q15</f>
        <v>260</v>
      </c>
      <c r="R16" s="153">
        <f t="shared" ref="R16:R19" si="3">+O16*Q16</f>
        <v>319800</v>
      </c>
      <c r="S16" s="153">
        <f t="shared" ref="S16:S19" si="4">+P16*Q16</f>
        <v>246245.99999999997</v>
      </c>
    </row>
    <row r="17" spans="1:19" ht="13.5" thickBot="1">
      <c r="A17" s="775"/>
      <c r="B17" s="220" t="s">
        <v>521</v>
      </c>
      <c r="C17" s="221">
        <f>2288+1996</f>
        <v>4284</v>
      </c>
      <c r="D17" s="222"/>
      <c r="E17" s="230"/>
      <c r="F17" s="233">
        <v>14</v>
      </c>
      <c r="G17" s="237" t="s">
        <v>11</v>
      </c>
      <c r="H17" s="238" t="s">
        <v>535</v>
      </c>
      <c r="I17" s="773"/>
      <c r="J17" s="219">
        <f>+'11'!J17</f>
        <v>0</v>
      </c>
      <c r="K17" s="234"/>
      <c r="L17" s="234"/>
      <c r="M17" s="121">
        <f>+K17+'11'!M17+L17</f>
        <v>0</v>
      </c>
      <c r="P17" s="153">
        <f>+O17-O17*0.23</f>
        <v>0</v>
      </c>
      <c r="R17" s="153">
        <f t="shared" si="3"/>
        <v>0</v>
      </c>
      <c r="S17" s="153">
        <f t="shared" si="4"/>
        <v>0</v>
      </c>
    </row>
    <row r="18" spans="1:19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531</v>
      </c>
      <c r="I18" s="773"/>
      <c r="J18" s="219">
        <f>+'11'!J18</f>
        <v>0</v>
      </c>
      <c r="K18" s="244"/>
      <c r="L18" s="244"/>
      <c r="M18" s="121">
        <f>+K18+'11'!M18+L18</f>
        <v>0</v>
      </c>
      <c r="P18" s="153">
        <f t="shared" ref="P18:P19" si="5">+O18-O18*0.25</f>
        <v>0</v>
      </c>
      <c r="R18" s="153">
        <f t="shared" si="3"/>
        <v>0</v>
      </c>
      <c r="S18" s="153">
        <f t="shared" si="4"/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 t="s">
        <v>532</v>
      </c>
      <c r="I19" s="773"/>
      <c r="J19" s="219">
        <f>+'11'!J19</f>
        <v>0</v>
      </c>
      <c r="K19" s="244"/>
      <c r="L19" s="244"/>
      <c r="M19" s="121">
        <f>+K19+'11'!M19+L19</f>
        <v>0</v>
      </c>
      <c r="P19" s="153">
        <f t="shared" si="5"/>
        <v>0</v>
      </c>
      <c r="R19" s="153">
        <f t="shared" si="3"/>
        <v>0</v>
      </c>
      <c r="S19" s="153">
        <f t="shared" si="4"/>
        <v>0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+'11'!J20</f>
        <v>0</v>
      </c>
      <c r="K20" s="245"/>
      <c r="L20" s="245"/>
      <c r="M20" s="121">
        <f>+K20+'11'!M20+L20</f>
        <v>0</v>
      </c>
      <c r="Q20" s="153">
        <f>SUM(Q15:Q19)</f>
        <v>480</v>
      </c>
      <c r="R20" s="153">
        <f>SUM(R15:R19)</f>
        <v>590400</v>
      </c>
      <c r="S20" s="153">
        <f>SUM(S15:S19)</f>
        <v>454607.99999999994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+'11'!J21</f>
        <v>0</v>
      </c>
      <c r="K21" s="244"/>
      <c r="L21" s="244"/>
      <c r="M21" s="121">
        <f>+K21+'11'!M21+L21</f>
        <v>0</v>
      </c>
      <c r="O21" s="153" t="s">
        <v>404</v>
      </c>
      <c r="R21" s="153">
        <f>+R20/Q20</f>
        <v>1230</v>
      </c>
      <c r="S21" s="153">
        <f>+S20/Q20</f>
        <v>947.09999999999991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+'11'!J22</f>
        <v>0</v>
      </c>
      <c r="K22" s="244"/>
      <c r="L22" s="244"/>
      <c r="M22" s="121">
        <f>+K22+'11'!M22+L22</f>
        <v>0</v>
      </c>
    </row>
    <row r="23" spans="1:19" ht="13.5" thickBot="1">
      <c r="A23" s="776"/>
      <c r="B23" s="173" t="s">
        <v>2</v>
      </c>
      <c r="C23" s="104">
        <f>SUM(C16:C22)</f>
        <v>13432</v>
      </c>
      <c r="D23" s="115">
        <f>SUM(D16:D22)</f>
        <v>0</v>
      </c>
      <c r="E23" s="116">
        <f>SUM(E18:E22)</f>
        <v>0</v>
      </c>
      <c r="F23" s="120">
        <f>SUM(F15:F22)</f>
        <v>20</v>
      </c>
      <c r="G23" s="163"/>
      <c r="H23" s="171"/>
      <c r="I23" s="174"/>
      <c r="J23" s="219">
        <f>+'11'!J23</f>
        <v>0</v>
      </c>
      <c r="K23" s="244"/>
      <c r="L23" s="244"/>
      <c r="M23" s="121">
        <f>+K23+'11'!M23+L23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10</v>
      </c>
      <c r="G24" s="234" t="s">
        <v>11</v>
      </c>
      <c r="H24" s="235" t="s">
        <v>433</v>
      </c>
      <c r="I24" s="772" t="s">
        <v>405</v>
      </c>
      <c r="J24" s="219">
        <f>+'11'!J24</f>
        <v>0</v>
      </c>
      <c r="K24" s="244"/>
      <c r="L24" s="244"/>
      <c r="M24" s="121">
        <f>+K24+'11'!M24+L24</f>
        <v>0</v>
      </c>
    </row>
    <row r="25" spans="1:19" ht="13.5" customHeight="1" thickBot="1">
      <c r="A25" s="775"/>
      <c r="B25" s="220" t="s">
        <v>521</v>
      </c>
      <c r="C25" s="231">
        <v>14783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+'11'!J25</f>
        <v>0</v>
      </c>
      <c r="K25" s="244"/>
      <c r="L25" s="244"/>
      <c r="M25" s="121">
        <f>+K25+'11'!M25+L25</f>
        <v>0</v>
      </c>
    </row>
    <row r="26" spans="1:19" ht="13.5" customHeight="1" thickBot="1">
      <c r="A26" s="775"/>
      <c r="B26" s="220"/>
      <c r="C26" s="231"/>
      <c r="D26" s="222"/>
      <c r="E26" s="232"/>
      <c r="F26" s="233">
        <v>11</v>
      </c>
      <c r="G26" s="237" t="s">
        <v>11</v>
      </c>
      <c r="H26" s="238" t="s">
        <v>389</v>
      </c>
      <c r="I26" s="773"/>
      <c r="J26" s="219">
        <f>+'11'!J26</f>
        <v>0</v>
      </c>
      <c r="K26" s="244"/>
      <c r="L26" s="244"/>
      <c r="M26" s="121">
        <f>+K26+'11'!M26+L26</f>
        <v>0</v>
      </c>
      <c r="R26" s="153">
        <f>+O26*Q26</f>
        <v>0</v>
      </c>
      <c r="S26" s="153">
        <f>+P26*Q26</f>
        <v>0</v>
      </c>
    </row>
    <row r="27" spans="1:19" ht="13.5" customHeight="1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533</v>
      </c>
      <c r="I27" s="773"/>
      <c r="J27" s="219">
        <f>+'11'!J27</f>
        <v>0</v>
      </c>
      <c r="K27" s="244"/>
      <c r="L27" s="244"/>
      <c r="M27" s="121">
        <f>+K27+'11'!M27+L27</f>
        <v>0</v>
      </c>
      <c r="N27" s="153" t="s">
        <v>390</v>
      </c>
      <c r="O27" s="153">
        <v>1230</v>
      </c>
      <c r="P27" s="153">
        <f>+O27-O27*0.23</f>
        <v>947.09999999999991</v>
      </c>
      <c r="Q27" s="153">
        <f>480-Q26</f>
        <v>480</v>
      </c>
      <c r="R27" s="153">
        <f t="shared" ref="R27:R30" si="6">+O27*Q27</f>
        <v>590400</v>
      </c>
      <c r="S27" s="153">
        <f t="shared" ref="S27:S30" si="7">+P27*Q27</f>
        <v>454607.99999999994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+'11'!J28</f>
        <v>0</v>
      </c>
      <c r="K28" s="244"/>
      <c r="L28" s="244"/>
      <c r="M28" s="121">
        <f>+K28+'11'!M28+L28</f>
        <v>0</v>
      </c>
      <c r="P28" s="153">
        <f>+O28-O28*0.23</f>
        <v>0</v>
      </c>
      <c r="R28" s="153">
        <f t="shared" si="6"/>
        <v>0</v>
      </c>
      <c r="S28" s="153">
        <f t="shared" si="7"/>
        <v>0</v>
      </c>
    </row>
    <row r="29" spans="1:19" ht="13.5" customHeight="1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+'11'!J29</f>
        <v>0</v>
      </c>
      <c r="K29" s="244"/>
      <c r="L29" s="244"/>
      <c r="M29" s="121">
        <f>+K29+'11'!M29+L29</f>
        <v>0</v>
      </c>
      <c r="P29" s="153">
        <f t="shared" ref="P29:P30" si="8">+O29-O29*0.25</f>
        <v>0</v>
      </c>
      <c r="R29" s="153">
        <f t="shared" si="6"/>
        <v>0</v>
      </c>
      <c r="S29" s="153">
        <f t="shared" si="7"/>
        <v>0</v>
      </c>
    </row>
    <row r="30" spans="1:19" ht="13.5" customHeight="1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+'11'!J30</f>
        <v>0</v>
      </c>
      <c r="K30" s="244"/>
      <c r="L30" s="244"/>
      <c r="M30" s="121">
        <f>+K30+'11'!M30+L30</f>
        <v>0</v>
      </c>
      <c r="P30" s="153">
        <f t="shared" si="8"/>
        <v>0</v>
      </c>
      <c r="R30" s="153">
        <f t="shared" si="6"/>
        <v>0</v>
      </c>
      <c r="S30" s="153">
        <f t="shared" si="7"/>
        <v>0</v>
      </c>
    </row>
    <row r="31" spans="1:19" ht="13.5" customHeight="1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+'11'!J31</f>
        <v>0</v>
      </c>
      <c r="K31" s="244"/>
      <c r="L31" s="244"/>
      <c r="M31" s="121">
        <f>+K31+'11'!M31+L31</f>
        <v>0</v>
      </c>
      <c r="Q31" s="153">
        <f>SUM(Q26:Q30)</f>
        <v>480</v>
      </c>
      <c r="R31" s="153">
        <f>SUM(R26:R30)</f>
        <v>590400</v>
      </c>
      <c r="S31" s="153">
        <f>SUM(S26:S30)</f>
        <v>454607.99999999994</v>
      </c>
    </row>
    <row r="32" spans="1:19" ht="13.5" customHeight="1" thickBot="1">
      <c r="A32" s="776"/>
      <c r="B32" s="170" t="s">
        <v>2</v>
      </c>
      <c r="C32" s="103">
        <f>SUM(C25:C31)</f>
        <v>14783</v>
      </c>
      <c r="D32" s="104">
        <f>SUM(D25:D31)</f>
        <v>0</v>
      </c>
      <c r="E32" s="105">
        <f>SUM(E25:E31)</f>
        <v>0</v>
      </c>
      <c r="F32" s="106">
        <f>SUM(F24:F31)</f>
        <v>21</v>
      </c>
      <c r="G32" s="176"/>
      <c r="H32" s="177"/>
      <c r="I32" s="174"/>
      <c r="J32" s="219">
        <f>+'1'!J32</f>
        <v>0</v>
      </c>
      <c r="K32" s="246"/>
      <c r="L32" s="248"/>
      <c r="M32" s="121">
        <f>+K32+'11'!M32+L32</f>
        <v>0</v>
      </c>
      <c r="O32" s="153" t="s">
        <v>404</v>
      </c>
      <c r="R32" s="153">
        <f>+R31/Q31</f>
        <v>1230</v>
      </c>
      <c r="S32" s="153">
        <f>+S31/Q31</f>
        <v>947.09999999999991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7" ht="13.5" thickBot="1">
      <c r="A34" s="765" t="s">
        <v>56</v>
      </c>
      <c r="B34" s="766"/>
      <c r="C34" s="111">
        <f>C14+C23+C32</f>
        <v>41245</v>
      </c>
      <c r="D34" s="111">
        <f>D14+D23+D32</f>
        <v>0</v>
      </c>
      <c r="E34" s="111">
        <f>E14+E23+E32</f>
        <v>0</v>
      </c>
      <c r="F34" s="112">
        <f>F14+F23+F32</f>
        <v>61</v>
      </c>
      <c r="H34" s="183"/>
      <c r="I34" s="183"/>
      <c r="J34" s="127" t="s">
        <v>27</v>
      </c>
      <c r="K34" s="128">
        <f>SUM(K7:K32)</f>
        <v>41245</v>
      </c>
      <c r="L34" s="217">
        <f>SUM(L7:L32)</f>
        <v>0</v>
      </c>
      <c r="M34" s="124">
        <f>SUM(M7:M32)</f>
        <v>508398</v>
      </c>
    </row>
    <row r="35" spans="1:17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N35" s="153" t="s">
        <v>503</v>
      </c>
      <c r="O35" s="153">
        <v>1230</v>
      </c>
      <c r="P35" s="153">
        <v>947.09999999999991</v>
      </c>
      <c r="Q35" s="153">
        <f>300+220</f>
        <v>520</v>
      </c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  <c r="N36" s="153" t="s">
        <v>503</v>
      </c>
      <c r="O36" s="153">
        <v>1230</v>
      </c>
      <c r="P36" s="153">
        <v>873.3</v>
      </c>
      <c r="Q36" s="153">
        <v>180</v>
      </c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(13*700+12*740)/1440*G42*2.74*1440/1000000</f>
        <v>46.659070919999998</v>
      </c>
      <c r="J37" s="129">
        <f>+I37+'11'!J37</f>
        <v>574.22349929862287</v>
      </c>
      <c r="K37" s="130" t="s">
        <v>62</v>
      </c>
      <c r="Q37" s="153">
        <f>+Q35+Q36</f>
        <v>700</v>
      </c>
    </row>
    <row r="38" spans="1:17" ht="17.45" customHeight="1">
      <c r="A38" s="759" t="s">
        <v>11</v>
      </c>
      <c r="B38" s="760"/>
      <c r="C38" s="168">
        <f>SUMIF($G$7:$G$31,"Process",$F$7:$F$31)</f>
        <v>61</v>
      </c>
      <c r="D38" s="122">
        <f>+C38+'11'!D38</f>
        <v>870</v>
      </c>
      <c r="E38" s="147">
        <f t="shared" ref="E38:E51" si="9">D38/60</f>
        <v>14.5</v>
      </c>
      <c r="F38" s="327">
        <v>1230</v>
      </c>
      <c r="G38" s="327">
        <v>919.42499999999995</v>
      </c>
      <c r="H38" s="192" t="s">
        <v>63</v>
      </c>
      <c r="I38" s="250">
        <f>14.156+7.713+7.179+14.3</f>
        <v>43.347999999999999</v>
      </c>
      <c r="J38" s="131">
        <f>+I38+'11'!J38</f>
        <v>523.64899999999989</v>
      </c>
      <c r="K38" s="132" t="s">
        <v>62</v>
      </c>
      <c r="N38" s="153" t="s">
        <v>390</v>
      </c>
      <c r="O38" s="153">
        <v>1230</v>
      </c>
      <c r="P38" s="153">
        <v>947.09999999999991</v>
      </c>
      <c r="Q38" s="153">
        <f>260+480</f>
        <v>740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+C39+'11'!D39</f>
        <v>0</v>
      </c>
      <c r="E39" s="147">
        <f t="shared" si="9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47.851958274885241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+C40+'11'!D40</f>
        <v>299</v>
      </c>
      <c r="E40" s="147">
        <f t="shared" si="9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41.244999999999997</v>
      </c>
      <c r="J40" s="135">
        <f>+I40+'11'!J40</f>
        <v>508.39799999999997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+C41+'11'!D41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42.366499999999995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+C42+'11'!D42</f>
        <v>0</v>
      </c>
      <c r="E42" s="147">
        <f t="shared" si="9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+C43+'11'!D43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+Report1!Z20</f>
        <v>54.7</v>
      </c>
      <c r="J43" s="137">
        <f>+I43+'11'!J43</f>
        <v>671.80000000000007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+C44+'11'!D44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1.2618805942604043</v>
      </c>
      <c r="J44" s="138">
        <f>J43/J38</f>
        <v>1.2829204295243575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+C45+'11'!D45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1.3262213601648687</v>
      </c>
      <c r="J45" s="138">
        <f>J43/J40</f>
        <v>1.3214056703606232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+C46+'11'!D46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+SUMIF(Listrik!P19,"&gt;0")</f>
        <v>39363.520000001452</v>
      </c>
      <c r="J46" s="139">
        <f>+I46+'11'!J46</f>
        <v>443069.90000000148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+C47+'11'!D47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908.08157239091656</v>
      </c>
      <c r="J47" s="139">
        <f>J46/J38</f>
        <v>846.12001550657328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+C48+'11'!D48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954.38283428297871</v>
      </c>
      <c r="J48" s="139">
        <f>J46/J40</f>
        <v>871.50205154229855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+C49+'11'!D49</f>
        <v>0</v>
      </c>
      <c r="E49" s="147">
        <f t="shared" si="9"/>
        <v>0</v>
      </c>
      <c r="F49" s="190"/>
      <c r="H49" s="193" t="s">
        <v>271</v>
      </c>
      <c r="I49" s="122">
        <f>+Report1!T20</f>
        <v>3796.7778914658179</v>
      </c>
      <c r="J49" s="139">
        <f>+I49+'11'!J49</f>
        <v>48709.942682031477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+C50+'11'!D50</f>
        <v>0</v>
      </c>
      <c r="E50" s="147">
        <f t="shared" si="9"/>
        <v>0</v>
      </c>
      <c r="F50" s="190"/>
      <c r="H50" s="193" t="s">
        <v>82</v>
      </c>
      <c r="I50" s="144">
        <f>I49/I38</f>
        <v>87.58830606869563</v>
      </c>
      <c r="J50" s="137">
        <f>J49/J38</f>
        <v>93.020215224380237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+C51+'11'!D51</f>
        <v>0</v>
      </c>
      <c r="E51" s="147">
        <f t="shared" si="9"/>
        <v>0</v>
      </c>
      <c r="F51" s="190"/>
      <c r="H51" s="195" t="s">
        <v>84</v>
      </c>
      <c r="I51" s="145">
        <f>I49/I40</f>
        <v>92.054258491109664</v>
      </c>
      <c r="J51" s="140">
        <f>J49/J40</f>
        <v>95.810649691838833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61</v>
      </c>
      <c r="D52" s="148">
        <f>SUM(D38:D51)</f>
        <v>1229</v>
      </c>
      <c r="E52" s="149">
        <f>SUM(E38:E51)</f>
        <v>20.483333333333334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4.2361111111111113E-2</v>
      </c>
      <c r="D53" s="150">
        <f>D52/(24*60*G4)</f>
        <v>7.1122685185185192E-2</v>
      </c>
      <c r="E53" s="151">
        <f>E52/(G4*24)</f>
        <v>7.1122685185185192E-2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+D34+'11'!J56</f>
        <v>4021</v>
      </c>
      <c r="K56" s="206">
        <f>J56/(J40+J56/1000)/1000</f>
        <v>7.8470938821550342E-3</v>
      </c>
    </row>
    <row r="57" spans="1:11">
      <c r="A57" s="181"/>
      <c r="I57" s="204" t="s">
        <v>87</v>
      </c>
      <c r="J57" s="205">
        <f>+E34+'11'!J57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24:A32"/>
    <mergeCell ref="A46:B46"/>
    <mergeCell ref="A47:B47"/>
    <mergeCell ref="A39:B39"/>
    <mergeCell ref="I24:I31"/>
    <mergeCell ref="A37:B37"/>
    <mergeCell ref="A38:B38"/>
    <mergeCell ref="A45:B45"/>
    <mergeCell ref="A40:B40"/>
    <mergeCell ref="A41:B41"/>
    <mergeCell ref="A34:B34"/>
    <mergeCell ref="A42:B42"/>
    <mergeCell ref="A43:B43"/>
    <mergeCell ref="A44:B44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0" zoomScaleSheetLayoutView="80" workbookViewId="0">
      <selection activeCell="F15" sqref="F1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5.5703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11</v>
      </c>
      <c r="H4" s="158" t="str">
        <f>+'1'!H4</f>
        <v>.08.25</v>
      </c>
      <c r="J4" s="153">
        <v>1553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v>480</v>
      </c>
      <c r="R6" s="153">
        <f>+O6*Q6</f>
        <v>590400</v>
      </c>
      <c r="S6" s="153">
        <f>+P6*Q6</f>
        <v>454607.99999999994</v>
      </c>
    </row>
    <row r="7" spans="1:19" ht="13.5" customHeight="1" thickBot="1">
      <c r="A7" s="769"/>
      <c r="B7" s="220" t="s">
        <v>521</v>
      </c>
      <c r="C7" s="221">
        <v>13527</v>
      </c>
      <c r="D7" s="222"/>
      <c r="E7" s="223"/>
      <c r="F7" s="233"/>
      <c r="G7" s="234" t="s">
        <v>11</v>
      </c>
      <c r="H7" s="235" t="s">
        <v>433</v>
      </c>
      <c r="I7" s="772" t="s">
        <v>405</v>
      </c>
      <c r="J7" s="219" t="str">
        <f>+'10'!J7</f>
        <v>T 13 VP OW</v>
      </c>
      <c r="K7" s="243"/>
      <c r="L7" s="247"/>
      <c r="M7" s="121">
        <f>+K7+'10'!M7+L7</f>
        <v>252469</v>
      </c>
      <c r="P7" s="153">
        <f>+O7-O7*0.23</f>
        <v>0</v>
      </c>
      <c r="R7" s="153">
        <f t="shared" ref="R7:R10" si="0">+O7*Q7</f>
        <v>0</v>
      </c>
      <c r="S7" s="153">
        <f t="shared" ref="S7:S10" si="1">+P7*Q7</f>
        <v>0</v>
      </c>
    </row>
    <row r="8" spans="1:19" ht="13.5" thickBot="1">
      <c r="A8" s="770"/>
      <c r="B8" s="220"/>
      <c r="C8" s="221"/>
      <c r="D8" s="222"/>
      <c r="E8" s="224"/>
      <c r="F8" s="236">
        <v>9</v>
      </c>
      <c r="G8" s="237" t="s">
        <v>11</v>
      </c>
      <c r="H8" s="235" t="s">
        <v>429</v>
      </c>
      <c r="I8" s="773"/>
      <c r="J8" s="219" t="str">
        <f>+'10'!J8</f>
        <v>T 15,5 VP OW</v>
      </c>
      <c r="K8" s="244"/>
      <c r="L8" s="244"/>
      <c r="M8" s="121">
        <f>+K8+'10'!M8+L8</f>
        <v>79695</v>
      </c>
      <c r="P8" s="153">
        <f>+O8-O8*0.23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0"/>
      <c r="B9" s="220"/>
      <c r="C9" s="221"/>
      <c r="D9" s="222"/>
      <c r="E9" s="225"/>
      <c r="F9" s="233">
        <v>10</v>
      </c>
      <c r="G9" s="237" t="s">
        <v>11</v>
      </c>
      <c r="H9" s="238" t="s">
        <v>389</v>
      </c>
      <c r="I9" s="773"/>
      <c r="J9" s="219" t="str">
        <f>+'10'!J9</f>
        <v>T 19 VP OW</v>
      </c>
      <c r="K9" s="244"/>
      <c r="L9" s="244"/>
      <c r="M9" s="121">
        <f>+K9+'10'!M9+L9</f>
        <v>10916</v>
      </c>
      <c r="P9" s="153">
        <f t="shared" ref="P9:P10" si="2">+O9-O9*0.25</f>
        <v>0</v>
      </c>
      <c r="R9" s="153">
        <f t="shared" si="0"/>
        <v>0</v>
      </c>
      <c r="S9" s="153">
        <f t="shared" si="1"/>
        <v>0</v>
      </c>
    </row>
    <row r="10" spans="1:19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496</v>
      </c>
      <c r="I10" s="773"/>
      <c r="J10" s="219" t="str">
        <f>+'10'!J10</f>
        <v>F 15 VP OW</v>
      </c>
      <c r="K10" s="244"/>
      <c r="L10" s="244"/>
      <c r="M10" s="121">
        <f>+K10+'10'!M10+L10</f>
        <v>10380</v>
      </c>
      <c r="P10" s="153">
        <f t="shared" si="2"/>
        <v>0</v>
      </c>
      <c r="R10" s="153">
        <f t="shared" si="0"/>
        <v>0</v>
      </c>
      <c r="S10" s="153">
        <f t="shared" si="1"/>
        <v>0</v>
      </c>
    </row>
    <row r="11" spans="1:19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+'10'!J11</f>
        <v>F 13,5 VP OW</v>
      </c>
      <c r="K11" s="244"/>
      <c r="L11" s="244"/>
      <c r="M11" s="121">
        <f>+K11+'10'!M11+L11</f>
        <v>10451</v>
      </c>
      <c r="Q11" s="153">
        <f>SUM(Q6:Q10)</f>
        <v>480</v>
      </c>
      <c r="R11" s="153">
        <f>SUM(R6:R10)</f>
        <v>590400</v>
      </c>
      <c r="S11" s="153">
        <f>SUM(S6:S10)</f>
        <v>454607.99999999994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+'10'!J12</f>
        <v>F 13 VP OW</v>
      </c>
      <c r="K12" s="244">
        <f>+C26</f>
        <v>13432</v>
      </c>
      <c r="L12" s="244"/>
      <c r="M12" s="121">
        <f>+K12+'10'!M12+L12</f>
        <v>24038</v>
      </c>
      <c r="O12" s="153" t="s">
        <v>404</v>
      </c>
      <c r="R12" s="153">
        <f>+R11/Q11</f>
        <v>1230</v>
      </c>
      <c r="S12" s="153">
        <f>+S11/Q11</f>
        <v>947.09999999999991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+'10'!J13</f>
        <v>F 12 VP OW</v>
      </c>
      <c r="K13" s="244">
        <f>+C7+C16+C25</f>
        <v>27157</v>
      </c>
      <c r="L13" s="244"/>
      <c r="M13" s="121">
        <f>+K13+'10'!M13+L13</f>
        <v>79204</v>
      </c>
    </row>
    <row r="14" spans="1:19" ht="13.5" thickBot="1">
      <c r="A14" s="771"/>
      <c r="B14" s="170" t="s">
        <v>2</v>
      </c>
      <c r="C14" s="103">
        <f>SUM(C7:C13)</f>
        <v>13527</v>
      </c>
      <c r="D14" s="115">
        <f>SUM(D7:D13)</f>
        <v>0</v>
      </c>
      <c r="E14" s="116">
        <f>SUM(E5:E13)</f>
        <v>0</v>
      </c>
      <c r="F14" s="120">
        <f>SUM(F7:F13)</f>
        <v>19</v>
      </c>
      <c r="G14" s="163"/>
      <c r="H14" s="171"/>
      <c r="I14" s="172"/>
      <c r="J14" s="219">
        <f>+'10'!J14</f>
        <v>0</v>
      </c>
      <c r="K14" s="244"/>
      <c r="L14" s="244"/>
      <c r="M14" s="121">
        <f>+K14+'10'!M14+L14</f>
        <v>0</v>
      </c>
    </row>
    <row r="15" spans="1:19" ht="13.5" customHeight="1" thickBot="1">
      <c r="A15" s="769"/>
      <c r="B15" s="170"/>
      <c r="C15" s="117">
        <f>C14/($C$23+$D$23+$E$23)</f>
        <v>1.0776768642447419</v>
      </c>
      <c r="D15" s="118">
        <f>D14/($C$23+$D$23+$E$23)</f>
        <v>0</v>
      </c>
      <c r="E15" s="119">
        <f>E14/($C$23+$D$23+$E$23)</f>
        <v>0</v>
      </c>
      <c r="F15" s="233">
        <v>9</v>
      </c>
      <c r="G15" s="234" t="s">
        <v>11</v>
      </c>
      <c r="H15" s="235" t="s">
        <v>407</v>
      </c>
      <c r="I15" s="772" t="s">
        <v>405</v>
      </c>
      <c r="J15" s="219">
        <f>+'10'!J15</f>
        <v>0</v>
      </c>
      <c r="K15" s="244"/>
      <c r="L15" s="244"/>
      <c r="M15" s="121">
        <f>+K15+'10'!M15+L15</f>
        <v>0</v>
      </c>
      <c r="N15" s="153" t="s">
        <v>390</v>
      </c>
      <c r="O15" s="153">
        <v>1230</v>
      </c>
      <c r="P15" s="153">
        <f>+O15-O15*0.23</f>
        <v>947.09999999999991</v>
      </c>
      <c r="Q15" s="153">
        <v>450</v>
      </c>
      <c r="R15" s="153">
        <f>+O15*Q15</f>
        <v>553500</v>
      </c>
      <c r="S15" s="153">
        <f>+P15*Q15</f>
        <v>426194.99999999994</v>
      </c>
    </row>
    <row r="16" spans="1:19" ht="13.5" thickBot="1">
      <c r="A16" s="775"/>
      <c r="B16" s="220" t="s">
        <v>521</v>
      </c>
      <c r="C16" s="227">
        <v>12552</v>
      </c>
      <c r="D16" s="228"/>
      <c r="E16" s="229"/>
      <c r="F16" s="236">
        <v>6</v>
      </c>
      <c r="G16" s="237" t="s">
        <v>11</v>
      </c>
      <c r="H16" s="235" t="s">
        <v>508</v>
      </c>
      <c r="I16" s="773"/>
      <c r="J16" s="219">
        <f>+'10'!J16</f>
        <v>0</v>
      </c>
      <c r="K16" s="234"/>
      <c r="L16" s="234"/>
      <c r="M16" s="121">
        <f>+K16+'10'!M16+L16</f>
        <v>0</v>
      </c>
      <c r="N16" s="153" t="s">
        <v>503</v>
      </c>
      <c r="O16" s="153">
        <v>1230</v>
      </c>
      <c r="P16" s="153">
        <f>+O16-O16*0.23</f>
        <v>947.09999999999991</v>
      </c>
      <c r="Q16" s="153">
        <v>30</v>
      </c>
      <c r="R16" s="153">
        <f t="shared" ref="R16:R19" si="3">+O16*Q16</f>
        <v>36900</v>
      </c>
      <c r="S16" s="153">
        <f t="shared" ref="S16:S19" si="4">+P16*Q16</f>
        <v>28412.999999999996</v>
      </c>
    </row>
    <row r="17" spans="1:19" ht="13.5" thickBot="1">
      <c r="A17" s="775"/>
      <c r="B17" s="220"/>
      <c r="C17" s="221"/>
      <c r="D17" s="222"/>
      <c r="E17" s="230"/>
      <c r="F17" s="233">
        <f>22-15</f>
        <v>7</v>
      </c>
      <c r="G17" s="237" t="s">
        <v>11</v>
      </c>
      <c r="H17" s="238" t="s">
        <v>434</v>
      </c>
      <c r="I17" s="773"/>
      <c r="J17" s="219">
        <f>+'10'!J17</f>
        <v>0</v>
      </c>
      <c r="K17" s="234"/>
      <c r="L17" s="234"/>
      <c r="M17" s="121">
        <f>+K17+'10'!M17+L17</f>
        <v>0</v>
      </c>
      <c r="P17" s="153">
        <f>+O17-O17*0.23</f>
        <v>0</v>
      </c>
      <c r="R17" s="153">
        <f t="shared" si="3"/>
        <v>0</v>
      </c>
      <c r="S17" s="153">
        <f t="shared" si="4"/>
        <v>0</v>
      </c>
    </row>
    <row r="18" spans="1:19" ht="13.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496</v>
      </c>
      <c r="I18" s="773"/>
      <c r="J18" s="219">
        <f>+'10'!J18</f>
        <v>0</v>
      </c>
      <c r="K18" s="244"/>
      <c r="L18" s="244"/>
      <c r="M18" s="121">
        <f>+K18+'10'!M18+L18</f>
        <v>0</v>
      </c>
      <c r="P18" s="153">
        <f t="shared" ref="P18:P19" si="5">+O18-O18*0.25</f>
        <v>0</v>
      </c>
      <c r="R18" s="153">
        <f t="shared" si="3"/>
        <v>0</v>
      </c>
      <c r="S18" s="153">
        <f t="shared" si="4"/>
        <v>0</v>
      </c>
    </row>
    <row r="19" spans="1:19" ht="13.5" thickBot="1">
      <c r="A19" s="775"/>
      <c r="B19" s="220"/>
      <c r="C19" s="221"/>
      <c r="D19" s="222"/>
      <c r="E19" s="230"/>
      <c r="F19" s="240"/>
      <c r="G19" s="237"/>
      <c r="H19" s="238" t="s">
        <v>525</v>
      </c>
      <c r="I19" s="773"/>
      <c r="J19" s="219">
        <f>+'10'!J19</f>
        <v>0</v>
      </c>
      <c r="K19" s="244"/>
      <c r="L19" s="244"/>
      <c r="M19" s="121">
        <f>+K19+'10'!M19+L19</f>
        <v>0</v>
      </c>
      <c r="P19" s="153">
        <f t="shared" si="5"/>
        <v>0</v>
      </c>
      <c r="R19" s="153">
        <f t="shared" si="3"/>
        <v>0</v>
      </c>
      <c r="S19" s="153">
        <f t="shared" si="4"/>
        <v>0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 t="s">
        <v>526</v>
      </c>
      <c r="I20" s="773"/>
      <c r="J20" s="219">
        <f>+'10'!J20</f>
        <v>0</v>
      </c>
      <c r="K20" s="245"/>
      <c r="L20" s="245"/>
      <c r="M20" s="121">
        <f>+K20+'10'!M20+L20</f>
        <v>0</v>
      </c>
      <c r="Q20" s="153">
        <f>SUM(Q15:Q19)</f>
        <v>480</v>
      </c>
      <c r="R20" s="153">
        <f>SUM(R15:R19)</f>
        <v>590400</v>
      </c>
      <c r="S20" s="153">
        <f>SUM(S15:S19)</f>
        <v>454607.99999999994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+'10'!J21</f>
        <v>0</v>
      </c>
      <c r="K21" s="244"/>
      <c r="L21" s="244"/>
      <c r="M21" s="121">
        <f>+K21+'10'!M21+L21</f>
        <v>0</v>
      </c>
      <c r="O21" s="153" t="s">
        <v>404</v>
      </c>
      <c r="R21" s="153">
        <f>+R20/Q20</f>
        <v>1230</v>
      </c>
      <c r="S21" s="153">
        <f>+S20/Q20</f>
        <v>947.09999999999991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+'10'!J22</f>
        <v>0</v>
      </c>
      <c r="K22" s="244"/>
      <c r="L22" s="244"/>
      <c r="M22" s="121">
        <f>+K22+'10'!M22+L22</f>
        <v>0</v>
      </c>
    </row>
    <row r="23" spans="1:19" ht="13.5" thickBot="1">
      <c r="A23" s="776"/>
      <c r="B23" s="173" t="s">
        <v>2</v>
      </c>
      <c r="C23" s="104">
        <f>SUM(C16:C22)</f>
        <v>12552</v>
      </c>
      <c r="D23" s="115">
        <f>SUM(D16:D22)</f>
        <v>0</v>
      </c>
      <c r="E23" s="116">
        <f>SUM(E18:E22)</f>
        <v>0</v>
      </c>
      <c r="F23" s="120">
        <f>SUM(F15:F22)</f>
        <v>22</v>
      </c>
      <c r="G23" s="163"/>
      <c r="H23" s="171"/>
      <c r="I23" s="174"/>
      <c r="J23" s="219">
        <f>+'10'!J23</f>
        <v>0</v>
      </c>
      <c r="K23" s="244"/>
      <c r="L23" s="244"/>
      <c r="M23" s="121">
        <f>+K23+'10'!M23+L23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8</v>
      </c>
      <c r="G24" s="234" t="s">
        <v>11</v>
      </c>
      <c r="H24" s="235" t="s">
        <v>433</v>
      </c>
      <c r="I24" s="772" t="s">
        <v>405</v>
      </c>
      <c r="J24" s="219">
        <f>+'10'!J24</f>
        <v>0</v>
      </c>
      <c r="K24" s="244"/>
      <c r="L24" s="244"/>
      <c r="M24" s="121">
        <f>+K24+'10'!M24+L24</f>
        <v>0</v>
      </c>
    </row>
    <row r="25" spans="1:19" ht="13.5" thickBot="1">
      <c r="A25" s="775"/>
      <c r="B25" s="220" t="s">
        <v>521</v>
      </c>
      <c r="C25" s="231">
        <f>579+499</f>
        <v>1078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+'10'!J25</f>
        <v>0</v>
      </c>
      <c r="K25" s="244"/>
      <c r="L25" s="244"/>
      <c r="M25" s="121">
        <f>+K25+'10'!M25+L25</f>
        <v>0</v>
      </c>
      <c r="N25" s="153" t="s">
        <v>503</v>
      </c>
      <c r="O25" s="153">
        <v>1230</v>
      </c>
      <c r="P25" s="153">
        <f>+O25-O25*0.23</f>
        <v>947.09999999999991</v>
      </c>
      <c r="Q25" s="153">
        <v>480</v>
      </c>
      <c r="R25" s="153">
        <f>+O25*Q25</f>
        <v>590400</v>
      </c>
      <c r="S25" s="153">
        <f>+P25*Q25</f>
        <v>454607.99999999994</v>
      </c>
    </row>
    <row r="26" spans="1:19" ht="13.5" thickBot="1">
      <c r="A26" s="775"/>
      <c r="B26" s="220" t="s">
        <v>520</v>
      </c>
      <c r="C26" s="231">
        <f>6285+7147</f>
        <v>13432</v>
      </c>
      <c r="D26" s="222"/>
      <c r="E26" s="232"/>
      <c r="F26" s="233">
        <v>10</v>
      </c>
      <c r="G26" s="237" t="s">
        <v>11</v>
      </c>
      <c r="H26" s="238" t="s">
        <v>434</v>
      </c>
      <c r="I26" s="773"/>
      <c r="J26" s="219">
        <f>+'10'!J26</f>
        <v>0</v>
      </c>
      <c r="K26" s="234"/>
      <c r="L26" s="234"/>
      <c r="M26" s="121">
        <f>+K26+'10'!M26+L26</f>
        <v>0</v>
      </c>
      <c r="P26" s="153">
        <f>+O26-O26*0.23</f>
        <v>0</v>
      </c>
      <c r="R26" s="153">
        <f t="shared" ref="R26:R29" si="6">+O26*Q26</f>
        <v>0</v>
      </c>
      <c r="S26" s="153">
        <f t="shared" ref="S26:S29" si="7">+P26*Q26</f>
        <v>0</v>
      </c>
    </row>
    <row r="27" spans="1:19" ht="13.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527</v>
      </c>
      <c r="I27" s="773"/>
      <c r="J27" s="219">
        <f>+'10'!J27</f>
        <v>0</v>
      </c>
      <c r="K27" s="234"/>
      <c r="L27" s="234"/>
      <c r="M27" s="121">
        <f>+K27+'10'!M27+L27</f>
        <v>0</v>
      </c>
      <c r="P27" s="153">
        <f>+O27-O27*0.23</f>
        <v>0</v>
      </c>
      <c r="R27" s="153">
        <f t="shared" si="6"/>
        <v>0</v>
      </c>
      <c r="S27" s="153">
        <f t="shared" si="7"/>
        <v>0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+'10'!J28</f>
        <v>0</v>
      </c>
      <c r="K28" s="244"/>
      <c r="L28" s="244"/>
      <c r="M28" s="121">
        <f>+K28+'10'!M28+L28</f>
        <v>0</v>
      </c>
      <c r="P28" s="153">
        <f t="shared" ref="P28:P29" si="8">+O28-O28*0.25</f>
        <v>0</v>
      </c>
      <c r="R28" s="153">
        <f t="shared" si="6"/>
        <v>0</v>
      </c>
      <c r="S28" s="153">
        <f t="shared" si="7"/>
        <v>0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+'10'!J29</f>
        <v>0</v>
      </c>
      <c r="K29" s="244"/>
      <c r="L29" s="244"/>
      <c r="M29" s="121">
        <f>+K29+'10'!M29+L29</f>
        <v>0</v>
      </c>
      <c r="P29" s="153">
        <f t="shared" si="8"/>
        <v>0</v>
      </c>
      <c r="R29" s="153">
        <f t="shared" si="6"/>
        <v>0</v>
      </c>
      <c r="S29" s="153">
        <f t="shared" si="7"/>
        <v>0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+'10'!J30</f>
        <v>0</v>
      </c>
      <c r="K30" s="245"/>
      <c r="L30" s="245"/>
      <c r="M30" s="121">
        <f>+K30+'10'!M30+L30</f>
        <v>0</v>
      </c>
      <c r="Q30" s="153">
        <f>SUM(Q25:Q29)</f>
        <v>480</v>
      </c>
      <c r="R30" s="153">
        <f>SUM(R25:R29)</f>
        <v>590400</v>
      </c>
      <c r="S30" s="153">
        <f>SUM(S25:S29)</f>
        <v>454607.99999999994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+'10'!J31</f>
        <v>0</v>
      </c>
      <c r="K31" s="244"/>
      <c r="L31" s="244"/>
      <c r="M31" s="121">
        <f>+K31+'10'!M31+L31</f>
        <v>0</v>
      </c>
      <c r="O31" s="153" t="s">
        <v>404</v>
      </c>
      <c r="R31" s="153">
        <f>+R30/Q30</f>
        <v>1230</v>
      </c>
      <c r="S31" s="153">
        <f>+S30/Q30</f>
        <v>947.09999999999991</v>
      </c>
    </row>
    <row r="32" spans="1:19" ht="13.5" thickBot="1">
      <c r="A32" s="776"/>
      <c r="B32" s="170" t="s">
        <v>2</v>
      </c>
      <c r="C32" s="103">
        <f>SUM(C25:C31)</f>
        <v>14510</v>
      </c>
      <c r="D32" s="104">
        <f>SUM(D25:D31)</f>
        <v>0</v>
      </c>
      <c r="E32" s="105">
        <f>SUM(E25:E31)</f>
        <v>0</v>
      </c>
      <c r="F32" s="106">
        <f>SUM(F24:F31)</f>
        <v>18</v>
      </c>
      <c r="G32" s="176"/>
      <c r="H32" s="177"/>
      <c r="I32" s="174"/>
      <c r="J32" s="219">
        <f>+'10'!J32</f>
        <v>0</v>
      </c>
      <c r="K32" s="244"/>
      <c r="L32" s="244"/>
      <c r="M32" s="121">
        <f>+K32+'10'!M32+L32</f>
        <v>0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7" ht="13.5" thickBot="1">
      <c r="A34" s="765" t="s">
        <v>56</v>
      </c>
      <c r="B34" s="766"/>
      <c r="C34" s="111">
        <f>C14+C23+C32</f>
        <v>40589</v>
      </c>
      <c r="D34" s="111">
        <f>D14+D23+D32</f>
        <v>0</v>
      </c>
      <c r="E34" s="111">
        <f>E14+E23+E32</f>
        <v>0</v>
      </c>
      <c r="F34" s="112">
        <f>F14+F23+F32</f>
        <v>59</v>
      </c>
      <c r="H34" s="183"/>
      <c r="I34" s="183"/>
      <c r="J34" s="127" t="s">
        <v>27</v>
      </c>
      <c r="K34" s="128">
        <f>SUM(K7:K32)</f>
        <v>40589</v>
      </c>
      <c r="L34" s="217">
        <f>SUM(L7:L32)</f>
        <v>0</v>
      </c>
      <c r="M34" s="124">
        <f>SUM(M7:M32)</f>
        <v>467153</v>
      </c>
      <c r="N34" s="153" t="s">
        <v>390</v>
      </c>
      <c r="O34" s="153">
        <v>1230</v>
      </c>
      <c r="P34" s="153">
        <v>947.09999999999991</v>
      </c>
      <c r="Q34" s="153">
        <f>480+450</f>
        <v>930</v>
      </c>
    </row>
    <row r="35" spans="1:17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N35" s="153" t="s">
        <v>503</v>
      </c>
      <c r="O35" s="153">
        <v>1230</v>
      </c>
      <c r="P35" s="153">
        <v>947.09999999999991</v>
      </c>
      <c r="Q35" s="153">
        <f>30+480</f>
        <v>510</v>
      </c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  <c r="Q36" s="153">
        <f>+Q34+Q35</f>
        <v>1440</v>
      </c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(12*930+510*13)/1440*G42*2.74*1440/1000000</f>
        <v>46.166010659999998</v>
      </c>
      <c r="J37" s="129">
        <f>+I37+'10'!J37</f>
        <v>527.56442837862289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59</v>
      </c>
      <c r="D38" s="122">
        <f>+C38+'10'!D38</f>
        <v>809</v>
      </c>
      <c r="E38" s="147">
        <f t="shared" ref="E38:E51" si="9">D38/60</f>
        <v>13.483333333333333</v>
      </c>
      <c r="F38" s="327">
        <v>1230</v>
      </c>
      <c r="G38" s="327">
        <v>947.09999999999991</v>
      </c>
      <c r="H38" s="192" t="s">
        <v>63</v>
      </c>
      <c r="I38" s="250">
        <f>13.225+12.1+13.931</f>
        <v>39.256</v>
      </c>
      <c r="J38" s="131">
        <f>+I38+'10'!J38</f>
        <v>480.30099999999993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+C39+'10'!D39</f>
        <v>0</v>
      </c>
      <c r="E39" s="147">
        <f t="shared" si="9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47.96040257987481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+C40+'10'!D40</f>
        <v>299</v>
      </c>
      <c r="E40" s="147">
        <f t="shared" si="9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40.588999999999999</v>
      </c>
      <c r="J40" s="135">
        <f>+I40+'10'!J40</f>
        <v>467.15299999999996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+C41+'10'!D41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42.468454545454541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+C42+'10'!D42</f>
        <v>0</v>
      </c>
      <c r="E42" s="147">
        <f t="shared" si="9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+C43+'10'!D43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+Report1!Z19</f>
        <v>52.6</v>
      </c>
      <c r="J43" s="137">
        <f>+I43+'10'!J43</f>
        <v>617.1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+C44+'10'!D44</f>
        <v>0</v>
      </c>
      <c r="E44" s="147">
        <f t="shared" si="9"/>
        <v>0</v>
      </c>
      <c r="F44" s="327"/>
      <c r="G44" s="328"/>
      <c r="H44" s="193" t="s">
        <v>73</v>
      </c>
      <c r="I44" s="122">
        <f>I43/I38</f>
        <v>1.3399225596087223</v>
      </c>
      <c r="J44" s="138">
        <f>J43/J38</f>
        <v>1.2848193112235871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+C45+'10'!D45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1.295917613146419</v>
      </c>
      <c r="J45" s="138">
        <f>J43/J40</f>
        <v>1.3209804924724877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+C46+'10'!D46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+SUMIF(Listrik!P18,"&gt;0")</f>
        <v>39128.219999998546</v>
      </c>
      <c r="J46" s="139">
        <f>+I46+'10'!J46</f>
        <v>403706.38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+C47+'10'!D47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996.74495618500475</v>
      </c>
      <c r="J47" s="139">
        <f>J46/J38</f>
        <v>840.52787731027013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+C48+'10'!D48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964.01044617996376</v>
      </c>
      <c r="J48" s="139">
        <f>J46/J40</f>
        <v>864.18449629992756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+C49+'10'!D49</f>
        <v>0</v>
      </c>
      <c r="E49" s="147">
        <f t="shared" si="9"/>
        <v>0</v>
      </c>
      <c r="F49" s="190"/>
      <c r="H49" s="193" t="s">
        <v>270</v>
      </c>
      <c r="I49" s="122">
        <f>+Report1!T19</f>
        <v>3997.9467808533414</v>
      </c>
      <c r="J49" s="139">
        <f>+I49+'10'!J49</f>
        <v>44913.164790565657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+C50+'10'!D50</f>
        <v>0</v>
      </c>
      <c r="E50" s="147">
        <f t="shared" si="9"/>
        <v>0</v>
      </c>
      <c r="F50" s="190"/>
      <c r="H50" s="193" t="s">
        <v>82</v>
      </c>
      <c r="I50" s="144">
        <f>I49/I38</f>
        <v>101.84294836084526</v>
      </c>
      <c r="J50" s="137">
        <f>J49/J38</f>
        <v>93.510454466190296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+C51+'10'!D51</f>
        <v>0</v>
      </c>
      <c r="E51" s="147">
        <f t="shared" si="9"/>
        <v>0</v>
      </c>
      <c r="F51" s="190"/>
      <c r="H51" s="195" t="s">
        <v>84</v>
      </c>
      <c r="I51" s="145">
        <f>I49/I40</f>
        <v>98.498282314256116</v>
      </c>
      <c r="J51" s="140">
        <f>J49/J40</f>
        <v>96.142301966519881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59</v>
      </c>
      <c r="D52" s="148">
        <f>SUM(D38:D51)</f>
        <v>1168</v>
      </c>
      <c r="E52" s="149">
        <f>SUM(E38:E51)</f>
        <v>19.466666666666665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4.0972222222222222E-2</v>
      </c>
      <c r="D53" s="150">
        <f>D52/(24*60*G4)</f>
        <v>7.373737373737374E-2</v>
      </c>
      <c r="E53" s="151">
        <f>E52/(G4*24)</f>
        <v>7.3737373737373726E-2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+D34+'10'!J56</f>
        <v>4021</v>
      </c>
      <c r="K56" s="206">
        <f>J56/(J40+J56/1000)/1000</f>
        <v>8.5340023006362838E-3</v>
      </c>
    </row>
    <row r="57" spans="1:11">
      <c r="A57" s="181"/>
      <c r="I57" s="204" t="s">
        <v>87</v>
      </c>
      <c r="J57" s="205">
        <f>+E34+'10'!J57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2" type="noConversion"/>
  <pageMargins left="0.17" right="0.16" top="0.17" bottom="0.16" header="0" footer="0"/>
  <pageSetup paperSize="9" scale="53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C12" sqref="C1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8.28515625" style="153" customWidth="1"/>
    <col min="13" max="13" width="12.140625" style="153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10</v>
      </c>
      <c r="H4" s="158" t="str">
        <f>+'1'!H4</f>
        <v>.08.25</v>
      </c>
      <c r="J4" s="153">
        <f>566+552+626</f>
        <v>1744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v>480</v>
      </c>
      <c r="R6" s="153">
        <f>+O6*Q6</f>
        <v>590400</v>
      </c>
      <c r="S6" s="153">
        <f>+P6*Q6</f>
        <v>454607.99999999994</v>
      </c>
    </row>
    <row r="7" spans="1:19" ht="13.5" customHeight="1" thickBot="1">
      <c r="A7" s="769"/>
      <c r="B7" s="220" t="s">
        <v>521</v>
      </c>
      <c r="C7" s="221">
        <v>13011</v>
      </c>
      <c r="D7" s="222"/>
      <c r="E7" s="223"/>
      <c r="F7" s="233"/>
      <c r="G7" s="234" t="s">
        <v>11</v>
      </c>
      <c r="H7" s="235" t="s">
        <v>387</v>
      </c>
      <c r="I7" s="772" t="s">
        <v>405</v>
      </c>
      <c r="J7" s="219" t="str">
        <f>+'9'!J7</f>
        <v>T 13 VP OW</v>
      </c>
      <c r="K7" s="243"/>
      <c r="L7" s="247"/>
      <c r="M7" s="121">
        <f>+K7+'9'!M7+L7</f>
        <v>252469</v>
      </c>
      <c r="O7" s="153">
        <v>1230</v>
      </c>
      <c r="P7" s="153">
        <f>+O7-O7*0.23</f>
        <v>947.09999999999991</v>
      </c>
      <c r="Q7" s="153">
        <v>480</v>
      </c>
      <c r="R7" s="153">
        <f t="shared" ref="R7:R10" si="0">+O7*Q7</f>
        <v>590400</v>
      </c>
      <c r="S7" s="153">
        <f t="shared" ref="S7:S10" si="1">+P7*Q7</f>
        <v>454607.99999999994</v>
      </c>
    </row>
    <row r="8" spans="1:19" ht="13.5" thickBot="1">
      <c r="A8" s="770"/>
      <c r="B8" s="220"/>
      <c r="C8" s="221"/>
      <c r="D8" s="222"/>
      <c r="E8" s="224"/>
      <c r="F8" s="236">
        <v>8</v>
      </c>
      <c r="G8" s="237" t="s">
        <v>11</v>
      </c>
      <c r="H8" s="235" t="s">
        <v>429</v>
      </c>
      <c r="I8" s="773"/>
      <c r="J8" s="219" t="str">
        <f>+'9'!J8</f>
        <v>T 15,5 VP OW</v>
      </c>
      <c r="K8" s="244"/>
      <c r="L8" s="244"/>
      <c r="M8" s="121">
        <f>+K8+'9'!M8+L8</f>
        <v>79695</v>
      </c>
      <c r="O8" s="153">
        <v>1230</v>
      </c>
      <c r="P8" s="153">
        <f>+O8-O8*0.23</f>
        <v>947.09999999999991</v>
      </c>
      <c r="Q8" s="153">
        <v>480</v>
      </c>
      <c r="R8" s="153">
        <f t="shared" si="0"/>
        <v>590400</v>
      </c>
      <c r="S8" s="153">
        <f t="shared" si="1"/>
        <v>454607.99999999994</v>
      </c>
    </row>
    <row r="9" spans="1:19" ht="13.5" thickBot="1">
      <c r="A9" s="770"/>
      <c r="B9" s="220"/>
      <c r="C9" s="221"/>
      <c r="D9" s="222"/>
      <c r="E9" s="225"/>
      <c r="F9" s="233">
        <v>10</v>
      </c>
      <c r="G9" s="237" t="s">
        <v>11</v>
      </c>
      <c r="H9" s="238" t="s">
        <v>434</v>
      </c>
      <c r="I9" s="773"/>
      <c r="J9" s="219" t="str">
        <f>+'9'!J9</f>
        <v>T 19 VP OW</v>
      </c>
      <c r="K9" s="244"/>
      <c r="L9" s="244"/>
      <c r="M9" s="121">
        <f>+K9+'9'!M9+L9</f>
        <v>10916</v>
      </c>
      <c r="P9" s="153">
        <f t="shared" ref="P9:P10" si="2">+O9-O9*0.25</f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498</v>
      </c>
      <c r="I10" s="773"/>
      <c r="J10" s="219" t="str">
        <f>+'9'!J10</f>
        <v>F 15 VP OW</v>
      </c>
      <c r="K10" s="244"/>
      <c r="L10" s="244"/>
      <c r="M10" s="121">
        <f>+K10+'9'!M10+L10</f>
        <v>10380</v>
      </c>
      <c r="P10" s="153">
        <f t="shared" si="2"/>
        <v>0</v>
      </c>
      <c r="R10" s="153">
        <f t="shared" si="0"/>
        <v>0</v>
      </c>
      <c r="S10" s="153">
        <f t="shared" si="1"/>
        <v>0</v>
      </c>
    </row>
    <row r="11" spans="1:19" ht="13.5" thickBot="1">
      <c r="A11" s="770"/>
      <c r="B11" s="220"/>
      <c r="C11" s="221"/>
      <c r="D11" s="222"/>
      <c r="E11" s="224"/>
      <c r="F11" s="233"/>
      <c r="G11" s="237"/>
      <c r="H11" s="238"/>
      <c r="I11" s="773"/>
      <c r="J11" s="219" t="str">
        <f>+'9'!J11</f>
        <v>F 13,5 VP OW</v>
      </c>
      <c r="K11" s="244"/>
      <c r="L11" s="244"/>
      <c r="M11" s="121">
        <f>+K11+'9'!M11+L11</f>
        <v>10451</v>
      </c>
      <c r="Q11" s="153">
        <f>SUM(Q6:Q10)</f>
        <v>1440</v>
      </c>
      <c r="R11" s="153">
        <f>SUM(R6:R10)</f>
        <v>1771200</v>
      </c>
      <c r="S11" s="153">
        <f>SUM(S6:S10)</f>
        <v>1363823.9999999998</v>
      </c>
    </row>
    <row r="12" spans="1:19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tr">
        <f>+'9'!J12</f>
        <v>F 13 VP OW</v>
      </c>
      <c r="K12" s="244"/>
      <c r="L12" s="244"/>
      <c r="M12" s="121">
        <f>+K12+'9'!M12+L12</f>
        <v>10606</v>
      </c>
      <c r="O12" s="153" t="s">
        <v>404</v>
      </c>
      <c r="R12" s="153">
        <f>+R11/Q11</f>
        <v>1230</v>
      </c>
      <c r="S12" s="153">
        <f>+S11/Q11</f>
        <v>947.0999999999998</v>
      </c>
    </row>
    <row r="13" spans="1:19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tr">
        <f>+'9'!J13</f>
        <v>F 12 VP OW</v>
      </c>
      <c r="K13" s="244">
        <f>+C34</f>
        <v>38950</v>
      </c>
      <c r="L13" s="244"/>
      <c r="M13" s="121">
        <f>+K13+'9'!M13+L13</f>
        <v>52047</v>
      </c>
    </row>
    <row r="14" spans="1:19" ht="13.5" thickBot="1">
      <c r="A14" s="771"/>
      <c r="B14" s="170" t="s">
        <v>2</v>
      </c>
      <c r="C14" s="103">
        <f>SUM(C7:C13)</f>
        <v>13011</v>
      </c>
      <c r="D14" s="115">
        <f>SUM(D7:D13)</f>
        <v>0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19">
        <f>+'9'!J14</f>
        <v>0</v>
      </c>
      <c r="K14" s="244"/>
      <c r="L14" s="244"/>
      <c r="M14" s="121">
        <f>+K14+'9'!M14+L14</f>
        <v>0</v>
      </c>
    </row>
    <row r="15" spans="1:19" ht="13.5" customHeight="1" thickBot="1">
      <c r="A15" s="769"/>
      <c r="B15" s="170"/>
      <c r="C15" s="117">
        <f>C14/($C$23+$D$23+$E$23)</f>
        <v>1.0614292706803721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+'9'!J15</f>
        <v>0</v>
      </c>
      <c r="K15" s="244"/>
      <c r="L15" s="244"/>
      <c r="M15" s="121">
        <f>+K15+'9'!M15+L15</f>
        <v>0</v>
      </c>
    </row>
    <row r="16" spans="1:19" ht="13.5" thickBot="1">
      <c r="A16" s="775"/>
      <c r="B16" s="220" t="s">
        <v>521</v>
      </c>
      <c r="C16" s="227">
        <v>12258</v>
      </c>
      <c r="D16" s="228"/>
      <c r="E16" s="229"/>
      <c r="F16" s="236">
        <v>6</v>
      </c>
      <c r="G16" s="237" t="s">
        <v>11</v>
      </c>
      <c r="H16" s="235" t="s">
        <v>508</v>
      </c>
      <c r="I16" s="773"/>
      <c r="J16" s="219">
        <f>+'9'!J16</f>
        <v>0</v>
      </c>
      <c r="K16" s="234"/>
      <c r="L16" s="234"/>
      <c r="M16" s="121">
        <f>+K16+'9'!M16+L16</f>
        <v>0</v>
      </c>
    </row>
    <row r="17" spans="1:13" ht="13.5" thickBot="1">
      <c r="A17" s="775"/>
      <c r="B17" s="220"/>
      <c r="C17" s="221"/>
      <c r="D17" s="222"/>
      <c r="E17" s="230"/>
      <c r="F17" s="233">
        <v>19</v>
      </c>
      <c r="G17" s="237" t="s">
        <v>11</v>
      </c>
      <c r="H17" s="238" t="s">
        <v>434</v>
      </c>
      <c r="I17" s="773"/>
      <c r="J17" s="219">
        <f>+'9'!J17</f>
        <v>0</v>
      </c>
      <c r="K17" s="234"/>
      <c r="L17" s="234"/>
      <c r="M17" s="121">
        <f>+K17+'9'!M17+L17</f>
        <v>0</v>
      </c>
    </row>
    <row r="18" spans="1:13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498</v>
      </c>
      <c r="I18" s="773"/>
      <c r="J18" s="219">
        <f>+'9'!J18</f>
        <v>0</v>
      </c>
      <c r="K18" s="244"/>
      <c r="L18" s="244"/>
      <c r="M18" s="121">
        <f>+K18+'9'!M18+L18</f>
        <v>0</v>
      </c>
    </row>
    <row r="19" spans="1:13" ht="13.5" thickBot="1">
      <c r="A19" s="775"/>
      <c r="B19" s="220"/>
      <c r="C19" s="221"/>
      <c r="D19" s="222"/>
      <c r="E19" s="230"/>
      <c r="F19" s="240"/>
      <c r="G19" s="237"/>
      <c r="H19" s="238"/>
      <c r="I19" s="773"/>
      <c r="J19" s="219">
        <f>+'9'!J19</f>
        <v>0</v>
      </c>
      <c r="K19" s="244"/>
      <c r="L19" s="244"/>
      <c r="M19" s="121">
        <f>+K19+'9'!M19+L19</f>
        <v>0</v>
      </c>
    </row>
    <row r="20" spans="1:13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+'9'!J20</f>
        <v>0</v>
      </c>
      <c r="K20" s="245"/>
      <c r="L20" s="245"/>
      <c r="M20" s="121">
        <f>+K20+'9'!M20+L20</f>
        <v>0</v>
      </c>
    </row>
    <row r="21" spans="1:13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+'9'!J21</f>
        <v>0</v>
      </c>
      <c r="K21" s="244"/>
      <c r="L21" s="244"/>
      <c r="M21" s="121">
        <f>+K21+'9'!M21+L21</f>
        <v>0</v>
      </c>
    </row>
    <row r="22" spans="1:13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+'9'!J22</f>
        <v>0</v>
      </c>
      <c r="K22" s="244"/>
      <c r="L22" s="244"/>
      <c r="M22" s="121">
        <f>+K22+'9'!M22+L22</f>
        <v>0</v>
      </c>
    </row>
    <row r="23" spans="1:13" ht="13.5" thickBot="1">
      <c r="A23" s="776"/>
      <c r="B23" s="173" t="s">
        <v>2</v>
      </c>
      <c r="C23" s="104">
        <f>SUM(C16:C22)</f>
        <v>12258</v>
      </c>
      <c r="D23" s="115">
        <f>SUM(D16:D22)</f>
        <v>0</v>
      </c>
      <c r="E23" s="116">
        <f>SUM(E18:E22)</f>
        <v>0</v>
      </c>
      <c r="F23" s="120">
        <f>SUM(F15:F22)</f>
        <v>25</v>
      </c>
      <c r="G23" s="163"/>
      <c r="H23" s="171"/>
      <c r="I23" s="174"/>
      <c r="J23" s="219">
        <f>+'9'!J23</f>
        <v>0</v>
      </c>
      <c r="K23" s="244"/>
      <c r="L23" s="244"/>
      <c r="M23" s="121">
        <f>+K23+'9'!M23+L23</f>
        <v>0</v>
      </c>
    </row>
    <row r="24" spans="1:13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15</v>
      </c>
      <c r="G24" s="234" t="s">
        <v>11</v>
      </c>
      <c r="H24" s="235" t="s">
        <v>433</v>
      </c>
      <c r="I24" s="772" t="s">
        <v>405</v>
      </c>
      <c r="J24" s="219">
        <f>+'8'!J24</f>
        <v>0</v>
      </c>
      <c r="K24" s="244"/>
      <c r="L24" s="244"/>
      <c r="M24" s="121">
        <f>+K24+'9'!M24+L24</f>
        <v>0</v>
      </c>
    </row>
    <row r="25" spans="1:13" ht="13.5" customHeight="1" thickBot="1">
      <c r="A25" s="775"/>
      <c r="B25" s="220" t="s">
        <v>521</v>
      </c>
      <c r="C25" s="231">
        <v>13681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+'8'!J25</f>
        <v>0</v>
      </c>
      <c r="K25" s="244"/>
      <c r="L25" s="244"/>
      <c r="M25" s="121">
        <f>+K25+'9'!M25+L25</f>
        <v>0</v>
      </c>
    </row>
    <row r="26" spans="1:13" ht="13.5" customHeight="1" thickBot="1">
      <c r="A26" s="775"/>
      <c r="B26" s="220"/>
      <c r="C26" s="231"/>
      <c r="D26" s="222"/>
      <c r="E26" s="232"/>
      <c r="F26" s="233">
        <v>16</v>
      </c>
      <c r="G26" s="237" t="s">
        <v>11</v>
      </c>
      <c r="H26" s="238" t="s">
        <v>389</v>
      </c>
      <c r="I26" s="773"/>
      <c r="J26" s="219">
        <f>+'8'!J26</f>
        <v>0</v>
      </c>
      <c r="K26" s="244"/>
      <c r="L26" s="244"/>
      <c r="M26" s="121">
        <f>+K26+'9'!M26+L26</f>
        <v>0</v>
      </c>
    </row>
    <row r="27" spans="1:13" ht="13.5" customHeight="1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496</v>
      </c>
      <c r="I27" s="773"/>
      <c r="J27" s="219">
        <f>+'8'!J27</f>
        <v>0</v>
      </c>
      <c r="K27" s="244"/>
      <c r="L27" s="244"/>
      <c r="M27" s="121">
        <f>+K27+'9'!M27+L27</f>
        <v>0</v>
      </c>
    </row>
    <row r="28" spans="1:13" ht="13.5" customHeight="1" thickBot="1">
      <c r="A28" s="775"/>
      <c r="B28" s="220"/>
      <c r="C28" s="221"/>
      <c r="D28" s="222"/>
      <c r="E28" s="230"/>
      <c r="F28" s="236"/>
      <c r="G28" s="237"/>
      <c r="H28" s="238" t="s">
        <v>497</v>
      </c>
      <c r="I28" s="773"/>
      <c r="J28" s="219">
        <f>+'8'!J28</f>
        <v>0</v>
      </c>
      <c r="K28" s="244"/>
      <c r="L28" s="244"/>
      <c r="M28" s="121">
        <f>+K28+'9'!M28+L28</f>
        <v>0</v>
      </c>
    </row>
    <row r="29" spans="1:13" ht="13.5" customHeight="1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+'8'!J29</f>
        <v>0</v>
      </c>
      <c r="K29" s="244"/>
      <c r="L29" s="244"/>
      <c r="M29" s="121">
        <f>+K29+'9'!M29+L29</f>
        <v>0</v>
      </c>
    </row>
    <row r="30" spans="1:13" ht="13.5" customHeight="1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+'8'!J30</f>
        <v>0</v>
      </c>
      <c r="K30" s="244"/>
      <c r="L30" s="244"/>
      <c r="M30" s="121">
        <f>+K30+'9'!M30+L30</f>
        <v>0</v>
      </c>
    </row>
    <row r="31" spans="1:13" ht="13.5" customHeight="1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+'8'!J31</f>
        <v>0</v>
      </c>
      <c r="K31" s="244"/>
      <c r="L31" s="244"/>
      <c r="M31" s="121">
        <f>+K31+'9'!M31+L31</f>
        <v>0</v>
      </c>
    </row>
    <row r="32" spans="1:13" ht="13.5" customHeight="1" thickBot="1">
      <c r="A32" s="776"/>
      <c r="B32" s="170" t="s">
        <v>2</v>
      </c>
      <c r="C32" s="103">
        <f>SUM(C25:C31)</f>
        <v>13681</v>
      </c>
      <c r="D32" s="104">
        <f>SUM(D25:D31)</f>
        <v>0</v>
      </c>
      <c r="E32" s="105">
        <f>SUM(E25:E31)</f>
        <v>0</v>
      </c>
      <c r="F32" s="106">
        <f>SUM(F24:F31)</f>
        <v>31</v>
      </c>
      <c r="G32" s="176"/>
      <c r="H32" s="177"/>
      <c r="I32" s="174"/>
      <c r="J32" s="219">
        <f>+'8'!J32</f>
        <v>0</v>
      </c>
      <c r="K32" s="246"/>
      <c r="L32" s="248"/>
      <c r="M32" s="121">
        <f>+K32+'9'!M32+L32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38950</v>
      </c>
      <c r="D34" s="111">
        <f>D14+D23+D32</f>
        <v>0</v>
      </c>
      <c r="E34" s="111">
        <f>E14+E23+E32</f>
        <v>0</v>
      </c>
      <c r="F34" s="112">
        <f>F14+F23+F32</f>
        <v>74</v>
      </c>
      <c r="H34" s="183"/>
      <c r="I34" s="183"/>
      <c r="J34" s="127" t="s">
        <v>27</v>
      </c>
      <c r="K34" s="128">
        <f>SUM(K7:K32)</f>
        <v>38950</v>
      </c>
      <c r="L34" s="217">
        <f>SUM(L7:L32)</f>
        <v>0</v>
      </c>
      <c r="M34" s="124">
        <f>SUM(M7:M32)</f>
        <v>426564</v>
      </c>
    </row>
    <row r="35" spans="1:13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(12*1440)/1440*G42*2.74*1440/1000000</f>
        <v>44.842533120000006</v>
      </c>
      <c r="J37" s="339">
        <f>+I37+'9'!J37</f>
        <v>481.39841771862291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74</v>
      </c>
      <c r="D38" s="122">
        <f>+C38+'9'!D38</f>
        <v>750</v>
      </c>
      <c r="E38" s="147">
        <f t="shared" ref="E38:E51" si="3">D38/60</f>
        <v>12.5</v>
      </c>
      <c r="F38" s="327">
        <v>1230</v>
      </c>
      <c r="G38" s="327">
        <v>947.09999999999991</v>
      </c>
      <c r="H38" s="192" t="s">
        <v>63</v>
      </c>
      <c r="I38" s="250">
        <f>13.574+12.754+14.889</f>
        <v>41.216999999999999</v>
      </c>
      <c r="J38" s="340">
        <f>+I38+'9'!J38</f>
        <v>441.04499999999996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+C39+'9'!D39</f>
        <v>0</v>
      </c>
      <c r="E39" s="147">
        <f t="shared" si="3"/>
        <v>0</v>
      </c>
      <c r="F39" s="327">
        <v>1230</v>
      </c>
      <c r="G39" s="327">
        <v>947.09999999999991</v>
      </c>
      <c r="H39" s="192" t="s">
        <v>64</v>
      </c>
      <c r="I39" s="146"/>
      <c r="J39" s="341">
        <f>J37/G4</f>
        <v>48.139841771862294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+C40+'9'!D40</f>
        <v>299</v>
      </c>
      <c r="E40" s="147">
        <f t="shared" si="3"/>
        <v>4.9833333333333334</v>
      </c>
      <c r="F40" s="327">
        <v>1230</v>
      </c>
      <c r="G40" s="327">
        <v>947.09999999999991</v>
      </c>
      <c r="H40" s="192" t="s">
        <v>66</v>
      </c>
      <c r="I40" s="122">
        <f>+(K34+L34)/1000</f>
        <v>38.950000000000003</v>
      </c>
      <c r="J40" s="342">
        <f>+I40+'9'!J40</f>
        <v>426.56399999999996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SUMIF($G$7:$G$23,"Electrical",$F$7:$F$23)</f>
        <v>0</v>
      </c>
      <c r="D41" s="122">
        <f>+C41+'9'!D41</f>
        <v>60</v>
      </c>
      <c r="E41" s="147">
        <f t="shared" si="3"/>
        <v>1</v>
      </c>
      <c r="F41" s="327"/>
      <c r="G41" s="327"/>
      <c r="H41" s="192" t="s">
        <v>68</v>
      </c>
      <c r="I41" s="146"/>
      <c r="J41" s="341">
        <f>J40/G4</f>
        <v>42.656399999999998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SUMIF($G$7:$G$23,"Instrument",$F$7:$F$23)</f>
        <v>0</v>
      </c>
      <c r="D42" s="122">
        <f>+C42+'9'!D42</f>
        <v>0</v>
      </c>
      <c r="E42" s="147">
        <f t="shared" si="3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343"/>
      <c r="K42" s="134" t="s">
        <v>70</v>
      </c>
    </row>
    <row r="43" spans="1:13" ht="17.45" customHeight="1">
      <c r="A43" s="763" t="s">
        <v>71</v>
      </c>
      <c r="B43" s="764"/>
      <c r="C43" s="168">
        <f>SUMIF($G$7:$G$23,"Water",$F$7:$F$23)</f>
        <v>0</v>
      </c>
      <c r="D43" s="122">
        <f>+C43+'9'!D43</f>
        <v>0</v>
      </c>
      <c r="E43" s="147">
        <f t="shared" si="3"/>
        <v>0</v>
      </c>
      <c r="F43" s="327"/>
      <c r="G43" s="328"/>
      <c r="H43" s="193" t="s">
        <v>72</v>
      </c>
      <c r="I43" s="122">
        <f>+Report1!Z18</f>
        <v>51.6</v>
      </c>
      <c r="J43" s="344">
        <f>+I43+'9'!J43</f>
        <v>564.5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SUMIF($G$7:$G$23,"PLN",$F$7:$F$23)</f>
        <v>0</v>
      </c>
      <c r="D44" s="122">
        <f>+C44+'9'!D44</f>
        <v>0</v>
      </c>
      <c r="E44" s="147">
        <f t="shared" si="3"/>
        <v>0</v>
      </c>
      <c r="F44" s="327"/>
      <c r="G44" s="328"/>
      <c r="H44" s="193" t="s">
        <v>73</v>
      </c>
      <c r="I44" s="122">
        <f>I43/I38</f>
        <v>1.2519106194046146</v>
      </c>
      <c r="J44" s="344">
        <f>J43/J38</f>
        <v>1.279914747928216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SUMIF($G$7:$G$23,"Boiler",$F$7:$F$23)</f>
        <v>0</v>
      </c>
      <c r="D45" s="122">
        <f>+C45+'9'!D45</f>
        <v>0</v>
      </c>
      <c r="E45" s="147">
        <f t="shared" si="3"/>
        <v>0</v>
      </c>
      <c r="F45" s="327"/>
      <c r="G45" s="330"/>
      <c r="H45" s="193" t="s">
        <v>74</v>
      </c>
      <c r="I45" s="122">
        <f>I43/I40</f>
        <v>1.3247753530166879</v>
      </c>
      <c r="J45" s="344">
        <f>J43/J40</f>
        <v>1.3233653097776654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SUMIF($G$7:$G$23,"Gas",$F$7:$F$23)</f>
        <v>0</v>
      </c>
      <c r="D46" s="122">
        <f>+C46+'9'!D46</f>
        <v>0</v>
      </c>
      <c r="E46" s="147">
        <f t="shared" si="3"/>
        <v>0</v>
      </c>
      <c r="F46" s="327"/>
      <c r="G46" s="328"/>
      <c r="H46" s="193" t="s">
        <v>76</v>
      </c>
      <c r="I46" s="144">
        <f>+SUMIF(Listrik!P17,"&gt;0")</f>
        <v>36702.540000000728</v>
      </c>
      <c r="J46" s="344">
        <f>+I46+'9'!J46</f>
        <v>364578.16000000143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SUMIF($G$7:$G$23,"Gas",$F$7:$F$23)</f>
        <v>0</v>
      </c>
      <c r="D47" s="122">
        <f>+C47+'9'!D47</f>
        <v>0</v>
      </c>
      <c r="E47" s="147">
        <f t="shared" si="3"/>
        <v>0</v>
      </c>
      <c r="F47" s="327"/>
      <c r="G47" s="328"/>
      <c r="H47" s="193" t="s">
        <v>79</v>
      </c>
      <c r="I47" s="122">
        <f>I46/I38</f>
        <v>890.47092219231695</v>
      </c>
      <c r="J47" s="344">
        <f>J46/J38</f>
        <v>826.62349646861765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SUMIF($G$7:$G$23,"Start Up",$F$7:$F$23)</f>
        <v>0</v>
      </c>
      <c r="D48" s="122">
        <f>+C48+'9'!D48</f>
        <v>0</v>
      </c>
      <c r="E48" s="147">
        <f t="shared" si="3"/>
        <v>0</v>
      </c>
      <c r="F48" s="327"/>
      <c r="G48" s="328"/>
      <c r="H48" s="193" t="s">
        <v>80</v>
      </c>
      <c r="I48" s="122">
        <f>I46/I40</f>
        <v>942.29884467267584</v>
      </c>
      <c r="J48" s="344">
        <f>J46/J40</f>
        <v>854.68572125167964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SUMIF($G$7:$G$23,"Others",$F$7:$F$23)</f>
        <v>0</v>
      </c>
      <c r="D49" s="122">
        <f>+C49+'9'!D49</f>
        <v>0</v>
      </c>
      <c r="E49" s="147">
        <f t="shared" si="3"/>
        <v>0</v>
      </c>
      <c r="F49" s="190"/>
      <c r="H49" s="193" t="s">
        <v>270</v>
      </c>
      <c r="I49" s="122">
        <f>+Report1!T18</f>
        <v>3959.0462297605432</v>
      </c>
      <c r="J49" s="344">
        <f>+I49+'9'!J49</f>
        <v>40915.218009712313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SUMIF($G$7:$G$23,"Steam",$F$7:$F$23)</f>
        <v>0</v>
      </c>
      <c r="D50" s="122">
        <f>+C50+'9'!D50</f>
        <v>0</v>
      </c>
      <c r="E50" s="147">
        <f t="shared" si="3"/>
        <v>0</v>
      </c>
      <c r="F50" s="190"/>
      <c r="H50" s="193" t="s">
        <v>82</v>
      </c>
      <c r="I50" s="144">
        <f>I49/I38</f>
        <v>96.053721274244694</v>
      </c>
      <c r="J50" s="344">
        <f>J49/J38</f>
        <v>92.76880592618059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SUMIF($G$7:$G$23,"Planned shut",$F$7:$F$23)</f>
        <v>0</v>
      </c>
      <c r="D51" s="122">
        <f>+C51+'9'!D51</f>
        <v>0</v>
      </c>
      <c r="E51" s="147">
        <f t="shared" si="3"/>
        <v>0</v>
      </c>
      <c r="F51" s="190"/>
      <c r="H51" s="195" t="s">
        <v>84</v>
      </c>
      <c r="I51" s="145">
        <f>I49/I40</f>
        <v>101.64431912093821</v>
      </c>
      <c r="J51" s="345">
        <f>J49/J40</f>
        <v>95.918122508491848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74</v>
      </c>
      <c r="D52" s="148">
        <f>SUM(D38:D51)</f>
        <v>1109</v>
      </c>
      <c r="E52" s="149">
        <f>SUM(E38:E51)</f>
        <v>18.483333333333334</v>
      </c>
      <c r="F52" s="190"/>
      <c r="H52" s="196"/>
      <c r="I52" s="197"/>
      <c r="J52" s="346"/>
      <c r="K52" s="143"/>
    </row>
    <row r="53" spans="1:11" ht="13.5" thickBot="1">
      <c r="A53" s="761"/>
      <c r="B53" s="762"/>
      <c r="C53" s="150">
        <f>C52/(24*60)</f>
        <v>5.1388888888888887E-2</v>
      </c>
      <c r="D53" s="150">
        <f>D52/(24*60*G4)</f>
        <v>7.7013888888888896E-2</v>
      </c>
      <c r="E53" s="151">
        <f>E52/(G4*24)</f>
        <v>7.7013888888888896E-2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+D34+'9'!J56</f>
        <v>4021</v>
      </c>
      <c r="K56" s="206">
        <f>J56/(J40+J56/1000)/1000</f>
        <v>9.3384581441527236E-3</v>
      </c>
    </row>
    <row r="57" spans="1:11">
      <c r="A57" s="181"/>
      <c r="I57" s="204" t="s">
        <v>87</v>
      </c>
      <c r="J57" s="205"/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zoomScale="80" zoomScaleNormal="75" zoomScaleSheetLayoutView="80" workbookViewId="0">
      <selection activeCell="E11" sqref="E11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5703125" style="153" bestFit="1" customWidth="1"/>
    <col min="12" max="12" width="10.5703125" style="153" bestFit="1" customWidth="1"/>
    <col min="13" max="13" width="12.140625" style="153" customWidth="1"/>
    <col min="14" max="16384" width="9.140625" style="153"/>
  </cols>
  <sheetData>
    <row r="1" spans="1:25" ht="15.75">
      <c r="A1" s="152"/>
    </row>
    <row r="2" spans="1:25" ht="15.75">
      <c r="A2" s="152" t="s">
        <v>184</v>
      </c>
    </row>
    <row r="3" spans="1:25" ht="15">
      <c r="A3" s="154"/>
    </row>
    <row r="4" spans="1:25" ht="20.25">
      <c r="A4" s="155" t="s">
        <v>3</v>
      </c>
      <c r="B4" s="156"/>
      <c r="F4" s="157" t="s">
        <v>28</v>
      </c>
      <c r="G4" s="158">
        <v>9</v>
      </c>
      <c r="H4" s="158" t="str">
        <f>+'1'!H4</f>
        <v>.08.25</v>
      </c>
      <c r="J4" s="153">
        <f>577+630+772</f>
        <v>1979</v>
      </c>
    </row>
    <row r="5" spans="1:25" ht="13.5" thickBot="1">
      <c r="C5" s="159"/>
      <c r="D5" s="159"/>
    </row>
    <row r="6" spans="1:25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483</v>
      </c>
      <c r="O6" s="153">
        <v>1160</v>
      </c>
      <c r="P6" s="153">
        <f>+O6-O6*0.21</f>
        <v>916.4</v>
      </c>
      <c r="Q6" s="153">
        <f>120+44</f>
        <v>164</v>
      </c>
      <c r="R6" s="153">
        <f>+O6*Q6</f>
        <v>190240</v>
      </c>
      <c r="S6" s="153">
        <f>+P6*Q6</f>
        <v>150289.60000000001</v>
      </c>
      <c r="T6" s="153" t="s">
        <v>504</v>
      </c>
      <c r="U6" s="153">
        <v>1210</v>
      </c>
      <c r="V6" s="153">
        <v>931.7</v>
      </c>
      <c r="W6" s="153">
        <v>316</v>
      </c>
      <c r="X6" s="153">
        <f>+U6*W6</f>
        <v>382360</v>
      </c>
      <c r="Y6" s="153">
        <f>+V6*W6</f>
        <v>294417.2</v>
      </c>
    </row>
    <row r="7" spans="1:25" ht="13.5" customHeight="1" thickBot="1">
      <c r="A7" s="769"/>
      <c r="B7" s="220" t="s">
        <v>518</v>
      </c>
      <c r="C7" s="221">
        <f>3398+3895</f>
        <v>7293</v>
      </c>
      <c r="D7" s="222"/>
      <c r="E7" s="223"/>
      <c r="F7" s="233"/>
      <c r="G7" s="234" t="s">
        <v>11</v>
      </c>
      <c r="H7" s="235" t="s">
        <v>387</v>
      </c>
      <c r="I7" s="772" t="s">
        <v>505</v>
      </c>
      <c r="J7" s="219" t="str">
        <f>+'8'!J7</f>
        <v>T 13 VP OW</v>
      </c>
      <c r="K7" s="243"/>
      <c r="L7" s="247"/>
      <c r="M7" s="121">
        <f>+K7+'8'!M7+L7</f>
        <v>252469</v>
      </c>
      <c r="N7" s="153" t="s">
        <v>504</v>
      </c>
      <c r="O7" s="153">
        <v>1210</v>
      </c>
      <c r="P7" s="153">
        <f>+O7-O7*0.23</f>
        <v>931.7</v>
      </c>
      <c r="Q7" s="153">
        <f>480-Q6</f>
        <v>316</v>
      </c>
      <c r="R7" s="153">
        <f t="shared" ref="R7:R10" si="0">+O7*Q7</f>
        <v>382360</v>
      </c>
      <c r="S7" s="153">
        <f t="shared" ref="S7:S10" si="1">+P7*Q7</f>
        <v>294417.2</v>
      </c>
      <c r="T7" s="153" t="s">
        <v>504</v>
      </c>
      <c r="U7" s="153">
        <v>1230</v>
      </c>
      <c r="V7" s="153">
        <v>947.09999999999991</v>
      </c>
      <c r="W7" s="153">
        <v>103</v>
      </c>
      <c r="X7" s="153">
        <f t="shared" ref="X7:X10" si="2">+U7*W7</f>
        <v>126690</v>
      </c>
      <c r="Y7" s="153">
        <f t="shared" ref="Y7:Y10" si="3">+V7*W7</f>
        <v>97551.299999999988</v>
      </c>
    </row>
    <row r="8" spans="1:25" ht="13.5" thickBot="1">
      <c r="A8" s="770"/>
      <c r="B8" s="220" t="s">
        <v>519</v>
      </c>
      <c r="C8" s="221">
        <v>5851</v>
      </c>
      <c r="D8" s="222"/>
      <c r="E8" s="224"/>
      <c r="F8" s="236">
        <v>6</v>
      </c>
      <c r="G8" s="237" t="s">
        <v>11</v>
      </c>
      <c r="H8" s="235" t="s">
        <v>406</v>
      </c>
      <c r="I8" s="773"/>
      <c r="J8" s="219" t="str">
        <f>+'8'!J8</f>
        <v>T 15,5 VP OW</v>
      </c>
      <c r="K8" s="244"/>
      <c r="L8" s="244"/>
      <c r="M8" s="121">
        <f>+K8+'8'!M8+L8</f>
        <v>79695</v>
      </c>
      <c r="P8" s="153">
        <f>+O8-O8*0.23</f>
        <v>0</v>
      </c>
      <c r="R8" s="153">
        <f t="shared" si="0"/>
        <v>0</v>
      </c>
      <c r="S8" s="153">
        <f t="shared" si="1"/>
        <v>0</v>
      </c>
      <c r="V8" s="153">
        <f>+U8-U8*0.23</f>
        <v>0</v>
      </c>
      <c r="X8" s="153">
        <f t="shared" si="2"/>
        <v>0</v>
      </c>
      <c r="Y8" s="153">
        <f t="shared" si="3"/>
        <v>0</v>
      </c>
    </row>
    <row r="9" spans="1:25" ht="13.5" thickBot="1">
      <c r="A9" s="770"/>
      <c r="B9" s="220" t="s">
        <v>494</v>
      </c>
      <c r="C9" s="221">
        <f>380+2907</f>
        <v>3287</v>
      </c>
      <c r="D9" s="222">
        <v>679</v>
      </c>
      <c r="E9" s="225"/>
      <c r="F9" s="233">
        <v>13</v>
      </c>
      <c r="G9" s="237" t="s">
        <v>11</v>
      </c>
      <c r="H9" s="238" t="s">
        <v>428</v>
      </c>
      <c r="I9" s="773"/>
      <c r="J9" s="219" t="str">
        <f>+'8'!J9</f>
        <v>T 19 VP OW</v>
      </c>
      <c r="K9" s="244">
        <f>+C9</f>
        <v>3287</v>
      </c>
      <c r="L9" s="244"/>
      <c r="M9" s="121">
        <f>+K9+'8'!M9+L9</f>
        <v>10916</v>
      </c>
      <c r="P9" s="153">
        <f t="shared" ref="P9:P10" si="4">+O9-O9*0.25</f>
        <v>0</v>
      </c>
      <c r="R9" s="153">
        <f t="shared" si="0"/>
        <v>0</v>
      </c>
      <c r="S9" s="153">
        <f t="shared" si="1"/>
        <v>0</v>
      </c>
      <c r="V9" s="153">
        <f t="shared" ref="V9:V10" si="5">+U9-U9*0.25</f>
        <v>0</v>
      </c>
      <c r="X9" s="153">
        <f t="shared" si="2"/>
        <v>0</v>
      </c>
      <c r="Y9" s="153">
        <f t="shared" si="3"/>
        <v>0</v>
      </c>
    </row>
    <row r="10" spans="1:25" ht="13.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502</v>
      </c>
      <c r="I10" s="773"/>
      <c r="J10" s="219" t="str">
        <f>+'8'!J10</f>
        <v>F 15 VP OW</v>
      </c>
      <c r="K10" s="244">
        <f>+C7</f>
        <v>7293</v>
      </c>
      <c r="L10" s="244"/>
      <c r="M10" s="121">
        <f>+K10+'8'!M10+L10</f>
        <v>10380</v>
      </c>
      <c r="P10" s="153">
        <f t="shared" si="4"/>
        <v>0</v>
      </c>
      <c r="R10" s="153">
        <f t="shared" si="0"/>
        <v>0</v>
      </c>
      <c r="S10" s="153">
        <f t="shared" si="1"/>
        <v>0</v>
      </c>
      <c r="V10" s="153">
        <f t="shared" si="5"/>
        <v>0</v>
      </c>
      <c r="X10" s="153">
        <f t="shared" si="2"/>
        <v>0</v>
      </c>
      <c r="Y10" s="153">
        <f t="shared" si="3"/>
        <v>0</v>
      </c>
    </row>
    <row r="11" spans="1:25" ht="13.5" thickBot="1">
      <c r="A11" s="770"/>
      <c r="B11" s="220"/>
      <c r="C11" s="221"/>
      <c r="D11" s="222"/>
      <c r="E11" s="224"/>
      <c r="F11" s="233"/>
      <c r="G11" s="237"/>
      <c r="H11" s="238" t="s">
        <v>501</v>
      </c>
      <c r="I11" s="773"/>
      <c r="J11" s="219" t="s">
        <v>519</v>
      </c>
      <c r="K11" s="244">
        <f>+C8+C16</f>
        <v>10451</v>
      </c>
      <c r="L11" s="244"/>
      <c r="M11" s="121">
        <f>+K11+'8'!M11+L11</f>
        <v>10451</v>
      </c>
      <c r="Q11" s="153">
        <f>SUM(Q6:Q10)</f>
        <v>480</v>
      </c>
      <c r="R11" s="153">
        <f>SUM(R6:R10)</f>
        <v>572600</v>
      </c>
      <c r="S11" s="153">
        <f>SUM(S6:S10)</f>
        <v>444706.80000000005</v>
      </c>
      <c r="W11" s="153">
        <f>SUM(W6:W10)</f>
        <v>419</v>
      </c>
      <c r="X11" s="153">
        <f>SUM(X6:X10)</f>
        <v>509050</v>
      </c>
      <c r="Y11" s="153">
        <f>SUM(Y6:Y10)</f>
        <v>391968.5</v>
      </c>
    </row>
    <row r="12" spans="1:25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 t="s">
        <v>520</v>
      </c>
      <c r="K12" s="244">
        <f>+C17</f>
        <v>10606</v>
      </c>
      <c r="L12" s="244"/>
      <c r="M12" s="121">
        <f>+K12+'8'!M12+L12</f>
        <v>10606</v>
      </c>
      <c r="O12" s="153" t="s">
        <v>404</v>
      </c>
      <c r="R12" s="153">
        <f>+R11/Q11</f>
        <v>1192.9166666666667</v>
      </c>
      <c r="S12" s="153">
        <f>+S11/Q11</f>
        <v>926.47250000000008</v>
      </c>
      <c r="U12" s="153" t="s">
        <v>404</v>
      </c>
      <c r="X12" s="153">
        <f>+X11/W11</f>
        <v>1214.9164677804297</v>
      </c>
      <c r="Y12" s="153">
        <f>+Y11/W11</f>
        <v>935.48568019093079</v>
      </c>
    </row>
    <row r="13" spans="1:25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 t="s">
        <v>521</v>
      </c>
      <c r="K13" s="244">
        <f>+C25</f>
        <v>13097</v>
      </c>
      <c r="L13" s="244"/>
      <c r="M13" s="121">
        <f>+K13+'8'!M13+L13</f>
        <v>13097</v>
      </c>
    </row>
    <row r="14" spans="1:25" ht="13.5" thickBot="1">
      <c r="A14" s="771"/>
      <c r="B14" s="170" t="s">
        <v>2</v>
      </c>
      <c r="C14" s="103">
        <f>SUM(C7:C13)</f>
        <v>16431</v>
      </c>
      <c r="D14" s="115">
        <f>SUM(D7:D13)</f>
        <v>679</v>
      </c>
      <c r="E14" s="116">
        <f>SUM(E5:E13)</f>
        <v>0</v>
      </c>
      <c r="F14" s="120">
        <f>SUM(F7:F13)</f>
        <v>19</v>
      </c>
      <c r="G14" s="163"/>
      <c r="H14" s="171"/>
      <c r="I14" s="172"/>
      <c r="J14" s="219">
        <f>+'8'!J14</f>
        <v>0</v>
      </c>
      <c r="K14" s="244"/>
      <c r="L14" s="244"/>
      <c r="M14" s="121">
        <f>+K14+'8'!M14+L14</f>
        <v>0</v>
      </c>
    </row>
    <row r="15" spans="1:25" ht="13.5" customHeight="1" thickBot="1">
      <c r="A15" s="769"/>
      <c r="B15" s="170"/>
      <c r="C15" s="117">
        <f>C14/($C$23+$D$23+$E$23)</f>
        <v>1.0805603051427068</v>
      </c>
      <c r="D15" s="118">
        <f>D14/($C$23+$D$23+$E$23)</f>
        <v>4.4653426279100357E-2</v>
      </c>
      <c r="E15" s="119">
        <f>E14/($C$23+$D$23+$E$23)</f>
        <v>0</v>
      </c>
      <c r="F15" s="233">
        <v>9</v>
      </c>
      <c r="G15" s="234" t="s">
        <v>11</v>
      </c>
      <c r="H15" s="235" t="s">
        <v>407</v>
      </c>
      <c r="I15" s="772" t="s">
        <v>506</v>
      </c>
      <c r="J15" s="219">
        <f>+'8'!J15</f>
        <v>0</v>
      </c>
      <c r="K15" s="244"/>
      <c r="L15" s="244"/>
      <c r="M15" s="121">
        <f>+K15+'8'!M15+L15</f>
        <v>0</v>
      </c>
      <c r="N15" s="153" t="s">
        <v>504</v>
      </c>
      <c r="O15" s="153">
        <v>1230</v>
      </c>
      <c r="P15" s="153">
        <f>+O15-O15*0.23</f>
        <v>947.09999999999991</v>
      </c>
      <c r="Q15" s="153">
        <f>60+43</f>
        <v>103</v>
      </c>
      <c r="R15" s="153">
        <f>+O15*Q15</f>
        <v>126690</v>
      </c>
      <c r="S15" s="153">
        <f>+P15*Q15</f>
        <v>97551.299999999988</v>
      </c>
    </row>
    <row r="16" spans="1:25" ht="13.5" thickBot="1">
      <c r="A16" s="775"/>
      <c r="B16" s="220" t="s">
        <v>519</v>
      </c>
      <c r="C16" s="227">
        <v>4600</v>
      </c>
      <c r="D16" s="228"/>
      <c r="E16" s="229"/>
      <c r="F16" s="236">
        <v>6</v>
      </c>
      <c r="G16" s="237" t="s">
        <v>11</v>
      </c>
      <c r="H16" s="235" t="s">
        <v>508</v>
      </c>
      <c r="I16" s="773"/>
      <c r="J16" s="219">
        <f>+'8'!J16</f>
        <v>0</v>
      </c>
      <c r="K16" s="244"/>
      <c r="L16" s="234"/>
      <c r="M16" s="121">
        <f>+K16+'8'!M16+L16</f>
        <v>0</v>
      </c>
      <c r="N16" s="153" t="s">
        <v>503</v>
      </c>
      <c r="O16" s="153">
        <v>1230</v>
      </c>
      <c r="P16" s="153">
        <f>+O16-O16*0.24</f>
        <v>934.8</v>
      </c>
      <c r="Q16" s="153">
        <f>60-43+240+46</f>
        <v>303</v>
      </c>
      <c r="R16" s="153">
        <f t="shared" ref="R16:R19" si="6">+O16*Q16</f>
        <v>372690</v>
      </c>
      <c r="S16" s="153">
        <f t="shared" ref="S16:S19" si="7">+P16*Q16</f>
        <v>283244.39999999997</v>
      </c>
    </row>
    <row r="17" spans="1:19" ht="13.5" thickBot="1">
      <c r="A17" s="775"/>
      <c r="B17" s="220" t="s">
        <v>520</v>
      </c>
      <c r="C17" s="221">
        <v>10606</v>
      </c>
      <c r="D17" s="222"/>
      <c r="E17" s="230"/>
      <c r="F17" s="233">
        <f>27-15</f>
        <v>12</v>
      </c>
      <c r="G17" s="237" t="s">
        <v>11</v>
      </c>
      <c r="H17" s="238" t="s">
        <v>408</v>
      </c>
      <c r="I17" s="773"/>
      <c r="J17" s="219">
        <f>+'8'!J17</f>
        <v>0</v>
      </c>
      <c r="K17" s="234"/>
      <c r="L17" s="234"/>
      <c r="M17" s="121">
        <f>+K17+'8'!M17+L17</f>
        <v>0</v>
      </c>
      <c r="N17" s="153" t="s">
        <v>390</v>
      </c>
      <c r="O17" s="153">
        <v>1230</v>
      </c>
      <c r="P17" s="153">
        <f>+O17-O17*0.23</f>
        <v>947.09999999999991</v>
      </c>
      <c r="Q17" s="153">
        <f>60-46+60</f>
        <v>74</v>
      </c>
      <c r="R17" s="153">
        <f t="shared" si="6"/>
        <v>91020</v>
      </c>
      <c r="S17" s="153">
        <f t="shared" si="7"/>
        <v>70085.399999999994</v>
      </c>
    </row>
    <row r="18" spans="1:19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499</v>
      </c>
      <c r="I18" s="773"/>
      <c r="J18" s="219">
        <f>+'8'!J18</f>
        <v>0</v>
      </c>
      <c r="K18" s="244"/>
      <c r="L18" s="244"/>
      <c r="M18" s="121">
        <f>+K18+'8'!M18+L18</f>
        <v>0</v>
      </c>
      <c r="P18" s="153">
        <f t="shared" ref="P18:P19" si="8">+O18-O18*0.25</f>
        <v>0</v>
      </c>
      <c r="R18" s="153">
        <f t="shared" si="6"/>
        <v>0</v>
      </c>
      <c r="S18" s="153">
        <f t="shared" si="7"/>
        <v>0</v>
      </c>
    </row>
    <row r="19" spans="1:19" ht="64.5" thickBot="1">
      <c r="A19" s="775"/>
      <c r="B19" s="220"/>
      <c r="C19" s="221"/>
      <c r="D19" s="222"/>
      <c r="E19" s="230"/>
      <c r="F19" s="240"/>
      <c r="G19" s="237"/>
      <c r="H19" s="238" t="s">
        <v>500</v>
      </c>
      <c r="I19" s="773"/>
      <c r="J19" s="219">
        <f>+'8'!J19</f>
        <v>0</v>
      </c>
      <c r="K19" s="244"/>
      <c r="L19" s="244"/>
      <c r="M19" s="121">
        <f>+K19+'8'!M19+L19</f>
        <v>0</v>
      </c>
      <c r="P19" s="153">
        <f t="shared" si="8"/>
        <v>0</v>
      </c>
      <c r="R19" s="153">
        <f t="shared" si="6"/>
        <v>0</v>
      </c>
      <c r="S19" s="153">
        <f t="shared" si="7"/>
        <v>0</v>
      </c>
    </row>
    <row r="20" spans="1:19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+'8'!J20</f>
        <v>0</v>
      </c>
      <c r="K20" s="245"/>
      <c r="L20" s="245"/>
      <c r="M20" s="121">
        <f>+K20+'8'!M20+L20</f>
        <v>0</v>
      </c>
      <c r="Q20" s="153">
        <f>SUM(Q15:Q19)</f>
        <v>480</v>
      </c>
      <c r="R20" s="153">
        <f>SUM(R15:R19)</f>
        <v>590400</v>
      </c>
      <c r="S20" s="153">
        <f>SUM(S15:S19)</f>
        <v>450881.1</v>
      </c>
    </row>
    <row r="21" spans="1:19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+'8'!J21</f>
        <v>0</v>
      </c>
      <c r="K21" s="244"/>
      <c r="L21" s="244"/>
      <c r="M21" s="121">
        <f>+K21+'8'!M21+L21</f>
        <v>0</v>
      </c>
      <c r="O21" s="153" t="s">
        <v>404</v>
      </c>
      <c r="R21" s="153">
        <f>+R20/Q20</f>
        <v>1230</v>
      </c>
      <c r="S21" s="153">
        <f>+S20/Q20</f>
        <v>939.33562499999994</v>
      </c>
    </row>
    <row r="22" spans="1:19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+'8'!J22</f>
        <v>0</v>
      </c>
      <c r="K22" s="244"/>
      <c r="L22" s="244"/>
      <c r="M22" s="121">
        <f>+K22+'8'!M22+L22</f>
        <v>0</v>
      </c>
    </row>
    <row r="23" spans="1:19" ht="13.5" thickBot="1">
      <c r="A23" s="776"/>
      <c r="B23" s="173" t="s">
        <v>2</v>
      </c>
      <c r="C23" s="104">
        <f>SUM(C16:C22)</f>
        <v>15206</v>
      </c>
      <c r="D23" s="115">
        <f>SUM(D16:D22)</f>
        <v>0</v>
      </c>
      <c r="E23" s="116">
        <f>SUM(E18:E22)</f>
        <v>0</v>
      </c>
      <c r="F23" s="120">
        <f>SUM(F15:F22)</f>
        <v>27</v>
      </c>
      <c r="G23" s="163"/>
      <c r="H23" s="171"/>
      <c r="I23" s="174"/>
      <c r="J23" s="219">
        <f>+'8'!J23</f>
        <v>0</v>
      </c>
      <c r="K23" s="244"/>
      <c r="L23" s="244"/>
      <c r="M23" s="121">
        <f>+K23+'8'!M23+L23</f>
        <v>0</v>
      </c>
    </row>
    <row r="24" spans="1:19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15</v>
      </c>
      <c r="G24" s="234" t="s">
        <v>11</v>
      </c>
      <c r="H24" s="235" t="s">
        <v>433</v>
      </c>
      <c r="I24" s="772" t="s">
        <v>405</v>
      </c>
      <c r="J24" s="219">
        <f>+'8'!J24</f>
        <v>0</v>
      </c>
      <c r="K24" s="244"/>
      <c r="L24" s="244"/>
      <c r="M24" s="121">
        <f>+K24+'8'!M24+L24</f>
        <v>0</v>
      </c>
    </row>
    <row r="25" spans="1:19" ht="13.5" thickBot="1">
      <c r="A25" s="775"/>
      <c r="B25" s="220" t="s">
        <v>521</v>
      </c>
      <c r="C25" s="231">
        <v>13097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+'8'!J25</f>
        <v>0</v>
      </c>
      <c r="K25" s="244"/>
      <c r="L25" s="244"/>
      <c r="M25" s="121">
        <f>+K25+'8'!M25+L25</f>
        <v>0</v>
      </c>
      <c r="N25" s="153" t="s">
        <v>390</v>
      </c>
      <c r="O25" s="153">
        <v>1230</v>
      </c>
      <c r="P25" s="153">
        <f>+O25-O25*0.23</f>
        <v>947.09999999999991</v>
      </c>
      <c r="Q25" s="153">
        <v>480</v>
      </c>
      <c r="R25" s="153">
        <f>+O25*Q25</f>
        <v>590400</v>
      </c>
      <c r="S25" s="153">
        <f>+P25*Q25</f>
        <v>454607.99999999994</v>
      </c>
    </row>
    <row r="26" spans="1:19" ht="13.5" thickBot="1">
      <c r="A26" s="775"/>
      <c r="B26" s="220"/>
      <c r="C26" s="231"/>
      <c r="D26" s="222"/>
      <c r="E26" s="232"/>
      <c r="F26" s="233">
        <v>18</v>
      </c>
      <c r="G26" s="237" t="s">
        <v>11</v>
      </c>
      <c r="H26" s="238" t="s">
        <v>408</v>
      </c>
      <c r="I26" s="773"/>
      <c r="J26" s="219">
        <f>+'8'!J26</f>
        <v>0</v>
      </c>
      <c r="K26" s="244"/>
      <c r="L26" s="244"/>
      <c r="M26" s="121">
        <f>+K26+'8'!M26+L26</f>
        <v>0</v>
      </c>
      <c r="P26" s="153">
        <f>+O26-O26*0.23</f>
        <v>0</v>
      </c>
      <c r="Q26" s="153">
        <f>480-Q25</f>
        <v>0</v>
      </c>
      <c r="R26" s="153">
        <f t="shared" ref="R26:R29" si="9">+O26*Q26</f>
        <v>0</v>
      </c>
      <c r="S26" s="153">
        <f t="shared" ref="S26:S29" si="10">+P26*Q26</f>
        <v>0</v>
      </c>
    </row>
    <row r="27" spans="1:19" ht="26.25" thickBot="1">
      <c r="A27" s="775"/>
      <c r="B27" s="220"/>
      <c r="C27" s="221"/>
      <c r="D27" s="222"/>
      <c r="E27" s="230"/>
      <c r="F27" s="233"/>
      <c r="G27" s="242" t="s">
        <v>12</v>
      </c>
      <c r="H27" s="238" t="s">
        <v>498</v>
      </c>
      <c r="I27" s="773"/>
      <c r="J27" s="219">
        <f>+'8'!J27</f>
        <v>0</v>
      </c>
      <c r="K27" s="244"/>
      <c r="L27" s="244"/>
      <c r="M27" s="121">
        <f>+K27+'8'!M27+L27</f>
        <v>0</v>
      </c>
      <c r="P27" s="153">
        <f>+O27-O27*0.23</f>
        <v>0</v>
      </c>
      <c r="R27" s="153">
        <f t="shared" si="9"/>
        <v>0</v>
      </c>
      <c r="S27" s="153">
        <f t="shared" si="10"/>
        <v>0</v>
      </c>
    </row>
    <row r="28" spans="1:19" ht="13.5" thickBot="1">
      <c r="A28" s="775"/>
      <c r="B28" s="220"/>
      <c r="C28" s="221"/>
      <c r="D28" s="222"/>
      <c r="E28" s="230"/>
      <c r="F28" s="236"/>
      <c r="G28" s="237"/>
      <c r="H28" s="238"/>
      <c r="I28" s="773"/>
      <c r="J28" s="219">
        <f>+'8'!J28</f>
        <v>0</v>
      </c>
      <c r="K28" s="244"/>
      <c r="L28" s="244"/>
      <c r="M28" s="121">
        <f>+K28+'8'!M28+L28</f>
        <v>0</v>
      </c>
      <c r="P28" s="153">
        <f t="shared" ref="P28:P29" si="11">+O28-O28*0.25</f>
        <v>0</v>
      </c>
      <c r="R28" s="153">
        <f t="shared" si="9"/>
        <v>0</v>
      </c>
      <c r="S28" s="153">
        <f t="shared" si="10"/>
        <v>0</v>
      </c>
    </row>
    <row r="29" spans="1:19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+'8'!J29</f>
        <v>0</v>
      </c>
      <c r="K29" s="244"/>
      <c r="L29" s="244"/>
      <c r="M29" s="121">
        <f>+K29+'8'!M29+L29</f>
        <v>0</v>
      </c>
      <c r="P29" s="153">
        <f t="shared" si="11"/>
        <v>0</v>
      </c>
      <c r="R29" s="153">
        <f t="shared" si="9"/>
        <v>0</v>
      </c>
      <c r="S29" s="153">
        <f t="shared" si="10"/>
        <v>0</v>
      </c>
    </row>
    <row r="30" spans="1:19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+'8'!J30</f>
        <v>0</v>
      </c>
      <c r="K30" s="244"/>
      <c r="L30" s="244"/>
      <c r="M30" s="121">
        <f>+K30+'8'!M30+L30</f>
        <v>0</v>
      </c>
      <c r="Q30" s="153">
        <f>SUM(Q25:Q29)</f>
        <v>480</v>
      </c>
      <c r="R30" s="153">
        <f>SUM(R25:R29)</f>
        <v>590400</v>
      </c>
      <c r="S30" s="153">
        <f>SUM(S25:S29)</f>
        <v>454607.99999999994</v>
      </c>
    </row>
    <row r="31" spans="1:19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+'8'!J31</f>
        <v>0</v>
      </c>
      <c r="K31" s="244"/>
      <c r="L31" s="244"/>
      <c r="M31" s="121">
        <f>+K31+'8'!M31+L31</f>
        <v>0</v>
      </c>
      <c r="O31" s="153" t="s">
        <v>404</v>
      </c>
      <c r="R31" s="153">
        <f>+R30/Q30</f>
        <v>1230</v>
      </c>
      <c r="S31" s="153">
        <f>+S30/Q30</f>
        <v>947.09999999999991</v>
      </c>
    </row>
    <row r="32" spans="1:19" ht="13.5" thickBot="1">
      <c r="A32" s="776"/>
      <c r="B32" s="170" t="s">
        <v>2</v>
      </c>
      <c r="C32" s="103">
        <f>SUM(C25:C31)</f>
        <v>13097</v>
      </c>
      <c r="D32" s="104">
        <f>SUM(D25:D31)</f>
        <v>0</v>
      </c>
      <c r="E32" s="105">
        <f>SUM(E25:E31)</f>
        <v>0</v>
      </c>
      <c r="F32" s="106">
        <f>SUM(F24:F31)</f>
        <v>33</v>
      </c>
      <c r="G32" s="176"/>
      <c r="H32" s="177"/>
      <c r="I32" s="174"/>
      <c r="J32" s="219">
        <f>+'8'!J32</f>
        <v>0</v>
      </c>
      <c r="K32" s="246"/>
      <c r="L32" s="248"/>
      <c r="M32" s="121">
        <f>+K32+'8'!M32+L32</f>
        <v>0</v>
      </c>
    </row>
    <row r="33" spans="1:17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7" ht="13.5" thickBot="1">
      <c r="A34" s="765" t="s">
        <v>56</v>
      </c>
      <c r="B34" s="766"/>
      <c r="C34" s="111">
        <f>C14+C23+C32</f>
        <v>44734</v>
      </c>
      <c r="D34" s="111">
        <f>D14+D23+D32</f>
        <v>679</v>
      </c>
      <c r="E34" s="111">
        <f>E14+E23+E32</f>
        <v>0</v>
      </c>
      <c r="F34" s="112">
        <f>F14+F23+F32</f>
        <v>79</v>
      </c>
      <c r="H34" s="183"/>
      <c r="I34" s="183"/>
      <c r="J34" s="127" t="s">
        <v>27</v>
      </c>
      <c r="K34" s="128">
        <f>SUM(K7:K32)</f>
        <v>44734</v>
      </c>
      <c r="L34" s="217">
        <f>SUM(L7:L32)</f>
        <v>0</v>
      </c>
      <c r="M34" s="124">
        <f>SUM(M7:M32)</f>
        <v>387614</v>
      </c>
      <c r="N34" s="153" t="s">
        <v>483</v>
      </c>
      <c r="O34" s="153">
        <v>1160</v>
      </c>
      <c r="P34" s="153">
        <v>916.4</v>
      </c>
      <c r="Q34" s="153">
        <v>164</v>
      </c>
    </row>
    <row r="35" spans="1:17" ht="13.5" thickBot="1">
      <c r="A35" s="184"/>
      <c r="B35" s="185"/>
      <c r="C35" s="108">
        <f>C34/($C$34+$D$34+$E$34)</f>
        <v>0.9850483341774382</v>
      </c>
      <c r="D35" s="108">
        <f>D34/($C$34+$D$34+$E$34)</f>
        <v>1.4951665822561822E-2</v>
      </c>
      <c r="E35" s="113">
        <f>E34/($C$34+$D$34+$E$34)</f>
        <v>0</v>
      </c>
      <c r="K35" s="159"/>
      <c r="N35" s="153" t="s">
        <v>504</v>
      </c>
      <c r="O35" s="153">
        <v>1214.9164677804297</v>
      </c>
      <c r="P35" s="153">
        <v>935.48568019093079</v>
      </c>
      <c r="Q35" s="153">
        <v>419</v>
      </c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  <c r="N36" s="153" t="s">
        <v>503</v>
      </c>
      <c r="O36" s="153">
        <v>1230</v>
      </c>
      <c r="P36" s="153">
        <v>934.8</v>
      </c>
      <c r="Q36" s="153">
        <v>303</v>
      </c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(15*164+13.5*419+13*303+12*554)/1440*G42*2.74*1440/1000000</f>
        <v>48.051587432556246</v>
      </c>
      <c r="J37" s="129">
        <f>+I37+'8'!J37</f>
        <v>436.55588459862292</v>
      </c>
      <c r="K37" s="130" t="s">
        <v>62</v>
      </c>
      <c r="N37" s="153" t="s">
        <v>390</v>
      </c>
      <c r="O37" s="153">
        <v>1230</v>
      </c>
      <c r="P37" s="153">
        <v>947.09999999999991</v>
      </c>
      <c r="Q37" s="153">
        <f>74+480</f>
        <v>554</v>
      </c>
    </row>
    <row r="38" spans="1:17" ht="17.45" customHeight="1">
      <c r="A38" s="759" t="s">
        <v>11</v>
      </c>
      <c r="B38" s="760"/>
      <c r="C38" s="168">
        <f>SUMIF($G$7:$G$31,"Process",$F$7:$F$31)</f>
        <v>79</v>
      </c>
      <c r="D38" s="122">
        <f>+C38+'8'!D38</f>
        <v>676</v>
      </c>
      <c r="E38" s="147">
        <f t="shared" ref="E38:E51" si="12">D38/60</f>
        <v>11.266666666666667</v>
      </c>
      <c r="F38" s="327">
        <v>1192.9166666666667</v>
      </c>
      <c r="G38" s="327">
        <v>926.47250000000008</v>
      </c>
      <c r="H38" s="192" t="s">
        <v>63</v>
      </c>
      <c r="I38" s="250">
        <f>15.15+13.967+12.931</f>
        <v>42.048000000000002</v>
      </c>
      <c r="J38" s="131">
        <f>+I38+'8'!J38</f>
        <v>399.82799999999997</v>
      </c>
      <c r="K38" s="132" t="s">
        <v>62</v>
      </c>
      <c r="Q38" s="153">
        <f>+Q34+Q35+Q36+Q37</f>
        <v>1440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+C39+'8'!D39</f>
        <v>0</v>
      </c>
      <c r="E39" s="147">
        <f t="shared" si="12"/>
        <v>0</v>
      </c>
      <c r="F39" s="327">
        <v>1230</v>
      </c>
      <c r="G39" s="327">
        <v>939.33562499999994</v>
      </c>
      <c r="H39" s="192" t="s">
        <v>64</v>
      </c>
      <c r="I39" s="146"/>
      <c r="J39" s="133">
        <f>J37/G4</f>
        <v>48.506209399846995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+C40+'8'!D40</f>
        <v>299</v>
      </c>
      <c r="E40" s="147">
        <f t="shared" si="12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44.734000000000002</v>
      </c>
      <c r="J40" s="135">
        <f>+I40+'8'!J40</f>
        <v>387.61399999999998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+C41+'8'!D41</f>
        <v>60</v>
      </c>
      <c r="E41" s="147">
        <f t="shared" si="12"/>
        <v>1</v>
      </c>
      <c r="F41" s="327"/>
      <c r="G41" s="327"/>
      <c r="H41" s="192" t="s">
        <v>68</v>
      </c>
      <c r="I41" s="146"/>
      <c r="J41" s="133">
        <f>J40/G4</f>
        <v>43.068222222222218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+C42+'8'!D42</f>
        <v>0</v>
      </c>
      <c r="E42" s="147">
        <f t="shared" si="12"/>
        <v>0</v>
      </c>
      <c r="F42" s="327">
        <f>+(480*F38+480*F39+480*F40)/1440</f>
        <v>1217.6388888888889</v>
      </c>
      <c r="G42" s="327">
        <f>+(480*G38+480*G39+480*G40)/1440</f>
        <v>937.63604166666664</v>
      </c>
      <c r="H42" s="192" t="s">
        <v>69</v>
      </c>
      <c r="I42" s="251" t="s">
        <v>507</v>
      </c>
      <c r="J42" s="136"/>
      <c r="K42" s="134" t="s">
        <v>70</v>
      </c>
    </row>
    <row r="43" spans="1:17" ht="17.45" customHeight="1">
      <c r="A43" s="763" t="s">
        <v>71</v>
      </c>
      <c r="B43" s="764"/>
      <c r="C43" s="168">
        <f>SUMIF($G$7:$G$31,"Water",$F$7:$F$31)</f>
        <v>0</v>
      </c>
      <c r="D43" s="122">
        <f>+C43+'8'!D43</f>
        <v>0</v>
      </c>
      <c r="E43" s="147">
        <f t="shared" si="12"/>
        <v>0</v>
      </c>
      <c r="F43" s="327"/>
      <c r="G43" s="328"/>
      <c r="H43" s="193" t="s">
        <v>72</v>
      </c>
      <c r="I43" s="122">
        <f>+Report1!Z17</f>
        <v>54.1</v>
      </c>
      <c r="J43" s="137">
        <f>+I43+'8'!J43</f>
        <v>512.9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+C44+'8'!D44</f>
        <v>0</v>
      </c>
      <c r="E44" s="147">
        <f t="shared" si="12"/>
        <v>0</v>
      </c>
      <c r="F44" s="327"/>
      <c r="G44" s="328"/>
      <c r="H44" s="193" t="s">
        <v>73</v>
      </c>
      <c r="I44" s="122">
        <f>I43/I38</f>
        <v>1.286624809741248</v>
      </c>
      <c r="J44" s="138">
        <f>J43/J38</f>
        <v>1.2828016046900168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+C45+'8'!D45</f>
        <v>0</v>
      </c>
      <c r="E45" s="147">
        <f t="shared" si="12"/>
        <v>0</v>
      </c>
      <c r="F45" s="327"/>
      <c r="G45" s="330"/>
      <c r="H45" s="193" t="s">
        <v>74</v>
      </c>
      <c r="I45" s="122">
        <f>I43/I40</f>
        <v>1.2093709482720079</v>
      </c>
      <c r="J45" s="138">
        <f>J43/J40</f>
        <v>1.3232236193739133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+C46+'8'!D46</f>
        <v>0</v>
      </c>
      <c r="E46" s="147">
        <f t="shared" si="12"/>
        <v>0</v>
      </c>
      <c r="F46" s="327"/>
      <c r="G46" s="328"/>
      <c r="H46" s="193" t="s">
        <v>76</v>
      </c>
      <c r="I46" s="144">
        <f>+SUMIF(Listrik!P16,"&gt;0")</f>
        <v>38913.419999999271</v>
      </c>
      <c r="J46" s="139">
        <f>+I46+'8'!J46</f>
        <v>327875.62000000069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+C47+'8'!D47</f>
        <v>0</v>
      </c>
      <c r="E47" s="147">
        <f t="shared" si="12"/>
        <v>0</v>
      </c>
      <c r="F47" s="327"/>
      <c r="G47" s="328"/>
      <c r="H47" s="193" t="s">
        <v>79</v>
      </c>
      <c r="I47" s="122">
        <f>I46/I38</f>
        <v>925.45234018263102</v>
      </c>
      <c r="J47" s="139">
        <f>J46/J38</f>
        <v>820.04166791720615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+C48+'8'!D48</f>
        <v>0</v>
      </c>
      <c r="E48" s="147">
        <f t="shared" si="12"/>
        <v>0</v>
      </c>
      <c r="F48" s="327"/>
      <c r="G48" s="328"/>
      <c r="H48" s="193" t="s">
        <v>80</v>
      </c>
      <c r="I48" s="122">
        <f>I46/I40</f>
        <v>869.8846514954904</v>
      </c>
      <c r="J48" s="139">
        <f>J46/J40</f>
        <v>845.88177929589926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+C49+'8'!D49</f>
        <v>0</v>
      </c>
      <c r="E49" s="147">
        <f t="shared" si="12"/>
        <v>0</v>
      </c>
      <c r="F49" s="190"/>
      <c r="H49" s="193" t="s">
        <v>270</v>
      </c>
      <c r="I49" s="122">
        <f>+Report1!T17</f>
        <v>4194.3674938922459</v>
      </c>
      <c r="J49" s="139">
        <f>+I49+'8'!J49</f>
        <v>36956.171779951772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+C50+'8'!D50</f>
        <v>0</v>
      </c>
      <c r="E50" s="147">
        <f t="shared" si="12"/>
        <v>0</v>
      </c>
      <c r="F50" s="190"/>
      <c r="H50" s="193" t="s">
        <v>82</v>
      </c>
      <c r="I50" s="144">
        <f>I49/I38</f>
        <v>99.751890551090312</v>
      </c>
      <c r="J50" s="137">
        <f>J49/J38</f>
        <v>92.430174424882139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+C51+'8'!D51</f>
        <v>0</v>
      </c>
      <c r="E51" s="147">
        <f t="shared" si="12"/>
        <v>0</v>
      </c>
      <c r="F51" s="190"/>
      <c r="H51" s="195" t="s">
        <v>84</v>
      </c>
      <c r="I51" s="145">
        <f>I49/I40</f>
        <v>93.762406534006473</v>
      </c>
      <c r="J51" s="140">
        <f>J49/J40</f>
        <v>95.342716671616031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79</v>
      </c>
      <c r="D52" s="148">
        <f>SUM(D38:D51)</f>
        <v>1035</v>
      </c>
      <c r="E52" s="149">
        <f>SUM(E38:E51)</f>
        <v>17.25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5.486111111111111E-2</v>
      </c>
      <c r="D53" s="150">
        <f>D52/(24*60*G4)</f>
        <v>7.9861111111111105E-2</v>
      </c>
      <c r="E53" s="151">
        <f>E52/(G4*24)</f>
        <v>7.9861111111111105E-2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+D34+'8'!J56</f>
        <v>4021</v>
      </c>
      <c r="K56" s="206">
        <f>J56/(J40+J56/1000)/1000</f>
        <v>1.0267213093824607E-2</v>
      </c>
    </row>
    <row r="57" spans="1:11">
      <c r="A57" s="181"/>
      <c r="I57" s="204" t="s">
        <v>87</v>
      </c>
      <c r="J57" s="205">
        <f>+E34+'8'!J57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B7" zoomScale="80" zoomScaleNormal="75" zoomScaleSheetLayoutView="80" workbookViewId="0">
      <selection activeCell="V20" sqref="C15:V2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13.7109375" style="153" bestFit="1" customWidth="1"/>
    <col min="13" max="13" width="15" style="153" bestFit="1" customWidth="1"/>
    <col min="14" max="16384" width="9.140625" style="153"/>
  </cols>
  <sheetData>
    <row r="1" spans="1:26" ht="15.75">
      <c r="A1" s="152"/>
    </row>
    <row r="2" spans="1:26" ht="15.75">
      <c r="A2" s="152" t="s">
        <v>184</v>
      </c>
    </row>
    <row r="3" spans="1:26" ht="15">
      <c r="A3" s="154"/>
    </row>
    <row r="4" spans="1:26" ht="20.25">
      <c r="A4" s="155" t="s">
        <v>3</v>
      </c>
      <c r="B4" s="156"/>
      <c r="F4" s="157" t="s">
        <v>28</v>
      </c>
      <c r="G4" s="158">
        <v>8</v>
      </c>
      <c r="H4" s="158" t="str">
        <f>+'1'!H4</f>
        <v>.08.25</v>
      </c>
      <c r="J4" s="153">
        <f>518+530+695</f>
        <v>1743</v>
      </c>
    </row>
    <row r="5" spans="1:26" ht="13.5" thickBot="1">
      <c r="C5" s="159"/>
      <c r="D5" s="159"/>
    </row>
    <row r="6" spans="1:26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461</v>
      </c>
      <c r="O6" s="153">
        <v>1160</v>
      </c>
      <c r="P6" s="153">
        <f>+O6-O6*0.23</f>
        <v>893.2</v>
      </c>
      <c r="Q6" s="153">
        <v>480</v>
      </c>
      <c r="R6" s="153">
        <f>+O6*Q6</f>
        <v>556800</v>
      </c>
      <c r="S6" s="153">
        <f>+P6*Q6</f>
        <v>428736</v>
      </c>
      <c r="U6" s="153" t="s">
        <v>482</v>
      </c>
      <c r="V6" s="153">
        <v>955</v>
      </c>
      <c r="W6" s="153">
        <v>764</v>
      </c>
      <c r="X6" s="153">
        <v>81</v>
      </c>
      <c r="Y6" s="153">
        <f>+V6*X6</f>
        <v>77355</v>
      </c>
      <c r="Z6" s="153">
        <f>+W6*X6</f>
        <v>61884</v>
      </c>
    </row>
    <row r="7" spans="1:26" ht="13.5" customHeight="1" thickBot="1">
      <c r="A7" s="769"/>
      <c r="B7" s="220" t="s">
        <v>475</v>
      </c>
      <c r="C7" s="221">
        <v>16313</v>
      </c>
      <c r="D7" s="222"/>
      <c r="E7" s="223"/>
      <c r="F7" s="233">
        <v>15</v>
      </c>
      <c r="G7" s="234" t="s">
        <v>11</v>
      </c>
      <c r="H7" s="235" t="s">
        <v>433</v>
      </c>
      <c r="I7" s="772" t="s">
        <v>484</v>
      </c>
      <c r="J7" s="219" t="str">
        <f>+'7'!J7</f>
        <v>T 13 VP OW</v>
      </c>
      <c r="K7" s="243"/>
      <c r="L7" s="247"/>
      <c r="M7" s="121">
        <f>+K7+'7'!M7+L7</f>
        <v>252469</v>
      </c>
      <c r="P7" s="153">
        <f>+O7-O7*0.21</f>
        <v>0</v>
      </c>
      <c r="R7" s="153">
        <f t="shared" ref="R7:R10" si="0">+O7*Q7</f>
        <v>0</v>
      </c>
      <c r="S7" s="153">
        <f t="shared" ref="S7:S10" si="1">+P7*Q7</f>
        <v>0</v>
      </c>
      <c r="U7" s="153" t="s">
        <v>482</v>
      </c>
      <c r="V7" s="153">
        <v>950</v>
      </c>
      <c r="W7" s="153">
        <v>760</v>
      </c>
      <c r="X7" s="153">
        <v>288</v>
      </c>
      <c r="Y7" s="153">
        <f t="shared" ref="Y7:Y10" si="2">+V7*X7</f>
        <v>273600</v>
      </c>
      <c r="Z7" s="153">
        <f t="shared" ref="Z7:Z10" si="3">+W7*X7</f>
        <v>218880</v>
      </c>
    </row>
    <row r="8" spans="1:26" ht="13.5" thickBot="1">
      <c r="A8" s="770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 t="str">
        <f>+'7'!J8</f>
        <v>T 15,5 VP OW</v>
      </c>
      <c r="K8" s="244">
        <f>+C7+C16+C25</f>
        <v>33053</v>
      </c>
      <c r="L8" s="244"/>
      <c r="M8" s="121">
        <f>+K8+'7'!M8+L8</f>
        <v>79695</v>
      </c>
      <c r="P8" s="153">
        <f>+O8-O8*0.23</f>
        <v>0</v>
      </c>
      <c r="R8" s="153">
        <f t="shared" si="0"/>
        <v>0</v>
      </c>
      <c r="S8" s="153">
        <f t="shared" si="1"/>
        <v>0</v>
      </c>
      <c r="W8" s="153">
        <f>+V8-V8*0.23</f>
        <v>0</v>
      </c>
      <c r="Y8" s="153">
        <f t="shared" si="2"/>
        <v>0</v>
      </c>
      <c r="Z8" s="153">
        <f t="shared" si="3"/>
        <v>0</v>
      </c>
    </row>
    <row r="9" spans="1:26" ht="13.5" thickBot="1">
      <c r="A9" s="770"/>
      <c r="B9" s="220"/>
      <c r="C9" s="221"/>
      <c r="D9" s="222"/>
      <c r="E9" s="225"/>
      <c r="F9" s="233">
        <f>37-15</f>
        <v>22</v>
      </c>
      <c r="G9" s="237" t="s">
        <v>11</v>
      </c>
      <c r="H9" s="238" t="s">
        <v>428</v>
      </c>
      <c r="I9" s="773"/>
      <c r="J9" s="219" t="s">
        <v>494</v>
      </c>
      <c r="K9" s="244">
        <f>+C26</f>
        <v>7629</v>
      </c>
      <c r="L9" s="244"/>
      <c r="M9" s="121">
        <f>+K9+'7'!M9+L9</f>
        <v>7629</v>
      </c>
      <c r="P9" s="153">
        <f t="shared" ref="P9:P10" si="4">+O9-O9*0.25</f>
        <v>0</v>
      </c>
      <c r="R9" s="153">
        <f t="shared" si="0"/>
        <v>0</v>
      </c>
      <c r="S9" s="153">
        <f t="shared" si="1"/>
        <v>0</v>
      </c>
      <c r="W9" s="153">
        <f t="shared" ref="W9:W10" si="5">+V9-V9*0.25</f>
        <v>0</v>
      </c>
      <c r="Y9" s="153">
        <f t="shared" si="2"/>
        <v>0</v>
      </c>
      <c r="Z9" s="153">
        <f t="shared" si="3"/>
        <v>0</v>
      </c>
    </row>
    <row r="10" spans="1:26" ht="26.25" thickBot="1">
      <c r="A10" s="770"/>
      <c r="B10" s="220"/>
      <c r="C10" s="221"/>
      <c r="D10" s="222"/>
      <c r="E10" s="224"/>
      <c r="F10" s="233"/>
      <c r="G10" s="242" t="s">
        <v>12</v>
      </c>
      <c r="H10" s="238" t="s">
        <v>476</v>
      </c>
      <c r="I10" s="773"/>
      <c r="J10" s="219" t="s">
        <v>495</v>
      </c>
      <c r="K10" s="244">
        <f>+C27</f>
        <v>3087</v>
      </c>
      <c r="L10" s="244"/>
      <c r="M10" s="121">
        <f>+K10+'7'!M10+L10</f>
        <v>3087</v>
      </c>
      <c r="P10" s="153">
        <f t="shared" si="4"/>
        <v>0</v>
      </c>
      <c r="R10" s="153">
        <f t="shared" si="0"/>
        <v>0</v>
      </c>
      <c r="S10" s="153">
        <f t="shared" si="1"/>
        <v>0</v>
      </c>
      <c r="W10" s="153">
        <f t="shared" si="5"/>
        <v>0</v>
      </c>
      <c r="Y10" s="153">
        <f t="shared" si="2"/>
        <v>0</v>
      </c>
      <c r="Z10" s="153">
        <f t="shared" si="3"/>
        <v>0</v>
      </c>
    </row>
    <row r="11" spans="1:26" ht="132.75" customHeight="1" thickBot="1">
      <c r="A11" s="770"/>
      <c r="B11" s="220"/>
      <c r="C11" s="221"/>
      <c r="D11" s="222"/>
      <c r="E11" s="224"/>
      <c r="F11" s="233"/>
      <c r="G11" s="237"/>
      <c r="H11" s="238" t="s">
        <v>477</v>
      </c>
      <c r="I11" s="773"/>
      <c r="J11" s="219">
        <f>+'7'!J11</f>
        <v>0</v>
      </c>
      <c r="K11" s="244"/>
      <c r="L11" s="244"/>
      <c r="M11" s="121">
        <f>+K11+'7'!M11+L11</f>
        <v>0</v>
      </c>
      <c r="Q11" s="153">
        <f>SUM(Q6:Q10)</f>
        <v>480</v>
      </c>
      <c r="R11" s="153">
        <f>SUM(R6:R10)</f>
        <v>556800</v>
      </c>
      <c r="S11" s="153">
        <f>SUM(S6:S10)</f>
        <v>428736</v>
      </c>
      <c r="X11" s="153">
        <f>SUM(X6:X10)</f>
        <v>369</v>
      </c>
      <c r="Y11" s="153">
        <f>SUM(Y6:Y10)</f>
        <v>350955</v>
      </c>
      <c r="Z11" s="153">
        <f>SUM(Z6:Z10)</f>
        <v>280764</v>
      </c>
    </row>
    <row r="12" spans="1:26" ht="13.5" thickBot="1">
      <c r="A12" s="770"/>
      <c r="B12" s="220"/>
      <c r="C12" s="221"/>
      <c r="D12" s="222"/>
      <c r="E12" s="224"/>
      <c r="F12" s="233"/>
      <c r="G12" s="237"/>
      <c r="H12" s="238"/>
      <c r="I12" s="773"/>
      <c r="J12" s="219">
        <f>+'7'!J12</f>
        <v>0</v>
      </c>
      <c r="K12" s="244"/>
      <c r="L12" s="244"/>
      <c r="M12" s="121">
        <f>+K12+'7'!M12+L12</f>
        <v>0</v>
      </c>
      <c r="O12" s="153" t="s">
        <v>404</v>
      </c>
      <c r="R12" s="153">
        <f>+R11/Q11</f>
        <v>1160</v>
      </c>
      <c r="S12" s="153">
        <f>+S11/Q11</f>
        <v>893.2</v>
      </c>
      <c r="V12" s="153" t="s">
        <v>404</v>
      </c>
      <c r="Y12" s="153">
        <f>+Y11/X11</f>
        <v>951.09756097560978</v>
      </c>
      <c r="Z12" s="153">
        <f>+Z11/X11</f>
        <v>760.8780487804878</v>
      </c>
    </row>
    <row r="13" spans="1:26" ht="13.5" thickBot="1">
      <c r="A13" s="770"/>
      <c r="B13" s="220"/>
      <c r="C13" s="221"/>
      <c r="D13" s="221"/>
      <c r="E13" s="224"/>
      <c r="F13" s="233"/>
      <c r="G13" s="237"/>
      <c r="H13" s="238"/>
      <c r="I13" s="774"/>
      <c r="J13" s="219">
        <f>+'7'!J13</f>
        <v>0</v>
      </c>
      <c r="K13" s="244"/>
      <c r="L13" s="244"/>
      <c r="M13" s="121">
        <f>+K13+'7'!M13+L13</f>
        <v>0</v>
      </c>
    </row>
    <row r="14" spans="1:26" ht="13.5" thickBot="1">
      <c r="A14" s="771"/>
      <c r="B14" s="170" t="s">
        <v>2</v>
      </c>
      <c r="C14" s="103">
        <f>SUM(C7:C13)</f>
        <v>16313</v>
      </c>
      <c r="D14" s="115">
        <f>SUM(D7:D13)</f>
        <v>0</v>
      </c>
      <c r="E14" s="116">
        <f>SUM(E5:E13)</f>
        <v>0</v>
      </c>
      <c r="F14" s="120">
        <f>SUM(F7:F13)</f>
        <v>37</v>
      </c>
      <c r="G14" s="163"/>
      <c r="H14" s="235" t="s">
        <v>286</v>
      </c>
      <c r="I14" s="172"/>
      <c r="J14" s="219">
        <f>+'7'!J14</f>
        <v>0</v>
      </c>
      <c r="K14" s="244"/>
      <c r="L14" s="244"/>
      <c r="M14" s="121">
        <f>+K14+'7'!M14+L14</f>
        <v>0</v>
      </c>
      <c r="N14" s="153" t="s">
        <v>461</v>
      </c>
      <c r="O14" s="153">
        <v>1160</v>
      </c>
      <c r="P14" s="153">
        <f>+O14-O14*0.23</f>
        <v>893.2</v>
      </c>
      <c r="Q14" s="153">
        <f>60*6+39</f>
        <v>399</v>
      </c>
      <c r="R14" s="153">
        <f>+O14*Q14</f>
        <v>462840</v>
      </c>
      <c r="S14" s="153">
        <f>+P14*Q14</f>
        <v>356386.80000000005</v>
      </c>
    </row>
    <row r="15" spans="1:26" ht="13.5" customHeight="1" thickBot="1">
      <c r="A15" s="769"/>
      <c r="B15" s="170"/>
      <c r="C15" s="117">
        <f>C14/($C$23+$D$23+$E$23)</f>
        <v>1.1287711043454194</v>
      </c>
      <c r="D15" s="118">
        <f>D14/($C$23+$D$23+$E$23)</f>
        <v>0</v>
      </c>
      <c r="E15" s="119">
        <f>E14/($C$23+$D$23+$E$23)</f>
        <v>0</v>
      </c>
      <c r="F15" s="233">
        <v>9</v>
      </c>
      <c r="G15" s="234" t="s">
        <v>11</v>
      </c>
      <c r="H15" s="235" t="s">
        <v>407</v>
      </c>
      <c r="I15" s="772" t="s">
        <v>485</v>
      </c>
      <c r="J15" s="219">
        <f>+'7'!J15</f>
        <v>0</v>
      </c>
      <c r="K15" s="244"/>
      <c r="L15" s="244"/>
      <c r="M15" s="121">
        <f>+K15+'7'!M15+L15</f>
        <v>0</v>
      </c>
      <c r="N15" s="153" t="s">
        <v>482</v>
      </c>
      <c r="O15" s="153">
        <v>955</v>
      </c>
      <c r="P15" s="153">
        <f>+O15-O15*0.2</f>
        <v>764</v>
      </c>
      <c r="Q15" s="153">
        <f>480-Q14</f>
        <v>81</v>
      </c>
      <c r="R15" s="153">
        <f t="shared" ref="R15:R18" si="6">+O15*Q15</f>
        <v>77355</v>
      </c>
      <c r="S15" s="153">
        <f t="shared" ref="S15:S18" si="7">+P15*Q15</f>
        <v>61884</v>
      </c>
    </row>
    <row r="16" spans="1:26" ht="13.5" thickBot="1">
      <c r="A16" s="775"/>
      <c r="B16" s="220" t="s">
        <v>475</v>
      </c>
      <c r="C16" s="227">
        <v>14452</v>
      </c>
      <c r="D16" s="228"/>
      <c r="E16" s="229"/>
      <c r="F16" s="236"/>
      <c r="G16" s="237" t="s">
        <v>11</v>
      </c>
      <c r="I16" s="773"/>
      <c r="J16" s="219">
        <f>+'7'!J16</f>
        <v>0</v>
      </c>
      <c r="K16" s="234"/>
      <c r="L16" s="234"/>
      <c r="M16" s="121">
        <f>+K16+'7'!M16+L16</f>
        <v>0</v>
      </c>
      <c r="P16" s="153">
        <f>+O16-O16*0.23</f>
        <v>0</v>
      </c>
      <c r="R16" s="153">
        <f t="shared" si="6"/>
        <v>0</v>
      </c>
      <c r="S16" s="153">
        <f t="shared" si="7"/>
        <v>0</v>
      </c>
    </row>
    <row r="17" spans="1:26" ht="13.5" thickBot="1">
      <c r="A17" s="775"/>
      <c r="B17" s="220"/>
      <c r="C17" s="221"/>
      <c r="D17" s="222"/>
      <c r="E17" s="230"/>
      <c r="F17" s="233">
        <f>21-9</f>
        <v>12</v>
      </c>
      <c r="G17" s="237" t="s">
        <v>11</v>
      </c>
      <c r="H17" s="238" t="s">
        <v>428</v>
      </c>
      <c r="I17" s="773"/>
      <c r="J17" s="219">
        <f>+'7'!J17</f>
        <v>0</v>
      </c>
      <c r="K17" s="234"/>
      <c r="L17" s="234"/>
      <c r="M17" s="121">
        <f>+K17+'7'!M17+L17</f>
        <v>0</v>
      </c>
      <c r="P17" s="153">
        <f t="shared" ref="P17:P18" si="8">+O17-O17*0.25</f>
        <v>0</v>
      </c>
      <c r="R17" s="153">
        <f t="shared" si="6"/>
        <v>0</v>
      </c>
      <c r="S17" s="153">
        <f t="shared" si="7"/>
        <v>0</v>
      </c>
      <c r="U17" s="153" t="s">
        <v>483</v>
      </c>
      <c r="V17" s="153">
        <v>1160</v>
      </c>
      <c r="W17" s="153">
        <v>893.2</v>
      </c>
      <c r="X17" s="153">
        <v>164</v>
      </c>
      <c r="Y17" s="153">
        <f>+V17*X17</f>
        <v>190240</v>
      </c>
      <c r="Z17" s="153">
        <f>+W17*X17</f>
        <v>146484.80000000002</v>
      </c>
    </row>
    <row r="18" spans="1:26" ht="26.25" thickBot="1">
      <c r="A18" s="775"/>
      <c r="B18" s="220"/>
      <c r="C18" s="221"/>
      <c r="D18" s="222"/>
      <c r="E18" s="230"/>
      <c r="F18" s="233"/>
      <c r="G18" s="242" t="s">
        <v>12</v>
      </c>
      <c r="H18" s="238" t="s">
        <v>478</v>
      </c>
      <c r="I18" s="773"/>
      <c r="J18" s="219">
        <f>+'7'!J18</f>
        <v>0</v>
      </c>
      <c r="K18" s="244"/>
      <c r="L18" s="244"/>
      <c r="M18" s="121">
        <f>+K18+'7'!M18+L18</f>
        <v>0</v>
      </c>
      <c r="P18" s="153">
        <f t="shared" si="8"/>
        <v>0</v>
      </c>
      <c r="R18" s="153">
        <f t="shared" si="6"/>
        <v>0</v>
      </c>
      <c r="S18" s="153">
        <f t="shared" si="7"/>
        <v>0</v>
      </c>
      <c r="V18" s="153">
        <v>1170</v>
      </c>
      <c r="W18" s="153">
        <v>900.9</v>
      </c>
      <c r="X18" s="153">
        <v>28</v>
      </c>
      <c r="Y18" s="153">
        <f t="shared" ref="Y18:Y21" si="9">+V18*X18</f>
        <v>32760</v>
      </c>
      <c r="Z18" s="153">
        <f t="shared" ref="Z18:Z21" si="10">+W18*X18</f>
        <v>25225.200000000001</v>
      </c>
    </row>
    <row r="19" spans="1:26" ht="26.25" thickBot="1">
      <c r="A19" s="775"/>
      <c r="B19" s="220"/>
      <c r="C19" s="221"/>
      <c r="D19" s="222"/>
      <c r="E19" s="230"/>
      <c r="F19" s="240"/>
      <c r="G19" s="237"/>
      <c r="H19" s="238" t="s">
        <v>479</v>
      </c>
      <c r="I19" s="773"/>
      <c r="J19" s="219">
        <f>+'7'!J19</f>
        <v>0</v>
      </c>
      <c r="K19" s="244"/>
      <c r="L19" s="244"/>
      <c r="M19" s="121">
        <f>+K19+'7'!M19+L19</f>
        <v>0</v>
      </c>
      <c r="Q19" s="153">
        <f>SUM(Q14:Q18)</f>
        <v>480</v>
      </c>
      <c r="R19" s="153">
        <f>SUM(R14:R18)</f>
        <v>540195</v>
      </c>
      <c r="S19" s="153">
        <f>SUM(S14:S18)</f>
        <v>418270.80000000005</v>
      </c>
      <c r="W19" s="153">
        <f>+V19-V19*0.23</f>
        <v>0</v>
      </c>
      <c r="Y19" s="153">
        <f t="shared" si="9"/>
        <v>0</v>
      </c>
      <c r="Z19" s="153">
        <f t="shared" si="10"/>
        <v>0</v>
      </c>
    </row>
    <row r="20" spans="1:26" ht="13.5" thickBot="1">
      <c r="A20" s="775"/>
      <c r="B20" s="220"/>
      <c r="C20" s="221"/>
      <c r="D20" s="222"/>
      <c r="E20" s="230"/>
      <c r="F20" s="233"/>
      <c r="G20" s="237"/>
      <c r="H20" s="238"/>
      <c r="I20" s="773"/>
      <c r="J20" s="219">
        <f>+'7'!J20</f>
        <v>0</v>
      </c>
      <c r="K20" s="245"/>
      <c r="L20" s="245"/>
      <c r="M20" s="121">
        <f>+K20+'7'!M20+L20</f>
        <v>0</v>
      </c>
      <c r="O20" s="153" t="s">
        <v>404</v>
      </c>
      <c r="R20" s="153">
        <f>+R19/Q19</f>
        <v>1125.40625</v>
      </c>
      <c r="S20" s="153">
        <f>+S19/Q19</f>
        <v>871.39750000000015</v>
      </c>
      <c r="W20" s="153">
        <f t="shared" ref="W20:W21" si="11">+V20-V20*0.25</f>
        <v>0</v>
      </c>
      <c r="Y20" s="153">
        <f t="shared" si="9"/>
        <v>0</v>
      </c>
      <c r="Z20" s="153">
        <f t="shared" si="10"/>
        <v>0</v>
      </c>
    </row>
    <row r="21" spans="1:26" ht="13.5" thickBot="1">
      <c r="A21" s="775"/>
      <c r="B21" s="220"/>
      <c r="C21" s="221"/>
      <c r="D21" s="222"/>
      <c r="E21" s="230"/>
      <c r="F21" s="236"/>
      <c r="G21" s="237"/>
      <c r="H21" s="238"/>
      <c r="I21" s="773"/>
      <c r="J21" s="219">
        <f>+'7'!J21</f>
        <v>0</v>
      </c>
      <c r="K21" s="244"/>
      <c r="L21" s="244"/>
      <c r="M21" s="121">
        <f>+K21+'7'!M21+L21</f>
        <v>0</v>
      </c>
      <c r="W21" s="153">
        <f t="shared" si="11"/>
        <v>0</v>
      </c>
      <c r="Y21" s="153">
        <f t="shared" si="9"/>
        <v>0</v>
      </c>
      <c r="Z21" s="153">
        <f t="shared" si="10"/>
        <v>0</v>
      </c>
    </row>
    <row r="22" spans="1:26" ht="13.5" thickBot="1">
      <c r="A22" s="775"/>
      <c r="B22" s="220"/>
      <c r="C22" s="221"/>
      <c r="D22" s="222"/>
      <c r="E22" s="230"/>
      <c r="F22" s="241"/>
      <c r="G22" s="237"/>
      <c r="H22" s="238"/>
      <c r="I22" s="774"/>
      <c r="J22" s="219">
        <f>+'7'!J22</f>
        <v>0</v>
      </c>
      <c r="K22" s="244"/>
      <c r="L22" s="244"/>
      <c r="M22" s="121">
        <f>+K22+'7'!M22+L22</f>
        <v>0</v>
      </c>
      <c r="X22" s="153">
        <f>SUM(X17:X21)</f>
        <v>192</v>
      </c>
      <c r="Y22" s="153">
        <f>SUM(Y17:Y21)</f>
        <v>223000</v>
      </c>
      <c r="Z22" s="153">
        <f>SUM(Z17:Z21)</f>
        <v>171710.00000000003</v>
      </c>
    </row>
    <row r="23" spans="1:26" ht="13.5" thickBot="1">
      <c r="A23" s="776"/>
      <c r="B23" s="173" t="s">
        <v>2</v>
      </c>
      <c r="C23" s="104">
        <f>SUM(C16:C22)</f>
        <v>14452</v>
      </c>
      <c r="D23" s="115">
        <f>SUM(D16:D22)</f>
        <v>0</v>
      </c>
      <c r="E23" s="116">
        <f>SUM(E18:E22)</f>
        <v>0</v>
      </c>
      <c r="F23" s="120">
        <f>SUM(F15:F22)</f>
        <v>21</v>
      </c>
      <c r="G23" s="163"/>
      <c r="H23" s="171"/>
      <c r="I23" s="174"/>
      <c r="J23" s="219">
        <f>+'7'!J23</f>
        <v>0</v>
      </c>
      <c r="K23" s="244"/>
      <c r="L23" s="244"/>
      <c r="M23" s="121">
        <f>+K23+'7'!M23+L23</f>
        <v>0</v>
      </c>
      <c r="N23" s="153" t="s">
        <v>482</v>
      </c>
      <c r="O23" s="153">
        <v>950</v>
      </c>
      <c r="P23" s="153">
        <f>+O23-O23*0.2</f>
        <v>760</v>
      </c>
      <c r="Q23" s="153">
        <f>60*4+48</f>
        <v>288</v>
      </c>
      <c r="R23" s="153">
        <f>+O23*Q23</f>
        <v>273600</v>
      </c>
      <c r="S23" s="153">
        <f>+P23*Q23</f>
        <v>218880</v>
      </c>
      <c r="V23" s="153" t="s">
        <v>404</v>
      </c>
      <c r="Y23" s="153">
        <f>+Y22/X22</f>
        <v>1161.4583333333333</v>
      </c>
      <c r="Z23" s="153">
        <f>+Z22/X22</f>
        <v>894.32291666666686</v>
      </c>
    </row>
    <row r="24" spans="1:26" ht="13.5" customHeight="1" thickBot="1">
      <c r="A24" s="769"/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10</v>
      </c>
      <c r="G24" s="234" t="s">
        <v>11</v>
      </c>
      <c r="H24" s="235" t="s">
        <v>433</v>
      </c>
      <c r="I24" s="772" t="s">
        <v>486</v>
      </c>
      <c r="J24" s="219">
        <f>+'7'!J24</f>
        <v>0</v>
      </c>
      <c r="K24" s="244"/>
      <c r="L24" s="244"/>
      <c r="M24" s="121">
        <f>+K24+'7'!M24+L24</f>
        <v>0</v>
      </c>
      <c r="N24" s="153" t="s">
        <v>483</v>
      </c>
      <c r="O24" s="153">
        <v>1160</v>
      </c>
      <c r="P24" s="153">
        <f>+O24-O24*0.23</f>
        <v>893.2</v>
      </c>
      <c r="Q24" s="153">
        <f>60-48+120+32</f>
        <v>164</v>
      </c>
      <c r="R24" s="153">
        <f t="shared" ref="R24:R27" si="12">+O24*Q24</f>
        <v>190240</v>
      </c>
      <c r="S24" s="153">
        <f t="shared" ref="S24:S27" si="13">+P24*Q24</f>
        <v>146484.80000000002</v>
      </c>
    </row>
    <row r="25" spans="1:26" ht="13.5" thickBot="1">
      <c r="A25" s="775"/>
      <c r="B25" s="220" t="s">
        <v>475</v>
      </c>
      <c r="C25" s="231">
        <v>2288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+'7'!J25</f>
        <v>0</v>
      </c>
      <c r="K25" s="244"/>
      <c r="L25" s="244"/>
      <c r="M25" s="121">
        <f>+K25+'7'!M25+L25</f>
        <v>0</v>
      </c>
      <c r="O25" s="153">
        <v>1170</v>
      </c>
      <c r="P25" s="153">
        <f>+O25-O25*0.23</f>
        <v>900.9</v>
      </c>
      <c r="Q25" s="153">
        <f>60-32</f>
        <v>28</v>
      </c>
      <c r="R25" s="153">
        <f t="shared" si="12"/>
        <v>32760</v>
      </c>
      <c r="S25" s="153">
        <f t="shared" si="13"/>
        <v>25225.200000000001</v>
      </c>
    </row>
    <row r="26" spans="1:26" ht="13.5" thickBot="1">
      <c r="A26" s="775"/>
      <c r="B26" s="220" t="s">
        <v>494</v>
      </c>
      <c r="C26" s="231">
        <f>1020+6609</f>
        <v>7629</v>
      </c>
      <c r="D26" s="222">
        <v>1230</v>
      </c>
      <c r="E26" s="232"/>
      <c r="F26" s="233">
        <f>27-10</f>
        <v>17</v>
      </c>
      <c r="G26" s="237" t="s">
        <v>11</v>
      </c>
      <c r="H26" s="238" t="s">
        <v>428</v>
      </c>
      <c r="I26" s="773"/>
      <c r="J26" s="219">
        <f>+'7'!J26</f>
        <v>0</v>
      </c>
      <c r="K26" s="244"/>
      <c r="L26" s="244"/>
      <c r="M26" s="121">
        <f>+K26+'7'!M26+L26</f>
        <v>0</v>
      </c>
      <c r="P26" s="153">
        <f t="shared" ref="P26:P27" si="14">+O26-O26*0.25</f>
        <v>0</v>
      </c>
      <c r="R26" s="153">
        <f t="shared" si="12"/>
        <v>0</v>
      </c>
      <c r="S26" s="153">
        <f t="shared" si="13"/>
        <v>0</v>
      </c>
    </row>
    <row r="27" spans="1:26" ht="26.25" thickBot="1">
      <c r="A27" s="775"/>
      <c r="B27" s="220" t="s">
        <v>495</v>
      </c>
      <c r="C27" s="221">
        <f>1423+1664</f>
        <v>3087</v>
      </c>
      <c r="D27" s="222"/>
      <c r="E27" s="230"/>
      <c r="F27" s="233"/>
      <c r="G27" s="242" t="s">
        <v>12</v>
      </c>
      <c r="H27" s="238" t="s">
        <v>480</v>
      </c>
      <c r="I27" s="773"/>
      <c r="J27" s="219">
        <f>+'7'!J27</f>
        <v>0</v>
      </c>
      <c r="K27" s="244"/>
      <c r="L27" s="244"/>
      <c r="M27" s="121">
        <f>+K27+'7'!M27+L27</f>
        <v>0</v>
      </c>
      <c r="P27" s="153">
        <f t="shared" si="14"/>
        <v>0</v>
      </c>
      <c r="R27" s="153">
        <f t="shared" si="12"/>
        <v>0</v>
      </c>
      <c r="S27" s="153">
        <f t="shared" si="13"/>
        <v>0</v>
      </c>
    </row>
    <row r="28" spans="1:26" ht="39" thickBot="1">
      <c r="A28" s="775"/>
      <c r="B28" s="220"/>
      <c r="C28" s="221"/>
      <c r="D28" s="222"/>
      <c r="E28" s="230"/>
      <c r="F28" s="236"/>
      <c r="G28" s="237"/>
      <c r="H28" s="238" t="s">
        <v>481</v>
      </c>
      <c r="I28" s="773"/>
      <c r="J28" s="219">
        <f>+'7'!J28</f>
        <v>0</v>
      </c>
      <c r="K28" s="244"/>
      <c r="L28" s="244"/>
      <c r="M28" s="121">
        <f>+K28+'7'!M28+L28</f>
        <v>0</v>
      </c>
      <c r="Q28" s="153">
        <f>SUM(Q23:Q27)</f>
        <v>480</v>
      </c>
      <c r="R28" s="153">
        <f>SUM(R23:R27)</f>
        <v>496600</v>
      </c>
      <c r="S28" s="153">
        <f>SUM(S23:S27)</f>
        <v>390590.00000000006</v>
      </c>
    </row>
    <row r="29" spans="1:26" ht="13.5" thickBot="1">
      <c r="A29" s="775"/>
      <c r="B29" s="220"/>
      <c r="C29" s="221"/>
      <c r="D29" s="222"/>
      <c r="E29" s="230"/>
      <c r="F29" s="241"/>
      <c r="G29" s="237"/>
      <c r="H29" s="238"/>
      <c r="I29" s="773"/>
      <c r="J29" s="219">
        <f>+'7'!J29</f>
        <v>0</v>
      </c>
      <c r="K29" s="244"/>
      <c r="L29" s="244"/>
      <c r="M29" s="121">
        <f>+K29+'7'!M29+L29</f>
        <v>0</v>
      </c>
      <c r="O29" s="153" t="s">
        <v>404</v>
      </c>
      <c r="R29" s="153">
        <f>+R28/Q28</f>
        <v>1034.5833333333333</v>
      </c>
      <c r="S29" s="153">
        <f>+S28/Q28</f>
        <v>813.72916666666674</v>
      </c>
    </row>
    <row r="30" spans="1:26" ht="13.5" thickBot="1">
      <c r="A30" s="775"/>
      <c r="B30" s="220"/>
      <c r="C30" s="231"/>
      <c r="D30" s="222"/>
      <c r="E30" s="230"/>
      <c r="F30" s="241"/>
      <c r="G30" s="237"/>
      <c r="H30" s="238"/>
      <c r="I30" s="773"/>
      <c r="J30" s="219">
        <f>+'7'!J30</f>
        <v>0</v>
      </c>
      <c r="K30" s="244"/>
      <c r="L30" s="244"/>
      <c r="M30" s="121">
        <f>+K30+'7'!M30+L30</f>
        <v>0</v>
      </c>
    </row>
    <row r="31" spans="1:26" ht="13.5" thickBot="1">
      <c r="A31" s="775"/>
      <c r="B31" s="220"/>
      <c r="C31" s="231"/>
      <c r="D31" s="222"/>
      <c r="E31" s="230"/>
      <c r="F31" s="241"/>
      <c r="G31" s="242"/>
      <c r="H31" s="441"/>
      <c r="I31" s="774"/>
      <c r="J31" s="219">
        <f>+'7'!J31</f>
        <v>0</v>
      </c>
      <c r="K31" s="244"/>
      <c r="L31" s="244"/>
      <c r="M31" s="121">
        <f>+K31+'7'!M31+L31</f>
        <v>0</v>
      </c>
    </row>
    <row r="32" spans="1:26" ht="13.5" thickBot="1">
      <c r="A32" s="776"/>
      <c r="B32" s="170" t="s">
        <v>2</v>
      </c>
      <c r="C32" s="103">
        <f>SUM(C25:C31)</f>
        <v>13004</v>
      </c>
      <c r="D32" s="104">
        <f>SUM(D25:D31)</f>
        <v>1230</v>
      </c>
      <c r="E32" s="105">
        <f>SUM(E25:E31)</f>
        <v>0</v>
      </c>
      <c r="F32" s="106">
        <f>SUM(F24:F31)</f>
        <v>27</v>
      </c>
      <c r="G32" s="176"/>
      <c r="H32" s="177"/>
      <c r="I32" s="174"/>
      <c r="J32" s="219">
        <f>+'7'!J32</f>
        <v>0</v>
      </c>
      <c r="K32" s="246"/>
      <c r="L32" s="248"/>
      <c r="M32" s="121">
        <f>+K32+'7'!M32+L32</f>
        <v>0</v>
      </c>
      <c r="N32" s="153" t="s">
        <v>461</v>
      </c>
      <c r="O32" s="153">
        <v>1160</v>
      </c>
      <c r="P32" s="153">
        <v>893.2</v>
      </c>
      <c r="Q32" s="153">
        <f>480+399</f>
        <v>879</v>
      </c>
    </row>
    <row r="33" spans="1:17" ht="13.5" thickBot="1">
      <c r="A33" s="178"/>
      <c r="B33" s="179"/>
      <c r="C33" s="107">
        <f>C32/($C$32+$D$32+$E$32)</f>
        <v>0.9135871856119151</v>
      </c>
      <c r="D33" s="108">
        <f>D32/($C$32+$D$32+$E$32)</f>
        <v>8.641281438808486E-2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 t="s">
        <v>482</v>
      </c>
      <c r="O33" s="153">
        <v>951.09756097560978</v>
      </c>
      <c r="P33" s="153">
        <v>760.8780487804878</v>
      </c>
      <c r="Q33" s="153">
        <v>369</v>
      </c>
    </row>
    <row r="34" spans="1:17" ht="13.5" thickBot="1">
      <c r="A34" s="765" t="s">
        <v>56</v>
      </c>
      <c r="B34" s="766"/>
      <c r="C34" s="111">
        <f>C14+C23+C32</f>
        <v>43769</v>
      </c>
      <c r="D34" s="111">
        <f>D14+D23+D32</f>
        <v>1230</v>
      </c>
      <c r="E34" s="111">
        <f>E14+E23+E32</f>
        <v>0</v>
      </c>
      <c r="F34" s="112">
        <f>F14+F23+F32</f>
        <v>85</v>
      </c>
      <c r="H34" s="183"/>
      <c r="I34" s="183"/>
      <c r="J34" s="127" t="s">
        <v>27</v>
      </c>
      <c r="K34" s="128">
        <f>SUM(K7:K32)</f>
        <v>43769</v>
      </c>
      <c r="L34" s="217">
        <f>SUM(L7:L32)</f>
        <v>0</v>
      </c>
      <c r="M34" s="124">
        <f>SUM(M7:M32)</f>
        <v>342880</v>
      </c>
      <c r="N34" s="153" t="s">
        <v>483</v>
      </c>
      <c r="O34" s="153">
        <v>1161.4583333333333</v>
      </c>
      <c r="P34" s="153">
        <v>894.32291666666686</v>
      </c>
      <c r="Q34" s="153">
        <v>192</v>
      </c>
    </row>
    <row r="35" spans="1:17" ht="13.5" thickBot="1">
      <c r="A35" s="184"/>
      <c r="B35" s="185"/>
      <c r="C35" s="108">
        <f>C34/($C$34+$D$34+$E$34)</f>
        <v>0.97266605924576099</v>
      </c>
      <c r="D35" s="108">
        <f>D34/($C$34+$D$34+$E$34)</f>
        <v>2.7333940754238985E-2</v>
      </c>
      <c r="E35" s="113">
        <f>E34/($C$34+$D$34+$E$34)</f>
        <v>0</v>
      </c>
      <c r="K35" s="159"/>
      <c r="Q35" s="153">
        <f>+Q32+Q33+Q34</f>
        <v>1440</v>
      </c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(15.5*879+19*369+192*15)/1440*G42*2.74*1440/1000000</f>
        <v>55.37598520006668</v>
      </c>
      <c r="J37" s="129">
        <f>+I37+'7'!J37</f>
        <v>388.50429716606669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85</v>
      </c>
      <c r="D38" s="122">
        <f>+C38+'7'!D38</f>
        <v>597</v>
      </c>
      <c r="E38" s="147">
        <f t="shared" ref="E38:E51" si="15">D38/60</f>
        <v>9.9499999999999993</v>
      </c>
      <c r="F38" s="327">
        <v>1160</v>
      </c>
      <c r="G38" s="327">
        <v>893.2</v>
      </c>
      <c r="H38" s="192" t="s">
        <v>63</v>
      </c>
      <c r="I38" s="250">
        <f>15.894+15.48+17.483</f>
        <v>48.856999999999999</v>
      </c>
      <c r="J38" s="131">
        <f>+I38+'7'!J38</f>
        <v>357.78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+C39+'7'!D39</f>
        <v>0</v>
      </c>
      <c r="E39" s="147">
        <f t="shared" si="15"/>
        <v>0</v>
      </c>
      <c r="F39" s="327">
        <v>1125.40625</v>
      </c>
      <c r="G39" s="327">
        <v>871.39750000000015</v>
      </c>
      <c r="H39" s="192" t="s">
        <v>64</v>
      </c>
      <c r="I39" s="146"/>
      <c r="J39" s="133">
        <f>J37/G4</f>
        <v>48.563037145758337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+C40+'7'!D40</f>
        <v>299</v>
      </c>
      <c r="E40" s="147">
        <f t="shared" si="15"/>
        <v>4.9833333333333334</v>
      </c>
      <c r="F40" s="327">
        <v>1034.5833333333333</v>
      </c>
      <c r="G40" s="327">
        <v>813.72916666666674</v>
      </c>
      <c r="H40" s="192" t="s">
        <v>66</v>
      </c>
      <c r="I40" s="122">
        <f>(K34+L34)/1000</f>
        <v>43.768999999999998</v>
      </c>
      <c r="J40" s="135">
        <f>+I40+'7'!J40</f>
        <v>342.88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+C41+'7'!D41</f>
        <v>60</v>
      </c>
      <c r="E41" s="147">
        <f t="shared" si="15"/>
        <v>1</v>
      </c>
      <c r="F41" s="327"/>
      <c r="G41" s="327"/>
      <c r="H41" s="192" t="s">
        <v>68</v>
      </c>
      <c r="I41" s="146"/>
      <c r="J41" s="133">
        <f>J40/G4</f>
        <v>42.86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+C42+'7'!D42</f>
        <v>0</v>
      </c>
      <c r="E42" s="147">
        <f t="shared" si="15"/>
        <v>0</v>
      </c>
      <c r="F42" s="327">
        <f>+(480*F38+480*F39+480*F40)/1440</f>
        <v>1106.6631944444443</v>
      </c>
      <c r="G42" s="327">
        <f>+(480*G38+480*G39+480*G40)/1440</f>
        <v>859.4422222222222</v>
      </c>
      <c r="H42" s="192" t="s">
        <v>69</v>
      </c>
      <c r="I42" s="251" t="s">
        <v>487</v>
      </c>
      <c r="J42" s="136"/>
      <c r="K42" s="134" t="s">
        <v>70</v>
      </c>
    </row>
    <row r="43" spans="1:17" ht="17.45" customHeight="1">
      <c r="A43" s="763" t="s">
        <v>222</v>
      </c>
      <c r="B43" s="764"/>
      <c r="C43" s="168">
        <f>SUMIF($G$7:$G$31,"Change Grade",$F$7:$F$31)</f>
        <v>0</v>
      </c>
      <c r="D43" s="122">
        <f>+C43+'7'!D43</f>
        <v>0</v>
      </c>
      <c r="E43" s="147">
        <f t="shared" si="15"/>
        <v>0</v>
      </c>
      <c r="F43" s="327"/>
      <c r="G43" s="328"/>
      <c r="H43" s="193" t="s">
        <v>72</v>
      </c>
      <c r="I43" s="122">
        <f>+Report1!Z16</f>
        <v>56.9</v>
      </c>
      <c r="J43" s="137">
        <f>+I43+'7'!J43</f>
        <v>458.79999999999995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+C44+'7'!D44</f>
        <v>0</v>
      </c>
      <c r="E44" s="147">
        <f t="shared" si="15"/>
        <v>0</v>
      </c>
      <c r="F44" s="327"/>
      <c r="G44" s="328"/>
      <c r="H44" s="193" t="s">
        <v>73</v>
      </c>
      <c r="I44" s="122">
        <f>I43/I38</f>
        <v>1.1646232883721883</v>
      </c>
      <c r="J44" s="138">
        <f>J43/J38</f>
        <v>1.2823522835261894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+C45+'7'!D45</f>
        <v>0</v>
      </c>
      <c r="E45" s="147">
        <f t="shared" si="15"/>
        <v>0</v>
      </c>
      <c r="F45" s="327"/>
      <c r="G45" s="330"/>
      <c r="H45" s="193" t="s">
        <v>74</v>
      </c>
      <c r="I45" s="122">
        <f>I43/I40</f>
        <v>1.3000068541661907</v>
      </c>
      <c r="J45" s="138">
        <f>J43/J40</f>
        <v>1.3380774615025663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+C46+'7'!D46</f>
        <v>0</v>
      </c>
      <c r="E46" s="147">
        <f t="shared" si="15"/>
        <v>0</v>
      </c>
      <c r="F46" s="327"/>
      <c r="G46" s="328"/>
      <c r="H46" s="193" t="s">
        <v>76</v>
      </c>
      <c r="I46" s="144">
        <f>+SUMIF(Listrik!P15,"&gt;0")</f>
        <v>35500.540000001456</v>
      </c>
      <c r="J46" s="139">
        <f>+I46+'7'!J46</f>
        <v>288962.20000000141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+C47+'7'!D47</f>
        <v>0</v>
      </c>
      <c r="E47" s="147">
        <f t="shared" si="15"/>
        <v>0</v>
      </c>
      <c r="F47" s="327"/>
      <c r="G47" s="328"/>
      <c r="H47" s="193" t="s">
        <v>79</v>
      </c>
      <c r="I47" s="122">
        <f>I46/I38</f>
        <v>726.62136438998414</v>
      </c>
      <c r="J47" s="139">
        <f>J46/J38</f>
        <v>807.65330650120586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+C48+'7'!D48</f>
        <v>0</v>
      </c>
      <c r="E48" s="147">
        <f t="shared" si="15"/>
        <v>0</v>
      </c>
      <c r="F48" s="327"/>
      <c r="G48" s="328"/>
      <c r="H48" s="193" t="s">
        <v>80</v>
      </c>
      <c r="I48" s="122">
        <f>I46/I40</f>
        <v>811.08867006332014</v>
      </c>
      <c r="J48" s="139">
        <f>J46/J40</f>
        <v>842.75023331778289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+C49+'7'!D49</f>
        <v>0</v>
      </c>
      <c r="E49" s="147">
        <f t="shared" si="15"/>
        <v>0</v>
      </c>
      <c r="F49" s="190"/>
      <c r="H49" s="193" t="s">
        <v>270</v>
      </c>
      <c r="I49" s="122">
        <f>+Report1!T16</f>
        <v>4524.3757799861341</v>
      </c>
      <c r="J49" s="139">
        <f>+I49+'7'!J49</f>
        <v>32761.804286059523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+C50+'7'!D50</f>
        <v>0</v>
      </c>
      <c r="E50" s="147">
        <f t="shared" si="15"/>
        <v>0</v>
      </c>
      <c r="F50" s="190"/>
      <c r="H50" s="193" t="s">
        <v>82</v>
      </c>
      <c r="I50" s="144">
        <f>I49/I38</f>
        <v>92.604453404550711</v>
      </c>
      <c r="J50" s="137">
        <f>J49/J38</f>
        <v>91.569691671025566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+C51+'7'!D51</f>
        <v>0</v>
      </c>
      <c r="E51" s="147">
        <f t="shared" si="15"/>
        <v>0</v>
      </c>
      <c r="F51" s="190"/>
      <c r="H51" s="195" t="s">
        <v>84</v>
      </c>
      <c r="I51" s="145">
        <f>I49/I40</f>
        <v>103.36941168375184</v>
      </c>
      <c r="J51" s="140">
        <f>J49/J40</f>
        <v>95.548892574835293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85</v>
      </c>
      <c r="D52" s="148">
        <f>SUM(D38:D51)</f>
        <v>956</v>
      </c>
      <c r="E52" s="149">
        <f>SUM(E38:E51)</f>
        <v>15.933333333333334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5.9027777777777776E-2</v>
      </c>
      <c r="D53" s="150">
        <f>D52/(24*60*G4)</f>
        <v>8.2986111111111108E-2</v>
      </c>
      <c r="E53" s="151">
        <f>E52/(G4*24)</f>
        <v>8.2986111111111108E-2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+D34+'7'!J56</f>
        <v>3342</v>
      </c>
      <c r="K56" s="206">
        <f>J56/(J40+J56/1000)/1000</f>
        <v>9.6527661442658182E-3</v>
      </c>
    </row>
    <row r="57" spans="1:11">
      <c r="A57" s="181"/>
      <c r="I57" s="204" t="s">
        <v>87</v>
      </c>
      <c r="J57" s="205">
        <f>+E34+'7'!J57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D11" sqref="D11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3.28515625" style="153" bestFit="1" customWidth="1"/>
    <col min="12" max="12" width="12" style="153" bestFit="1" customWidth="1"/>
    <col min="13" max="13" width="15.5703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7</v>
      </c>
      <c r="H4" s="158" t="str">
        <f>+'1'!H4</f>
        <v>.08.25</v>
      </c>
      <c r="J4" s="153">
        <f>485+506+457</f>
        <v>1448</v>
      </c>
    </row>
    <row r="5" spans="1:19" ht="13.5" thickBot="1">
      <c r="C5" s="159"/>
      <c r="D5" s="159"/>
      <c r="N5" s="153" t="s">
        <v>461</v>
      </c>
      <c r="O5" s="153">
        <v>1180</v>
      </c>
      <c r="P5" s="153">
        <f>+O5-O5*0.21</f>
        <v>932.2</v>
      </c>
      <c r="Q5" s="153">
        <v>480</v>
      </c>
      <c r="R5" s="153">
        <f>+O5*Q5</f>
        <v>566400</v>
      </c>
      <c r="S5" s="153">
        <f>+P5*Q5</f>
        <v>447456</v>
      </c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O6" s="153">
        <v>1180</v>
      </c>
      <c r="P6" s="153">
        <f>+O6-O6*0.21</f>
        <v>932.2</v>
      </c>
      <c r="Q6" s="153">
        <v>480</v>
      </c>
      <c r="R6" s="153">
        <f t="shared" ref="R6:R9" si="0">+O6*Q6</f>
        <v>566400</v>
      </c>
      <c r="S6" s="153">
        <f t="shared" ref="S6:S9" si="1">+P6*Q6</f>
        <v>447456</v>
      </c>
    </row>
    <row r="7" spans="1:19" ht="13.5" customHeight="1" thickBot="1">
      <c r="A7" s="769" t="s">
        <v>444</v>
      </c>
      <c r="B7" s="220" t="s">
        <v>414</v>
      </c>
      <c r="C7" s="221">
        <f>1135+1222</f>
        <v>2357</v>
      </c>
      <c r="D7" s="222"/>
      <c r="E7" s="223"/>
      <c r="F7" s="233">
        <v>15</v>
      </c>
      <c r="G7" s="234" t="s">
        <v>11</v>
      </c>
      <c r="H7" s="235" t="s">
        <v>433</v>
      </c>
      <c r="I7" s="772" t="s">
        <v>470</v>
      </c>
      <c r="J7" s="219" t="str">
        <f>+'6'!J7</f>
        <v>T 13 VP OW</v>
      </c>
      <c r="K7" s="243">
        <f>+C7</f>
        <v>2357</v>
      </c>
      <c r="L7" s="247"/>
      <c r="M7" s="121">
        <f>+K7+'6'!M7+L7</f>
        <v>252469</v>
      </c>
      <c r="P7" s="153">
        <f>+O7-O7*0.23</f>
        <v>0</v>
      </c>
      <c r="R7" s="153">
        <f t="shared" si="0"/>
        <v>0</v>
      </c>
      <c r="S7" s="153">
        <f t="shared" si="1"/>
        <v>0</v>
      </c>
    </row>
    <row r="8" spans="1:19" ht="13.5" thickBot="1">
      <c r="A8" s="778"/>
      <c r="B8" s="220" t="s">
        <v>475</v>
      </c>
      <c r="C8" s="221">
        <v>14770</v>
      </c>
      <c r="D8" s="222"/>
      <c r="E8" s="224"/>
      <c r="F8" s="236"/>
      <c r="G8" s="237" t="s">
        <v>11</v>
      </c>
      <c r="H8" s="235" t="s">
        <v>286</v>
      </c>
      <c r="I8" s="773"/>
      <c r="J8" s="219" t="s">
        <v>475</v>
      </c>
      <c r="K8" s="244">
        <f>+C8+C16+C25</f>
        <v>46642</v>
      </c>
      <c r="L8" s="244"/>
      <c r="M8" s="121">
        <f>+K8+'6'!M8+L8</f>
        <v>46642</v>
      </c>
      <c r="P8" s="153">
        <f t="shared" ref="P8:P9" si="2">+O8-O8*0.25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8"/>
      <c r="B9" s="220"/>
      <c r="C9" s="221"/>
      <c r="D9" s="222"/>
      <c r="E9" s="225"/>
      <c r="F9" s="233">
        <f>36-15</f>
        <v>21</v>
      </c>
      <c r="G9" s="237" t="s">
        <v>11</v>
      </c>
      <c r="H9" s="238" t="s">
        <v>389</v>
      </c>
      <c r="I9" s="773"/>
      <c r="J9" s="219">
        <f>+'6'!J9</f>
        <v>0</v>
      </c>
      <c r="K9" s="244"/>
      <c r="L9" s="244"/>
      <c r="M9" s="121">
        <f>+K9+'6'!M9+L9</f>
        <v>0</v>
      </c>
      <c r="P9" s="153">
        <f t="shared" si="2"/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8"/>
      <c r="B10" s="220"/>
      <c r="C10" s="221"/>
      <c r="D10" s="222"/>
      <c r="E10" s="224"/>
      <c r="F10" s="233"/>
      <c r="G10" s="242" t="s">
        <v>12</v>
      </c>
      <c r="H10" s="238" t="s">
        <v>466</v>
      </c>
      <c r="I10" s="773"/>
      <c r="J10" s="219">
        <f>+'6'!J10</f>
        <v>0</v>
      </c>
      <c r="K10" s="244"/>
      <c r="L10" s="244"/>
      <c r="M10" s="121">
        <f>+K10+'6'!M10+L10</f>
        <v>0</v>
      </c>
      <c r="Q10" s="153">
        <f>SUM(Q5:Q9)</f>
        <v>960</v>
      </c>
      <c r="R10" s="153">
        <f>SUM(R5:R9)</f>
        <v>1132800</v>
      </c>
      <c r="S10" s="153">
        <f>SUM(S5:S9)</f>
        <v>894912</v>
      </c>
    </row>
    <row r="11" spans="1:19" ht="39" thickBot="1">
      <c r="A11" s="778"/>
      <c r="B11" s="220"/>
      <c r="C11" s="221"/>
      <c r="D11" s="222"/>
      <c r="E11" s="224"/>
      <c r="F11" s="233"/>
      <c r="G11" s="237"/>
      <c r="H11" s="238" t="s">
        <v>467</v>
      </c>
      <c r="I11" s="773"/>
      <c r="J11" s="219">
        <f>+'6'!J11</f>
        <v>0</v>
      </c>
      <c r="K11" s="244"/>
      <c r="L11" s="244"/>
      <c r="M11" s="121">
        <f>+K11+'6'!M11+L11</f>
        <v>0</v>
      </c>
      <c r="O11" s="153" t="s">
        <v>404</v>
      </c>
      <c r="R11" s="153">
        <f>+R10/Q10</f>
        <v>1180</v>
      </c>
      <c r="S11" s="153">
        <f>+S10/Q10</f>
        <v>932.2</v>
      </c>
    </row>
    <row r="12" spans="1:19" ht="13.5" thickBot="1">
      <c r="A12" s="778"/>
      <c r="B12" s="220"/>
      <c r="C12" s="221"/>
      <c r="D12" s="222"/>
      <c r="E12" s="224"/>
      <c r="F12" s="233"/>
      <c r="G12" s="237"/>
      <c r="H12" s="238"/>
      <c r="I12" s="773"/>
      <c r="J12" s="219">
        <f>+'6'!J12</f>
        <v>0</v>
      </c>
      <c r="K12" s="244"/>
      <c r="L12" s="244"/>
      <c r="M12" s="121">
        <f>+K12+'6'!M12+L12</f>
        <v>0</v>
      </c>
    </row>
    <row r="13" spans="1:19" ht="13.5" thickBot="1">
      <c r="A13" s="778"/>
      <c r="B13" s="220"/>
      <c r="C13" s="221"/>
      <c r="D13" s="221"/>
      <c r="E13" s="224"/>
      <c r="F13" s="233"/>
      <c r="G13" s="237"/>
      <c r="H13" s="238"/>
      <c r="I13" s="774"/>
      <c r="J13" s="219">
        <f>+'6'!J13</f>
        <v>0</v>
      </c>
      <c r="K13" s="244"/>
      <c r="L13" s="244"/>
      <c r="M13" s="121">
        <f>+K13+'6'!M13+L13</f>
        <v>0</v>
      </c>
    </row>
    <row r="14" spans="1:19" ht="13.5" thickBot="1">
      <c r="A14" s="779"/>
      <c r="B14" s="170" t="s">
        <v>2</v>
      </c>
      <c r="C14" s="103">
        <f>SUM(C7:C13)</f>
        <v>17127</v>
      </c>
      <c r="D14" s="115">
        <f>SUM(D7:D13)</f>
        <v>0</v>
      </c>
      <c r="E14" s="116">
        <f>SUM(E5:E13)</f>
        <v>0</v>
      </c>
      <c r="F14" s="120">
        <f>SUM(F7:F13)</f>
        <v>36</v>
      </c>
      <c r="G14" s="163"/>
      <c r="H14" s="171"/>
      <c r="I14" s="172"/>
      <c r="J14" s="219">
        <f>+'6'!J14</f>
        <v>0</v>
      </c>
      <c r="K14" s="244"/>
      <c r="L14" s="244"/>
      <c r="M14" s="121">
        <f>+K14+'6'!M14+L14</f>
        <v>0</v>
      </c>
      <c r="N14" s="153" t="s">
        <v>461</v>
      </c>
      <c r="O14" s="153">
        <v>1180</v>
      </c>
      <c r="P14" s="153">
        <f>+O14-O14*0.21</f>
        <v>932.2</v>
      </c>
      <c r="Q14" s="153">
        <f>480-240</f>
        <v>240</v>
      </c>
      <c r="R14" s="153">
        <f>+O14*Q14</f>
        <v>283200</v>
      </c>
      <c r="S14" s="153">
        <f>+P14*Q14</f>
        <v>223728</v>
      </c>
    </row>
    <row r="15" spans="1:19" ht="13.5" customHeight="1" thickBot="1">
      <c r="A15" s="780" t="s">
        <v>456</v>
      </c>
      <c r="B15" s="170"/>
      <c r="C15" s="117">
        <f>C14/($C$23+$D$23+$E$23)</f>
        <v>1.1167840375586855</v>
      </c>
      <c r="D15" s="118">
        <f>D14/($C$23+$D$23+$E$23)</f>
        <v>0</v>
      </c>
      <c r="E15" s="119">
        <f>E14/($C$23+$D$23+$E$23)</f>
        <v>0</v>
      </c>
      <c r="F15" s="233">
        <v>9</v>
      </c>
      <c r="G15" s="234" t="s">
        <v>11</v>
      </c>
      <c r="H15" s="235" t="s">
        <v>407</v>
      </c>
      <c r="I15" s="772" t="s">
        <v>470</v>
      </c>
      <c r="J15" s="219">
        <f>+'6'!J15</f>
        <v>0</v>
      </c>
      <c r="K15" s="244"/>
      <c r="L15" s="244"/>
      <c r="M15" s="121">
        <f>+K15+'6'!M15+L15</f>
        <v>0</v>
      </c>
      <c r="O15" s="153">
        <v>1160</v>
      </c>
      <c r="P15" s="153">
        <f>+O15-O15*0.21</f>
        <v>916.4</v>
      </c>
      <c r="Q15" s="153">
        <v>240</v>
      </c>
      <c r="R15" s="153">
        <f t="shared" ref="R15:R18" si="3">+O15*Q15</f>
        <v>278400</v>
      </c>
      <c r="S15" s="153">
        <f t="shared" ref="S15:S18" si="4">+P15*Q15</f>
        <v>219936</v>
      </c>
    </row>
    <row r="16" spans="1:19" ht="13.5" thickBot="1">
      <c r="A16" s="781"/>
      <c r="B16" s="220" t="s">
        <v>475</v>
      </c>
      <c r="C16" s="227">
        <v>15336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+'6'!J16</f>
        <v>0</v>
      </c>
      <c r="K16" s="234"/>
      <c r="L16" s="234"/>
      <c r="M16" s="121">
        <f>+K16+'6'!M16+L16</f>
        <v>0</v>
      </c>
      <c r="P16" s="153">
        <f>+O16-O16*0.23</f>
        <v>0</v>
      </c>
      <c r="R16" s="153">
        <f t="shared" si="3"/>
        <v>0</v>
      </c>
      <c r="S16" s="153">
        <f t="shared" si="4"/>
        <v>0</v>
      </c>
    </row>
    <row r="17" spans="1:19" ht="13.5" thickBot="1">
      <c r="A17" s="781"/>
      <c r="B17" s="220"/>
      <c r="C17" s="221"/>
      <c r="D17" s="222"/>
      <c r="E17" s="230"/>
      <c r="F17" s="233">
        <f>28-9</f>
        <v>19</v>
      </c>
      <c r="G17" s="237" t="s">
        <v>11</v>
      </c>
      <c r="H17" s="238" t="s">
        <v>389</v>
      </c>
      <c r="I17" s="773"/>
      <c r="J17" s="219">
        <f>+'6'!J17</f>
        <v>0</v>
      </c>
      <c r="K17" s="234"/>
      <c r="L17" s="234"/>
      <c r="M17" s="121">
        <f>+K17+'6'!M17+L17</f>
        <v>0</v>
      </c>
      <c r="P17" s="153">
        <f t="shared" ref="P17:P18" si="5">+O17-O17*0.25</f>
        <v>0</v>
      </c>
      <c r="R17" s="153">
        <f t="shared" si="3"/>
        <v>0</v>
      </c>
      <c r="S17" s="153">
        <f t="shared" si="4"/>
        <v>0</v>
      </c>
    </row>
    <row r="18" spans="1:19" ht="51.75" thickBot="1">
      <c r="A18" s="781"/>
      <c r="B18" s="220"/>
      <c r="C18" s="221"/>
      <c r="D18" s="222"/>
      <c r="E18" s="230"/>
      <c r="F18" s="233"/>
      <c r="G18" s="242" t="s">
        <v>12</v>
      </c>
      <c r="H18" s="238" t="s">
        <v>468</v>
      </c>
      <c r="I18" s="773"/>
      <c r="J18" s="219">
        <f>+'6'!J18</f>
        <v>0</v>
      </c>
      <c r="K18" s="244"/>
      <c r="L18" s="244"/>
      <c r="M18" s="121">
        <f>+K18+'6'!M18+L18</f>
        <v>0</v>
      </c>
      <c r="P18" s="153">
        <f t="shared" si="5"/>
        <v>0</v>
      </c>
      <c r="R18" s="153">
        <f t="shared" si="3"/>
        <v>0</v>
      </c>
      <c r="S18" s="153">
        <f t="shared" si="4"/>
        <v>0</v>
      </c>
    </row>
    <row r="19" spans="1:19" ht="13.5" thickBot="1">
      <c r="A19" s="781"/>
      <c r="B19" s="220"/>
      <c r="C19" s="221"/>
      <c r="D19" s="222"/>
      <c r="E19" s="230"/>
      <c r="F19" s="240"/>
      <c r="G19" s="237"/>
      <c r="H19" s="238"/>
      <c r="I19" s="773"/>
      <c r="J19" s="219">
        <f>+'6'!J19</f>
        <v>0</v>
      </c>
      <c r="K19" s="244"/>
      <c r="L19" s="244"/>
      <c r="M19" s="121">
        <f>+K19+'6'!M19+L19</f>
        <v>0</v>
      </c>
      <c r="Q19" s="153">
        <f>SUM(Q14:Q18)</f>
        <v>480</v>
      </c>
      <c r="R19" s="153">
        <f>SUM(R14:R18)</f>
        <v>561600</v>
      </c>
      <c r="S19" s="153">
        <f>SUM(S14:S18)</f>
        <v>443664</v>
      </c>
    </row>
    <row r="20" spans="1:19" ht="13.5" thickBot="1">
      <c r="A20" s="781"/>
      <c r="B20" s="220"/>
      <c r="C20" s="221"/>
      <c r="D20" s="222"/>
      <c r="E20" s="230"/>
      <c r="F20" s="233"/>
      <c r="G20" s="237"/>
      <c r="H20" s="238"/>
      <c r="I20" s="773"/>
      <c r="J20" s="219">
        <f>+'6'!J20</f>
        <v>0</v>
      </c>
      <c r="K20" s="245"/>
      <c r="L20" s="245"/>
      <c r="M20" s="121">
        <f>+K20+'6'!M20+L20</f>
        <v>0</v>
      </c>
      <c r="O20" s="153" t="s">
        <v>404</v>
      </c>
      <c r="R20" s="153">
        <f>+R19/Q19</f>
        <v>1170</v>
      </c>
      <c r="S20" s="153">
        <f>+S19/Q19</f>
        <v>924.3</v>
      </c>
    </row>
    <row r="21" spans="1:19" ht="13.5" thickBot="1">
      <c r="A21" s="781"/>
      <c r="B21" s="220"/>
      <c r="C21" s="221"/>
      <c r="D21" s="222"/>
      <c r="E21" s="230"/>
      <c r="F21" s="236"/>
      <c r="G21" s="237"/>
      <c r="H21" s="238"/>
      <c r="I21" s="773"/>
      <c r="J21" s="219">
        <f>+'6'!J21</f>
        <v>0</v>
      </c>
      <c r="K21" s="244"/>
      <c r="L21" s="244"/>
      <c r="M21" s="121">
        <f>+K21+'6'!M21+L21</f>
        <v>0</v>
      </c>
    </row>
    <row r="22" spans="1:19" ht="13.5" thickBot="1">
      <c r="A22" s="781"/>
      <c r="B22" s="220"/>
      <c r="C22" s="221"/>
      <c r="D22" s="222"/>
      <c r="E22" s="230"/>
      <c r="F22" s="241"/>
      <c r="G22" s="237"/>
      <c r="H22" s="238"/>
      <c r="I22" s="774"/>
      <c r="J22" s="219">
        <f>+'6'!J22</f>
        <v>0</v>
      </c>
      <c r="K22" s="244"/>
      <c r="L22" s="244"/>
      <c r="M22" s="121">
        <f>+K22+'6'!M22+L22</f>
        <v>0</v>
      </c>
    </row>
    <row r="23" spans="1:19" ht="13.5" thickBot="1">
      <c r="A23" s="782"/>
      <c r="B23" s="173" t="s">
        <v>2</v>
      </c>
      <c r="C23" s="104">
        <f>SUM(C16:C22)</f>
        <v>15336</v>
      </c>
      <c r="D23" s="115">
        <f>SUM(D16:D22)</f>
        <v>0</v>
      </c>
      <c r="E23" s="116">
        <f>SUM(E18:E22)</f>
        <v>0</v>
      </c>
      <c r="F23" s="120">
        <f>SUM(F15:F22)</f>
        <v>28</v>
      </c>
      <c r="G23" s="163"/>
      <c r="H23" s="171"/>
      <c r="I23" s="174"/>
      <c r="J23" s="219">
        <f>+'6'!J23</f>
        <v>0</v>
      </c>
      <c r="K23" s="244"/>
      <c r="L23" s="244"/>
      <c r="M23" s="121">
        <f>+K23+'6'!M23+L23</f>
        <v>0</v>
      </c>
    </row>
    <row r="24" spans="1:19" ht="13.5" customHeight="1" thickBot="1">
      <c r="A24" s="780" t="s">
        <v>446</v>
      </c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>
        <v>10</v>
      </c>
      <c r="G24" s="234" t="s">
        <v>11</v>
      </c>
      <c r="H24" s="235" t="s">
        <v>433</v>
      </c>
      <c r="I24" s="772" t="s">
        <v>471</v>
      </c>
      <c r="J24" s="219">
        <f>+'6'!J24</f>
        <v>0</v>
      </c>
      <c r="K24" s="244"/>
      <c r="L24" s="244"/>
      <c r="M24" s="121">
        <f>+K24+'6'!M24+L24</f>
        <v>0</v>
      </c>
    </row>
    <row r="25" spans="1:19" ht="13.5" thickBot="1">
      <c r="A25" s="781"/>
      <c r="B25" s="220" t="s">
        <v>475</v>
      </c>
      <c r="C25" s="231">
        <v>16536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+'6'!J25</f>
        <v>0</v>
      </c>
      <c r="K25" s="244"/>
      <c r="L25" s="244"/>
      <c r="M25" s="121">
        <f>+K25+'6'!M25+L25</f>
        <v>0</v>
      </c>
    </row>
    <row r="26" spans="1:19" ht="13.5" thickBot="1">
      <c r="A26" s="781"/>
      <c r="B26" s="220"/>
      <c r="C26" s="231"/>
      <c r="D26" s="222"/>
      <c r="E26" s="232"/>
      <c r="F26" s="233">
        <f>33-10</f>
        <v>23</v>
      </c>
      <c r="G26" s="237" t="s">
        <v>11</v>
      </c>
      <c r="H26" s="238" t="s">
        <v>428</v>
      </c>
      <c r="I26" s="773"/>
      <c r="J26" s="219">
        <f>+'6'!J26</f>
        <v>0</v>
      </c>
      <c r="K26" s="244"/>
      <c r="L26" s="244"/>
      <c r="M26" s="121">
        <f>+K26+'6'!M26+L26</f>
        <v>0</v>
      </c>
    </row>
    <row r="27" spans="1:19" ht="51.75" thickBot="1">
      <c r="A27" s="781"/>
      <c r="B27" s="220"/>
      <c r="C27" s="221"/>
      <c r="D27" s="222"/>
      <c r="E27" s="230"/>
      <c r="F27" s="233"/>
      <c r="G27" s="242" t="s">
        <v>12</v>
      </c>
      <c r="H27" s="238" t="s">
        <v>469</v>
      </c>
      <c r="I27" s="773"/>
      <c r="J27" s="219">
        <f>+'6'!J27</f>
        <v>0</v>
      </c>
      <c r="K27" s="244"/>
      <c r="L27" s="244"/>
      <c r="M27" s="121">
        <f>+K27+'6'!M27+L27</f>
        <v>0</v>
      </c>
    </row>
    <row r="28" spans="1:19" ht="13.5" thickBot="1">
      <c r="A28" s="781"/>
      <c r="B28" s="220"/>
      <c r="C28" s="221"/>
      <c r="D28" s="222"/>
      <c r="E28" s="230"/>
      <c r="F28" s="236"/>
      <c r="G28" s="237"/>
      <c r="H28" s="238" t="s">
        <v>465</v>
      </c>
      <c r="I28" s="773"/>
      <c r="J28" s="219">
        <f>+'6'!J28</f>
        <v>0</v>
      </c>
      <c r="K28" s="244"/>
      <c r="L28" s="244"/>
      <c r="M28" s="121">
        <f>+K28+'6'!M28+L28</f>
        <v>0</v>
      </c>
    </row>
    <row r="29" spans="1:19" ht="13.5" thickBot="1">
      <c r="A29" s="781"/>
      <c r="B29" s="220"/>
      <c r="C29" s="221"/>
      <c r="D29" s="222"/>
      <c r="E29" s="230"/>
      <c r="F29" s="241"/>
      <c r="G29" s="237"/>
      <c r="H29" s="238"/>
      <c r="I29" s="773"/>
      <c r="J29" s="219">
        <f>+'6'!J29</f>
        <v>0</v>
      </c>
      <c r="K29" s="244"/>
      <c r="L29" s="244"/>
      <c r="M29" s="121">
        <f>+K29+'6'!M29+L29</f>
        <v>0</v>
      </c>
    </row>
    <row r="30" spans="1:19" ht="13.5" thickBot="1">
      <c r="A30" s="781"/>
      <c r="B30" s="220"/>
      <c r="C30" s="231"/>
      <c r="D30" s="222"/>
      <c r="E30" s="230"/>
      <c r="F30" s="241"/>
      <c r="G30" s="237"/>
      <c r="H30" s="238"/>
      <c r="I30" s="773"/>
      <c r="J30" s="219">
        <f>+'6'!J30</f>
        <v>0</v>
      </c>
      <c r="K30" s="244"/>
      <c r="L30" s="244"/>
      <c r="M30" s="121">
        <f>+K30+'6'!M30+L30</f>
        <v>0</v>
      </c>
    </row>
    <row r="31" spans="1:19" ht="13.5" thickBot="1">
      <c r="A31" s="781"/>
      <c r="B31" s="220"/>
      <c r="C31" s="231"/>
      <c r="D31" s="222"/>
      <c r="E31" s="230"/>
      <c r="F31" s="241"/>
      <c r="G31" s="242"/>
      <c r="H31" s="441"/>
      <c r="I31" s="774"/>
      <c r="J31" s="219">
        <f>+'6'!J31</f>
        <v>0</v>
      </c>
      <c r="K31" s="244"/>
      <c r="L31" s="244"/>
      <c r="M31" s="121">
        <f>+K31+'6'!M31+L31</f>
        <v>0</v>
      </c>
    </row>
    <row r="32" spans="1:19" ht="13.5" thickBot="1">
      <c r="A32" s="782"/>
      <c r="B32" s="170" t="s">
        <v>2</v>
      </c>
      <c r="C32" s="103">
        <f>SUM(C25:C31)</f>
        <v>16536</v>
      </c>
      <c r="D32" s="104">
        <f>SUM(D25:D31)</f>
        <v>0</v>
      </c>
      <c r="E32" s="105">
        <f>SUM(E25:E31)</f>
        <v>0</v>
      </c>
      <c r="F32" s="106">
        <f>SUM(F24:F31)</f>
        <v>33</v>
      </c>
      <c r="G32" s="176"/>
      <c r="H32" s="177"/>
      <c r="I32" s="174"/>
      <c r="J32" s="219">
        <f>+'6'!J32</f>
        <v>0</v>
      </c>
      <c r="K32" s="246"/>
      <c r="L32" s="248"/>
      <c r="M32" s="121">
        <f>+K32+'6'!M32+L32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48999</v>
      </c>
      <c r="D34" s="111">
        <f>D14+D23+D32</f>
        <v>0</v>
      </c>
      <c r="E34" s="111">
        <f>E14+E23+E32</f>
        <v>0</v>
      </c>
      <c r="F34" s="112">
        <f>F14+F23+F32</f>
        <v>97</v>
      </c>
      <c r="H34" s="183"/>
      <c r="I34" s="183"/>
      <c r="J34" s="127" t="s">
        <v>27</v>
      </c>
      <c r="K34" s="128">
        <f>SUM(K7:K32)</f>
        <v>48999</v>
      </c>
      <c r="L34" s="217">
        <f>SUM(L7:L32)</f>
        <v>0</v>
      </c>
      <c r="M34" s="124">
        <f>SUM(M7:M32)</f>
        <v>299111</v>
      </c>
    </row>
    <row r="35" spans="1:13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(15.5*1440)/1440*G42*2.74*1440/1000000</f>
        <v>56.849322720000011</v>
      </c>
      <c r="J37" s="129">
        <f>+I37+'6'!J37</f>
        <v>333.12831196600001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97</v>
      </c>
      <c r="D38" s="122">
        <f>+C38+'6'!D38</f>
        <v>512</v>
      </c>
      <c r="E38" s="147">
        <f t="shared" ref="E38:E51" si="6">D38/60</f>
        <v>8.5333333333333332</v>
      </c>
      <c r="F38" s="327">
        <v>1180</v>
      </c>
      <c r="G38" s="327">
        <v>932.2</v>
      </c>
      <c r="H38" s="192" t="s">
        <v>63</v>
      </c>
      <c r="I38" s="250">
        <f>16.469+16.126+16.939</f>
        <v>49.533999999999999</v>
      </c>
      <c r="J38" s="131">
        <f>+I38+'6'!J38</f>
        <v>308.923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+C39+'6'!D39</f>
        <v>0</v>
      </c>
      <c r="E39" s="147">
        <f t="shared" si="6"/>
        <v>0</v>
      </c>
      <c r="F39" s="327">
        <v>1180</v>
      </c>
      <c r="G39" s="327">
        <v>932.2</v>
      </c>
      <c r="H39" s="192" t="s">
        <v>64</v>
      </c>
      <c r="I39" s="146"/>
      <c r="J39" s="133">
        <f>J37/G4</f>
        <v>47.589758852285719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+C40+'6'!D40</f>
        <v>299</v>
      </c>
      <c r="E40" s="147">
        <f t="shared" si="6"/>
        <v>4.9833333333333334</v>
      </c>
      <c r="F40" s="327">
        <v>1170</v>
      </c>
      <c r="G40" s="327">
        <v>924.3</v>
      </c>
      <c r="H40" s="192" t="s">
        <v>66</v>
      </c>
      <c r="I40" s="122">
        <f>(K34+L34)/1000</f>
        <v>48.999000000000002</v>
      </c>
      <c r="J40" s="135">
        <f>+I40+'6'!J40</f>
        <v>299.11099999999999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+C41+'6'!D41</f>
        <v>60</v>
      </c>
      <c r="E41" s="147">
        <f t="shared" si="6"/>
        <v>1</v>
      </c>
      <c r="F41" s="327"/>
      <c r="G41" s="327"/>
      <c r="H41" s="192" t="s">
        <v>68</v>
      </c>
      <c r="I41" s="146"/>
      <c r="J41" s="133">
        <f>J40/G4</f>
        <v>42.730142857142859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+C42+'6'!D42</f>
        <v>0</v>
      </c>
      <c r="E42" s="147">
        <f t="shared" si="6"/>
        <v>0</v>
      </c>
      <c r="F42" s="327">
        <f>+(480*F38+480*F39+480*F40)/1440</f>
        <v>1176.6666666666667</v>
      </c>
      <c r="G42" s="327">
        <f>+(480*G38+480*G39+480*G40)/1440</f>
        <v>929.56666666666672</v>
      </c>
      <c r="H42" s="192" t="s">
        <v>69</v>
      </c>
      <c r="I42" s="251" t="s">
        <v>472</v>
      </c>
      <c r="J42" s="136"/>
      <c r="K42" s="134" t="s">
        <v>70</v>
      </c>
    </row>
    <row r="43" spans="1:13" ht="17.45" customHeight="1">
      <c r="A43" s="763" t="s">
        <v>71</v>
      </c>
      <c r="B43" s="764"/>
      <c r="C43" s="168">
        <f>SUMIF($G$7:$G$31,"Water",$F$7:$F$31)</f>
        <v>0</v>
      </c>
      <c r="D43" s="122">
        <f>+C43+'6'!D43</f>
        <v>0</v>
      </c>
      <c r="E43" s="147">
        <f t="shared" si="6"/>
        <v>0</v>
      </c>
      <c r="F43" s="327"/>
      <c r="G43" s="328"/>
      <c r="H43" s="193" t="s">
        <v>72</v>
      </c>
      <c r="I43" s="122">
        <f>+Report1!Z15</f>
        <v>61.7</v>
      </c>
      <c r="J43" s="137">
        <f>+I43+'6'!J43</f>
        <v>401.9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+C44+'6'!D44</f>
        <v>0</v>
      </c>
      <c r="E44" s="147">
        <f t="shared" si="6"/>
        <v>0</v>
      </c>
      <c r="F44" s="327"/>
      <c r="G44" s="328"/>
      <c r="H44" s="193" t="s">
        <v>73</v>
      </c>
      <c r="I44" s="122">
        <f>I43/I38</f>
        <v>1.2456090765938548</v>
      </c>
      <c r="J44" s="138">
        <f>J43/J38</f>
        <v>1.3009714394849201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+C45+'6'!D45</f>
        <v>0</v>
      </c>
      <c r="E45" s="147">
        <f t="shared" si="6"/>
        <v>0</v>
      </c>
      <c r="F45" s="327"/>
      <c r="G45" s="330"/>
      <c r="H45" s="193" t="s">
        <v>74</v>
      </c>
      <c r="I45" s="122">
        <f>I43/I40</f>
        <v>1.2592093716198289</v>
      </c>
      <c r="J45" s="138">
        <f>J43/J40</f>
        <v>1.3436483445944816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+C46+'6'!D46</f>
        <v>0</v>
      </c>
      <c r="E46" s="147">
        <f t="shared" si="6"/>
        <v>0</v>
      </c>
      <c r="F46" s="327"/>
      <c r="G46" s="328"/>
      <c r="H46" s="193" t="s">
        <v>76</v>
      </c>
      <c r="I46" s="144">
        <f>+SUMIF(Listrik!P14,"&gt;0")</f>
        <v>35759.339999999633</v>
      </c>
      <c r="J46" s="139">
        <f>+I46+'6'!J46</f>
        <v>253461.65999999997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+C47+'6'!D47</f>
        <v>0</v>
      </c>
      <c r="E47" s="147">
        <f t="shared" si="6"/>
        <v>0</v>
      </c>
      <c r="F47" s="327"/>
      <c r="G47" s="328"/>
      <c r="H47" s="193" t="s">
        <v>79</v>
      </c>
      <c r="I47" s="122">
        <f>I46/I38</f>
        <v>721.91504824967967</v>
      </c>
      <c r="J47" s="139">
        <f>J46/J38</f>
        <v>820.46872521631599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+C48+'6'!D48</f>
        <v>0</v>
      </c>
      <c r="E48" s="147">
        <f t="shared" si="6"/>
        <v>0</v>
      </c>
      <c r="F48" s="327"/>
      <c r="G48" s="328"/>
      <c r="H48" s="193" t="s">
        <v>80</v>
      </c>
      <c r="I48" s="122">
        <f>I46/I40</f>
        <v>729.79734280290677</v>
      </c>
      <c r="J48" s="139">
        <f>J46/J40</f>
        <v>847.38327911711701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+C49+'6'!D49</f>
        <v>0</v>
      </c>
      <c r="E49" s="147">
        <f t="shared" si="6"/>
        <v>0</v>
      </c>
      <c r="F49" s="190"/>
      <c r="H49" s="193" t="s">
        <v>270</v>
      </c>
      <c r="I49" s="122">
        <f>+Report1!T15</f>
        <v>4697.9636943509986</v>
      </c>
      <c r="J49" s="139">
        <f>+I49+'6'!J49</f>
        <v>28237.428506073389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+C50+'6'!D50</f>
        <v>0</v>
      </c>
      <c r="E50" s="147">
        <f t="shared" si="6"/>
        <v>0</v>
      </c>
      <c r="F50" s="190"/>
      <c r="H50" s="193" t="s">
        <v>82</v>
      </c>
      <c r="I50" s="144">
        <f>I49/I38</f>
        <v>94.843212628719641</v>
      </c>
      <c r="J50" s="137">
        <f>J49/J38</f>
        <v>91.406041330925149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+C51+'6'!D51</f>
        <v>0</v>
      </c>
      <c r="E51" s="147">
        <f t="shared" si="6"/>
        <v>0</v>
      </c>
      <c r="F51" s="190"/>
      <c r="H51" s="195" t="s">
        <v>84</v>
      </c>
      <c r="I51" s="145">
        <f>I49/I40</f>
        <v>95.878766798322388</v>
      </c>
      <c r="J51" s="140">
        <f>J49/J40</f>
        <v>94.404513729262348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97</v>
      </c>
      <c r="D52" s="148">
        <f>SUM(D38:D51)</f>
        <v>871</v>
      </c>
      <c r="E52" s="149">
        <f>SUM(E38:E51)</f>
        <v>14.516666666666666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6.7361111111111108E-2</v>
      </c>
      <c r="D53" s="150">
        <f>D52/(24*60*G4)</f>
        <v>8.6408730158730157E-2</v>
      </c>
      <c r="E53" s="151">
        <f>E52/(G4*24)</f>
        <v>8.6408730158730157E-2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+D34+'6'!J56</f>
        <v>2112</v>
      </c>
      <c r="K56" s="206">
        <f>J56/(J40+J56/1000)/1000</f>
        <v>7.0114167908825022E-3</v>
      </c>
    </row>
    <row r="57" spans="1:11">
      <c r="A57" s="181"/>
      <c r="I57" s="204" t="s">
        <v>87</v>
      </c>
      <c r="J57" s="205">
        <f>+E34+'6'!J57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view="pageBreakPreview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2.85546875" style="153" bestFit="1" customWidth="1"/>
    <col min="12" max="12" width="8.28515625" style="153" customWidth="1"/>
    <col min="13" max="13" width="14.5703125" style="153" bestFit="1" customWidth="1"/>
    <col min="14" max="16384" width="9.140625" style="153"/>
  </cols>
  <sheetData>
    <row r="1" spans="1:13" ht="15.75">
      <c r="A1" s="152"/>
    </row>
    <row r="2" spans="1:13" ht="15.75">
      <c r="A2" s="152" t="s">
        <v>184</v>
      </c>
    </row>
    <row r="3" spans="1:13" ht="15">
      <c r="A3" s="154"/>
    </row>
    <row r="4" spans="1:13" ht="20.25">
      <c r="A4" s="155" t="s">
        <v>3</v>
      </c>
      <c r="B4" s="156"/>
      <c r="F4" s="157" t="s">
        <v>28</v>
      </c>
      <c r="G4" s="158">
        <v>6</v>
      </c>
      <c r="H4" s="158" t="str">
        <f>+'1'!H4</f>
        <v>.08.25</v>
      </c>
      <c r="J4" s="153">
        <v>1753</v>
      </c>
    </row>
    <row r="5" spans="1:13" ht="13.5" thickBot="1">
      <c r="C5" s="159"/>
      <c r="D5" s="159"/>
    </row>
    <row r="6" spans="1:13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</row>
    <row r="7" spans="1:13" ht="13.5" customHeight="1" thickBot="1">
      <c r="A7" s="769" t="s">
        <v>444</v>
      </c>
      <c r="B7" s="220" t="s">
        <v>414</v>
      </c>
      <c r="C7" s="221">
        <v>13471</v>
      </c>
      <c r="D7" s="222"/>
      <c r="E7" s="223"/>
      <c r="F7" s="233">
        <v>6</v>
      </c>
      <c r="G7" s="234" t="s">
        <v>11</v>
      </c>
      <c r="H7" s="235" t="s">
        <v>407</v>
      </c>
      <c r="I7" s="772" t="s">
        <v>405</v>
      </c>
      <c r="J7" s="219" t="str">
        <f>+'5'!J7</f>
        <v>T 13 VP OW</v>
      </c>
      <c r="K7" s="243">
        <f>+C34</f>
        <v>42750</v>
      </c>
      <c r="L7" s="247"/>
      <c r="M7" s="121">
        <f>+K7+'5'!M7+L7</f>
        <v>250112</v>
      </c>
    </row>
    <row r="8" spans="1:13" ht="13.5" thickBot="1">
      <c r="A8" s="778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>
        <f>+'5'!J8</f>
        <v>0</v>
      </c>
      <c r="K8" s="244"/>
      <c r="L8" s="244"/>
      <c r="M8" s="121">
        <f>+K8+'5'!M8+L8</f>
        <v>0</v>
      </c>
    </row>
    <row r="9" spans="1:13" ht="13.5" thickBot="1">
      <c r="A9" s="778"/>
      <c r="B9" s="220"/>
      <c r="C9" s="221"/>
      <c r="D9" s="222"/>
      <c r="E9" s="225"/>
      <c r="F9" s="233">
        <v>14</v>
      </c>
      <c r="G9" s="237" t="s">
        <v>11</v>
      </c>
      <c r="H9" s="238" t="s">
        <v>389</v>
      </c>
      <c r="I9" s="773"/>
      <c r="J9" s="219">
        <f>+'5'!J9</f>
        <v>0</v>
      </c>
      <c r="K9" s="244"/>
      <c r="L9" s="244"/>
      <c r="M9" s="121">
        <f>+K9+'5'!M9+L9</f>
        <v>0</v>
      </c>
    </row>
    <row r="10" spans="1:13" ht="26.25" thickBot="1">
      <c r="A10" s="778"/>
      <c r="B10" s="220"/>
      <c r="C10" s="221"/>
      <c r="D10" s="222"/>
      <c r="E10" s="224"/>
      <c r="F10" s="233"/>
      <c r="G10" s="242" t="s">
        <v>12</v>
      </c>
      <c r="H10" s="238" t="s">
        <v>447</v>
      </c>
      <c r="I10" s="773"/>
      <c r="J10" s="219">
        <f>+'5'!J10</f>
        <v>0</v>
      </c>
      <c r="K10" s="244"/>
      <c r="L10" s="244"/>
      <c r="M10" s="121">
        <f>+K10+'5'!M10+L10</f>
        <v>0</v>
      </c>
    </row>
    <row r="11" spans="1:13" ht="13.5" thickBot="1">
      <c r="A11" s="778"/>
      <c r="B11" s="220"/>
      <c r="C11" s="221"/>
      <c r="D11" s="222"/>
      <c r="E11" s="224"/>
      <c r="F11" s="233"/>
      <c r="G11" s="237"/>
      <c r="H11" s="238" t="s">
        <v>459</v>
      </c>
      <c r="I11" s="773"/>
      <c r="J11" s="219">
        <f>+'5'!J11</f>
        <v>0</v>
      </c>
      <c r="K11" s="244"/>
      <c r="L11" s="244"/>
      <c r="M11" s="121">
        <f>+K11+'5'!M11+L11</f>
        <v>0</v>
      </c>
    </row>
    <row r="12" spans="1:13" ht="39" thickBot="1">
      <c r="A12" s="778"/>
      <c r="B12" s="220"/>
      <c r="C12" s="221"/>
      <c r="D12" s="222"/>
      <c r="E12" s="224"/>
      <c r="F12" s="233"/>
      <c r="G12" s="237"/>
      <c r="H12" s="238" t="s">
        <v>460</v>
      </c>
      <c r="I12" s="773"/>
      <c r="J12" s="219">
        <f>+'5'!J12</f>
        <v>0</v>
      </c>
      <c r="K12" s="244"/>
      <c r="L12" s="244"/>
      <c r="M12" s="121">
        <f>+K12+'5'!M12+L12</f>
        <v>0</v>
      </c>
    </row>
    <row r="13" spans="1:13" ht="26.25" thickBot="1">
      <c r="A13" s="778"/>
      <c r="B13" s="220"/>
      <c r="C13" s="221"/>
      <c r="D13" s="221"/>
      <c r="E13" s="224"/>
      <c r="F13" s="233"/>
      <c r="G13" s="237"/>
      <c r="H13" s="238" t="s">
        <v>458</v>
      </c>
      <c r="I13" s="774"/>
      <c r="J13" s="219">
        <f>+'5'!J13</f>
        <v>0</v>
      </c>
      <c r="K13" s="244"/>
      <c r="L13" s="244"/>
      <c r="M13" s="121">
        <f>+K13+'5'!M13+L13</f>
        <v>0</v>
      </c>
    </row>
    <row r="14" spans="1:13" ht="13.5" thickBot="1">
      <c r="A14" s="779"/>
      <c r="B14" s="170" t="s">
        <v>2</v>
      </c>
      <c r="C14" s="103">
        <f>SUM(C7:C13)</f>
        <v>13471</v>
      </c>
      <c r="D14" s="115">
        <f>SUM(D7:D13)</f>
        <v>0</v>
      </c>
      <c r="E14" s="116">
        <f>SUM(E5:E13)</f>
        <v>0</v>
      </c>
      <c r="F14" s="120">
        <f>SUM(F7:F13)</f>
        <v>20</v>
      </c>
      <c r="G14" s="163"/>
      <c r="H14" s="171"/>
      <c r="I14" s="172"/>
      <c r="J14" s="219">
        <f>+'5'!J14</f>
        <v>0</v>
      </c>
      <c r="K14" s="244"/>
      <c r="L14" s="244"/>
      <c r="M14" s="121">
        <f>+K14+'5'!M14+L14</f>
        <v>0</v>
      </c>
    </row>
    <row r="15" spans="1:13" ht="13.5" customHeight="1" thickBot="1">
      <c r="A15" s="780" t="s">
        <v>456</v>
      </c>
      <c r="B15" s="170"/>
      <c r="C15" s="117">
        <f>C14/($C$23+$D$23+$E$23)</f>
        <v>0.91920846127601497</v>
      </c>
      <c r="D15" s="118">
        <f>D14/($C$23+$D$23+$E$23)</f>
        <v>0</v>
      </c>
      <c r="E15" s="119">
        <f>E14/($C$23+$D$23+$E$23)</f>
        <v>0</v>
      </c>
      <c r="F15" s="233">
        <v>6</v>
      </c>
      <c r="G15" s="234" t="s">
        <v>11</v>
      </c>
      <c r="H15" s="235" t="s">
        <v>407</v>
      </c>
      <c r="I15" s="772" t="s">
        <v>405</v>
      </c>
      <c r="J15" s="219">
        <f>+'5'!J15</f>
        <v>0</v>
      </c>
      <c r="K15" s="244"/>
      <c r="L15" s="244"/>
      <c r="M15" s="121">
        <f>+K15+'5'!M15+L15</f>
        <v>0</v>
      </c>
    </row>
    <row r="16" spans="1:13" ht="13.5" thickBot="1">
      <c r="A16" s="781"/>
      <c r="B16" s="220" t="s">
        <v>414</v>
      </c>
      <c r="C16" s="227">
        <v>14655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+'5'!J16</f>
        <v>0</v>
      </c>
      <c r="K16" s="234"/>
      <c r="L16" s="234"/>
      <c r="M16" s="121">
        <f>+K16+'5'!M16+L16</f>
        <v>0</v>
      </c>
    </row>
    <row r="17" spans="1:17" ht="13.5" thickBot="1">
      <c r="A17" s="781"/>
      <c r="B17" s="220"/>
      <c r="C17" s="221"/>
      <c r="D17" s="222"/>
      <c r="E17" s="230"/>
      <c r="F17" s="233">
        <v>13</v>
      </c>
      <c r="G17" s="237" t="s">
        <v>11</v>
      </c>
      <c r="H17" s="238" t="s">
        <v>389</v>
      </c>
      <c r="I17" s="773"/>
      <c r="J17" s="219">
        <f>+'5'!J17</f>
        <v>0</v>
      </c>
      <c r="K17" s="234"/>
      <c r="L17" s="234"/>
      <c r="M17" s="121">
        <f>+K17+'5'!M17+L17</f>
        <v>0</v>
      </c>
    </row>
    <row r="18" spans="1:17" ht="26.25" thickBot="1">
      <c r="A18" s="781"/>
      <c r="B18" s="220"/>
      <c r="C18" s="221"/>
      <c r="D18" s="222"/>
      <c r="E18" s="230"/>
      <c r="F18" s="233"/>
      <c r="G18" s="242" t="s">
        <v>12</v>
      </c>
      <c r="H18" s="238" t="s">
        <v>447</v>
      </c>
      <c r="I18" s="773"/>
      <c r="J18" s="219">
        <f>+'5'!J18</f>
        <v>0</v>
      </c>
      <c r="K18" s="244"/>
      <c r="L18" s="244"/>
      <c r="M18" s="121">
        <f>+K18+'5'!M18+L18</f>
        <v>0</v>
      </c>
    </row>
    <row r="19" spans="1:17" ht="13.5" thickBot="1">
      <c r="A19" s="781"/>
      <c r="B19" s="220"/>
      <c r="C19" s="221"/>
      <c r="D19" s="222"/>
      <c r="E19" s="230"/>
      <c r="F19" s="240"/>
      <c r="G19" s="237"/>
      <c r="H19" s="238"/>
      <c r="I19" s="773"/>
      <c r="J19" s="219">
        <f>+'5'!J19</f>
        <v>0</v>
      </c>
      <c r="K19" s="244"/>
      <c r="L19" s="244"/>
      <c r="M19" s="121">
        <f>+K19+'5'!M19+L19</f>
        <v>0</v>
      </c>
    </row>
    <row r="20" spans="1:17" ht="13.5" thickBot="1">
      <c r="A20" s="781"/>
      <c r="B20" s="220"/>
      <c r="C20" s="221"/>
      <c r="D20" s="222"/>
      <c r="E20" s="230"/>
      <c r="F20" s="233"/>
      <c r="G20" s="237"/>
      <c r="H20" s="238"/>
      <c r="I20" s="773"/>
      <c r="J20" s="219">
        <f>+'5'!J20</f>
        <v>0</v>
      </c>
      <c r="K20" s="245"/>
      <c r="L20" s="245"/>
      <c r="M20" s="121">
        <f>+K20+'5'!M20+L20</f>
        <v>0</v>
      </c>
    </row>
    <row r="21" spans="1:17" ht="13.5" thickBot="1">
      <c r="A21" s="781"/>
      <c r="B21" s="220"/>
      <c r="C21" s="221"/>
      <c r="D21" s="222"/>
      <c r="E21" s="230"/>
      <c r="F21" s="236"/>
      <c r="G21" s="237"/>
      <c r="H21" s="238"/>
      <c r="I21" s="773"/>
      <c r="J21" s="219">
        <f>+'5'!J21</f>
        <v>0</v>
      </c>
      <c r="K21" s="244"/>
      <c r="L21" s="244"/>
      <c r="M21" s="121">
        <f>+K21+'5'!M21+L21</f>
        <v>0</v>
      </c>
    </row>
    <row r="22" spans="1:17" ht="13.5" thickBot="1">
      <c r="A22" s="781"/>
      <c r="B22" s="220"/>
      <c r="C22" s="221"/>
      <c r="D22" s="222"/>
      <c r="E22" s="230"/>
      <c r="F22" s="241"/>
      <c r="G22" s="237"/>
      <c r="H22" s="238"/>
      <c r="I22" s="774"/>
      <c r="J22" s="219">
        <f>+'5'!J22</f>
        <v>0</v>
      </c>
      <c r="K22" s="244"/>
      <c r="L22" s="244"/>
      <c r="M22" s="121">
        <f>+K22+'5'!M22+L22</f>
        <v>0</v>
      </c>
    </row>
    <row r="23" spans="1:17" ht="13.5" thickBot="1">
      <c r="A23" s="782"/>
      <c r="B23" s="173" t="s">
        <v>2</v>
      </c>
      <c r="C23" s="104">
        <f>SUM(C16:C22)</f>
        <v>14655</v>
      </c>
      <c r="D23" s="115">
        <f>SUM(D16:D22)</f>
        <v>0</v>
      </c>
      <c r="E23" s="116">
        <f>SUM(E18:E22)</f>
        <v>0</v>
      </c>
      <c r="F23" s="120">
        <f>SUM(F15:F22)</f>
        <v>19</v>
      </c>
      <c r="G23" s="163"/>
      <c r="H23" s="171"/>
      <c r="I23" s="174"/>
      <c r="J23" s="219">
        <f>+'5'!J23</f>
        <v>0</v>
      </c>
      <c r="K23" s="244"/>
      <c r="L23" s="244"/>
      <c r="M23" s="121">
        <f>+K23+'5'!M23+L23</f>
        <v>0</v>
      </c>
    </row>
    <row r="24" spans="1:17" ht="13.5" customHeight="1" thickBot="1">
      <c r="A24" s="780" t="s">
        <v>446</v>
      </c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+'5'!J24</f>
        <v>0</v>
      </c>
      <c r="K24" s="244"/>
      <c r="L24" s="244"/>
      <c r="M24" s="121">
        <f>+K24+'5'!M24+L24</f>
        <v>0</v>
      </c>
    </row>
    <row r="25" spans="1:17" ht="13.5" thickBot="1">
      <c r="A25" s="781"/>
      <c r="B25" s="220" t="s">
        <v>414</v>
      </c>
      <c r="C25" s="231">
        <v>14624</v>
      </c>
      <c r="D25" s="222">
        <v>300</v>
      </c>
      <c r="E25" s="230"/>
      <c r="F25" s="236"/>
      <c r="G25" s="237" t="s">
        <v>11</v>
      </c>
      <c r="H25" s="235" t="s">
        <v>286</v>
      </c>
      <c r="I25" s="773"/>
      <c r="J25" s="219">
        <f>+'5'!J25</f>
        <v>0</v>
      </c>
      <c r="K25" s="244"/>
      <c r="L25" s="244"/>
      <c r="M25" s="121">
        <f>+K25+'5'!M25+L25</f>
        <v>0</v>
      </c>
    </row>
    <row r="26" spans="1:17" ht="13.5" thickBot="1">
      <c r="A26" s="781"/>
      <c r="B26" s="220"/>
      <c r="C26" s="231"/>
      <c r="D26" s="222"/>
      <c r="E26" s="232"/>
      <c r="F26" s="233">
        <v>10</v>
      </c>
      <c r="G26" s="237" t="s">
        <v>11</v>
      </c>
      <c r="H26" s="238" t="s">
        <v>428</v>
      </c>
      <c r="I26" s="773"/>
      <c r="J26" s="219">
        <f>+'5'!J26</f>
        <v>0</v>
      </c>
      <c r="K26" s="244"/>
      <c r="L26" s="244"/>
      <c r="M26" s="121">
        <f>+K26+'5'!M26+L26</f>
        <v>0</v>
      </c>
    </row>
    <row r="27" spans="1:17" ht="26.25" thickBot="1">
      <c r="A27" s="781"/>
      <c r="B27" s="220"/>
      <c r="C27" s="221"/>
      <c r="D27" s="222"/>
      <c r="E27" s="230"/>
      <c r="F27" s="233"/>
      <c r="G27" s="242" t="s">
        <v>12</v>
      </c>
      <c r="H27" s="238" t="s">
        <v>447</v>
      </c>
      <c r="I27" s="773"/>
      <c r="J27" s="219">
        <f>+'5'!J27</f>
        <v>0</v>
      </c>
      <c r="K27" s="244"/>
      <c r="L27" s="244"/>
      <c r="M27" s="121">
        <f>+K27+'5'!M27+L27</f>
        <v>0</v>
      </c>
    </row>
    <row r="28" spans="1:17" ht="13.5" thickBot="1">
      <c r="A28" s="781"/>
      <c r="B28" s="220"/>
      <c r="C28" s="221"/>
      <c r="D28" s="222"/>
      <c r="E28" s="230"/>
      <c r="F28" s="236"/>
      <c r="G28" s="237" t="s">
        <v>11</v>
      </c>
      <c r="H28" s="238" t="s">
        <v>464</v>
      </c>
      <c r="I28" s="773"/>
      <c r="J28" s="219">
        <f>+'5'!J28</f>
        <v>0</v>
      </c>
      <c r="K28" s="244"/>
      <c r="L28" s="244"/>
      <c r="M28" s="121">
        <f>+K28+'5'!M28+L28</f>
        <v>0</v>
      </c>
    </row>
    <row r="29" spans="1:17" ht="13.5" thickBot="1">
      <c r="A29" s="781"/>
      <c r="B29" s="220"/>
      <c r="C29" s="221"/>
      <c r="D29" s="222"/>
      <c r="E29" s="230"/>
      <c r="F29" s="241"/>
      <c r="G29" s="237"/>
      <c r="H29" s="238"/>
      <c r="I29" s="773"/>
      <c r="J29" s="219">
        <f>+'5'!J29</f>
        <v>0</v>
      </c>
      <c r="K29" s="244"/>
      <c r="L29" s="244"/>
      <c r="M29" s="121">
        <f>+K29+'5'!M29+L29</f>
        <v>0</v>
      </c>
    </row>
    <row r="30" spans="1:17" ht="13.5" thickBot="1">
      <c r="A30" s="781"/>
      <c r="B30" s="220"/>
      <c r="C30" s="231"/>
      <c r="D30" s="222"/>
      <c r="E30" s="230"/>
      <c r="F30" s="241"/>
      <c r="G30" s="237"/>
      <c r="H30" s="238"/>
      <c r="I30" s="773"/>
      <c r="J30" s="219">
        <f>+'5'!J30</f>
        <v>0</v>
      </c>
      <c r="K30" s="244"/>
      <c r="L30" s="244"/>
      <c r="M30" s="121">
        <f>+K30+'5'!M30+L30</f>
        <v>0</v>
      </c>
    </row>
    <row r="31" spans="1:17" ht="13.5" thickBot="1">
      <c r="A31" s="781"/>
      <c r="B31" s="220"/>
      <c r="C31" s="231"/>
      <c r="D31" s="222"/>
      <c r="E31" s="230"/>
      <c r="F31" s="241"/>
      <c r="G31" s="242"/>
      <c r="H31" s="441"/>
      <c r="I31" s="774"/>
      <c r="J31" s="219">
        <f>+'5'!J31</f>
        <v>0</v>
      </c>
      <c r="K31" s="244"/>
      <c r="L31" s="244"/>
      <c r="M31" s="121">
        <f>+K31+'5'!M31+L31</f>
        <v>0</v>
      </c>
    </row>
    <row r="32" spans="1:17" ht="13.5" thickBot="1">
      <c r="A32" s="782"/>
      <c r="B32" s="170" t="s">
        <v>2</v>
      </c>
      <c r="C32" s="103">
        <f>SUM(C25:C31)</f>
        <v>14624</v>
      </c>
      <c r="D32" s="104">
        <f>SUM(D25:D31)</f>
        <v>300</v>
      </c>
      <c r="E32" s="105">
        <f>SUM(E25:E31)</f>
        <v>0</v>
      </c>
      <c r="F32" s="106">
        <f>SUM(F24:F31)</f>
        <v>10</v>
      </c>
      <c r="G32" s="176"/>
      <c r="H32" s="177"/>
      <c r="I32" s="174"/>
      <c r="J32" s="219">
        <f>+'5'!J32</f>
        <v>0</v>
      </c>
      <c r="K32" s="246"/>
      <c r="L32" s="248"/>
      <c r="M32" s="121">
        <f>+K32+'5'!M32+L32</f>
        <v>0</v>
      </c>
      <c r="N32" s="153" t="s">
        <v>430</v>
      </c>
      <c r="O32" s="153">
        <v>1230</v>
      </c>
      <c r="P32" s="153">
        <f>+O32-O32*0.23</f>
        <v>947.09999999999991</v>
      </c>
      <c r="Q32" s="153">
        <f>1440-85</f>
        <v>1355</v>
      </c>
    </row>
    <row r="33" spans="1:17" ht="13.5" thickBot="1">
      <c r="A33" s="178"/>
      <c r="B33" s="179"/>
      <c r="C33" s="107">
        <f>C32/($C$32+$D$32+$E$32)</f>
        <v>0.97989815062985797</v>
      </c>
      <c r="D33" s="108">
        <f>D32/($C$32+$D$32+$E$32)</f>
        <v>2.0101849370142054E-2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N33" s="153" t="s">
        <v>461</v>
      </c>
      <c r="O33" s="153">
        <v>1180</v>
      </c>
      <c r="P33" s="153">
        <f>+O33-O33*0.21</f>
        <v>932.2</v>
      </c>
      <c r="Q33" s="153">
        <f>60-35+60</f>
        <v>85</v>
      </c>
    </row>
    <row r="34" spans="1:17" ht="13.5" thickBot="1">
      <c r="A34" s="765" t="s">
        <v>56</v>
      </c>
      <c r="B34" s="766"/>
      <c r="C34" s="111">
        <f>C14+C23+C32</f>
        <v>42750</v>
      </c>
      <c r="D34" s="111">
        <f>D14+D23+D32</f>
        <v>300</v>
      </c>
      <c r="E34" s="111">
        <f>E14+E23+E32</f>
        <v>0</v>
      </c>
      <c r="F34" s="112">
        <f>F14+F23+F32</f>
        <v>49</v>
      </c>
      <c r="H34" s="183"/>
      <c r="I34" s="183"/>
      <c r="J34" s="127" t="s">
        <v>27</v>
      </c>
      <c r="K34" s="128">
        <f>SUM(K7:K32)</f>
        <v>42750</v>
      </c>
      <c r="L34" s="217">
        <f>SUM(L7:L32)</f>
        <v>0</v>
      </c>
      <c r="M34" s="124">
        <f>SUM(M7:M32)</f>
        <v>250112</v>
      </c>
      <c r="Q34" s="153">
        <f>+Q32+Q33</f>
        <v>1440</v>
      </c>
    </row>
    <row r="35" spans="1:17" ht="13.5" thickBot="1">
      <c r="A35" s="184"/>
      <c r="B35" s="185"/>
      <c r="C35" s="108">
        <f>C34/($C$34+$D$34+$E$34)</f>
        <v>0.99303135888501737</v>
      </c>
      <c r="D35" s="108">
        <f>D34/($C$34+$D$34+$E$34)</f>
        <v>6.9686411149825784E-3</v>
      </c>
      <c r="E35" s="113">
        <f>E34/($C$34+$D$34+$E$34)</f>
        <v>0</v>
      </c>
      <c r="K35" s="159"/>
    </row>
    <row r="36" spans="1:17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7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(13*1440)/1440*G42*2.74*1440/1000000</f>
        <v>48.324656640000001</v>
      </c>
      <c r="J37" s="129">
        <f>+I37+'5'!J37</f>
        <v>276.27898924599998</v>
      </c>
      <c r="K37" s="130" t="s">
        <v>62</v>
      </c>
    </row>
    <row r="38" spans="1:17" ht="17.45" customHeight="1">
      <c r="A38" s="759" t="s">
        <v>11</v>
      </c>
      <c r="B38" s="760"/>
      <c r="C38" s="168">
        <f>SUMIF($G$7:$G$31,"Process",$F$7:$F$31)</f>
        <v>49</v>
      </c>
      <c r="D38" s="122">
        <f>+C38+'5'!D38</f>
        <v>415</v>
      </c>
      <c r="E38" s="147">
        <f t="shared" ref="E38:E51" si="0">D38/60</f>
        <v>6.916666666666667</v>
      </c>
      <c r="F38" s="327">
        <v>1230</v>
      </c>
      <c r="G38" s="327">
        <v>947.09999999999991</v>
      </c>
      <c r="H38" s="192" t="s">
        <v>63</v>
      </c>
      <c r="I38" s="250">
        <f>14.873+15.142+15.605</f>
        <v>45.620000000000005</v>
      </c>
      <c r="J38" s="131">
        <f>+I38+'5'!J38</f>
        <v>259.38900000000001</v>
      </c>
      <c r="K38" s="132" t="s">
        <v>62</v>
      </c>
    </row>
    <row r="39" spans="1:17" ht="17.45" customHeight="1">
      <c r="A39" s="763" t="s">
        <v>12</v>
      </c>
      <c r="B39" s="764"/>
      <c r="C39" s="168">
        <f>SUMIF($G$7:$G$31,"Cleaning",$F$7:$F$31)</f>
        <v>0</v>
      </c>
      <c r="D39" s="122">
        <f>+C39+'5'!D39</f>
        <v>0</v>
      </c>
      <c r="E39" s="147">
        <f t="shared" si="0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46.046498207666666</v>
      </c>
      <c r="K39" s="134" t="s">
        <v>62</v>
      </c>
    </row>
    <row r="40" spans="1:17" ht="17.45" customHeight="1">
      <c r="A40" s="763" t="s">
        <v>65</v>
      </c>
      <c r="B40" s="764"/>
      <c r="C40" s="168">
        <f>SUMIF($G$7:$G$31,"Mechanical",$F$7:$F$31)</f>
        <v>0</v>
      </c>
      <c r="D40" s="122">
        <f>+C40+'5'!D40</f>
        <v>299</v>
      </c>
      <c r="E40" s="147">
        <f t="shared" si="0"/>
        <v>4.9833333333333334</v>
      </c>
      <c r="F40" s="327">
        <v>1180</v>
      </c>
      <c r="G40" s="327">
        <v>932.2</v>
      </c>
      <c r="H40" s="192" t="s">
        <v>66</v>
      </c>
      <c r="I40" s="122">
        <f>(K34+L34)/1000</f>
        <v>42.75</v>
      </c>
      <c r="J40" s="135">
        <f>+I40+'5'!J40</f>
        <v>250.11199999999999</v>
      </c>
      <c r="K40" s="134" t="s">
        <v>62</v>
      </c>
    </row>
    <row r="41" spans="1:17" ht="17.45" customHeight="1">
      <c r="A41" s="763" t="s">
        <v>67</v>
      </c>
      <c r="B41" s="764"/>
      <c r="C41" s="168">
        <f>SUMIF($G$7:$G$31,"Electrical",$F$7:$F$31)</f>
        <v>0</v>
      </c>
      <c r="D41" s="122">
        <f>+C41+'5'!D41</f>
        <v>60</v>
      </c>
      <c r="E41" s="147">
        <f t="shared" si="0"/>
        <v>1</v>
      </c>
      <c r="F41" s="327"/>
      <c r="G41" s="327"/>
      <c r="H41" s="192" t="s">
        <v>68</v>
      </c>
      <c r="I41" s="146"/>
      <c r="J41" s="133">
        <f>J40/G4</f>
        <v>41.685333333333332</v>
      </c>
      <c r="K41" s="134" t="s">
        <v>62</v>
      </c>
    </row>
    <row r="42" spans="1:17" ht="17.45" customHeight="1">
      <c r="A42" s="763" t="s">
        <v>15</v>
      </c>
      <c r="B42" s="764"/>
      <c r="C42" s="168">
        <f>SUMIF($G$7:$G$31,"Instrument",$F$7:$F$31)</f>
        <v>0</v>
      </c>
      <c r="D42" s="122">
        <f>+C42+'5'!D42</f>
        <v>0</v>
      </c>
      <c r="E42" s="147">
        <f t="shared" si="0"/>
        <v>0</v>
      </c>
      <c r="F42" s="327">
        <f>+(F38*480+F39*480+F40*480)/1440</f>
        <v>1213.3333333333333</v>
      </c>
      <c r="G42" s="327">
        <f>+(G38*480+G39*480+G40*480)/1440</f>
        <v>942.13333333333333</v>
      </c>
      <c r="H42" s="192" t="s">
        <v>69</v>
      </c>
      <c r="I42" s="251" t="s">
        <v>405</v>
      </c>
      <c r="J42" s="136"/>
      <c r="K42" s="134" t="s">
        <v>70</v>
      </c>
    </row>
    <row r="43" spans="1:17" ht="17.45" customHeight="1">
      <c r="A43" s="763" t="s">
        <v>222</v>
      </c>
      <c r="B43" s="764"/>
      <c r="C43" s="168">
        <f>SUMIF($G$7:$G$31,"Change Grade",$F$7:$F$31)</f>
        <v>0</v>
      </c>
      <c r="D43" s="122">
        <f>+C43+'5'!D43</f>
        <v>0</v>
      </c>
      <c r="E43" s="147">
        <f t="shared" si="0"/>
        <v>0</v>
      </c>
      <c r="F43" s="327"/>
      <c r="G43" s="328"/>
      <c r="H43" s="193" t="s">
        <v>72</v>
      </c>
      <c r="I43" s="122">
        <f>+Report1!Z14</f>
        <v>57.9</v>
      </c>
      <c r="J43" s="137">
        <f>+I43+'5'!J43</f>
        <v>340.2</v>
      </c>
      <c r="K43" s="134" t="s">
        <v>62</v>
      </c>
      <c r="L43" s="194"/>
    </row>
    <row r="44" spans="1:17" ht="17.45" customHeight="1">
      <c r="A44" s="763" t="s">
        <v>16</v>
      </c>
      <c r="B44" s="764"/>
      <c r="C44" s="168">
        <f>SUMIF($G$7:$G$31,"PLN",$F$7:$F$31)</f>
        <v>0</v>
      </c>
      <c r="D44" s="122">
        <f>+C44+'5'!D44</f>
        <v>0</v>
      </c>
      <c r="E44" s="147">
        <f t="shared" si="0"/>
        <v>0</v>
      </c>
      <c r="F44" s="327"/>
      <c r="G44" s="328"/>
      <c r="H44" s="193" t="s">
        <v>73</v>
      </c>
      <c r="I44" s="122">
        <f>I43/I38</f>
        <v>1.2691801841297674</v>
      </c>
      <c r="J44" s="138">
        <f>J43/J38</f>
        <v>1.3115436660768189</v>
      </c>
      <c r="K44" s="134" t="s">
        <v>62</v>
      </c>
    </row>
    <row r="45" spans="1:17" ht="17.45" customHeight="1">
      <c r="A45" s="763" t="s">
        <v>17</v>
      </c>
      <c r="B45" s="764"/>
      <c r="C45" s="168">
        <f>SUMIF($G$7:$G$31,"Boiler",$F$7:$F$31)</f>
        <v>0</v>
      </c>
      <c r="D45" s="122">
        <f>+C45+'5'!D45</f>
        <v>0</v>
      </c>
      <c r="E45" s="147">
        <f t="shared" si="0"/>
        <v>0</v>
      </c>
      <c r="F45" s="327"/>
      <c r="G45" s="330"/>
      <c r="H45" s="193" t="s">
        <v>74</v>
      </c>
      <c r="I45" s="122">
        <f>I43/I40</f>
        <v>1.3543859649122807</v>
      </c>
      <c r="J45" s="138">
        <f>J43/J40</f>
        <v>1.3601906345957011</v>
      </c>
      <c r="K45" s="134" t="s">
        <v>62</v>
      </c>
    </row>
    <row r="46" spans="1:17" ht="17.45" customHeight="1">
      <c r="A46" s="763" t="s">
        <v>75</v>
      </c>
      <c r="B46" s="764"/>
      <c r="C46" s="168">
        <f>SUMIF($G$7:$G$31,"Gas",$F$7:$F$31)</f>
        <v>0</v>
      </c>
      <c r="D46" s="122">
        <f>+C46+'5'!D46</f>
        <v>0</v>
      </c>
      <c r="E46" s="147">
        <f t="shared" si="0"/>
        <v>0</v>
      </c>
      <c r="F46" s="327"/>
      <c r="G46" s="328"/>
      <c r="H46" s="193" t="s">
        <v>76</v>
      </c>
      <c r="I46" s="144">
        <f>+SUMIF(Listrik!P13,"&gt;0")</f>
        <v>39098.979999998912</v>
      </c>
      <c r="J46" s="139">
        <f>+I46+'5'!J46</f>
        <v>217702.32000000036</v>
      </c>
      <c r="K46" s="134" t="s">
        <v>77</v>
      </c>
    </row>
    <row r="47" spans="1:17" ht="17.45" customHeight="1">
      <c r="A47" s="763" t="s">
        <v>78</v>
      </c>
      <c r="B47" s="764"/>
      <c r="C47" s="168">
        <f>SUMIF($G$7:$G$31,"Gas",$F$7:$F$31)</f>
        <v>0</v>
      </c>
      <c r="D47" s="122">
        <f>+C47+'5'!D47</f>
        <v>0</v>
      </c>
      <c r="E47" s="147">
        <f t="shared" si="0"/>
        <v>0</v>
      </c>
      <c r="F47" s="327"/>
      <c r="G47" s="328"/>
      <c r="H47" s="193" t="s">
        <v>79</v>
      </c>
      <c r="I47" s="122">
        <f>I46/I38</f>
        <v>857.05786935552192</v>
      </c>
      <c r="J47" s="139">
        <f>J46/J38</f>
        <v>839.28894440396607</v>
      </c>
      <c r="K47" s="134" t="s">
        <v>23</v>
      </c>
    </row>
    <row r="48" spans="1:17" ht="17.45" customHeight="1">
      <c r="A48" s="763" t="s">
        <v>13</v>
      </c>
      <c r="B48" s="764"/>
      <c r="C48" s="168">
        <f>SUMIF($G$7:$G$31,"Start Up",$F$7:$F$31)</f>
        <v>0</v>
      </c>
      <c r="D48" s="122">
        <f>+C48+'5'!D48</f>
        <v>0</v>
      </c>
      <c r="E48" s="147">
        <f t="shared" si="0"/>
        <v>0</v>
      </c>
      <c r="F48" s="327"/>
      <c r="G48" s="328"/>
      <c r="H48" s="193" t="s">
        <v>80</v>
      </c>
      <c r="I48" s="122">
        <f>I46/I40</f>
        <v>914.59602339178741</v>
      </c>
      <c r="J48" s="139">
        <f>J46/J40</f>
        <v>870.41933213920311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+C49+'5'!D49</f>
        <v>0</v>
      </c>
      <c r="E49" s="147">
        <f t="shared" si="0"/>
        <v>0</v>
      </c>
      <c r="F49" s="190"/>
      <c r="H49" s="193" t="s">
        <v>270</v>
      </c>
      <c r="I49" s="122">
        <f>+Report1!T14</f>
        <v>4058.9853112264195</v>
      </c>
      <c r="J49" s="139">
        <f>+I49+'5'!J49</f>
        <v>23539.464811722391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+C50+'5'!D50</f>
        <v>0</v>
      </c>
      <c r="E50" s="147">
        <f t="shared" si="0"/>
        <v>0</v>
      </c>
      <c r="F50" s="190"/>
      <c r="H50" s="193" t="s">
        <v>82</v>
      </c>
      <c r="I50" s="144">
        <f>I49/I38</f>
        <v>88.973812170679949</v>
      </c>
      <c r="J50" s="137">
        <f>J49/J38</f>
        <v>90.749664834369966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+C51+'5'!D51</f>
        <v>0</v>
      </c>
      <c r="E51" s="147">
        <f t="shared" si="0"/>
        <v>0</v>
      </c>
      <c r="F51" s="190"/>
      <c r="H51" s="195" t="s">
        <v>84</v>
      </c>
      <c r="I51" s="145">
        <f>I49/I40</f>
        <v>94.947024824009816</v>
      </c>
      <c r="J51" s="140">
        <f>J49/J40</f>
        <v>94.115695415343495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49</v>
      </c>
      <c r="D52" s="148">
        <f>SUM(D38:D51)</f>
        <v>774</v>
      </c>
      <c r="E52" s="149">
        <f>SUM(E38:E51)</f>
        <v>12.9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3.4027777777777775E-2</v>
      </c>
      <c r="D53" s="150">
        <f>D52/(24*60*G4)</f>
        <v>8.9583333333333334E-2</v>
      </c>
      <c r="E53" s="151">
        <f>E52/(G4*24)</f>
        <v>8.9583333333333334E-2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+D34+'5'!J56</f>
        <v>2112</v>
      </c>
      <c r="K56" s="206">
        <f>J56/(J40+J56/1000)/1000</f>
        <v>8.3735092616087289E-3</v>
      </c>
    </row>
    <row r="57" spans="1:11">
      <c r="A57" s="181"/>
      <c r="I57" s="204" t="s">
        <v>87</v>
      </c>
      <c r="J57" s="205">
        <f>+E34+'5'!J57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7" bottom="0.16" header="0" footer="0"/>
  <pageSetup paperSize="9" scale="60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22" zoomScale="80" zoomScaleNormal="75" zoomScaleSheetLayoutView="80" workbookViewId="0">
      <selection activeCell="H22" sqref="H2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customWidth="1"/>
    <col min="12" max="12" width="8.28515625" style="153" customWidth="1"/>
    <col min="13" max="13" width="15.5703125" style="153" bestFit="1" customWidth="1"/>
    <col min="14" max="16384" width="9.140625" style="153"/>
  </cols>
  <sheetData>
    <row r="1" spans="1:18" ht="15.75">
      <c r="A1" s="152"/>
    </row>
    <row r="2" spans="1:18" ht="15.75">
      <c r="A2" s="152" t="s">
        <v>184</v>
      </c>
    </row>
    <row r="3" spans="1:18" ht="15">
      <c r="A3" s="154"/>
    </row>
    <row r="4" spans="1:18" ht="20.25">
      <c r="A4" s="155" t="s">
        <v>3</v>
      </c>
      <c r="B4" s="156"/>
      <c r="F4" s="157" t="s">
        <v>28</v>
      </c>
      <c r="G4" s="158">
        <v>5</v>
      </c>
      <c r="H4" s="158" t="str">
        <f>+'1'!H4</f>
        <v>.08.25</v>
      </c>
      <c r="J4" s="153">
        <f>23+659+645</f>
        <v>1327</v>
      </c>
    </row>
    <row r="5" spans="1:18" ht="13.5" thickBot="1">
      <c r="C5" s="159"/>
      <c r="D5" s="159"/>
    </row>
    <row r="6" spans="1:18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>
        <v>1230</v>
      </c>
      <c r="O6" s="153">
        <v>947.09999999999991</v>
      </c>
    </row>
    <row r="7" spans="1:18" ht="13.5" customHeight="1" thickBot="1">
      <c r="A7" s="769" t="s">
        <v>444</v>
      </c>
      <c r="B7" s="221" t="s">
        <v>414</v>
      </c>
      <c r="C7" s="221">
        <v>13668</v>
      </c>
      <c r="D7" s="222">
        <v>1260</v>
      </c>
      <c r="E7" s="223"/>
      <c r="F7" s="233"/>
      <c r="G7" s="234" t="s">
        <v>11</v>
      </c>
      <c r="H7" s="235" t="s">
        <v>387</v>
      </c>
      <c r="I7" s="772" t="s">
        <v>405</v>
      </c>
      <c r="J7" s="219" t="str">
        <f>+'4'!J7</f>
        <v>T 13 VP OW</v>
      </c>
      <c r="K7" s="243">
        <f>+C34</f>
        <v>42780</v>
      </c>
      <c r="L7" s="247"/>
      <c r="M7" s="121">
        <f>+K7+'4'!M7+L7</f>
        <v>207362</v>
      </c>
      <c r="N7" s="153">
        <v>1230</v>
      </c>
      <c r="O7" s="153">
        <v>947.09999999999991</v>
      </c>
    </row>
    <row r="8" spans="1:18" ht="13.5" thickBot="1">
      <c r="A8" s="778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>
        <f>+'4'!J8</f>
        <v>0</v>
      </c>
      <c r="K8" s="244"/>
      <c r="L8" s="244"/>
      <c r="M8" s="121">
        <f>+K8+'4'!M8+L8</f>
        <v>0</v>
      </c>
      <c r="N8" s="153">
        <v>1230</v>
      </c>
      <c r="O8" s="153">
        <v>947.09999999999991</v>
      </c>
    </row>
    <row r="9" spans="1:18" ht="13.5" thickBot="1">
      <c r="A9" s="778"/>
      <c r="B9" s="220"/>
      <c r="C9" s="221"/>
      <c r="D9" s="222"/>
      <c r="E9" s="225"/>
      <c r="F9" s="233">
        <v>18</v>
      </c>
      <c r="G9" s="237" t="s">
        <v>11</v>
      </c>
      <c r="H9" s="238" t="s">
        <v>389</v>
      </c>
      <c r="I9" s="773"/>
      <c r="J9" s="219">
        <f>+'4'!J9</f>
        <v>0</v>
      </c>
      <c r="K9" s="244"/>
      <c r="L9" s="244"/>
      <c r="M9" s="121">
        <f>+K9+'4'!M9+L9</f>
        <v>0</v>
      </c>
    </row>
    <row r="10" spans="1:18" ht="13.5" thickBot="1">
      <c r="A10" s="778"/>
      <c r="B10" s="220"/>
      <c r="C10" s="221"/>
      <c r="D10" s="222"/>
      <c r="E10" s="224"/>
      <c r="F10" s="233"/>
      <c r="G10" s="242" t="s">
        <v>12</v>
      </c>
      <c r="H10" s="238" t="s">
        <v>453</v>
      </c>
      <c r="I10" s="773"/>
      <c r="J10" s="219">
        <f>+'4'!J10</f>
        <v>0</v>
      </c>
      <c r="K10" s="244"/>
      <c r="L10" s="244"/>
      <c r="M10" s="121">
        <f>+K10+'4'!M10+L10</f>
        <v>0</v>
      </c>
    </row>
    <row r="11" spans="1:18" ht="13.5" thickBot="1">
      <c r="A11" s="778"/>
      <c r="B11" s="220"/>
      <c r="C11" s="221"/>
      <c r="D11" s="222"/>
      <c r="E11" s="224"/>
      <c r="F11" s="233"/>
      <c r="G11" s="237"/>
      <c r="H11" s="238"/>
      <c r="I11" s="773"/>
      <c r="J11" s="219">
        <f>+'4'!J11</f>
        <v>0</v>
      </c>
      <c r="K11" s="244"/>
      <c r="L11" s="244"/>
      <c r="M11" s="121">
        <f>+K11+'4'!M11+L11</f>
        <v>0</v>
      </c>
    </row>
    <row r="12" spans="1:18" ht="13.5" thickBot="1">
      <c r="A12" s="778"/>
      <c r="B12" s="220"/>
      <c r="C12" s="221"/>
      <c r="D12" s="222"/>
      <c r="E12" s="224"/>
      <c r="F12" s="233"/>
      <c r="G12" s="237"/>
      <c r="H12" s="238"/>
      <c r="I12" s="773"/>
      <c r="J12" s="219">
        <f>+'4'!J12</f>
        <v>0</v>
      </c>
      <c r="K12" s="244"/>
      <c r="L12" s="244"/>
      <c r="M12" s="121">
        <f>+K12+'4'!M12+L12</f>
        <v>0</v>
      </c>
    </row>
    <row r="13" spans="1:18" ht="13.5" thickBot="1">
      <c r="A13" s="778"/>
      <c r="B13" s="220"/>
      <c r="C13" s="221"/>
      <c r="D13" s="221"/>
      <c r="E13" s="224"/>
      <c r="F13" s="233"/>
      <c r="G13" s="237"/>
      <c r="H13" s="238"/>
      <c r="I13" s="774"/>
      <c r="J13" s="219">
        <f>+'4'!J13</f>
        <v>0</v>
      </c>
      <c r="K13" s="244"/>
      <c r="L13" s="244"/>
      <c r="M13" s="121">
        <f>+K13+'4'!M13+L13</f>
        <v>0</v>
      </c>
    </row>
    <row r="14" spans="1:18" ht="13.5" thickBot="1">
      <c r="A14" s="779"/>
      <c r="B14" s="170" t="s">
        <v>2</v>
      </c>
      <c r="C14" s="103">
        <f>SUM(C7:C13)</f>
        <v>13668</v>
      </c>
      <c r="D14" s="115">
        <f>SUM(D7:D13)</f>
        <v>1260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19">
        <f>+'4'!J14</f>
        <v>0</v>
      </c>
      <c r="K14" s="244"/>
      <c r="L14" s="244"/>
      <c r="M14" s="121">
        <f>+K14+'4'!M14+L14</f>
        <v>0</v>
      </c>
    </row>
    <row r="15" spans="1:18" ht="13.5" customHeight="1" thickBot="1">
      <c r="A15" s="780" t="s">
        <v>456</v>
      </c>
      <c r="B15" s="170"/>
      <c r="C15" s="117">
        <f>C14/($C$23+$D$23+$E$23)</f>
        <v>0.92720982294281251</v>
      </c>
      <c r="D15" s="118">
        <f>D14/($C$23+$D$23+$E$23)</f>
        <v>8.5475883589987117E-2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+'4'!J15</f>
        <v>0</v>
      </c>
      <c r="K15" s="244"/>
      <c r="L15" s="244"/>
      <c r="M15" s="121">
        <f>+K15+'4'!M15+L15</f>
        <v>0</v>
      </c>
      <c r="P15" s="181"/>
      <c r="Q15" s="181"/>
      <c r="R15" s="181"/>
    </row>
    <row r="16" spans="1:18" ht="13.5" thickBot="1">
      <c r="A16" s="781"/>
      <c r="B16" s="221" t="s">
        <v>414</v>
      </c>
      <c r="C16" s="227">
        <v>14741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+'4'!J16</f>
        <v>0</v>
      </c>
      <c r="K16" s="234"/>
      <c r="L16" s="234"/>
      <c r="M16" s="121">
        <f>+K16+'4'!M16+L16</f>
        <v>0</v>
      </c>
      <c r="Q16" s="181"/>
      <c r="R16" s="181"/>
    </row>
    <row r="17" spans="1:13" ht="13.5" thickBot="1">
      <c r="A17" s="781"/>
      <c r="B17" s="220"/>
      <c r="C17" s="221"/>
      <c r="D17" s="222"/>
      <c r="E17" s="230"/>
      <c r="F17" s="233">
        <v>18</v>
      </c>
      <c r="G17" s="237" t="s">
        <v>11</v>
      </c>
      <c r="H17" s="238" t="s">
        <v>389</v>
      </c>
      <c r="I17" s="773"/>
      <c r="J17" s="219">
        <f>+'4'!J17</f>
        <v>0</v>
      </c>
      <c r="K17" s="234"/>
      <c r="L17" s="234"/>
      <c r="M17" s="121">
        <f>+K17+'4'!M17+L17</f>
        <v>0</v>
      </c>
    </row>
    <row r="18" spans="1:13" ht="26.25" thickBot="1">
      <c r="A18" s="781"/>
      <c r="B18" s="220"/>
      <c r="C18" s="221"/>
      <c r="D18" s="222"/>
      <c r="E18" s="230"/>
      <c r="F18" s="233"/>
      <c r="G18" s="242" t="s">
        <v>12</v>
      </c>
      <c r="H18" s="238" t="s">
        <v>447</v>
      </c>
      <c r="I18" s="773"/>
      <c r="J18" s="219">
        <f>+'4'!J18</f>
        <v>0</v>
      </c>
      <c r="K18" s="244"/>
      <c r="L18" s="244"/>
      <c r="M18" s="121">
        <f>+K18+'4'!M18+L18</f>
        <v>0</v>
      </c>
    </row>
    <row r="19" spans="1:13" ht="13.5" thickBot="1">
      <c r="A19" s="781"/>
      <c r="B19" s="220"/>
      <c r="C19" s="221"/>
      <c r="D19" s="222"/>
      <c r="E19" s="230"/>
      <c r="F19" s="240"/>
      <c r="G19" s="237"/>
      <c r="H19" s="238"/>
      <c r="I19" s="773"/>
      <c r="J19" s="219">
        <f>+'4'!J19</f>
        <v>0</v>
      </c>
      <c r="K19" s="244"/>
      <c r="L19" s="244"/>
      <c r="M19" s="121">
        <f>+K19+'4'!M19+L19</f>
        <v>0</v>
      </c>
    </row>
    <row r="20" spans="1:13" ht="13.5" thickBot="1">
      <c r="A20" s="781"/>
      <c r="B20" s="220"/>
      <c r="C20" s="221"/>
      <c r="D20" s="222"/>
      <c r="E20" s="230"/>
      <c r="F20" s="233"/>
      <c r="G20" s="237"/>
      <c r="H20" s="238"/>
      <c r="I20" s="773"/>
      <c r="J20" s="219">
        <f>+'4'!J20</f>
        <v>0</v>
      </c>
      <c r="K20" s="245"/>
      <c r="L20" s="245"/>
      <c r="M20" s="121">
        <f>+K20+'4'!M20+L20</f>
        <v>0</v>
      </c>
    </row>
    <row r="21" spans="1:13" ht="13.5" thickBot="1">
      <c r="A21" s="781"/>
      <c r="B21" s="220"/>
      <c r="C21" s="221"/>
      <c r="D21" s="222"/>
      <c r="E21" s="230"/>
      <c r="F21" s="236"/>
      <c r="G21" s="237"/>
      <c r="H21" s="238"/>
      <c r="I21" s="773"/>
      <c r="J21" s="219">
        <f>+'4'!J21</f>
        <v>0</v>
      </c>
      <c r="K21" s="244"/>
      <c r="L21" s="244"/>
      <c r="M21" s="121">
        <f>+K21+'4'!M21+L21</f>
        <v>0</v>
      </c>
    </row>
    <row r="22" spans="1:13" ht="13.5" thickBot="1">
      <c r="A22" s="781"/>
      <c r="B22" s="220"/>
      <c r="C22" s="221"/>
      <c r="D22" s="222"/>
      <c r="E22" s="230"/>
      <c r="F22" s="241"/>
      <c r="G22" s="237"/>
      <c r="H22" s="238"/>
      <c r="I22" s="774"/>
      <c r="J22" s="219">
        <f>+'4'!J22</f>
        <v>0</v>
      </c>
      <c r="K22" s="244"/>
      <c r="L22" s="244"/>
      <c r="M22" s="121">
        <f>+K22+'4'!M22+L22</f>
        <v>0</v>
      </c>
    </row>
    <row r="23" spans="1:13" ht="13.5" thickBot="1">
      <c r="A23" s="782"/>
      <c r="B23" s="173" t="s">
        <v>2</v>
      </c>
      <c r="C23" s="104">
        <f>SUM(C16:C22)</f>
        <v>14741</v>
      </c>
      <c r="D23" s="115">
        <f>SUM(D16:D22)</f>
        <v>0</v>
      </c>
      <c r="E23" s="116">
        <f>SUM(E18:E22)</f>
        <v>0</v>
      </c>
      <c r="F23" s="120">
        <f>SUM(F15:F22)</f>
        <v>18</v>
      </c>
      <c r="G23" s="163"/>
      <c r="H23" s="171"/>
      <c r="I23" s="174"/>
      <c r="J23" s="219">
        <f>+'4'!J23</f>
        <v>0</v>
      </c>
      <c r="K23" s="244"/>
      <c r="L23" s="244"/>
      <c r="M23" s="121">
        <f>+K23+'4'!M23+L23</f>
        <v>0</v>
      </c>
    </row>
    <row r="24" spans="1:13" ht="13.5" customHeight="1" thickBot="1">
      <c r="A24" s="780" t="s">
        <v>446</v>
      </c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+'4'!J24</f>
        <v>0</v>
      </c>
      <c r="K24" s="244"/>
      <c r="L24" s="244"/>
      <c r="M24" s="121">
        <f>+K24+'4'!M24+L24</f>
        <v>0</v>
      </c>
    </row>
    <row r="25" spans="1:13" ht="13.5" thickBot="1">
      <c r="A25" s="781"/>
      <c r="B25" s="221" t="s">
        <v>414</v>
      </c>
      <c r="C25" s="231">
        <v>14371</v>
      </c>
      <c r="D25" s="222"/>
      <c r="E25" s="230"/>
      <c r="F25" s="236">
        <v>6</v>
      </c>
      <c r="G25" s="237" t="s">
        <v>11</v>
      </c>
      <c r="H25" s="235" t="s">
        <v>388</v>
      </c>
      <c r="I25" s="773"/>
      <c r="J25" s="219">
        <f>+'4'!J25</f>
        <v>0</v>
      </c>
      <c r="K25" s="244"/>
      <c r="L25" s="244"/>
      <c r="M25" s="121">
        <f>+K25+'4'!M25+L25</f>
        <v>0</v>
      </c>
    </row>
    <row r="26" spans="1:13" ht="13.5" thickBot="1">
      <c r="A26" s="781"/>
      <c r="B26" s="220"/>
      <c r="C26" s="231"/>
      <c r="D26" s="222"/>
      <c r="E26" s="232"/>
      <c r="F26" s="233">
        <v>12</v>
      </c>
      <c r="G26" s="237" t="s">
        <v>11</v>
      </c>
      <c r="H26" s="238" t="s">
        <v>389</v>
      </c>
      <c r="I26" s="773"/>
      <c r="J26" s="219">
        <f>+'4'!J26</f>
        <v>0</v>
      </c>
      <c r="K26" s="244"/>
      <c r="L26" s="244"/>
      <c r="M26" s="121">
        <f>+K26+'4'!M26+L26</f>
        <v>0</v>
      </c>
    </row>
    <row r="27" spans="1:13" ht="26.25" thickBot="1">
      <c r="A27" s="781"/>
      <c r="B27" s="220"/>
      <c r="C27" s="221"/>
      <c r="D27" s="222"/>
      <c r="E27" s="230"/>
      <c r="F27" s="233"/>
      <c r="G27" s="242" t="s">
        <v>12</v>
      </c>
      <c r="H27" s="238" t="s">
        <v>447</v>
      </c>
      <c r="I27" s="773"/>
      <c r="J27" s="219">
        <f>+'4'!J27</f>
        <v>0</v>
      </c>
      <c r="K27" s="244"/>
      <c r="L27" s="244"/>
      <c r="M27" s="121">
        <f>+K27+'4'!M27+L27</f>
        <v>0</v>
      </c>
    </row>
    <row r="28" spans="1:13" ht="13.5" thickBot="1">
      <c r="A28" s="781"/>
      <c r="B28" s="220"/>
      <c r="C28" s="221"/>
      <c r="D28" s="222"/>
      <c r="E28" s="230"/>
      <c r="F28" s="236"/>
      <c r="G28" s="237"/>
      <c r="H28" s="238"/>
      <c r="I28" s="773"/>
      <c r="J28" s="219">
        <f>+'4'!J28</f>
        <v>0</v>
      </c>
      <c r="K28" s="244"/>
      <c r="L28" s="244"/>
      <c r="M28" s="121">
        <f>+K28+'4'!M28+L28</f>
        <v>0</v>
      </c>
    </row>
    <row r="29" spans="1:13" ht="13.5" thickBot="1">
      <c r="A29" s="781"/>
      <c r="B29" s="220"/>
      <c r="C29" s="221"/>
      <c r="D29" s="222"/>
      <c r="E29" s="230"/>
      <c r="F29" s="241"/>
      <c r="G29" s="237"/>
      <c r="H29" s="238"/>
      <c r="I29" s="773"/>
      <c r="J29" s="219">
        <f>+'4'!J29</f>
        <v>0</v>
      </c>
      <c r="K29" s="244"/>
      <c r="L29" s="244"/>
      <c r="M29" s="121">
        <f>+K29+'4'!M29+L29</f>
        <v>0</v>
      </c>
    </row>
    <row r="30" spans="1:13" ht="13.5" thickBot="1">
      <c r="A30" s="781"/>
      <c r="B30" s="220"/>
      <c r="C30" s="231"/>
      <c r="D30" s="222"/>
      <c r="E30" s="230"/>
      <c r="F30" s="241"/>
      <c r="G30" s="237"/>
      <c r="H30" s="238"/>
      <c r="I30" s="773"/>
      <c r="J30" s="219">
        <f>+'4'!J30</f>
        <v>0</v>
      </c>
      <c r="K30" s="244"/>
      <c r="L30" s="244"/>
      <c r="M30" s="121">
        <f>+K30+'4'!M30+L30</f>
        <v>0</v>
      </c>
    </row>
    <row r="31" spans="1:13" ht="13.5" thickBot="1">
      <c r="A31" s="781"/>
      <c r="B31" s="220"/>
      <c r="C31" s="231"/>
      <c r="D31" s="222"/>
      <c r="E31" s="230"/>
      <c r="F31" s="241"/>
      <c r="G31" s="242"/>
      <c r="H31" s="441"/>
      <c r="I31" s="774"/>
      <c r="J31" s="219">
        <f>+'4'!J31</f>
        <v>0</v>
      </c>
      <c r="K31" s="244"/>
      <c r="L31" s="244"/>
      <c r="M31" s="121">
        <f>+K31+'4'!M31+L31</f>
        <v>0</v>
      </c>
    </row>
    <row r="32" spans="1:13" ht="13.5" thickBot="1">
      <c r="A32" s="782"/>
      <c r="B32" s="170" t="s">
        <v>2</v>
      </c>
      <c r="C32" s="103">
        <f>SUM(C25:C31)</f>
        <v>14371</v>
      </c>
      <c r="D32" s="104">
        <f>SUM(D25:D31)</f>
        <v>0</v>
      </c>
      <c r="E32" s="105">
        <f>SUM(E25:E31)</f>
        <v>0</v>
      </c>
      <c r="F32" s="106">
        <f>SUM(F24:F31)</f>
        <v>18</v>
      </c>
      <c r="G32" s="176"/>
      <c r="H32" s="177"/>
      <c r="I32" s="174"/>
      <c r="J32" s="219">
        <f>+'4'!J32</f>
        <v>0</v>
      </c>
      <c r="K32" s="246"/>
      <c r="L32" s="248"/>
      <c r="M32" s="121">
        <f>+K32+'4'!M32+L32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42780</v>
      </c>
      <c r="D34" s="111">
        <f>D14+D23+D32</f>
        <v>1260</v>
      </c>
      <c r="E34" s="111">
        <f>E14+E23+E32</f>
        <v>0</v>
      </c>
      <c r="F34" s="112">
        <f>F14+F23+F32</f>
        <v>54</v>
      </c>
      <c r="H34" s="183"/>
      <c r="I34" s="183"/>
      <c r="J34" s="127" t="s">
        <v>27</v>
      </c>
      <c r="K34" s="128">
        <f>SUM(K7:K32)</f>
        <v>42780</v>
      </c>
      <c r="L34" s="217">
        <f>SUM(L7:L32)</f>
        <v>0</v>
      </c>
      <c r="M34" s="124">
        <f>SUM(M7:M32)</f>
        <v>207362</v>
      </c>
    </row>
    <row r="35" spans="1:13" ht="13.5" thickBot="1">
      <c r="A35" s="184"/>
      <c r="B35" s="185"/>
      <c r="C35" s="108">
        <f>C34/($C$34+$D$34+$E$34)</f>
        <v>0.97138964577656672</v>
      </c>
      <c r="D35" s="108">
        <f>D34/($C$34+$D$34+$E$34)</f>
        <v>2.8610354223433242E-2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(13*1440)/1440*G42*2.74*1440/1000000</f>
        <v>48.579410879999998</v>
      </c>
      <c r="J37" s="129">
        <f>+I37+'4'!J37</f>
        <v>227.95433260599998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54</v>
      </c>
      <c r="D38" s="122">
        <f>+C38+'4'!D38</f>
        <v>366</v>
      </c>
      <c r="E38" s="147">
        <f t="shared" ref="E38:E51" si="0">D38/60</f>
        <v>6.1</v>
      </c>
      <c r="F38" s="327">
        <v>1230</v>
      </c>
      <c r="G38" s="327">
        <v>947.09999999999991</v>
      </c>
      <c r="H38" s="192" t="s">
        <v>63</v>
      </c>
      <c r="I38" s="250">
        <f>15.502+15.541+14.985</f>
        <v>46.027999999999999</v>
      </c>
      <c r="J38" s="131">
        <f>+I38+'4'!J38</f>
        <v>213.76900000000001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+C39+'4'!D39</f>
        <v>0</v>
      </c>
      <c r="E39" s="147">
        <f t="shared" si="0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45.590866521199999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+C40+'4'!D40</f>
        <v>299</v>
      </c>
      <c r="E40" s="147">
        <f t="shared" si="0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42.78</v>
      </c>
      <c r="J40" s="135">
        <f>+I40+'4'!J40</f>
        <v>207.36199999999999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+C41+'4'!D41</f>
        <v>60</v>
      </c>
      <c r="E41" s="147">
        <f t="shared" si="0"/>
        <v>1</v>
      </c>
      <c r="F41" s="327"/>
      <c r="G41" s="327"/>
      <c r="H41" s="192" t="s">
        <v>68</v>
      </c>
      <c r="I41" s="146"/>
      <c r="J41" s="133">
        <f>J40/G4</f>
        <v>41.4724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+C42+'4'!D42</f>
        <v>0</v>
      </c>
      <c r="E42" s="147">
        <f t="shared" si="0"/>
        <v>0</v>
      </c>
      <c r="F42" s="327">
        <f>+(480*F38+480*F39+480*F40)/1440</f>
        <v>1230</v>
      </c>
      <c r="G42" s="327">
        <f>+(480*G38+480*G39+480*G40)/1440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13" ht="17.45" customHeight="1">
      <c r="A43" s="763" t="s">
        <v>222</v>
      </c>
      <c r="B43" s="764"/>
      <c r="C43" s="168">
        <f>SUMIF($G$7:$G$31,"Change Grade",$F$7:$F$31)</f>
        <v>0</v>
      </c>
      <c r="D43" s="122">
        <f>+C43+'4'!D43</f>
        <v>0</v>
      </c>
      <c r="E43" s="147">
        <f t="shared" si="0"/>
        <v>0</v>
      </c>
      <c r="F43" s="327"/>
      <c r="G43" s="328"/>
      <c r="H43" s="193" t="s">
        <v>72</v>
      </c>
      <c r="I43" s="122">
        <f>+Report1!Z13</f>
        <v>55.5</v>
      </c>
      <c r="J43" s="137">
        <f>+I43+'4'!J43</f>
        <v>282.3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+C44+'4'!D44</f>
        <v>0</v>
      </c>
      <c r="E44" s="147">
        <f t="shared" si="0"/>
        <v>0</v>
      </c>
      <c r="F44" s="327"/>
      <c r="G44" s="328"/>
      <c r="H44" s="193" t="s">
        <v>73</v>
      </c>
      <c r="I44" s="122">
        <f>I43/I38</f>
        <v>1.2057877813504823</v>
      </c>
      <c r="J44" s="138">
        <f>J43/J38</f>
        <v>1.3205843691087109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+C45+'4'!D45</f>
        <v>0</v>
      </c>
      <c r="E45" s="147">
        <f t="shared" si="0"/>
        <v>0</v>
      </c>
      <c r="F45" s="327"/>
      <c r="G45" s="330"/>
      <c r="H45" s="193" t="s">
        <v>74</v>
      </c>
      <c r="I45" s="122">
        <f>I43/I40</f>
        <v>1.2973352033660588</v>
      </c>
      <c r="J45" s="138">
        <f>J43/J40</f>
        <v>1.3613873322981067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>+C46+'4'!D46</f>
        <v>0</v>
      </c>
      <c r="E46" s="147">
        <f t="shared" si="0"/>
        <v>0</v>
      </c>
      <c r="F46" s="327"/>
      <c r="G46" s="328"/>
      <c r="H46" s="193" t="s">
        <v>76</v>
      </c>
      <c r="I46" s="144">
        <f>+SUMIF(Listrik!P12,"&gt;0")</f>
        <v>36297.900000001457</v>
      </c>
      <c r="J46" s="139">
        <f>+I46+'4'!J46</f>
        <v>178603.34000000145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+C47+'4'!D47</f>
        <v>0</v>
      </c>
      <c r="E47" s="147">
        <f t="shared" si="0"/>
        <v>0</v>
      </c>
      <c r="F47" s="327"/>
      <c r="G47" s="328"/>
      <c r="H47" s="193" t="s">
        <v>79</v>
      </c>
      <c r="I47" s="122">
        <f>I46/I38</f>
        <v>788.60476231862037</v>
      </c>
      <c r="J47" s="139">
        <f>J46/J38</f>
        <v>835.49691489412146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+C48+'4'!D48</f>
        <v>0</v>
      </c>
      <c r="E48" s="147">
        <f t="shared" si="0"/>
        <v>0</v>
      </c>
      <c r="F48" s="327"/>
      <c r="G48" s="328"/>
      <c r="H48" s="193" t="s">
        <v>80</v>
      </c>
      <c r="I48" s="122">
        <f>I46/I40</f>
        <v>848.47826086959924</v>
      </c>
      <c r="J48" s="139">
        <f>J46/J40</f>
        <v>861.31181219317648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+C49+'4'!D49</f>
        <v>0</v>
      </c>
      <c r="E49" s="147">
        <f t="shared" si="0"/>
        <v>0</v>
      </c>
      <c r="F49" s="190"/>
      <c r="H49" s="193" t="s">
        <v>270</v>
      </c>
      <c r="I49" s="122">
        <f>+Report1!T13</f>
        <v>4143.0469602741468</v>
      </c>
      <c r="J49" s="139">
        <f>+I49+'4'!J49</f>
        <v>19480.479500495971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+C50+'4'!D50</f>
        <v>0</v>
      </c>
      <c r="E50" s="147">
        <f t="shared" si="0"/>
        <v>0</v>
      </c>
      <c r="F50" s="190"/>
      <c r="H50" s="193" t="s">
        <v>82</v>
      </c>
      <c r="I50" s="144">
        <f>I49/I38</f>
        <v>90.01144868936619</v>
      </c>
      <c r="J50" s="137">
        <f>J49/J38</f>
        <v>91.128645877072771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+C51+'4'!D51</f>
        <v>0</v>
      </c>
      <c r="E51" s="147">
        <f t="shared" si="0"/>
        <v>0</v>
      </c>
      <c r="F51" s="190"/>
      <c r="H51" s="195" t="s">
        <v>84</v>
      </c>
      <c r="I51" s="145">
        <f>I49/I40</f>
        <v>96.845417491214278</v>
      </c>
      <c r="J51" s="140">
        <f>J49/J40</f>
        <v>93.94430754186385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54</v>
      </c>
      <c r="D52" s="148">
        <f>SUM(D38:D51)</f>
        <v>725</v>
      </c>
      <c r="E52" s="149">
        <f>SUM(E38:E51)</f>
        <v>12.083333333333332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3.7499999999999999E-2</v>
      </c>
      <c r="D53" s="150">
        <f>D52/(24*60*G4)</f>
        <v>0.10069444444444445</v>
      </c>
      <c r="E53" s="151">
        <f>E52/(G4*24)</f>
        <v>0.10069444444444443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+D34+'4'!J56</f>
        <v>1812</v>
      </c>
      <c r="K56" s="206">
        <f>J56/(J40+J56/1000)/1000</f>
        <v>8.6626444969260044E-3</v>
      </c>
    </row>
    <row r="57" spans="1:11">
      <c r="A57" s="181"/>
      <c r="I57" s="204" t="s">
        <v>87</v>
      </c>
      <c r="J57" s="205">
        <f>+E34+'4'!J57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4027777777777778" header="0" footer="0"/>
  <pageSetup paperSize="9" scale="61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22" zoomScale="80" zoomScaleNormal="75" zoomScaleSheetLayoutView="80" workbookViewId="0">
      <selection activeCell="M28" sqref="A24:M32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4.5703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4</v>
      </c>
      <c r="H4" s="158" t="str">
        <f>+'1'!H4</f>
        <v>.08.25</v>
      </c>
      <c r="J4" s="153">
        <f>597+640+571</f>
        <v>1808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430</v>
      </c>
      <c r="O6" s="153">
        <v>1230</v>
      </c>
      <c r="P6" s="153">
        <f>+O6-O6*0.23</f>
        <v>947.09999999999991</v>
      </c>
      <c r="Q6" s="153">
        <v>51</v>
      </c>
      <c r="R6" s="153">
        <f>+O6*Q6</f>
        <v>62730</v>
      </c>
      <c r="S6" s="153">
        <f>+P6*Q6</f>
        <v>48302.1</v>
      </c>
    </row>
    <row r="7" spans="1:19" ht="13.5" customHeight="1" thickBot="1">
      <c r="A7" s="769" t="s">
        <v>442</v>
      </c>
      <c r="B7" s="221" t="s">
        <v>414</v>
      </c>
      <c r="C7" s="221">
        <v>14498</v>
      </c>
      <c r="D7" s="222"/>
      <c r="E7" s="223"/>
      <c r="F7" s="233"/>
      <c r="G7" s="234" t="s">
        <v>11</v>
      </c>
      <c r="H7" s="235" t="s">
        <v>387</v>
      </c>
      <c r="I7" s="772" t="s">
        <v>454</v>
      </c>
      <c r="J7" s="219" t="str">
        <f>+'3'!J7</f>
        <v>T 13 VP OW</v>
      </c>
      <c r="K7" s="243">
        <f>+C34</f>
        <v>44225</v>
      </c>
      <c r="L7" s="247"/>
      <c r="M7" s="121">
        <f>+K7+'3'!M7+L7</f>
        <v>164582</v>
      </c>
      <c r="O7" s="153">
        <v>1210</v>
      </c>
      <c r="P7" s="153">
        <f>+O7-O7*0.23</f>
        <v>931.7</v>
      </c>
      <c r="Q7" s="153">
        <f>60-51+60+40</f>
        <v>109</v>
      </c>
      <c r="R7" s="153">
        <f t="shared" ref="R7:R10" si="0">+O7*Q7</f>
        <v>131890</v>
      </c>
      <c r="S7" s="153">
        <f t="shared" ref="S7:S10" si="1">+P7*Q7</f>
        <v>101555.3</v>
      </c>
    </row>
    <row r="8" spans="1:19" ht="13.5" thickBot="1">
      <c r="A8" s="778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>
        <f>+'3'!J8</f>
        <v>0</v>
      </c>
      <c r="K8" s="244"/>
      <c r="L8" s="244"/>
      <c r="M8" s="121">
        <f>+K8+'3'!M8+L8</f>
        <v>0</v>
      </c>
      <c r="O8" s="153">
        <v>1230</v>
      </c>
      <c r="P8" s="153">
        <f>+O8-O8*0.23</f>
        <v>947.09999999999991</v>
      </c>
      <c r="Q8" s="153">
        <f>480-Q6-Q7</f>
        <v>320</v>
      </c>
      <c r="R8" s="153">
        <f t="shared" si="0"/>
        <v>393600</v>
      </c>
      <c r="S8" s="153">
        <f t="shared" si="1"/>
        <v>303072</v>
      </c>
    </row>
    <row r="9" spans="1:19" ht="13.5" thickBot="1">
      <c r="A9" s="778"/>
      <c r="B9" s="220"/>
      <c r="C9" s="221"/>
      <c r="D9" s="222"/>
      <c r="E9" s="225"/>
      <c r="F9" s="233">
        <v>19</v>
      </c>
      <c r="G9" s="237" t="s">
        <v>11</v>
      </c>
      <c r="H9" s="238" t="s">
        <v>428</v>
      </c>
      <c r="I9" s="773"/>
      <c r="J9" s="219">
        <f>+'3'!J9</f>
        <v>0</v>
      </c>
      <c r="K9" s="244"/>
      <c r="L9" s="244"/>
      <c r="M9" s="121">
        <f>+K9+'3'!M9+L9</f>
        <v>0</v>
      </c>
      <c r="P9" s="153">
        <f t="shared" ref="P9:P10" si="2">+O9-O9*0.25</f>
        <v>0</v>
      </c>
      <c r="R9" s="153">
        <f t="shared" si="0"/>
        <v>0</v>
      </c>
      <c r="S9" s="153">
        <f t="shared" si="1"/>
        <v>0</v>
      </c>
    </row>
    <row r="10" spans="1:19" ht="13.5" thickBot="1">
      <c r="A10" s="778"/>
      <c r="B10" s="220"/>
      <c r="C10" s="221"/>
      <c r="D10" s="222"/>
      <c r="E10" s="224"/>
      <c r="F10" s="233"/>
      <c r="G10" s="242" t="s">
        <v>12</v>
      </c>
      <c r="H10" s="238" t="s">
        <v>450</v>
      </c>
      <c r="I10" s="773"/>
      <c r="J10" s="219">
        <f>+'3'!J10</f>
        <v>0</v>
      </c>
      <c r="K10" s="244"/>
      <c r="L10" s="244"/>
      <c r="M10" s="121">
        <f>+K10+'3'!M10+L10</f>
        <v>0</v>
      </c>
      <c r="P10" s="153">
        <f t="shared" si="2"/>
        <v>0</v>
      </c>
      <c r="R10" s="153">
        <f t="shared" si="0"/>
        <v>0</v>
      </c>
      <c r="S10" s="153">
        <f t="shared" si="1"/>
        <v>0</v>
      </c>
    </row>
    <row r="11" spans="1:19" ht="39" thickBot="1">
      <c r="A11" s="778"/>
      <c r="B11" s="220"/>
      <c r="C11" s="221"/>
      <c r="D11" s="222"/>
      <c r="E11" s="224"/>
      <c r="F11" s="233"/>
      <c r="G11" s="237"/>
      <c r="H11" s="238" t="s">
        <v>451</v>
      </c>
      <c r="I11" s="773"/>
      <c r="J11" s="219">
        <f>+'3'!J11</f>
        <v>0</v>
      </c>
      <c r="K11" s="244"/>
      <c r="L11" s="244"/>
      <c r="M11" s="121">
        <f>+K11+'3'!M11+L11</f>
        <v>0</v>
      </c>
      <c r="Q11" s="153">
        <f>SUM(Q6:Q10)</f>
        <v>480</v>
      </c>
      <c r="R11" s="153">
        <f>SUM(R6:R10)</f>
        <v>588220</v>
      </c>
      <c r="S11" s="153">
        <f>SUM(S6:S10)</f>
        <v>452929.4</v>
      </c>
    </row>
    <row r="12" spans="1:19" ht="13.5" thickBot="1">
      <c r="A12" s="778"/>
      <c r="B12" s="220"/>
      <c r="C12" s="221"/>
      <c r="D12" s="222"/>
      <c r="E12" s="224"/>
      <c r="F12" s="233"/>
      <c r="G12" s="237"/>
      <c r="H12" s="238"/>
      <c r="I12" s="773"/>
      <c r="J12" s="219">
        <f>+'3'!J12</f>
        <v>0</v>
      </c>
      <c r="K12" s="244"/>
      <c r="L12" s="244"/>
      <c r="M12" s="121">
        <f>+K12+'3'!M12+L12</f>
        <v>0</v>
      </c>
      <c r="O12" s="153" t="s">
        <v>404</v>
      </c>
      <c r="R12" s="153">
        <f>+R11/Q11</f>
        <v>1225.4583333333333</v>
      </c>
      <c r="S12" s="153">
        <f>+S11/Q11</f>
        <v>943.60291666666672</v>
      </c>
    </row>
    <row r="13" spans="1:19" ht="13.5" thickBot="1">
      <c r="A13" s="778"/>
      <c r="B13" s="220"/>
      <c r="C13" s="221"/>
      <c r="D13" s="221"/>
      <c r="E13" s="224"/>
      <c r="F13" s="233"/>
      <c r="G13" s="237"/>
      <c r="H13" s="238"/>
      <c r="I13" s="774"/>
      <c r="J13" s="219">
        <f>+'3'!J13</f>
        <v>0</v>
      </c>
      <c r="K13" s="244"/>
      <c r="L13" s="244"/>
      <c r="M13" s="121">
        <f>+K13+'3'!M13+L13</f>
        <v>0</v>
      </c>
    </row>
    <row r="14" spans="1:19" ht="13.5" thickBot="1">
      <c r="A14" s="779"/>
      <c r="B14" s="170" t="s">
        <v>2</v>
      </c>
      <c r="C14" s="103">
        <f>SUM(C7:C13)</f>
        <v>14498</v>
      </c>
      <c r="D14" s="115">
        <f>SUM(D7:D13)</f>
        <v>0</v>
      </c>
      <c r="E14" s="116">
        <f>SUM(E5:E13)</f>
        <v>0</v>
      </c>
      <c r="F14" s="120">
        <f>SUM(F7:F13)</f>
        <v>19</v>
      </c>
      <c r="G14" s="163"/>
      <c r="H14" s="171"/>
      <c r="I14" s="172"/>
      <c r="J14" s="219">
        <f>+'3'!J14</f>
        <v>0</v>
      </c>
      <c r="K14" s="244"/>
      <c r="L14" s="244"/>
      <c r="M14" s="121">
        <f>+K14+'3'!M14+L14</f>
        <v>0</v>
      </c>
    </row>
    <row r="15" spans="1:19" ht="13.5" customHeight="1" thickBot="1">
      <c r="A15" s="780" t="s">
        <v>445</v>
      </c>
      <c r="B15" s="170"/>
      <c r="C15" s="117">
        <f>C14/($C$23+$D$23+$E$23)</f>
        <v>1.0299801079852231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433</v>
      </c>
      <c r="I15" s="772" t="s">
        <v>455</v>
      </c>
      <c r="J15" s="219">
        <f>+'3'!J15</f>
        <v>0</v>
      </c>
      <c r="K15" s="244"/>
      <c r="L15" s="244"/>
      <c r="M15" s="121">
        <f>+K15+'3'!M15+L15</f>
        <v>0</v>
      </c>
      <c r="N15" s="153" t="s">
        <v>430</v>
      </c>
      <c r="O15" s="153">
        <v>1230</v>
      </c>
      <c r="P15" s="153">
        <f>+O15-O15*0.23</f>
        <v>947.09999999999991</v>
      </c>
      <c r="Q15" s="153">
        <f>60+41</f>
        <v>101</v>
      </c>
      <c r="R15" s="153">
        <f>+O15*Q15</f>
        <v>124230</v>
      </c>
      <c r="S15" s="153">
        <f>+P15*Q15</f>
        <v>95657.099999999991</v>
      </c>
    </row>
    <row r="16" spans="1:19" ht="13.5" thickBot="1">
      <c r="A16" s="781"/>
      <c r="B16" s="221" t="s">
        <v>414</v>
      </c>
      <c r="C16" s="227">
        <v>14076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+'3'!J16</f>
        <v>0</v>
      </c>
      <c r="K16" s="234"/>
      <c r="L16" s="234"/>
      <c r="M16" s="121">
        <f>+K16+'3'!M16+L16</f>
        <v>0</v>
      </c>
      <c r="O16" s="153">
        <v>1220</v>
      </c>
      <c r="P16" s="153">
        <f>+O16-O16*0.23</f>
        <v>939.4</v>
      </c>
      <c r="Q16" s="153">
        <f>60-41+120+20</f>
        <v>159</v>
      </c>
      <c r="R16" s="153">
        <f t="shared" ref="R16:R19" si="3">+O16*Q16</f>
        <v>193980</v>
      </c>
      <c r="S16" s="153">
        <f t="shared" ref="S16:S19" si="4">+P16*Q16</f>
        <v>149364.6</v>
      </c>
    </row>
    <row r="17" spans="1:19" ht="13.5" thickBot="1">
      <c r="A17" s="781"/>
      <c r="B17" s="220"/>
      <c r="C17" s="221"/>
      <c r="D17" s="222"/>
      <c r="E17" s="230"/>
      <c r="F17" s="233">
        <v>19</v>
      </c>
      <c r="G17" s="237" t="s">
        <v>11</v>
      </c>
      <c r="H17" s="238" t="s">
        <v>428</v>
      </c>
      <c r="I17" s="773"/>
      <c r="J17" s="219">
        <f>+'3'!J17</f>
        <v>0</v>
      </c>
      <c r="K17" s="234"/>
      <c r="L17" s="234"/>
      <c r="M17" s="121">
        <f>+K17+'3'!M17+L17</f>
        <v>0</v>
      </c>
      <c r="O17" s="153">
        <v>1210</v>
      </c>
      <c r="P17" s="153">
        <f>+O17-O17*0.23</f>
        <v>931.7</v>
      </c>
      <c r="Q17" s="153">
        <f>480-Q15-Q16</f>
        <v>220</v>
      </c>
      <c r="R17" s="153">
        <f t="shared" si="3"/>
        <v>266200</v>
      </c>
      <c r="S17" s="153">
        <f t="shared" si="4"/>
        <v>204974</v>
      </c>
    </row>
    <row r="18" spans="1:19" ht="51.75" thickBot="1">
      <c r="A18" s="781"/>
      <c r="B18" s="220"/>
      <c r="C18" s="221"/>
      <c r="D18" s="222"/>
      <c r="E18" s="230"/>
      <c r="F18" s="233"/>
      <c r="G18" s="242" t="s">
        <v>12</v>
      </c>
      <c r="H18" s="238" t="s">
        <v>448</v>
      </c>
      <c r="I18" s="773"/>
      <c r="J18" s="219">
        <f>+'3'!J18</f>
        <v>0</v>
      </c>
      <c r="K18" s="244"/>
      <c r="L18" s="244"/>
      <c r="M18" s="121">
        <f>+K18+'3'!M18+L18</f>
        <v>0</v>
      </c>
      <c r="P18" s="153">
        <f t="shared" ref="P18:P19" si="5">+O18-O18*0.25</f>
        <v>0</v>
      </c>
      <c r="R18" s="153">
        <f t="shared" si="3"/>
        <v>0</v>
      </c>
      <c r="S18" s="153">
        <f t="shared" si="4"/>
        <v>0</v>
      </c>
    </row>
    <row r="19" spans="1:19" ht="122.25" customHeight="1" thickBot="1">
      <c r="A19" s="781"/>
      <c r="B19" s="220"/>
      <c r="C19" s="221"/>
      <c r="D19" s="222"/>
      <c r="E19" s="230"/>
      <c r="F19" s="240"/>
      <c r="G19" s="237"/>
      <c r="H19" s="238" t="s">
        <v>449</v>
      </c>
      <c r="I19" s="773"/>
      <c r="J19" s="219">
        <f>+'3'!J19</f>
        <v>0</v>
      </c>
      <c r="K19" s="244"/>
      <c r="L19" s="244"/>
      <c r="M19" s="121">
        <f>+K19+'3'!M19+L19</f>
        <v>0</v>
      </c>
      <c r="P19" s="153">
        <f t="shared" si="5"/>
        <v>0</v>
      </c>
      <c r="R19" s="153">
        <f t="shared" si="3"/>
        <v>0</v>
      </c>
      <c r="S19" s="153">
        <f t="shared" si="4"/>
        <v>0</v>
      </c>
    </row>
    <row r="20" spans="1:19" ht="13.5" thickBot="1">
      <c r="A20" s="781"/>
      <c r="B20" s="220"/>
      <c r="C20" s="221"/>
      <c r="D20" s="222"/>
      <c r="E20" s="230"/>
      <c r="F20" s="233"/>
      <c r="G20" s="237"/>
      <c r="H20" s="238"/>
      <c r="I20" s="773"/>
      <c r="J20" s="219">
        <f>+'3'!J20</f>
        <v>0</v>
      </c>
      <c r="K20" s="245"/>
      <c r="L20" s="245"/>
      <c r="M20" s="121">
        <f>+K20+'3'!M20+L20</f>
        <v>0</v>
      </c>
      <c r="Q20" s="153">
        <f>SUM(Q15:Q19)</f>
        <v>480</v>
      </c>
      <c r="R20" s="153">
        <f>SUM(R15:R19)</f>
        <v>584410</v>
      </c>
      <c r="S20" s="153">
        <f>SUM(S15:S19)</f>
        <v>449995.7</v>
      </c>
    </row>
    <row r="21" spans="1:19" ht="13.5" thickBot="1">
      <c r="A21" s="781"/>
      <c r="B21" s="220"/>
      <c r="C21" s="221"/>
      <c r="D21" s="222"/>
      <c r="E21" s="230"/>
      <c r="F21" s="236"/>
      <c r="G21" s="237"/>
      <c r="H21" s="238"/>
      <c r="I21" s="773"/>
      <c r="J21" s="219">
        <f>+'3'!J21</f>
        <v>0</v>
      </c>
      <c r="K21" s="244"/>
      <c r="L21" s="244"/>
      <c r="M21" s="121">
        <f>+K21+'3'!M21+L21</f>
        <v>0</v>
      </c>
      <c r="O21" s="153" t="s">
        <v>404</v>
      </c>
      <c r="R21" s="153">
        <f>+R20/Q20</f>
        <v>1217.5208333333333</v>
      </c>
      <c r="S21" s="153">
        <f>+S20/Q20</f>
        <v>937.49104166666666</v>
      </c>
    </row>
    <row r="22" spans="1:19" ht="13.5" thickBot="1">
      <c r="A22" s="781"/>
      <c r="B22" s="220"/>
      <c r="C22" s="221"/>
      <c r="D22" s="222"/>
      <c r="E22" s="230"/>
      <c r="F22" s="241"/>
      <c r="G22" s="237"/>
      <c r="H22" s="238"/>
      <c r="I22" s="774"/>
      <c r="J22" s="219">
        <f>+'3'!J22</f>
        <v>0</v>
      </c>
      <c r="K22" s="244"/>
      <c r="L22" s="244"/>
      <c r="M22" s="121">
        <f>+K22+'3'!M22+L22</f>
        <v>0</v>
      </c>
    </row>
    <row r="23" spans="1:19" ht="13.5" thickBot="1">
      <c r="A23" s="782"/>
      <c r="B23" s="173" t="s">
        <v>2</v>
      </c>
      <c r="C23" s="104">
        <f>SUM(C16:C22)</f>
        <v>14076</v>
      </c>
      <c r="D23" s="115">
        <f>SUM(D16:D22)</f>
        <v>0</v>
      </c>
      <c r="E23" s="116">
        <f>SUM(E18:E22)</f>
        <v>0</v>
      </c>
      <c r="F23" s="120">
        <f>SUM(F15:F22)</f>
        <v>19</v>
      </c>
      <c r="G23" s="163"/>
      <c r="H23" s="171"/>
      <c r="I23" s="174"/>
      <c r="J23" s="219">
        <f>+'3'!J23</f>
        <v>0</v>
      </c>
      <c r="K23" s="244"/>
      <c r="L23" s="244"/>
      <c r="M23" s="121">
        <f>+K23+'3'!M23+L23</f>
        <v>0</v>
      </c>
    </row>
    <row r="24" spans="1:19" ht="13.5" customHeight="1" thickBot="1">
      <c r="A24" s="780" t="s">
        <v>446</v>
      </c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+'3'!J24</f>
        <v>0</v>
      </c>
      <c r="K24" s="244"/>
      <c r="L24" s="244"/>
      <c r="M24" s="121">
        <f>+K24+'3'!M24+L24</f>
        <v>0</v>
      </c>
      <c r="N24" s="153" t="s">
        <v>430</v>
      </c>
      <c r="O24" s="153">
        <v>1230</v>
      </c>
      <c r="P24" s="153">
        <f>+O24-O24*0.23</f>
        <v>947.09999999999991</v>
      </c>
      <c r="Q24" s="153">
        <v>480</v>
      </c>
      <c r="R24" s="153">
        <f>+O24*Q24</f>
        <v>590400</v>
      </c>
      <c r="S24" s="153">
        <f>+P24*Q24</f>
        <v>454607.99999999994</v>
      </c>
    </row>
    <row r="25" spans="1:19" ht="13.5" thickBot="1">
      <c r="A25" s="781"/>
      <c r="B25" s="221" t="s">
        <v>414</v>
      </c>
      <c r="C25" s="231">
        <v>15651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+'3'!J25</f>
        <v>0</v>
      </c>
      <c r="K25" s="244"/>
      <c r="L25" s="244"/>
      <c r="M25" s="121">
        <f>+K25+'3'!M25+L25</f>
        <v>0</v>
      </c>
      <c r="P25" s="153">
        <f>+O25-O25*0.23</f>
        <v>0</v>
      </c>
      <c r="R25" s="153">
        <f t="shared" ref="R25:R28" si="6">+O25*Q25</f>
        <v>0</v>
      </c>
      <c r="S25" s="153">
        <f t="shared" ref="S25:S28" si="7">+P25*Q25</f>
        <v>0</v>
      </c>
    </row>
    <row r="26" spans="1:19" ht="13.5" thickBot="1">
      <c r="A26" s="781"/>
      <c r="B26" s="220"/>
      <c r="C26" s="231"/>
      <c r="D26" s="222"/>
      <c r="E26" s="232"/>
      <c r="F26" s="233">
        <v>18</v>
      </c>
      <c r="G26" s="237" t="s">
        <v>11</v>
      </c>
      <c r="H26" s="238" t="s">
        <v>389</v>
      </c>
      <c r="I26" s="773"/>
      <c r="J26" s="219">
        <f>+'3'!J26</f>
        <v>0</v>
      </c>
      <c r="K26" s="244"/>
      <c r="L26" s="244"/>
      <c r="M26" s="121">
        <f>+K26+'3'!M26+L26</f>
        <v>0</v>
      </c>
      <c r="P26" s="153">
        <f>+O26-O26*0.23</f>
        <v>0</v>
      </c>
      <c r="Q26" s="153">
        <f>480-Q24-Q25</f>
        <v>0</v>
      </c>
      <c r="R26" s="153">
        <f t="shared" si="6"/>
        <v>0</v>
      </c>
      <c r="S26" s="153">
        <f t="shared" si="7"/>
        <v>0</v>
      </c>
    </row>
    <row r="27" spans="1:19" ht="26.25" thickBot="1">
      <c r="A27" s="781"/>
      <c r="B27" s="220"/>
      <c r="C27" s="221"/>
      <c r="D27" s="222"/>
      <c r="E27" s="230"/>
      <c r="F27" s="233"/>
      <c r="G27" s="242" t="s">
        <v>12</v>
      </c>
      <c r="H27" s="238" t="s">
        <v>447</v>
      </c>
      <c r="I27" s="773"/>
      <c r="J27" s="219">
        <f>+'3'!J27</f>
        <v>0</v>
      </c>
      <c r="K27" s="244"/>
      <c r="L27" s="244"/>
      <c r="M27" s="121">
        <f>+K27+'3'!M27+L27</f>
        <v>0</v>
      </c>
      <c r="P27" s="153">
        <f t="shared" ref="P27:P28" si="8">+O27-O27*0.25</f>
        <v>0</v>
      </c>
      <c r="R27" s="153">
        <f t="shared" si="6"/>
        <v>0</v>
      </c>
      <c r="S27" s="153">
        <f t="shared" si="7"/>
        <v>0</v>
      </c>
    </row>
    <row r="28" spans="1:19" ht="13.5" thickBot="1">
      <c r="A28" s="781"/>
      <c r="B28" s="220"/>
      <c r="C28" s="221"/>
      <c r="D28" s="222"/>
      <c r="E28" s="230"/>
      <c r="F28" s="236"/>
      <c r="G28" s="237"/>
      <c r="H28" s="238"/>
      <c r="I28" s="773"/>
      <c r="J28" s="219">
        <f>+'3'!J28</f>
        <v>0</v>
      </c>
      <c r="K28" s="244"/>
      <c r="L28" s="244"/>
      <c r="M28" s="121">
        <f>+K28+'3'!M28+L28</f>
        <v>0</v>
      </c>
      <c r="P28" s="153">
        <f t="shared" si="8"/>
        <v>0</v>
      </c>
      <c r="R28" s="153">
        <f t="shared" si="6"/>
        <v>0</v>
      </c>
      <c r="S28" s="153">
        <f t="shared" si="7"/>
        <v>0</v>
      </c>
    </row>
    <row r="29" spans="1:19" ht="13.5" thickBot="1">
      <c r="A29" s="781"/>
      <c r="B29" s="220"/>
      <c r="C29" s="221"/>
      <c r="D29" s="222"/>
      <c r="E29" s="230"/>
      <c r="F29" s="241"/>
      <c r="G29" s="237"/>
      <c r="H29" s="238"/>
      <c r="I29" s="773"/>
      <c r="J29" s="219">
        <f>+'3'!J29</f>
        <v>0</v>
      </c>
      <c r="K29" s="244"/>
      <c r="L29" s="244"/>
      <c r="M29" s="121">
        <f>+K29+'3'!M29+L29</f>
        <v>0</v>
      </c>
      <c r="Q29" s="153">
        <f>SUM(Q24:Q28)</f>
        <v>480</v>
      </c>
      <c r="R29" s="153">
        <f>SUM(R24:R28)</f>
        <v>590400</v>
      </c>
      <c r="S29" s="153">
        <f>SUM(S24:S28)</f>
        <v>454607.99999999994</v>
      </c>
    </row>
    <row r="30" spans="1:19" ht="13.5" thickBot="1">
      <c r="A30" s="781"/>
      <c r="B30" s="220"/>
      <c r="C30" s="231"/>
      <c r="D30" s="222"/>
      <c r="E30" s="230"/>
      <c r="F30" s="241"/>
      <c r="G30" s="237"/>
      <c r="H30" s="238"/>
      <c r="I30" s="773"/>
      <c r="J30" s="219">
        <f>+'3'!J30</f>
        <v>0</v>
      </c>
      <c r="K30" s="244"/>
      <c r="L30" s="244"/>
      <c r="M30" s="121">
        <f>+K30+'3'!M30+L30</f>
        <v>0</v>
      </c>
      <c r="O30" s="153" t="s">
        <v>404</v>
      </c>
      <c r="R30" s="153">
        <f>+R29/Q29</f>
        <v>1230</v>
      </c>
      <c r="S30" s="153">
        <f>+S29/Q29</f>
        <v>947.09999999999991</v>
      </c>
    </row>
    <row r="31" spans="1:19" ht="13.5" thickBot="1">
      <c r="A31" s="781"/>
      <c r="B31" s="220"/>
      <c r="C31" s="231"/>
      <c r="D31" s="222"/>
      <c r="E31" s="230"/>
      <c r="F31" s="241"/>
      <c r="G31" s="242"/>
      <c r="H31" s="441"/>
      <c r="I31" s="774"/>
      <c r="J31" s="219">
        <f>+'3'!J31</f>
        <v>0</v>
      </c>
      <c r="K31" s="244"/>
      <c r="L31" s="244"/>
      <c r="M31" s="121">
        <f>+K31+'3'!M31+L31</f>
        <v>0</v>
      </c>
    </row>
    <row r="32" spans="1:19" ht="13.5" thickBot="1">
      <c r="A32" s="782"/>
      <c r="B32" s="170" t="s">
        <v>2</v>
      </c>
      <c r="C32" s="103">
        <f>SUM(C25:C31)</f>
        <v>15651</v>
      </c>
      <c r="D32" s="104">
        <f>SUM(D25:D31)</f>
        <v>0</v>
      </c>
      <c r="E32" s="105">
        <f>SUM(E25:E31)</f>
        <v>0</v>
      </c>
      <c r="F32" s="106">
        <f>SUM(F24:F31)</f>
        <v>18</v>
      </c>
      <c r="G32" s="176"/>
      <c r="H32" s="177"/>
      <c r="I32" s="174"/>
      <c r="J32" s="219">
        <f>+'3'!J32</f>
        <v>0</v>
      </c>
      <c r="K32" s="246"/>
      <c r="L32" s="248"/>
      <c r="M32" s="121">
        <f>+K32+'3'!M32+L32</f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44225</v>
      </c>
      <c r="D34" s="111">
        <f>D14+D23+D32</f>
        <v>0</v>
      </c>
      <c r="E34" s="111">
        <f>E14+E23+E32</f>
        <v>0</v>
      </c>
      <c r="F34" s="112">
        <f>F14+F23+F32</f>
        <v>56</v>
      </c>
      <c r="H34" s="183"/>
      <c r="I34" s="183"/>
      <c r="J34" s="127" t="s">
        <v>27</v>
      </c>
      <c r="K34" s="128">
        <f>SUM(K7:K32)</f>
        <v>44225</v>
      </c>
      <c r="L34" s="217">
        <f>SUM(L7:L32)</f>
        <v>0</v>
      </c>
      <c r="M34" s="124">
        <f>SUM(M7:M32)</f>
        <v>164582</v>
      </c>
    </row>
    <row r="35" spans="1:13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(13*1440)/1440*G42*2.74*1440/1000000</f>
        <v>48.355329021999999</v>
      </c>
      <c r="J37" s="129">
        <f>+I37+'3'!J37</f>
        <v>179.374921726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56</v>
      </c>
      <c r="D38" s="122">
        <f>+C38+'3'!D38</f>
        <v>312</v>
      </c>
      <c r="E38" s="147">
        <f t="shared" ref="E38:E51" si="9">D38/60</f>
        <v>5.2</v>
      </c>
      <c r="F38" s="327">
        <v>1225.4583333333333</v>
      </c>
      <c r="G38" s="327">
        <v>943.60291666666672</v>
      </c>
      <c r="H38" s="192" t="s">
        <v>63</v>
      </c>
      <c r="I38" s="250">
        <f>14.652+14.751+15.806</f>
        <v>45.208999999999996</v>
      </c>
      <c r="J38" s="131">
        <f>+I38+'3'!J38</f>
        <v>167.74100000000001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+C39+'3'!D39</f>
        <v>0</v>
      </c>
      <c r="E39" s="147">
        <f t="shared" si="9"/>
        <v>0</v>
      </c>
      <c r="F39" s="327">
        <v>1217.5208333333333</v>
      </c>
      <c r="G39" s="327">
        <v>937.49104166666666</v>
      </c>
      <c r="H39" s="192" t="s">
        <v>64</v>
      </c>
      <c r="I39" s="146"/>
      <c r="J39" s="133">
        <f>J37/G4</f>
        <v>44.843730431499999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>+C40+'3'!D40</f>
        <v>299</v>
      </c>
      <c r="E40" s="147">
        <f t="shared" si="9"/>
        <v>4.9833333333333334</v>
      </c>
      <c r="F40" s="327">
        <v>1230</v>
      </c>
      <c r="G40" s="327">
        <v>947.09999999999991</v>
      </c>
      <c r="H40" s="192" t="s">
        <v>66</v>
      </c>
      <c r="I40" s="122">
        <f>(K34+L34)/1000</f>
        <v>44.225000000000001</v>
      </c>
      <c r="J40" s="135">
        <f>+I40+'3'!J40</f>
        <v>164.58199999999999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>+C41+'3'!D41</f>
        <v>60</v>
      </c>
      <c r="E41" s="147">
        <f t="shared" si="9"/>
        <v>1</v>
      </c>
      <c r="F41" s="327"/>
      <c r="G41" s="327"/>
      <c r="H41" s="192" t="s">
        <v>68</v>
      </c>
      <c r="I41" s="146"/>
      <c r="J41" s="133">
        <f>J40/G4</f>
        <v>41.145499999999998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>+C42+'3'!D42</f>
        <v>0</v>
      </c>
      <c r="E42" s="147">
        <f t="shared" si="9"/>
        <v>0</v>
      </c>
      <c r="F42" s="327">
        <f>+(480*F38+480*F39+480*F40)/1440</f>
        <v>1224.3263888888889</v>
      </c>
      <c r="G42" s="327">
        <f>+(480*G38+480*G39+480*G40)/1440</f>
        <v>942.73131944444447</v>
      </c>
      <c r="H42" s="192" t="s">
        <v>69</v>
      </c>
      <c r="I42" s="251"/>
      <c r="J42" s="136"/>
      <c r="K42" s="134" t="s">
        <v>70</v>
      </c>
    </row>
    <row r="43" spans="1:13" ht="17.45" customHeight="1">
      <c r="A43" s="763" t="s">
        <v>222</v>
      </c>
      <c r="B43" s="764"/>
      <c r="C43" s="168">
        <f>SUMIF($G$7:$G$31,"Change Grade",$F$7:$F$31)</f>
        <v>0</v>
      </c>
      <c r="D43" s="122">
        <f>+C43+'3'!D43</f>
        <v>0</v>
      </c>
      <c r="E43" s="147">
        <f t="shared" si="9"/>
        <v>0</v>
      </c>
      <c r="F43" s="327"/>
      <c r="G43" s="328"/>
      <c r="H43" s="193" t="s">
        <v>72</v>
      </c>
      <c r="I43" s="122">
        <f>+Report1!Z12</f>
        <v>59.3</v>
      </c>
      <c r="J43" s="137">
        <f>+I43+'3'!J43</f>
        <v>226.8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+C44+'3'!D44</f>
        <v>0</v>
      </c>
      <c r="E44" s="147">
        <f t="shared" si="9"/>
        <v>0</v>
      </c>
      <c r="F44" s="327"/>
      <c r="G44" s="328"/>
      <c r="H44" s="193" t="s">
        <v>73</v>
      </c>
      <c r="I44" s="122">
        <f>+Report1!Z12</f>
        <v>59.3</v>
      </c>
      <c r="J44" s="138">
        <f>J43/J38</f>
        <v>1.3520844635479699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>+C45+'3'!D45</f>
        <v>0</v>
      </c>
      <c r="E45" s="147">
        <f t="shared" si="9"/>
        <v>0</v>
      </c>
      <c r="F45" s="327"/>
      <c r="G45" s="330"/>
      <c r="H45" s="193" t="s">
        <v>74</v>
      </c>
      <c r="I45" s="122">
        <f>I43/I40</f>
        <v>1.3408705483323911</v>
      </c>
      <c r="J45" s="138">
        <f>J43/J40</f>
        <v>1.3780364802955367</v>
      </c>
      <c r="K45" s="134" t="s">
        <v>62</v>
      </c>
    </row>
    <row r="46" spans="1:13" ht="17.45" customHeight="1">
      <c r="A46" s="763" t="s">
        <v>287</v>
      </c>
      <c r="B46" s="764"/>
      <c r="C46" s="168">
        <f>SUMIF($G$7:$G$31,"Sinergy",$F$7:$F$31)</f>
        <v>0</v>
      </c>
      <c r="D46" s="122">
        <f>+C46+'3'!D46</f>
        <v>0</v>
      </c>
      <c r="E46" s="147">
        <f t="shared" si="9"/>
        <v>0</v>
      </c>
      <c r="F46" s="327"/>
      <c r="G46" s="328"/>
      <c r="H46" s="193" t="s">
        <v>76</v>
      </c>
      <c r="I46" s="144">
        <f>+SUMIF(Listrik!P11,"&gt;0")</f>
        <v>36624.459999999635</v>
      </c>
      <c r="J46" s="139">
        <f>+I46+'3'!J46</f>
        <v>142305.44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>+C47+'3'!D47</f>
        <v>0</v>
      </c>
      <c r="E47" s="147">
        <f t="shared" si="9"/>
        <v>0</v>
      </c>
      <c r="F47" s="327"/>
      <c r="G47" s="328"/>
      <c r="H47" s="193" t="s">
        <v>79</v>
      </c>
      <c r="I47" s="122">
        <f>I46/I38</f>
        <v>810.11435776061489</v>
      </c>
      <c r="J47" s="139">
        <f>J46/J38</f>
        <v>848.36408510739761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>+C48+'3'!D48</f>
        <v>0</v>
      </c>
      <c r="E48" s="147">
        <f t="shared" si="9"/>
        <v>0</v>
      </c>
      <c r="F48" s="327"/>
      <c r="G48" s="328"/>
      <c r="H48" s="193" t="s">
        <v>80</v>
      </c>
      <c r="I48" s="122">
        <f>I46/I40</f>
        <v>828.13928773317434</v>
      </c>
      <c r="J48" s="139">
        <f>J46/J40</f>
        <v>864.64765284174462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+C49+'3'!D49</f>
        <v>0</v>
      </c>
      <c r="E49" s="147">
        <f t="shared" si="9"/>
        <v>0</v>
      </c>
      <c r="F49" s="190"/>
      <c r="H49" s="193" t="s">
        <v>270</v>
      </c>
      <c r="I49" s="122">
        <f>+Report1!T12</f>
        <v>4264.5632509825946</v>
      </c>
      <c r="J49" s="139">
        <f>+I49+'3'!J49</f>
        <v>15337.432540221824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+C50+'3'!D50</f>
        <v>0</v>
      </c>
      <c r="E50" s="147">
        <f t="shared" si="9"/>
        <v>0</v>
      </c>
      <c r="F50" s="190"/>
      <c r="H50" s="193" t="s">
        <v>82</v>
      </c>
      <c r="I50" s="144">
        <f>I49/I38</f>
        <v>94.329961976212587</v>
      </c>
      <c r="J50" s="137">
        <f>J49/J38</f>
        <v>91.435203916882713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+C51+'3'!D51</f>
        <v>0</v>
      </c>
      <c r="E51" s="147">
        <f t="shared" si="9"/>
        <v>0</v>
      </c>
      <c r="F51" s="190"/>
      <c r="H51" s="195" t="s">
        <v>84</v>
      </c>
      <c r="I51" s="145">
        <f>I49/I40</f>
        <v>96.428790299210732</v>
      </c>
      <c r="J51" s="140">
        <f>J49/J40</f>
        <v>93.19021849425711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56</v>
      </c>
      <c r="D52" s="148">
        <f>SUM(D38:D51)</f>
        <v>671</v>
      </c>
      <c r="E52" s="149">
        <f>SUM(E38:E51)</f>
        <v>11.183333333333334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3.888888888888889E-2</v>
      </c>
      <c r="D53" s="150">
        <f>D52/(24*60*G4)</f>
        <v>0.11649305555555556</v>
      </c>
      <c r="E53" s="151">
        <f>E52/(G4*24)</f>
        <v>0.11649305555555556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+D34+'3'!J56</f>
        <v>552</v>
      </c>
      <c r="K56" s="206">
        <f>J56/(J40+J56/1000)/1000</f>
        <v>3.3427398355275113E-3</v>
      </c>
    </row>
    <row r="57" spans="1:11">
      <c r="A57" s="181"/>
      <c r="I57" s="204" t="s">
        <v>87</v>
      </c>
      <c r="J57" s="205">
        <f>+E34+'3'!J57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topLeftCell="A46" zoomScale="80" zoomScaleNormal="75" zoomScaleSheetLayoutView="80" workbookViewId="0">
      <selection activeCell="B7" sqref="B7:B2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1.42578125" style="153" bestFit="1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3.7109375" style="153" bestFit="1" customWidth="1"/>
    <col min="12" max="12" width="8.28515625" style="153" customWidth="1"/>
    <col min="13" max="13" width="14.5703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3</v>
      </c>
      <c r="H4" s="158" t="str">
        <f>+'1'!H4</f>
        <v>.08.25</v>
      </c>
      <c r="J4" s="153">
        <f>586+614+509</f>
        <v>1709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430</v>
      </c>
      <c r="O6" s="153">
        <v>1230</v>
      </c>
      <c r="P6" s="153">
        <f>+O6-O6*0.23</f>
        <v>947.09999999999991</v>
      </c>
      <c r="Q6" s="153">
        <v>480</v>
      </c>
      <c r="R6" s="153">
        <f>+O6*Q6</f>
        <v>590400</v>
      </c>
      <c r="S6" s="153">
        <f>+P6*Q6</f>
        <v>454607.99999999994</v>
      </c>
    </row>
    <row r="7" spans="1:19" ht="13.5" customHeight="1" thickBot="1">
      <c r="A7" s="769" t="s">
        <v>442</v>
      </c>
      <c r="B7" s="221" t="s">
        <v>414</v>
      </c>
      <c r="C7" s="221">
        <v>15540</v>
      </c>
      <c r="D7" s="222"/>
      <c r="E7" s="223"/>
      <c r="F7" s="233">
        <v>25</v>
      </c>
      <c r="G7" s="234" t="s">
        <v>11</v>
      </c>
      <c r="H7" s="235" t="s">
        <v>433</v>
      </c>
      <c r="I7" s="772" t="s">
        <v>405</v>
      </c>
      <c r="J7" s="219" t="str">
        <f>+'2'!J7</f>
        <v>T 13 VP OW</v>
      </c>
      <c r="K7" s="243">
        <f>+C34</f>
        <v>29979</v>
      </c>
      <c r="L7" s="247"/>
      <c r="M7" s="121">
        <f>+K7+'2'!M7+L7</f>
        <v>120357</v>
      </c>
      <c r="P7" s="153">
        <f>+O7-O7*0.23</f>
        <v>0</v>
      </c>
      <c r="R7" s="153">
        <f t="shared" ref="R7:R10" si="0">+O7*Q7</f>
        <v>0</v>
      </c>
      <c r="S7" s="153">
        <f t="shared" ref="S7:S10" si="1">+P7*Q7</f>
        <v>0</v>
      </c>
    </row>
    <row r="8" spans="1:19" ht="13.5" thickBot="1">
      <c r="A8" s="778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>
        <f>+'2'!J8</f>
        <v>0</v>
      </c>
      <c r="K8" s="244"/>
      <c r="L8" s="244"/>
      <c r="M8" s="121">
        <f>+K8+'2'!M8+L8</f>
        <v>0</v>
      </c>
      <c r="P8" s="153">
        <f>+O8-O8*0.23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8"/>
      <c r="B9" s="220"/>
      <c r="C9" s="221"/>
      <c r="D9" s="222"/>
      <c r="E9" s="225"/>
      <c r="F9" s="233">
        <f>37-25</f>
        <v>12</v>
      </c>
      <c r="G9" s="237" t="s">
        <v>11</v>
      </c>
      <c r="H9" s="238" t="s">
        <v>408</v>
      </c>
      <c r="I9" s="773"/>
      <c r="J9" s="219">
        <f>+'2'!J9</f>
        <v>0</v>
      </c>
      <c r="K9" s="244"/>
      <c r="L9" s="244"/>
      <c r="M9" s="121">
        <f>+K9+'2'!M9+L9</f>
        <v>0</v>
      </c>
      <c r="P9" s="153">
        <f t="shared" ref="P9:P10" si="2">+O9-O9*0.25</f>
        <v>0</v>
      </c>
      <c r="R9" s="153">
        <f t="shared" si="0"/>
        <v>0</v>
      </c>
      <c r="S9" s="153">
        <f t="shared" si="1"/>
        <v>0</v>
      </c>
    </row>
    <row r="10" spans="1:19" ht="26.25" thickBot="1">
      <c r="A10" s="778"/>
      <c r="B10" s="220"/>
      <c r="C10" s="221"/>
      <c r="D10" s="222"/>
      <c r="E10" s="224"/>
      <c r="F10" s="233"/>
      <c r="G10" s="242" t="s">
        <v>12</v>
      </c>
      <c r="H10" s="238" t="s">
        <v>423</v>
      </c>
      <c r="I10" s="773"/>
      <c r="J10" s="219">
        <f>+'2'!J10</f>
        <v>0</v>
      </c>
      <c r="K10" s="244"/>
      <c r="L10" s="244"/>
      <c r="M10" s="121">
        <f>+K10+'2'!M10+L10</f>
        <v>0</v>
      </c>
      <c r="P10" s="153">
        <f t="shared" si="2"/>
        <v>0</v>
      </c>
      <c r="R10" s="153">
        <f t="shared" si="0"/>
        <v>0</v>
      </c>
      <c r="S10" s="153">
        <f t="shared" si="1"/>
        <v>0</v>
      </c>
    </row>
    <row r="11" spans="1:19" ht="13.5" thickBot="1">
      <c r="A11" s="778"/>
      <c r="B11" s="220"/>
      <c r="C11" s="221"/>
      <c r="D11" s="222"/>
      <c r="E11" s="224"/>
      <c r="F11" s="233"/>
      <c r="G11" s="237"/>
      <c r="H11" s="238"/>
      <c r="I11" s="773"/>
      <c r="J11" s="219">
        <f>+'2'!J11</f>
        <v>0</v>
      </c>
      <c r="K11" s="244"/>
      <c r="L11" s="244"/>
      <c r="M11" s="121">
        <f>+K11+'2'!M11+L11</f>
        <v>0</v>
      </c>
      <c r="Q11" s="153">
        <f>SUM(Q6:Q10)</f>
        <v>480</v>
      </c>
      <c r="R11" s="153">
        <f>SUM(R6:R10)</f>
        <v>590400</v>
      </c>
      <c r="S11" s="153">
        <f>SUM(S6:S10)</f>
        <v>454607.99999999994</v>
      </c>
    </row>
    <row r="12" spans="1:19" ht="13.5" thickBot="1">
      <c r="A12" s="778"/>
      <c r="B12" s="220"/>
      <c r="C12" s="221"/>
      <c r="D12" s="222"/>
      <c r="E12" s="224"/>
      <c r="F12" s="233"/>
      <c r="G12" s="237"/>
      <c r="H12" s="238"/>
      <c r="I12" s="773"/>
      <c r="J12" s="219">
        <f>+'2'!J12</f>
        <v>0</v>
      </c>
      <c r="K12" s="244"/>
      <c r="L12" s="244"/>
      <c r="M12" s="121">
        <f>+K12+'2'!M12+L12</f>
        <v>0</v>
      </c>
      <c r="O12" s="153" t="s">
        <v>404</v>
      </c>
      <c r="R12" s="153">
        <f>+R11/Q11</f>
        <v>1230</v>
      </c>
      <c r="S12" s="153">
        <f>+S11/Q11</f>
        <v>947.09999999999991</v>
      </c>
    </row>
    <row r="13" spans="1:19" ht="13.5" thickBot="1">
      <c r="A13" s="778"/>
      <c r="B13" s="220"/>
      <c r="C13" s="221"/>
      <c r="D13" s="221"/>
      <c r="E13" s="224"/>
      <c r="F13" s="233"/>
      <c r="G13" s="237"/>
      <c r="H13" s="238"/>
      <c r="I13" s="774"/>
      <c r="J13" s="219">
        <f>+'2'!J13</f>
        <v>0</v>
      </c>
      <c r="K13" s="244"/>
      <c r="L13" s="244"/>
      <c r="M13" s="121">
        <f>+K13+'2'!M13+L13</f>
        <v>0</v>
      </c>
    </row>
    <row r="14" spans="1:19" ht="13.5" thickBot="1">
      <c r="A14" s="779"/>
      <c r="B14" s="170" t="s">
        <v>2</v>
      </c>
      <c r="C14" s="103">
        <f>SUM(C7:C13)</f>
        <v>15540</v>
      </c>
      <c r="D14" s="115">
        <f>SUM(D7:D13)</f>
        <v>0</v>
      </c>
      <c r="E14" s="116">
        <f>SUM(E5:E13)</f>
        <v>0</v>
      </c>
      <c r="F14" s="120">
        <f>SUM(F7:F13)</f>
        <v>37</v>
      </c>
      <c r="G14" s="163"/>
      <c r="H14" s="171"/>
      <c r="I14" s="172"/>
      <c r="J14" s="219">
        <f>+'2'!J14</f>
        <v>0</v>
      </c>
      <c r="K14" s="244"/>
      <c r="L14" s="244"/>
      <c r="M14" s="121">
        <f>+K14+'2'!M14+L14</f>
        <v>0</v>
      </c>
      <c r="N14" s="153" t="s">
        <v>430</v>
      </c>
      <c r="O14" s="153">
        <v>1230</v>
      </c>
      <c r="P14" s="153">
        <f>+O14-O14*0.23</f>
        <v>947.09999999999991</v>
      </c>
      <c r="Q14" s="153">
        <f>60*5+10</f>
        <v>310</v>
      </c>
      <c r="R14" s="153">
        <f>+O14*Q14</f>
        <v>381300</v>
      </c>
      <c r="S14" s="153">
        <f>+P14*Q14</f>
        <v>293601</v>
      </c>
    </row>
    <row r="15" spans="1:19" ht="13.5" customHeight="1" thickBot="1">
      <c r="A15" s="780" t="s">
        <v>445</v>
      </c>
      <c r="B15" s="170"/>
      <c r="C15" s="117">
        <f>C14/($C$23+$D$23+$E$23)</f>
        <v>1.4549199513154198</v>
      </c>
      <c r="D15" s="118">
        <f>D14/($C$23+$D$23+$E$23)</f>
        <v>0</v>
      </c>
      <c r="E15" s="119">
        <f>E14/($C$23+$D$23+$E$23)</f>
        <v>0</v>
      </c>
      <c r="F15" s="233"/>
      <c r="G15" s="234" t="s">
        <v>11</v>
      </c>
      <c r="H15" s="235" t="s">
        <v>387</v>
      </c>
      <c r="I15" s="772" t="s">
        <v>405</v>
      </c>
      <c r="J15" s="219">
        <f>+'2'!J15</f>
        <v>0</v>
      </c>
      <c r="K15" s="244"/>
      <c r="L15" s="244"/>
      <c r="M15" s="121">
        <f>+K15+'2'!M15+L15</f>
        <v>0</v>
      </c>
      <c r="P15" s="153">
        <f>+O15-O15*0.23</f>
        <v>0</v>
      </c>
      <c r="R15" s="153">
        <f t="shared" ref="R15:R18" si="3">+O15*Q15</f>
        <v>0</v>
      </c>
      <c r="S15" s="153">
        <f t="shared" ref="S15:S18" si="4">+P15*Q15</f>
        <v>0</v>
      </c>
    </row>
    <row r="16" spans="1:19" ht="13.5" thickBot="1">
      <c r="A16" s="781"/>
      <c r="B16" s="221" t="s">
        <v>414</v>
      </c>
      <c r="C16" s="227">
        <v>10681</v>
      </c>
      <c r="D16" s="228"/>
      <c r="E16" s="229"/>
      <c r="F16" s="236"/>
      <c r="G16" s="237" t="s">
        <v>11</v>
      </c>
      <c r="H16" s="235" t="s">
        <v>286</v>
      </c>
      <c r="I16" s="773"/>
      <c r="J16" s="219">
        <f>+'2'!J16</f>
        <v>0</v>
      </c>
      <c r="K16" s="234"/>
      <c r="L16" s="234"/>
      <c r="M16" s="121">
        <f>+K16+'2'!M16+L16</f>
        <v>0</v>
      </c>
      <c r="P16" s="153">
        <f>+O16-O16*0.23</f>
        <v>0</v>
      </c>
      <c r="R16" s="153">
        <f t="shared" si="3"/>
        <v>0</v>
      </c>
      <c r="S16" s="153">
        <f t="shared" si="4"/>
        <v>0</v>
      </c>
    </row>
    <row r="17" spans="1:19" ht="13.5" thickBot="1">
      <c r="A17" s="781"/>
      <c r="B17" s="220"/>
      <c r="C17" s="221"/>
      <c r="D17" s="222"/>
      <c r="E17" s="230"/>
      <c r="F17" s="233">
        <v>12</v>
      </c>
      <c r="G17" s="237" t="s">
        <v>11</v>
      </c>
      <c r="H17" s="238" t="s">
        <v>434</v>
      </c>
      <c r="I17" s="773"/>
      <c r="J17" s="219">
        <f>+'2'!J17</f>
        <v>0</v>
      </c>
      <c r="K17" s="234"/>
      <c r="L17" s="234"/>
      <c r="M17" s="121">
        <f>+K17+'2'!M17+L17</f>
        <v>0</v>
      </c>
      <c r="P17" s="153">
        <f t="shared" ref="P17:P18" si="5">+O17-O17*0.25</f>
        <v>0</v>
      </c>
      <c r="R17" s="153">
        <f t="shared" si="3"/>
        <v>0</v>
      </c>
      <c r="S17" s="153">
        <f t="shared" si="4"/>
        <v>0</v>
      </c>
    </row>
    <row r="18" spans="1:19" ht="13.5" thickBot="1">
      <c r="A18" s="781"/>
      <c r="B18" s="220"/>
      <c r="C18" s="221"/>
      <c r="D18" s="222"/>
      <c r="E18" s="230"/>
      <c r="F18" s="233"/>
      <c r="G18" s="242" t="s">
        <v>12</v>
      </c>
      <c r="H18" s="238" t="s">
        <v>421</v>
      </c>
      <c r="I18" s="773"/>
      <c r="J18" s="219">
        <f>+'2'!J18</f>
        <v>0</v>
      </c>
      <c r="K18" s="244"/>
      <c r="L18" s="244"/>
      <c r="M18" s="121">
        <f>+K18+'2'!M18+L18</f>
        <v>0</v>
      </c>
      <c r="P18" s="153">
        <f t="shared" si="5"/>
        <v>0</v>
      </c>
      <c r="R18" s="153">
        <f t="shared" si="3"/>
        <v>0</v>
      </c>
      <c r="S18" s="153">
        <f t="shared" si="4"/>
        <v>0</v>
      </c>
    </row>
    <row r="19" spans="1:19" ht="187.5" customHeight="1" thickBot="1">
      <c r="A19" s="781"/>
      <c r="B19" s="220"/>
      <c r="C19" s="221"/>
      <c r="D19" s="222"/>
      <c r="E19" s="230"/>
      <c r="F19" s="233">
        <v>60</v>
      </c>
      <c r="G19" s="237" t="s">
        <v>11</v>
      </c>
      <c r="H19" s="238" t="s">
        <v>422</v>
      </c>
      <c r="I19" s="773"/>
      <c r="J19" s="219">
        <f>+'2'!J19</f>
        <v>0</v>
      </c>
      <c r="K19" s="244"/>
      <c r="L19" s="244"/>
      <c r="M19" s="121">
        <f>+K19+'2'!M19+L19</f>
        <v>0</v>
      </c>
      <c r="Q19" s="153">
        <f>SUM(Q14:Q18)</f>
        <v>310</v>
      </c>
      <c r="R19" s="153">
        <f>SUM(R14:R18)</f>
        <v>381300</v>
      </c>
      <c r="S19" s="153">
        <f>SUM(S14:S18)</f>
        <v>293601</v>
      </c>
    </row>
    <row r="20" spans="1:19" ht="13.5" thickBot="1">
      <c r="A20" s="781"/>
      <c r="B20" s="220"/>
      <c r="C20" s="221"/>
      <c r="D20" s="222"/>
      <c r="E20" s="230"/>
      <c r="F20" s="233">
        <v>60</v>
      </c>
      <c r="G20" s="237" t="s">
        <v>67</v>
      </c>
      <c r="H20" s="238"/>
      <c r="I20" s="773"/>
      <c r="J20" s="219">
        <f>+'2'!J20</f>
        <v>0</v>
      </c>
      <c r="K20" s="245"/>
      <c r="L20" s="245"/>
      <c r="M20" s="121">
        <f>+K20+'2'!M20+L20</f>
        <v>0</v>
      </c>
      <c r="O20" s="153" t="s">
        <v>404</v>
      </c>
      <c r="Q20" s="153">
        <f>60+60+50</f>
        <v>170</v>
      </c>
      <c r="R20" s="153">
        <f>+R19/Q19</f>
        <v>1230</v>
      </c>
      <c r="S20" s="153">
        <f>+S19/Q19</f>
        <v>947.1</v>
      </c>
    </row>
    <row r="21" spans="1:19" ht="13.5" thickBot="1">
      <c r="A21" s="781"/>
      <c r="B21" s="220"/>
      <c r="C21" s="221"/>
      <c r="D21" s="222"/>
      <c r="E21" s="230"/>
      <c r="F21" s="236">
        <v>50</v>
      </c>
      <c r="G21" s="237" t="s">
        <v>65</v>
      </c>
      <c r="H21" s="238"/>
      <c r="I21" s="773"/>
      <c r="J21" s="219">
        <f>+'2'!J21</f>
        <v>0</v>
      </c>
      <c r="K21" s="244"/>
      <c r="L21" s="244"/>
      <c r="M21" s="121">
        <f>+K21+'2'!M21+L21</f>
        <v>0</v>
      </c>
      <c r="Q21" s="153">
        <f>+Q19+Q20</f>
        <v>480</v>
      </c>
    </row>
    <row r="22" spans="1:19" ht="13.5" thickBot="1">
      <c r="A22" s="781"/>
      <c r="B22" s="220"/>
      <c r="C22" s="221"/>
      <c r="D22" s="222"/>
      <c r="E22" s="230"/>
      <c r="F22" s="241"/>
      <c r="G22" s="237"/>
      <c r="H22" s="238"/>
      <c r="I22" s="774"/>
      <c r="J22" s="219">
        <f>+'2'!J22</f>
        <v>0</v>
      </c>
      <c r="K22" s="244"/>
      <c r="L22" s="244"/>
      <c r="M22" s="121">
        <f>+K22+'2'!M22+L22</f>
        <v>0</v>
      </c>
    </row>
    <row r="23" spans="1:19" ht="13.5" thickBot="1">
      <c r="A23" s="782"/>
      <c r="B23" s="173" t="s">
        <v>2</v>
      </c>
      <c r="C23" s="104">
        <f>SUM(C16:C22)</f>
        <v>10681</v>
      </c>
      <c r="D23" s="115">
        <f>SUM(D16:D22)</f>
        <v>0</v>
      </c>
      <c r="E23" s="116">
        <f>SUM(E18:E22)</f>
        <v>0</v>
      </c>
      <c r="F23" s="120">
        <f>SUM(F15:F22)</f>
        <v>182</v>
      </c>
      <c r="G23" s="163"/>
      <c r="H23" s="171"/>
      <c r="I23" s="174"/>
      <c r="J23" s="219">
        <f>+'2'!J23</f>
        <v>0</v>
      </c>
      <c r="K23" s="244"/>
      <c r="L23" s="244"/>
      <c r="M23" s="121">
        <f>+K23+'2'!M23+L23</f>
        <v>0</v>
      </c>
    </row>
    <row r="24" spans="1:19" ht="13.5" customHeight="1" thickBot="1">
      <c r="A24" s="780" t="s">
        <v>446</v>
      </c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431</v>
      </c>
      <c r="J24" s="219">
        <f>+'2'!J24</f>
        <v>0</v>
      </c>
      <c r="K24" s="244"/>
      <c r="L24" s="244"/>
      <c r="M24" s="121">
        <f>+K24+'2'!M24+L24</f>
        <v>0</v>
      </c>
      <c r="N24" s="153" t="s">
        <v>430</v>
      </c>
      <c r="O24" s="153">
        <v>1100</v>
      </c>
      <c r="P24" s="153">
        <f>+O24-O24*0.23</f>
        <v>847</v>
      </c>
      <c r="Q24" s="153">
        <f>60-9+50</f>
        <v>101</v>
      </c>
      <c r="R24" s="153">
        <f>+O24*Q24</f>
        <v>111100</v>
      </c>
      <c r="S24" s="153">
        <f>+P24*Q24</f>
        <v>85547</v>
      </c>
    </row>
    <row r="25" spans="1:19" ht="13.5" thickBot="1">
      <c r="A25" s="781"/>
      <c r="B25" s="221" t="s">
        <v>414</v>
      </c>
      <c r="C25" s="231">
        <v>3758</v>
      </c>
      <c r="D25" s="222"/>
      <c r="E25" s="230"/>
      <c r="F25" s="236"/>
      <c r="G25" s="237" t="s">
        <v>11</v>
      </c>
      <c r="H25" s="235" t="s">
        <v>286</v>
      </c>
      <c r="I25" s="773"/>
      <c r="J25" s="219">
        <f>+'2'!J25</f>
        <v>0</v>
      </c>
      <c r="K25" s="244"/>
      <c r="L25" s="244"/>
      <c r="M25" s="121">
        <f>+K25+'2'!M25+L25</f>
        <v>0</v>
      </c>
      <c r="O25" s="153">
        <v>1120</v>
      </c>
      <c r="P25" s="153">
        <f t="shared" ref="P25:P27" si="6">+O25-O25*0.23</f>
        <v>862.4</v>
      </c>
      <c r="Q25" s="153">
        <f>60-50+11</f>
        <v>21</v>
      </c>
      <c r="R25" s="153">
        <f t="shared" ref="R25:R28" si="7">+O25*Q25</f>
        <v>23520</v>
      </c>
      <c r="S25" s="153">
        <f t="shared" ref="S25:S28" si="8">+P25*Q25</f>
        <v>18110.399999999998</v>
      </c>
    </row>
    <row r="26" spans="1:19" ht="13.5" thickBot="1">
      <c r="A26" s="781"/>
      <c r="B26" s="220"/>
      <c r="C26" s="231"/>
      <c r="D26" s="222"/>
      <c r="E26" s="232"/>
      <c r="F26" s="233">
        <v>5</v>
      </c>
      <c r="G26" s="237" t="s">
        <v>11</v>
      </c>
      <c r="H26" s="238" t="s">
        <v>435</v>
      </c>
      <c r="I26" s="773"/>
      <c r="J26" s="219">
        <f>+'2'!J26</f>
        <v>0</v>
      </c>
      <c r="K26" s="244"/>
      <c r="L26" s="244"/>
      <c r="M26" s="121">
        <f>+K26+'2'!M26+L26</f>
        <v>0</v>
      </c>
      <c r="O26" s="153">
        <v>1160</v>
      </c>
      <c r="P26" s="153">
        <f t="shared" si="6"/>
        <v>893.2</v>
      </c>
      <c r="Q26" s="153">
        <f>60-11</f>
        <v>49</v>
      </c>
      <c r="R26" s="153">
        <f t="shared" si="7"/>
        <v>56840</v>
      </c>
      <c r="S26" s="153">
        <f t="shared" si="8"/>
        <v>43766.8</v>
      </c>
    </row>
    <row r="27" spans="1:19" ht="26.25" thickBot="1">
      <c r="A27" s="781"/>
      <c r="B27" s="220"/>
      <c r="C27" s="221"/>
      <c r="D27" s="222"/>
      <c r="E27" s="230"/>
      <c r="F27" s="233"/>
      <c r="G27" s="242" t="s">
        <v>12</v>
      </c>
      <c r="H27" s="238" t="s">
        <v>419</v>
      </c>
      <c r="I27" s="773"/>
      <c r="J27" s="219">
        <f>+'2'!J27</f>
        <v>0</v>
      </c>
      <c r="K27" s="244"/>
      <c r="L27" s="244"/>
      <c r="M27" s="121">
        <f>+K27+'2'!M27+L27</f>
        <v>0</v>
      </c>
      <c r="O27" s="153">
        <v>1190</v>
      </c>
      <c r="P27" s="153">
        <f t="shared" si="6"/>
        <v>916.3</v>
      </c>
      <c r="Q27" s="153">
        <v>60</v>
      </c>
      <c r="R27" s="153">
        <f t="shared" si="7"/>
        <v>71400</v>
      </c>
      <c r="S27" s="153">
        <f t="shared" si="8"/>
        <v>54978</v>
      </c>
    </row>
    <row r="28" spans="1:19" ht="227.25" customHeight="1" thickBot="1">
      <c r="A28" s="781"/>
      <c r="B28" s="220"/>
      <c r="C28" s="221"/>
      <c r="D28" s="222"/>
      <c r="E28" s="230"/>
      <c r="F28" s="236">
        <v>249</v>
      </c>
      <c r="G28" s="237" t="s">
        <v>65</v>
      </c>
      <c r="H28" s="238" t="s">
        <v>420</v>
      </c>
      <c r="I28" s="773"/>
      <c r="J28" s="219">
        <f>+'2'!J28</f>
        <v>0</v>
      </c>
      <c r="K28" s="244"/>
      <c r="L28" s="244"/>
      <c r="M28" s="121">
        <f>+K28+'2'!M28+L28</f>
        <v>0</v>
      </c>
      <c r="P28" s="153">
        <f t="shared" ref="P28" si="9">+O28-O28*0.25</f>
        <v>0</v>
      </c>
      <c r="R28" s="153">
        <f t="shared" si="7"/>
        <v>0</v>
      </c>
      <c r="S28" s="153">
        <f t="shared" si="8"/>
        <v>0</v>
      </c>
    </row>
    <row r="29" spans="1:19" ht="13.5" thickBot="1">
      <c r="A29" s="781"/>
      <c r="B29" s="220"/>
      <c r="C29" s="221"/>
      <c r="D29" s="222"/>
      <c r="E29" s="230"/>
      <c r="F29" s="241"/>
      <c r="G29" s="237"/>
      <c r="H29" s="238"/>
      <c r="I29" s="773"/>
      <c r="J29" s="219">
        <f>+'2'!J29</f>
        <v>0</v>
      </c>
      <c r="K29" s="244"/>
      <c r="L29" s="244"/>
      <c r="M29" s="121">
        <f>+K29+'2'!M29+L29</f>
        <v>0</v>
      </c>
      <c r="Q29" s="153">
        <f>SUM(Q24:Q28)</f>
        <v>231</v>
      </c>
      <c r="R29" s="153">
        <f>SUM(R24:R28)</f>
        <v>262860</v>
      </c>
      <c r="S29" s="153">
        <f>SUM(S24:S28)</f>
        <v>202402.2</v>
      </c>
    </row>
    <row r="30" spans="1:19" ht="13.5" thickBot="1">
      <c r="A30" s="781"/>
      <c r="B30" s="220"/>
      <c r="C30" s="231"/>
      <c r="D30" s="222"/>
      <c r="E30" s="230"/>
      <c r="F30" s="241"/>
      <c r="G30" s="237"/>
      <c r="H30" s="238"/>
      <c r="I30" s="773"/>
      <c r="J30" s="219">
        <f>+'2'!J30</f>
        <v>0</v>
      </c>
      <c r="K30" s="244"/>
      <c r="L30" s="244"/>
      <c r="M30" s="121">
        <f>+K30+'2'!M30+L30</f>
        <v>0</v>
      </c>
      <c r="O30" s="153" t="s">
        <v>404</v>
      </c>
      <c r="Q30" s="153">
        <v>249</v>
      </c>
      <c r="R30" s="153">
        <f>+R29/Q29</f>
        <v>1137.922077922078</v>
      </c>
      <c r="S30" s="153">
        <f>+S29/Q29</f>
        <v>876.2</v>
      </c>
    </row>
    <row r="31" spans="1:19" ht="13.5" thickBot="1">
      <c r="A31" s="781"/>
      <c r="B31" s="220"/>
      <c r="C31" s="231"/>
      <c r="D31" s="222"/>
      <c r="E31" s="230"/>
      <c r="F31" s="241"/>
      <c r="G31" s="242"/>
      <c r="H31" s="441"/>
      <c r="I31" s="774"/>
      <c r="J31" s="219">
        <f>+'2'!J31</f>
        <v>0</v>
      </c>
      <c r="K31" s="244"/>
      <c r="L31" s="244"/>
      <c r="M31" s="121">
        <f>+K31+'2'!M31+L31</f>
        <v>0</v>
      </c>
      <c r="Q31" s="153">
        <f>+Q29+Q30</f>
        <v>480</v>
      </c>
    </row>
    <row r="32" spans="1:19" ht="13.5" thickBot="1">
      <c r="A32" s="782"/>
      <c r="B32" s="170" t="s">
        <v>2</v>
      </c>
      <c r="C32" s="103">
        <f>SUM(C25:C31)</f>
        <v>3758</v>
      </c>
      <c r="D32" s="104">
        <f>SUM(D25:D31)</f>
        <v>0</v>
      </c>
      <c r="E32" s="105">
        <f>SUM(E25:E31)</f>
        <v>0</v>
      </c>
      <c r="F32" s="106">
        <f>SUM(F24:F31)</f>
        <v>254</v>
      </c>
      <c r="G32" s="176"/>
      <c r="H32" s="177"/>
      <c r="I32" s="174"/>
      <c r="J32" s="219">
        <f>+'2'!J32</f>
        <v>0</v>
      </c>
      <c r="K32" s="246"/>
      <c r="L32" s="248"/>
      <c r="M32" s="121">
        <f>+K32+'2'!M32+L32</f>
        <v>0</v>
      </c>
    </row>
    <row r="33" spans="1:14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4" ht="13.5" thickBot="1">
      <c r="A34" s="765" t="s">
        <v>56</v>
      </c>
      <c r="B34" s="766"/>
      <c r="C34" s="111">
        <f>C14+C23+C32</f>
        <v>29979</v>
      </c>
      <c r="D34" s="111">
        <f>D14+D23+D32</f>
        <v>0</v>
      </c>
      <c r="E34" s="111">
        <f>E14+E23+E32</f>
        <v>0</v>
      </c>
      <c r="F34" s="112">
        <f>F14+F23+F32</f>
        <v>473</v>
      </c>
      <c r="H34" s="183"/>
      <c r="I34" s="183"/>
      <c r="J34" s="127" t="s">
        <v>27</v>
      </c>
      <c r="K34" s="128">
        <f>SUM(K7:K32)</f>
        <v>29979</v>
      </c>
      <c r="L34" s="217">
        <f>SUM(L7:L32)</f>
        <v>0</v>
      </c>
      <c r="M34" s="124">
        <f>SUM(M7:M32)</f>
        <v>120357</v>
      </c>
    </row>
    <row r="35" spans="1:14" ht="13.5" thickBot="1">
      <c r="A35" s="184"/>
      <c r="B35" s="185"/>
      <c r="C35" s="108">
        <f>C34/($C$34+$D$34+$E$34)</f>
        <v>1</v>
      </c>
      <c r="D35" s="108">
        <f>D34/($C$34+$D$34+$E$34)</f>
        <v>0</v>
      </c>
      <c r="E35" s="113">
        <f>E34/($C$34+$D$34+$E$34)</f>
        <v>0</v>
      </c>
      <c r="K35" s="159"/>
      <c r="N35" s="153">
        <v>480</v>
      </c>
    </row>
    <row r="36" spans="1:14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  <c r="N36" s="153">
        <v>310</v>
      </c>
    </row>
    <row r="37" spans="1:14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(13*1021)/1021*G42*2.74*1021/1000000</f>
        <v>33.860770943999995</v>
      </c>
      <c r="J37" s="129">
        <f>+I37+'2'!J37</f>
        <v>131.01959270399999</v>
      </c>
      <c r="K37" s="130" t="s">
        <v>62</v>
      </c>
      <c r="N37" s="153">
        <v>231</v>
      </c>
    </row>
    <row r="38" spans="1:14" ht="17.45" customHeight="1">
      <c r="A38" s="759" t="s">
        <v>11</v>
      </c>
      <c r="B38" s="760"/>
      <c r="C38" s="168">
        <f>SUMIF($G$7:$G$31,"Process",$F$7:$F$31)</f>
        <v>114</v>
      </c>
      <c r="D38" s="122">
        <f>+C38+'2'!D38</f>
        <v>256</v>
      </c>
      <c r="E38" s="147">
        <f t="shared" ref="E38:E51" si="10">D38/60</f>
        <v>4.2666666666666666</v>
      </c>
      <c r="F38" s="327">
        <v>1230</v>
      </c>
      <c r="G38" s="327">
        <v>947.09999999999991</v>
      </c>
      <c r="H38" s="192" t="s">
        <v>63</v>
      </c>
      <c r="I38" s="250">
        <f>13.992+11.293+4.239</f>
        <v>29.524000000000001</v>
      </c>
      <c r="J38" s="131">
        <f>+I38+'2'!J38</f>
        <v>122.53200000000001</v>
      </c>
      <c r="K38" s="132" t="s">
        <v>62</v>
      </c>
      <c r="N38" s="153">
        <f>SUM(N35:N37)</f>
        <v>1021</v>
      </c>
    </row>
    <row r="39" spans="1:14" ht="17.45" customHeight="1">
      <c r="A39" s="763" t="s">
        <v>12</v>
      </c>
      <c r="B39" s="764"/>
      <c r="C39" s="168">
        <f>SUMIF($G$7:$G$31,"Cleaning",$F$7:$F$31)</f>
        <v>0</v>
      </c>
      <c r="D39" s="122">
        <f>+C39+'2'!D39</f>
        <v>0</v>
      </c>
      <c r="E39" s="147">
        <f t="shared" si="10"/>
        <v>0</v>
      </c>
      <c r="F39" s="327">
        <v>1230</v>
      </c>
      <c r="G39" s="327">
        <v>947.1</v>
      </c>
      <c r="H39" s="192" t="s">
        <v>64</v>
      </c>
      <c r="I39" s="146"/>
      <c r="J39" s="133">
        <f>J37/G4</f>
        <v>43.673197567999999</v>
      </c>
      <c r="K39" s="134" t="s">
        <v>62</v>
      </c>
      <c r="N39" s="153">
        <f>1440-N38</f>
        <v>419</v>
      </c>
    </row>
    <row r="40" spans="1:14" ht="17.45" customHeight="1">
      <c r="A40" s="763" t="s">
        <v>65</v>
      </c>
      <c r="B40" s="764"/>
      <c r="C40" s="168">
        <f>SUMIF($G$7:$G$31,"Mechanical",$F$7:$F$31)</f>
        <v>299</v>
      </c>
      <c r="D40" s="122">
        <f>+C40+'2'!D40</f>
        <v>299</v>
      </c>
      <c r="E40" s="147">
        <f t="shared" si="10"/>
        <v>4.9833333333333334</v>
      </c>
      <c r="F40" s="327">
        <v>1137.922077922078</v>
      </c>
      <c r="G40" s="327">
        <v>876.2</v>
      </c>
      <c r="H40" s="192" t="s">
        <v>66</v>
      </c>
      <c r="I40" s="122">
        <f>(K34+L34)/1000</f>
        <v>29.978999999999999</v>
      </c>
      <c r="J40" s="135">
        <f>+I40+'2'!J40</f>
        <v>120.357</v>
      </c>
      <c r="K40" s="134" t="s">
        <v>62</v>
      </c>
    </row>
    <row r="41" spans="1:14" ht="17.45" customHeight="1">
      <c r="A41" s="763" t="s">
        <v>67</v>
      </c>
      <c r="B41" s="764"/>
      <c r="C41" s="168">
        <f>SUMIF($G$7:$G$31,"Electrical",$F$7:$F$31)</f>
        <v>60</v>
      </c>
      <c r="D41" s="122">
        <f>+C41+'2'!D41</f>
        <v>60</v>
      </c>
      <c r="E41" s="147">
        <f t="shared" si="10"/>
        <v>1</v>
      </c>
      <c r="F41" s="327"/>
      <c r="G41" s="327"/>
      <c r="H41" s="192" t="s">
        <v>68</v>
      </c>
      <c r="I41" s="146"/>
      <c r="J41" s="133">
        <f>J40/G4</f>
        <v>40.119</v>
      </c>
      <c r="K41" s="134" t="s">
        <v>62</v>
      </c>
    </row>
    <row r="42" spans="1:14" ht="17.45" customHeight="1">
      <c r="A42" s="763" t="s">
        <v>15</v>
      </c>
      <c r="B42" s="764"/>
      <c r="C42" s="168">
        <f>SUMIF($G$7:$G$31,"Instrument",$F$7:$F$31)</f>
        <v>0</v>
      </c>
      <c r="D42" s="122">
        <f>+C42+'2'!D42</f>
        <v>0</v>
      </c>
      <c r="E42" s="147">
        <f t="shared" si="10"/>
        <v>0</v>
      </c>
      <c r="F42" s="327">
        <f>+(480*F38+310*F39+231*F40)/1021</f>
        <v>1209.1674828599412</v>
      </c>
      <c r="G42" s="327">
        <f>+(480*G38+310*G39+231*G40)/1021</f>
        <v>931.05896180215473</v>
      </c>
      <c r="H42" s="192" t="s">
        <v>69</v>
      </c>
      <c r="I42" s="251" t="s">
        <v>432</v>
      </c>
      <c r="J42" s="136"/>
      <c r="K42" s="134" t="s">
        <v>70</v>
      </c>
    </row>
    <row r="43" spans="1:14" ht="17.45" customHeight="1">
      <c r="A43" s="763" t="s">
        <v>71</v>
      </c>
      <c r="B43" s="764"/>
      <c r="C43" s="168">
        <f>SUMIF($G$7:$G$31,"Water",$F$7:$F$31)</f>
        <v>0</v>
      </c>
      <c r="D43" s="122">
        <f>+C43+'2'!D43</f>
        <v>0</v>
      </c>
      <c r="E43" s="147">
        <f t="shared" si="10"/>
        <v>0</v>
      </c>
      <c r="F43" s="327"/>
      <c r="G43" s="328"/>
      <c r="H43" s="193" t="s">
        <v>72</v>
      </c>
      <c r="I43" s="122">
        <f>+Report1!Z11</f>
        <v>47.3</v>
      </c>
      <c r="J43" s="137">
        <f>+I43+'2'!J43</f>
        <v>167.5</v>
      </c>
      <c r="K43" s="134" t="s">
        <v>62</v>
      </c>
      <c r="L43" s="194"/>
    </row>
    <row r="44" spans="1:14" ht="17.45" customHeight="1">
      <c r="A44" s="763" t="s">
        <v>16</v>
      </c>
      <c r="B44" s="764"/>
      <c r="C44" s="168">
        <f>SUMIF($G$7:$G$31,"PLN",$F$7:$F$31)</f>
        <v>0</v>
      </c>
      <c r="D44" s="122">
        <f>+C44+'2'!D44</f>
        <v>0</v>
      </c>
      <c r="E44" s="147">
        <f t="shared" si="10"/>
        <v>0</v>
      </c>
      <c r="F44" s="327"/>
      <c r="G44" s="328"/>
      <c r="H44" s="193" t="s">
        <v>73</v>
      </c>
      <c r="I44" s="122">
        <f>I43/I38</f>
        <v>1.6020864381520117</v>
      </c>
      <c r="J44" s="138">
        <f>J43/J38</f>
        <v>1.3669898475500277</v>
      </c>
      <c r="K44" s="134" t="s">
        <v>62</v>
      </c>
    </row>
    <row r="45" spans="1:14" ht="17.45" customHeight="1">
      <c r="A45" s="763" t="s">
        <v>17</v>
      </c>
      <c r="B45" s="764"/>
      <c r="C45" s="168">
        <f>SUMIF($G$7:$G$31,"Boiler",$F$7:$F$31)</f>
        <v>0</v>
      </c>
      <c r="D45" s="122">
        <f>+C45+'2'!D45</f>
        <v>0</v>
      </c>
      <c r="E45" s="147">
        <f t="shared" si="10"/>
        <v>0</v>
      </c>
      <c r="F45" s="327"/>
      <c r="G45" s="330"/>
      <c r="H45" s="193" t="s">
        <v>74</v>
      </c>
      <c r="I45" s="122">
        <f>I43/I40</f>
        <v>1.5777711064411755</v>
      </c>
      <c r="J45" s="138">
        <f>J43/J40</f>
        <v>1.3916930465199366</v>
      </c>
      <c r="K45" s="134" t="s">
        <v>62</v>
      </c>
    </row>
    <row r="46" spans="1:14" ht="17.45" customHeight="1">
      <c r="A46" s="763" t="s">
        <v>75</v>
      </c>
      <c r="B46" s="764"/>
      <c r="C46" s="168">
        <f>SUMIF($G$7:$G$31,"Gas",$F$7:$F$31)</f>
        <v>0</v>
      </c>
      <c r="D46" s="122">
        <f>+C46+'2'!D46</f>
        <v>0</v>
      </c>
      <c r="E46" s="147">
        <f t="shared" si="10"/>
        <v>0</v>
      </c>
      <c r="F46" s="327"/>
      <c r="G46" s="328"/>
      <c r="H46" s="193" t="s">
        <v>76</v>
      </c>
      <c r="I46" s="144">
        <f>+SUMIF(Listrik!P10,"&gt;0")</f>
        <v>29073.499999999636</v>
      </c>
      <c r="J46" s="139">
        <f>+I46+'2'!J46</f>
        <v>105680.98000000036</v>
      </c>
      <c r="K46" s="134" t="s">
        <v>77</v>
      </c>
    </row>
    <row r="47" spans="1:14" ht="17.45" customHeight="1">
      <c r="A47" s="763" t="s">
        <v>78</v>
      </c>
      <c r="B47" s="764"/>
      <c r="C47" s="168">
        <f>SUMIF($G$7:$G$31,"Gas",$F$7:$F$31)</f>
        <v>0</v>
      </c>
      <c r="D47" s="122">
        <f>+C47+'2'!D47</f>
        <v>0</v>
      </c>
      <c r="E47" s="147">
        <f t="shared" si="10"/>
        <v>0</v>
      </c>
      <c r="F47" s="327"/>
      <c r="G47" s="328"/>
      <c r="H47" s="193" t="s">
        <v>79</v>
      </c>
      <c r="I47" s="122">
        <f>I46/I38</f>
        <v>984.74122747593947</v>
      </c>
      <c r="J47" s="139">
        <f>J46/J38</f>
        <v>862.47657754709257</v>
      </c>
      <c r="K47" s="134" t="s">
        <v>23</v>
      </c>
    </row>
    <row r="48" spans="1:14" ht="17.45" customHeight="1">
      <c r="A48" s="763" t="s">
        <v>13</v>
      </c>
      <c r="B48" s="764"/>
      <c r="C48" s="168">
        <f>SUMIF($G$7:$G$31,"Start Up",$F$7:$F$31)</f>
        <v>0</v>
      </c>
      <c r="D48" s="122">
        <f>+C48+'2'!D48</f>
        <v>0</v>
      </c>
      <c r="E48" s="147">
        <f t="shared" si="10"/>
        <v>0</v>
      </c>
      <c r="F48" s="327"/>
      <c r="G48" s="328"/>
      <c r="H48" s="193" t="s">
        <v>80</v>
      </c>
      <c r="I48" s="122">
        <f>I46/I40</f>
        <v>969.79552353312772</v>
      </c>
      <c r="J48" s="139">
        <f>J46/J40</f>
        <v>878.06259710694314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+C49+'2'!D49</f>
        <v>0</v>
      </c>
      <c r="E49" s="147">
        <f t="shared" si="10"/>
        <v>0</v>
      </c>
      <c r="F49" s="190"/>
      <c r="H49" s="193" t="s">
        <v>270</v>
      </c>
      <c r="I49" s="122">
        <f>+Report1!T11</f>
        <v>2905.2291783993496</v>
      </c>
      <c r="J49" s="139">
        <f>+I49+'2'!J49</f>
        <v>11072.869289239228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+C50+'2'!D50</f>
        <v>0</v>
      </c>
      <c r="E50" s="147">
        <f t="shared" si="10"/>
        <v>0</v>
      </c>
      <c r="F50" s="190"/>
      <c r="H50" s="193" t="s">
        <v>82</v>
      </c>
      <c r="I50" s="144">
        <f>I49/I38</f>
        <v>98.402288931017125</v>
      </c>
      <c r="J50" s="137">
        <f>J49/J38</f>
        <v>90.36716359187173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+C51+'2'!D51</f>
        <v>0</v>
      </c>
      <c r="E51" s="147">
        <f t="shared" si="10"/>
        <v>0</v>
      </c>
      <c r="F51" s="190"/>
      <c r="H51" s="195" t="s">
        <v>84</v>
      </c>
      <c r="I51" s="145">
        <f>I49/I40</f>
        <v>96.908808779457274</v>
      </c>
      <c r="J51" s="140">
        <f>J49/J40</f>
        <v>92.000210118557533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473</v>
      </c>
      <c r="D52" s="148">
        <f>SUM(D38:D51)</f>
        <v>615</v>
      </c>
      <c r="E52" s="149">
        <f>SUM(E38:E51)</f>
        <v>10.25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0.32847222222222222</v>
      </c>
      <c r="D53" s="150">
        <f>D52/(24*60*G4)</f>
        <v>0.1423611111111111</v>
      </c>
      <c r="E53" s="151">
        <f>E52/(G4*24)</f>
        <v>0.1423611111111111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+D34+'2'!J56</f>
        <v>552</v>
      </c>
      <c r="K56" s="206">
        <f>J56/(J40+J56/1000)/1000</f>
        <v>4.5654169664789213E-3</v>
      </c>
    </row>
    <row r="57" spans="1:11">
      <c r="A57" s="181"/>
      <c r="I57" s="204" t="s">
        <v>87</v>
      </c>
      <c r="J57" s="205">
        <f>+E34+'2'!J57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6" header="0" footer="0"/>
  <pageSetup paperSize="9" scale="43" firstPageNumber="4294963191" orientation="landscape" r:id="rId1"/>
  <headerFooter alignWithMargins="0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B22" zoomScale="80" zoomScaleNormal="75" zoomScaleSheetLayoutView="80" workbookViewId="0">
      <selection activeCell="D25" sqref="D2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5703125" style="153" bestFit="1" customWidth="1"/>
    <col min="5" max="5" width="13.85546875" style="153" bestFit="1" customWidth="1"/>
    <col min="6" max="6" width="11.7109375" style="114" customWidth="1"/>
    <col min="7" max="7" width="12.7109375" style="153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4.42578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2</v>
      </c>
      <c r="H4" s="158" t="str">
        <f>+'1'!H4</f>
        <v>.08.25</v>
      </c>
      <c r="J4" s="153">
        <f>515+463+460</f>
        <v>1438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v>480</v>
      </c>
      <c r="R6" s="153">
        <f>+O6*Q6</f>
        <v>590400</v>
      </c>
      <c r="S6" s="153">
        <f>+P6*Q6</f>
        <v>454607.99999999994</v>
      </c>
    </row>
    <row r="7" spans="1:19" ht="13.5" customHeight="1" thickBot="1">
      <c r="A7" s="769" t="s">
        <v>442</v>
      </c>
      <c r="B7" s="221" t="s">
        <v>414</v>
      </c>
      <c r="C7" s="221">
        <v>14813</v>
      </c>
      <c r="D7" s="222">
        <v>253</v>
      </c>
      <c r="E7" s="223"/>
      <c r="F7" s="233">
        <v>9</v>
      </c>
      <c r="G7" s="234" t="s">
        <v>11</v>
      </c>
      <c r="H7" s="235" t="s">
        <v>407</v>
      </c>
      <c r="I7" s="772" t="s">
        <v>405</v>
      </c>
      <c r="J7" s="219" t="str">
        <f>+'1'!J7</f>
        <v>T 13 VP OW</v>
      </c>
      <c r="K7" s="243">
        <f>+C34</f>
        <v>45751</v>
      </c>
      <c r="L7" s="247"/>
      <c r="M7" s="121">
        <f>+K7+'1'!M7+L7</f>
        <v>90378</v>
      </c>
      <c r="O7" s="153">
        <v>1230</v>
      </c>
      <c r="P7" s="153">
        <f>+O7-O7*0.23</f>
        <v>947.09999999999991</v>
      </c>
      <c r="Q7" s="153">
        <v>480</v>
      </c>
      <c r="R7" s="153">
        <f t="shared" ref="R7:R10" si="0">+O7*Q7</f>
        <v>590400</v>
      </c>
      <c r="S7" s="153">
        <f t="shared" ref="S7:S10" si="1">+P7*Q7</f>
        <v>454607.99999999994</v>
      </c>
    </row>
    <row r="8" spans="1:19" ht="13.5" thickBot="1">
      <c r="A8" s="778"/>
      <c r="B8" s="220"/>
      <c r="C8" s="221"/>
      <c r="D8" s="222"/>
      <c r="E8" s="224"/>
      <c r="F8" s="236"/>
      <c r="G8" s="237" t="s">
        <v>11</v>
      </c>
      <c r="H8" s="235" t="s">
        <v>286</v>
      </c>
      <c r="I8" s="773"/>
      <c r="J8" s="219">
        <f>+'1'!J8</f>
        <v>0</v>
      </c>
      <c r="K8" s="244"/>
      <c r="L8" s="244"/>
      <c r="M8" s="121">
        <f>+K8+'1'!M8+L8</f>
        <v>0</v>
      </c>
      <c r="O8" s="153">
        <v>1230</v>
      </c>
      <c r="P8" s="153">
        <f>+O8-O8*0.23</f>
        <v>947.09999999999991</v>
      </c>
      <c r="Q8" s="153">
        <v>480</v>
      </c>
      <c r="R8" s="153">
        <f t="shared" si="0"/>
        <v>590400</v>
      </c>
      <c r="S8" s="153">
        <f t="shared" si="1"/>
        <v>454607.99999999994</v>
      </c>
    </row>
    <row r="9" spans="1:19" ht="13.5" thickBot="1">
      <c r="A9" s="778"/>
      <c r="B9" s="220"/>
      <c r="C9" s="221"/>
      <c r="D9" s="222"/>
      <c r="E9" s="225"/>
      <c r="F9" s="233">
        <v>20</v>
      </c>
      <c r="G9" s="237" t="s">
        <v>11</v>
      </c>
      <c r="H9" s="238" t="s">
        <v>428</v>
      </c>
      <c r="I9" s="773"/>
      <c r="J9" s="219">
        <f>+'1'!J9</f>
        <v>0</v>
      </c>
      <c r="K9" s="244"/>
      <c r="L9" s="244"/>
      <c r="M9" s="121">
        <f>+K9+'1'!M9+L9</f>
        <v>0</v>
      </c>
      <c r="P9" s="153">
        <f t="shared" ref="P9:P10" si="2">+O9-O9*0.25</f>
        <v>0</v>
      </c>
      <c r="R9" s="153">
        <f t="shared" si="0"/>
        <v>0</v>
      </c>
      <c r="S9" s="153">
        <f t="shared" si="1"/>
        <v>0</v>
      </c>
    </row>
    <row r="10" spans="1:19" ht="13.5" thickBot="1">
      <c r="A10" s="778"/>
      <c r="B10" s="220"/>
      <c r="C10" s="221"/>
      <c r="D10" s="222"/>
      <c r="E10" s="224"/>
      <c r="F10" s="233"/>
      <c r="G10" s="242" t="s">
        <v>12</v>
      </c>
      <c r="H10" s="238" t="s">
        <v>424</v>
      </c>
      <c r="I10" s="773"/>
      <c r="J10" s="219">
        <f>+'1'!J10</f>
        <v>0</v>
      </c>
      <c r="K10" s="244"/>
      <c r="L10" s="244"/>
      <c r="M10" s="121">
        <f>+K10+'1'!M10+L10</f>
        <v>0</v>
      </c>
      <c r="P10" s="153">
        <f t="shared" si="2"/>
        <v>0</v>
      </c>
      <c r="R10" s="153">
        <f t="shared" si="0"/>
        <v>0</v>
      </c>
      <c r="S10" s="153">
        <f t="shared" si="1"/>
        <v>0</v>
      </c>
    </row>
    <row r="11" spans="1:19" ht="35.25" customHeight="1" thickBot="1">
      <c r="A11" s="778"/>
      <c r="B11" s="220"/>
      <c r="C11" s="221"/>
      <c r="D11" s="222"/>
      <c r="E11" s="224"/>
      <c r="F11" s="233"/>
      <c r="G11" s="237"/>
      <c r="H11" s="238" t="s">
        <v>426</v>
      </c>
      <c r="I11" s="773"/>
      <c r="J11" s="219">
        <f>+'1'!J11</f>
        <v>0</v>
      </c>
      <c r="K11" s="244"/>
      <c r="L11" s="244"/>
      <c r="M11" s="121">
        <f>+K11+'1'!M11+L11</f>
        <v>0</v>
      </c>
      <c r="Q11" s="153">
        <f>SUM(Q6:Q10)</f>
        <v>1440</v>
      </c>
      <c r="R11" s="153">
        <f>SUM(R6:R10)</f>
        <v>1771200</v>
      </c>
      <c r="S11" s="153">
        <f>SUM(S6:S10)</f>
        <v>1363823.9999999998</v>
      </c>
    </row>
    <row r="12" spans="1:19" ht="13.5" thickBot="1">
      <c r="A12" s="778"/>
      <c r="B12" s="220"/>
      <c r="C12" s="221"/>
      <c r="D12" s="222"/>
      <c r="E12" s="224"/>
      <c r="F12" s="233"/>
      <c r="G12" s="237"/>
      <c r="H12" s="238"/>
      <c r="I12" s="773"/>
      <c r="J12" s="219">
        <f>+'1'!J12</f>
        <v>0</v>
      </c>
      <c r="K12" s="244"/>
      <c r="L12" s="244"/>
      <c r="M12" s="121">
        <f>+K12+'1'!M12+L12</f>
        <v>0</v>
      </c>
      <c r="O12" s="153" t="s">
        <v>404</v>
      </c>
      <c r="R12" s="153">
        <f>+R11/Q11</f>
        <v>1230</v>
      </c>
      <c r="S12" s="153">
        <f>+S11/Q11</f>
        <v>947.0999999999998</v>
      </c>
    </row>
    <row r="13" spans="1:19" ht="13.5" thickBot="1">
      <c r="A13" s="778"/>
      <c r="B13" s="220"/>
      <c r="C13" s="221"/>
      <c r="D13" s="221"/>
      <c r="E13" s="224"/>
      <c r="F13" s="233"/>
      <c r="G13" s="237"/>
      <c r="H13" s="238"/>
      <c r="I13" s="774"/>
      <c r="J13" s="219">
        <f>+'1'!J13</f>
        <v>0</v>
      </c>
      <c r="K13" s="244"/>
      <c r="L13" s="244"/>
      <c r="M13" s="121">
        <f>+K13+'1'!M13+L13</f>
        <v>0</v>
      </c>
    </row>
    <row r="14" spans="1:19" ht="13.5" thickBot="1">
      <c r="A14" s="779"/>
      <c r="B14" s="170" t="s">
        <v>2</v>
      </c>
      <c r="C14" s="103">
        <f>SUM(C7:C13)</f>
        <v>14813</v>
      </c>
      <c r="D14" s="115">
        <f>SUM(D7:D13)</f>
        <v>253</v>
      </c>
      <c r="E14" s="116">
        <f>SUM(E5:E13)</f>
        <v>0</v>
      </c>
      <c r="F14" s="120">
        <f>SUM(F7:F13)</f>
        <v>29</v>
      </c>
      <c r="G14" s="163"/>
      <c r="H14" s="171"/>
      <c r="I14" s="172"/>
      <c r="J14" s="219">
        <f>+'1'!J14</f>
        <v>0</v>
      </c>
      <c r="K14" s="244"/>
      <c r="L14" s="244"/>
      <c r="M14" s="121">
        <f>+K14+'1'!M14+L14</f>
        <v>0</v>
      </c>
    </row>
    <row r="15" spans="1:19" ht="13.5" customHeight="1" thickBot="1">
      <c r="A15" s="780" t="s">
        <v>443</v>
      </c>
      <c r="B15" s="170"/>
      <c r="C15" s="117">
        <f>C14/($C$23+$D$23+$E$23)</f>
        <v>1.0397276619639222</v>
      </c>
      <c r="D15" s="118">
        <f>D14/($C$23+$D$23+$E$23)</f>
        <v>1.775812451744227E-2</v>
      </c>
      <c r="E15" s="119">
        <f>E14/($C$23+$D$23+$E$23)</f>
        <v>0</v>
      </c>
      <c r="F15" s="233">
        <v>9</v>
      </c>
      <c r="G15" s="234" t="s">
        <v>11</v>
      </c>
      <c r="H15" s="235" t="s">
        <v>407</v>
      </c>
      <c r="I15" s="772" t="s">
        <v>405</v>
      </c>
      <c r="J15" s="219">
        <f>+'1'!J15</f>
        <v>0</v>
      </c>
      <c r="K15" s="244"/>
      <c r="L15" s="244"/>
      <c r="M15" s="121">
        <f>+K15+'1'!M15+L15</f>
        <v>0</v>
      </c>
    </row>
    <row r="16" spans="1:19" ht="13.5" thickBot="1">
      <c r="A16" s="778"/>
      <c r="B16" s="221" t="s">
        <v>414</v>
      </c>
      <c r="C16" s="227">
        <v>14247</v>
      </c>
      <c r="D16" s="228"/>
      <c r="E16" s="229"/>
      <c r="F16" s="236"/>
      <c r="G16" s="237" t="s">
        <v>11</v>
      </c>
      <c r="H16" s="235" t="s">
        <v>388</v>
      </c>
      <c r="I16" s="773"/>
      <c r="J16" s="219">
        <f>+'1'!J16</f>
        <v>0</v>
      </c>
      <c r="K16" s="234"/>
      <c r="L16" s="234"/>
      <c r="M16" s="121">
        <f>+K16+'1'!M16+L16</f>
        <v>0</v>
      </c>
    </row>
    <row r="17" spans="1:18" ht="13.5" thickBot="1">
      <c r="A17" s="778"/>
      <c r="B17" s="220"/>
      <c r="C17" s="221"/>
      <c r="D17" s="222"/>
      <c r="E17" s="230"/>
      <c r="F17" s="233">
        <f>25-9</f>
        <v>16</v>
      </c>
      <c r="G17" s="237" t="s">
        <v>11</v>
      </c>
      <c r="H17" s="238" t="s">
        <v>408</v>
      </c>
      <c r="I17" s="773"/>
      <c r="J17" s="219">
        <f>+'1'!J17</f>
        <v>0</v>
      </c>
      <c r="K17" s="234"/>
      <c r="L17" s="234"/>
      <c r="M17" s="121">
        <f>+K17+'1'!M17+L17</f>
        <v>0</v>
      </c>
    </row>
    <row r="18" spans="1:18" ht="13.5" thickBot="1">
      <c r="A18" s="778"/>
      <c r="B18" s="220"/>
      <c r="C18" s="221"/>
      <c r="D18" s="222"/>
      <c r="E18" s="230"/>
      <c r="F18" s="233"/>
      <c r="G18" s="242" t="s">
        <v>12</v>
      </c>
      <c r="H18" s="238" t="s">
        <v>424</v>
      </c>
      <c r="I18" s="773"/>
      <c r="J18" s="219">
        <f>+'1'!J18</f>
        <v>0</v>
      </c>
      <c r="K18" s="244"/>
      <c r="L18" s="244"/>
      <c r="M18" s="121">
        <f>+K18+'1'!M18+L18</f>
        <v>0</v>
      </c>
    </row>
    <row r="19" spans="1:18" ht="39" thickBot="1">
      <c r="A19" s="778"/>
      <c r="B19" s="220"/>
      <c r="C19" s="221"/>
      <c r="D19" s="222"/>
      <c r="E19" s="230"/>
      <c r="F19" s="236"/>
      <c r="G19" s="237"/>
      <c r="H19" s="238" t="s">
        <v>425</v>
      </c>
      <c r="I19" s="773"/>
      <c r="J19" s="219">
        <f>+'1'!J19</f>
        <v>0</v>
      </c>
      <c r="K19" s="244"/>
      <c r="L19" s="244"/>
      <c r="M19" s="121">
        <f>+K19+'1'!M19+L19</f>
        <v>0</v>
      </c>
    </row>
    <row r="20" spans="1:18" ht="13.5" thickBot="1">
      <c r="A20" s="778"/>
      <c r="B20" s="220"/>
      <c r="C20" s="221"/>
      <c r="D20" s="222"/>
      <c r="E20" s="230"/>
      <c r="F20" s="233"/>
      <c r="G20" s="237"/>
      <c r="H20" s="238"/>
      <c r="I20" s="773"/>
      <c r="J20" s="219">
        <f>+'1'!J20</f>
        <v>0</v>
      </c>
      <c r="K20" s="245"/>
      <c r="L20" s="245"/>
      <c r="M20" s="121">
        <f>+K20+'1'!M20+L20</f>
        <v>0</v>
      </c>
    </row>
    <row r="21" spans="1:18" ht="13.5" thickBot="1">
      <c r="A21" s="778"/>
      <c r="B21" s="220"/>
      <c r="C21" s="221"/>
      <c r="D21" s="222"/>
      <c r="E21" s="230"/>
      <c r="F21" s="236"/>
      <c r="G21" s="237"/>
      <c r="H21" s="238"/>
      <c r="I21" s="773"/>
      <c r="J21" s="219">
        <f>+'1'!J21</f>
        <v>0</v>
      </c>
      <c r="K21" s="244"/>
      <c r="L21" s="244"/>
      <c r="M21" s="121">
        <f>+K21+'1'!M21+L21</f>
        <v>0</v>
      </c>
    </row>
    <row r="22" spans="1:18" ht="13.5" thickBot="1">
      <c r="A22" s="778"/>
      <c r="B22" s="220"/>
      <c r="C22" s="221"/>
      <c r="D22" s="222"/>
      <c r="E22" s="230"/>
      <c r="F22" s="241"/>
      <c r="G22" s="237"/>
      <c r="H22" s="238"/>
      <c r="I22" s="774"/>
      <c r="J22" s="219">
        <f>+'1'!J22</f>
        <v>0</v>
      </c>
      <c r="K22" s="244"/>
      <c r="L22" s="244"/>
      <c r="M22" s="121">
        <f>+K22+'1'!M22+L22</f>
        <v>0</v>
      </c>
    </row>
    <row r="23" spans="1:18" ht="13.5" thickBot="1">
      <c r="A23" s="779"/>
      <c r="B23" s="173" t="s">
        <v>2</v>
      </c>
      <c r="C23" s="104">
        <f>SUM(C16:C22)</f>
        <v>14247</v>
      </c>
      <c r="D23" s="115">
        <f>SUM(D16:D22)</f>
        <v>0</v>
      </c>
      <c r="E23" s="116">
        <f>SUM(E18:E22)</f>
        <v>0</v>
      </c>
      <c r="F23" s="120">
        <f>SUM(F15:F22)</f>
        <v>25</v>
      </c>
      <c r="G23" s="163"/>
      <c r="H23" s="171"/>
      <c r="I23" s="174"/>
      <c r="J23" s="219">
        <f>+'1'!J23</f>
        <v>0</v>
      </c>
      <c r="K23" s="244"/>
      <c r="L23" s="244"/>
      <c r="M23" s="121">
        <f>+K23+'1'!M23+L23</f>
        <v>0</v>
      </c>
    </row>
    <row r="24" spans="1:18" ht="13.5" customHeight="1" thickBot="1">
      <c r="A24" s="780" t="s">
        <v>444</v>
      </c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19">
        <f>+'1'!J24</f>
        <v>0</v>
      </c>
      <c r="K24" s="244"/>
      <c r="L24" s="244"/>
      <c r="M24" s="121">
        <f>+K24+'1'!M24+L24</f>
        <v>0</v>
      </c>
    </row>
    <row r="25" spans="1:18" ht="13.5" thickBot="1">
      <c r="A25" s="778"/>
      <c r="B25" s="221" t="s">
        <v>414</v>
      </c>
      <c r="C25" s="231">
        <v>16691</v>
      </c>
      <c r="D25" s="222"/>
      <c r="E25" s="230"/>
      <c r="F25" s="236">
        <v>12</v>
      </c>
      <c r="G25" s="237" t="s">
        <v>11</v>
      </c>
      <c r="H25" s="235" t="s">
        <v>429</v>
      </c>
      <c r="I25" s="773"/>
      <c r="J25" s="219">
        <f>+'1'!J25</f>
        <v>0</v>
      </c>
      <c r="K25" s="244"/>
      <c r="L25" s="244"/>
      <c r="M25" s="121">
        <f>+K25+'1'!M25+L25</f>
        <v>0</v>
      </c>
    </row>
    <row r="26" spans="1:18" ht="13.5" thickBot="1">
      <c r="A26" s="778"/>
      <c r="B26" s="220"/>
      <c r="C26" s="231"/>
      <c r="D26" s="222"/>
      <c r="E26" s="232"/>
      <c r="F26" s="233">
        <f>26-12</f>
        <v>14</v>
      </c>
      <c r="G26" s="237" t="s">
        <v>11</v>
      </c>
      <c r="H26" s="238" t="s">
        <v>428</v>
      </c>
      <c r="I26" s="773"/>
      <c r="J26" s="219">
        <f>+'1'!J26</f>
        <v>0</v>
      </c>
      <c r="K26" s="244"/>
      <c r="L26" s="244"/>
      <c r="M26" s="121">
        <f>+K26+'1'!M26+L26</f>
        <v>0</v>
      </c>
    </row>
    <row r="27" spans="1:18" ht="13.5" thickBot="1">
      <c r="A27" s="778"/>
      <c r="B27" s="220"/>
      <c r="C27" s="221"/>
      <c r="D27" s="222"/>
      <c r="E27" s="230"/>
      <c r="F27" s="233"/>
      <c r="G27" s="242" t="s">
        <v>12</v>
      </c>
      <c r="H27" s="238" t="s">
        <v>424</v>
      </c>
      <c r="I27" s="773"/>
      <c r="J27" s="219">
        <f>+'1'!J27</f>
        <v>0</v>
      </c>
      <c r="K27" s="244"/>
      <c r="L27" s="244"/>
      <c r="M27" s="121">
        <f>+K27+'1'!M27+L27</f>
        <v>0</v>
      </c>
    </row>
    <row r="28" spans="1:18" ht="39" thickBot="1">
      <c r="A28" s="778"/>
      <c r="B28" s="220"/>
      <c r="C28" s="221"/>
      <c r="D28" s="222"/>
      <c r="E28" s="230"/>
      <c r="F28" s="236"/>
      <c r="G28" s="237"/>
      <c r="H28" s="238" t="s">
        <v>427</v>
      </c>
      <c r="I28" s="773"/>
      <c r="J28" s="219">
        <f>+'1'!J28</f>
        <v>0</v>
      </c>
      <c r="K28" s="244"/>
      <c r="L28" s="244"/>
      <c r="M28" s="121">
        <f>+K28+'1'!M28+L28</f>
        <v>0</v>
      </c>
    </row>
    <row r="29" spans="1:18" ht="13.5" thickBot="1">
      <c r="A29" s="778"/>
      <c r="B29" s="220"/>
      <c r="C29" s="221"/>
      <c r="D29" s="222"/>
      <c r="E29" s="230"/>
      <c r="F29" s="241"/>
      <c r="G29" s="237"/>
      <c r="H29" s="238"/>
      <c r="I29" s="773"/>
      <c r="J29" s="219">
        <f>+'1'!J29</f>
        <v>0</v>
      </c>
      <c r="K29" s="244"/>
      <c r="L29" s="244"/>
      <c r="M29" s="121">
        <f>+K29+'1'!M29+L29</f>
        <v>0</v>
      </c>
    </row>
    <row r="30" spans="1:18" ht="13.5" thickBot="1">
      <c r="A30" s="778"/>
      <c r="B30" s="220"/>
      <c r="C30" s="231"/>
      <c r="D30" s="222"/>
      <c r="E30" s="230"/>
      <c r="F30" s="241"/>
      <c r="G30" s="237"/>
      <c r="H30" s="238"/>
      <c r="I30" s="773"/>
      <c r="J30" s="219">
        <f>+'1'!J30</f>
        <v>0</v>
      </c>
      <c r="K30" s="244"/>
      <c r="L30" s="244"/>
      <c r="M30" s="121">
        <f>+K30+'1'!M30+L30</f>
        <v>0</v>
      </c>
    </row>
    <row r="31" spans="1:18" ht="13.5" thickBot="1">
      <c r="A31" s="778"/>
      <c r="B31" s="220"/>
      <c r="C31" s="231"/>
      <c r="D31" s="222"/>
      <c r="E31" s="230"/>
      <c r="F31" s="241"/>
      <c r="G31" s="242"/>
      <c r="H31" s="441"/>
      <c r="I31" s="774"/>
      <c r="J31" s="219">
        <f>+'1'!J31</f>
        <v>0</v>
      </c>
      <c r="K31" s="244"/>
      <c r="L31" s="244"/>
      <c r="M31" s="121">
        <f>+K31+'1'!M31+L31</f>
        <v>0</v>
      </c>
    </row>
    <row r="32" spans="1:18" ht="13.5" thickBot="1">
      <c r="A32" s="779"/>
      <c r="B32" s="170" t="s">
        <v>2</v>
      </c>
      <c r="C32" s="103">
        <f>SUM(C25:C31)</f>
        <v>16691</v>
      </c>
      <c r="D32" s="104">
        <f>SUM(D25:D31)</f>
        <v>0</v>
      </c>
      <c r="E32" s="105">
        <f>SUM(E25:E31)</f>
        <v>0</v>
      </c>
      <c r="F32" s="106">
        <f>SUM(F24:F31)</f>
        <v>26</v>
      </c>
      <c r="G32" s="176"/>
      <c r="H32" s="177"/>
      <c r="I32" s="174"/>
      <c r="J32" s="219">
        <f>+'1'!J32</f>
        <v>0</v>
      </c>
      <c r="K32" s="246"/>
      <c r="L32" s="248"/>
      <c r="M32" s="121">
        <f>+K32+'1'!M32+L32</f>
        <v>0</v>
      </c>
      <c r="P32" s="181"/>
      <c r="Q32" s="181"/>
      <c r="R32" s="181"/>
    </row>
    <row r="33" spans="1:18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  <c r="Q33" s="181"/>
      <c r="R33" s="181"/>
    </row>
    <row r="34" spans="1:18" ht="13.5" thickBot="1">
      <c r="A34" s="765" t="s">
        <v>56</v>
      </c>
      <c r="B34" s="766"/>
      <c r="C34" s="111">
        <f>C14+C23+C32</f>
        <v>45751</v>
      </c>
      <c r="D34" s="111">
        <f>D14+D23+D32</f>
        <v>253</v>
      </c>
      <c r="E34" s="111">
        <f>E14+E23+E32</f>
        <v>0</v>
      </c>
      <c r="F34" s="112">
        <f>F14+F23+F32</f>
        <v>80</v>
      </c>
      <c r="H34" s="183"/>
      <c r="I34" s="183"/>
      <c r="J34" s="127" t="s">
        <v>27</v>
      </c>
      <c r="K34" s="128">
        <f>SUM(K7:K32)</f>
        <v>45751</v>
      </c>
      <c r="L34" s="217">
        <f>SUM(L7:L32)</f>
        <v>0</v>
      </c>
      <c r="M34" s="124">
        <f>SUM(M7:M32)</f>
        <v>90378</v>
      </c>
    </row>
    <row r="35" spans="1:18" ht="13.5" thickBot="1">
      <c r="A35" s="184"/>
      <c r="B35" s="185"/>
      <c r="C35" s="108">
        <f>C34/($C$34+$D$34+$E$34)</f>
        <v>0.99450047821928533</v>
      </c>
      <c r="D35" s="108">
        <f>D34/($C$34+$D$34+$E$34)</f>
        <v>5.4995217807147206E-3</v>
      </c>
      <c r="E35" s="113">
        <f>E34/($C$34+$D$34+$E$34)</f>
        <v>0</v>
      </c>
      <c r="K35" s="159"/>
    </row>
    <row r="36" spans="1:18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8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327"/>
      <c r="G37" s="329"/>
      <c r="H37" s="191" t="s">
        <v>61</v>
      </c>
      <c r="I37" s="249">
        <f>(13*1440)/1440*G42*2.74*1440/1000000</f>
        <v>48.579410879999998</v>
      </c>
      <c r="J37" s="129">
        <f>+I37+'1'!J37</f>
        <v>97.158821759999995</v>
      </c>
      <c r="K37" s="130" t="s">
        <v>62</v>
      </c>
    </row>
    <row r="38" spans="1:18" ht="17.45" customHeight="1">
      <c r="A38" s="759" t="s">
        <v>11</v>
      </c>
      <c r="B38" s="760"/>
      <c r="C38" s="168">
        <f>SUMIF($G$7:$G$31,"Process",$F$7:$F$31)</f>
        <v>80</v>
      </c>
      <c r="D38" s="122">
        <f>+C38+'1'!D38</f>
        <v>142</v>
      </c>
      <c r="E38" s="147">
        <f t="shared" ref="E38:E51" si="3">D38/60</f>
        <v>2.3666666666666667</v>
      </c>
      <c r="F38" s="327">
        <v>1230</v>
      </c>
      <c r="G38" s="327">
        <v>947.09999999999991</v>
      </c>
      <c r="H38" s="192" t="s">
        <v>63</v>
      </c>
      <c r="I38" s="250">
        <f>16.481+14.255+16.691</f>
        <v>47.427000000000007</v>
      </c>
      <c r="J38" s="131">
        <f>+I38+'1'!J38</f>
        <v>93.00800000000001</v>
      </c>
      <c r="K38" s="132" t="s">
        <v>62</v>
      </c>
    </row>
    <row r="39" spans="1:18" ht="17.45" customHeight="1">
      <c r="A39" s="763" t="s">
        <v>12</v>
      </c>
      <c r="B39" s="764"/>
      <c r="C39" s="168">
        <f>SUMIF($G$7:$G$31,"Cleaning",$F$7:$F$31)</f>
        <v>0</v>
      </c>
      <c r="D39" s="122">
        <f>+C39+'1'!D39</f>
        <v>0</v>
      </c>
      <c r="E39" s="147">
        <f t="shared" si="3"/>
        <v>0</v>
      </c>
      <c r="F39" s="327">
        <v>1230</v>
      </c>
      <c r="G39" s="327">
        <v>947.09999999999991</v>
      </c>
      <c r="H39" s="192" t="s">
        <v>64</v>
      </c>
      <c r="I39" s="146"/>
      <c r="J39" s="133">
        <f>J37/G4</f>
        <v>48.579410879999998</v>
      </c>
      <c r="K39" s="134" t="s">
        <v>62</v>
      </c>
    </row>
    <row r="40" spans="1:18" ht="17.45" customHeight="1">
      <c r="A40" s="763" t="s">
        <v>65</v>
      </c>
      <c r="B40" s="764"/>
      <c r="C40" s="168">
        <f>SUMIF($G$7:$G$31,"Mechanical",$F$7:$F$31)</f>
        <v>0</v>
      </c>
      <c r="D40" s="122">
        <f>+C40+'1'!D40</f>
        <v>0</v>
      </c>
      <c r="E40" s="147">
        <f t="shared" si="3"/>
        <v>0</v>
      </c>
      <c r="F40" s="327">
        <v>1230</v>
      </c>
      <c r="G40" s="327">
        <v>947.09999999999991</v>
      </c>
      <c r="H40" s="192" t="s">
        <v>66</v>
      </c>
      <c r="I40" s="122">
        <f>(K34+L34)/1000</f>
        <v>45.750999999999998</v>
      </c>
      <c r="J40" s="135">
        <f>+I40+'1'!J40</f>
        <v>90.378</v>
      </c>
      <c r="K40" s="134" t="s">
        <v>62</v>
      </c>
    </row>
    <row r="41" spans="1:18" ht="17.45" customHeight="1">
      <c r="A41" s="763" t="s">
        <v>67</v>
      </c>
      <c r="B41" s="764"/>
      <c r="C41" s="168">
        <f>SUMIF($G$7:$G$31,"Electrical",$F$7:$F$31)</f>
        <v>0</v>
      </c>
      <c r="D41" s="122">
        <f>+C41+'1'!D41</f>
        <v>0</v>
      </c>
      <c r="E41" s="147">
        <f t="shared" si="3"/>
        <v>0</v>
      </c>
      <c r="F41" s="327"/>
      <c r="G41" s="327"/>
      <c r="H41" s="192" t="s">
        <v>68</v>
      </c>
      <c r="I41" s="146"/>
      <c r="J41" s="133">
        <f>J40/G4</f>
        <v>45.189</v>
      </c>
      <c r="K41" s="134" t="s">
        <v>62</v>
      </c>
    </row>
    <row r="42" spans="1:18" ht="17.45" customHeight="1">
      <c r="A42" s="763" t="s">
        <v>15</v>
      </c>
      <c r="B42" s="764"/>
      <c r="C42" s="168">
        <f>SUMIF($G$7:$G$31,"Instrument",$F$7:$F$31)</f>
        <v>0</v>
      </c>
      <c r="D42" s="122">
        <f>+C42+'1'!D42</f>
        <v>0</v>
      </c>
      <c r="E42" s="147">
        <f t="shared" si="3"/>
        <v>0</v>
      </c>
      <c r="F42" s="327">
        <f>+(480*F38+480*F39+480*F40)/1440</f>
        <v>1230</v>
      </c>
      <c r="G42" s="327">
        <f>+(480*G38+480*G39+480*G40)/1440</f>
        <v>947.0999999999998</v>
      </c>
      <c r="H42" s="192" t="s">
        <v>69</v>
      </c>
      <c r="I42" s="251" t="s">
        <v>405</v>
      </c>
      <c r="J42" s="136"/>
      <c r="K42" s="134" t="s">
        <v>70</v>
      </c>
    </row>
    <row r="43" spans="1:18" ht="17.45" customHeight="1">
      <c r="A43" s="763" t="s">
        <v>71</v>
      </c>
      <c r="B43" s="764"/>
      <c r="C43" s="168">
        <f>SUMIF($G$7:$G$31,"Water",$F$7:$F$31)</f>
        <v>0</v>
      </c>
      <c r="D43" s="122">
        <f>+C43+'1'!D43</f>
        <v>0</v>
      </c>
      <c r="E43" s="147">
        <f t="shared" si="3"/>
        <v>0</v>
      </c>
      <c r="F43" s="327"/>
      <c r="G43" s="328"/>
      <c r="H43" s="193" t="s">
        <v>72</v>
      </c>
      <c r="I43" s="122">
        <f>+Report1!Z10</f>
        <v>60.7</v>
      </c>
      <c r="J43" s="137">
        <f>+I43+'1'!J43</f>
        <v>120.2</v>
      </c>
      <c r="K43" s="134" t="s">
        <v>62</v>
      </c>
      <c r="L43" s="194"/>
    </row>
    <row r="44" spans="1:18" ht="17.45" customHeight="1">
      <c r="A44" s="763" t="s">
        <v>16</v>
      </c>
      <c r="B44" s="764"/>
      <c r="C44" s="168">
        <f>SUMIF($G$7:$G$31,"PLN",$F$7:$F$31)</f>
        <v>0</v>
      </c>
      <c r="D44" s="122">
        <f>+C44+'1'!D44</f>
        <v>0</v>
      </c>
      <c r="E44" s="147">
        <f t="shared" si="3"/>
        <v>0</v>
      </c>
      <c r="F44" s="327"/>
      <c r="G44" s="328"/>
      <c r="H44" s="193" t="s">
        <v>73</v>
      </c>
      <c r="I44" s="122">
        <f>I43/I38</f>
        <v>1.279861682164168</v>
      </c>
      <c r="J44" s="138">
        <f>J43/J38</f>
        <v>1.2923619473593668</v>
      </c>
      <c r="K44" s="134" t="s">
        <v>62</v>
      </c>
    </row>
    <row r="45" spans="1:18" ht="17.45" customHeight="1">
      <c r="A45" s="763" t="s">
        <v>17</v>
      </c>
      <c r="B45" s="764"/>
      <c r="C45" s="168">
        <f>SUMIF($G$7:$G$31,"Boiler",$F$7:$F$31)</f>
        <v>0</v>
      </c>
      <c r="D45" s="122">
        <f>+C45+'1'!D45</f>
        <v>0</v>
      </c>
      <c r="E45" s="147">
        <f t="shared" si="3"/>
        <v>0</v>
      </c>
      <c r="F45" s="327"/>
      <c r="G45" s="330"/>
      <c r="H45" s="193" t="s">
        <v>74</v>
      </c>
      <c r="I45" s="122">
        <f>I43/I40</f>
        <v>1.3267469563506811</v>
      </c>
      <c r="J45" s="138">
        <f>J43/J40</f>
        <v>1.3299696828874283</v>
      </c>
      <c r="K45" s="134" t="s">
        <v>62</v>
      </c>
    </row>
    <row r="46" spans="1:18" ht="17.45" customHeight="1">
      <c r="A46" s="763" t="s">
        <v>75</v>
      </c>
      <c r="B46" s="764"/>
      <c r="C46" s="168">
        <f>SUMIF($G$7:$G$31,"Gas",$F$7:$F$31)</f>
        <v>0</v>
      </c>
      <c r="D46" s="122">
        <f>+C46+'1'!D46</f>
        <v>0</v>
      </c>
      <c r="E46" s="147">
        <f t="shared" si="3"/>
        <v>0</v>
      </c>
      <c r="F46" s="327"/>
      <c r="G46" s="328"/>
      <c r="H46" s="193" t="s">
        <v>76</v>
      </c>
      <c r="I46" s="144">
        <f>+SUMIF(Listrik!P9,"&gt;0")</f>
        <v>39041.46</v>
      </c>
      <c r="J46" s="139">
        <f>+I46+'1'!J46</f>
        <v>76607.480000000724</v>
      </c>
      <c r="K46" s="134" t="s">
        <v>77</v>
      </c>
    </row>
    <row r="47" spans="1:18" ht="17.45" customHeight="1">
      <c r="A47" s="763" t="s">
        <v>78</v>
      </c>
      <c r="B47" s="764"/>
      <c r="C47" s="168">
        <f>SUMIF($G$7:$G$31,"Gas",$F$7:$F$31)</f>
        <v>0</v>
      </c>
      <c r="D47" s="122">
        <f>+C47+'1'!D47</f>
        <v>0</v>
      </c>
      <c r="E47" s="147">
        <f t="shared" si="3"/>
        <v>0</v>
      </c>
      <c r="F47" s="327"/>
      <c r="G47" s="328"/>
      <c r="H47" s="193" t="s">
        <v>79</v>
      </c>
      <c r="I47" s="122">
        <f>I46/I38</f>
        <v>823.19058763995179</v>
      </c>
      <c r="J47" s="139">
        <f>J46/J38</f>
        <v>823.66549114055476</v>
      </c>
      <c r="K47" s="134" t="s">
        <v>23</v>
      </c>
    </row>
    <row r="48" spans="1:18" ht="17.45" customHeight="1">
      <c r="A48" s="763" t="s">
        <v>13</v>
      </c>
      <c r="B48" s="764"/>
      <c r="C48" s="168">
        <f>SUMIF($G$7:$G$31,"Start Up",$F$7:$F$31)</f>
        <v>0</v>
      </c>
      <c r="D48" s="122">
        <f>+C48+'1'!D48</f>
        <v>0</v>
      </c>
      <c r="E48" s="147">
        <f t="shared" si="3"/>
        <v>0</v>
      </c>
      <c r="F48" s="327"/>
      <c r="G48" s="328"/>
      <c r="H48" s="193" t="s">
        <v>80</v>
      </c>
      <c r="I48" s="122">
        <f>I46/I40</f>
        <v>853.3465935170816</v>
      </c>
      <c r="J48" s="139">
        <f>J46/J40</f>
        <v>847.63415875545729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>+C49+'1'!D49</f>
        <v>0</v>
      </c>
      <c r="E49" s="147">
        <f t="shared" si="3"/>
        <v>0</v>
      </c>
      <c r="F49" s="190"/>
      <c r="H49" s="193" t="s">
        <v>270</v>
      </c>
      <c r="I49" s="122">
        <f>+Report1!T10</f>
        <v>4040.0905607099635</v>
      </c>
      <c r="J49" s="139">
        <f>+I49+'1'!J49</f>
        <v>8167.6401108398786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>+C50+'1'!D50</f>
        <v>0</v>
      </c>
      <c r="E50" s="147">
        <f t="shared" si="3"/>
        <v>0</v>
      </c>
      <c r="F50" s="190"/>
      <c r="H50" s="193" t="s">
        <v>82</v>
      </c>
      <c r="I50" s="144">
        <v>0</v>
      </c>
      <c r="J50" s="137">
        <f>J49/J38</f>
        <v>87.816533102957564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>+C51+'1'!D51</f>
        <v>0</v>
      </c>
      <c r="E51" s="147">
        <f t="shared" si="3"/>
        <v>0</v>
      </c>
      <c r="F51" s="190"/>
      <c r="H51" s="195" t="s">
        <v>84</v>
      </c>
      <c r="I51" s="145">
        <f>I49/I40</f>
        <v>88.306060210923562</v>
      </c>
      <c r="J51" s="140">
        <f>J49/J40</f>
        <v>90.371994410585302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80</v>
      </c>
      <c r="D52" s="148">
        <f>SUM(D38:D51)</f>
        <v>142</v>
      </c>
      <c r="E52" s="149">
        <f>SUM(E38:E51)</f>
        <v>2.3666666666666667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5.5555555555555552E-2</v>
      </c>
      <c r="D53" s="150">
        <f>D52/(24*60*G4)</f>
        <v>4.9305555555555554E-2</v>
      </c>
      <c r="E53" s="151">
        <f>E52/(G4*24)</f>
        <v>4.9305555555555554E-2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+D34+'1'!J56</f>
        <v>552</v>
      </c>
      <c r="K56" s="206">
        <f>J56/(J40+J56/1000)/1000</f>
        <v>6.070603761134938E-3</v>
      </c>
    </row>
    <row r="57" spans="1:11">
      <c r="A57" s="181"/>
      <c r="I57" s="204" t="s">
        <v>87</v>
      </c>
      <c r="J57" s="205">
        <f>+E34+'1'!J57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28" zoomScale="80" zoomScaleNormal="75" zoomScaleSheetLayoutView="80" workbookViewId="0">
      <selection activeCell="B7" sqref="B7:B25"/>
    </sheetView>
  </sheetViews>
  <sheetFormatPr defaultColWidth="9.140625" defaultRowHeight="12.75"/>
  <cols>
    <col min="1" max="1" width="8" style="153" customWidth="1"/>
    <col min="2" max="2" width="7" style="153" bestFit="1" customWidth="1"/>
    <col min="3" max="3" width="14.85546875" style="153" bestFit="1" customWidth="1"/>
    <col min="4" max="4" width="12.7109375" style="153" bestFit="1" customWidth="1"/>
    <col min="5" max="5" width="13.85546875" style="153" bestFit="1" customWidth="1"/>
    <col min="6" max="6" width="12.140625" style="114" bestFit="1" customWidth="1"/>
    <col min="7" max="7" width="13.5703125" style="153" customWidth="1"/>
    <col min="8" max="8" width="64.85546875" style="153" customWidth="1"/>
    <col min="9" max="9" width="14.7109375" style="153" bestFit="1" customWidth="1"/>
    <col min="10" max="10" width="14.7109375" style="153" customWidth="1"/>
    <col min="11" max="11" width="14" style="153" bestFit="1" customWidth="1"/>
    <col min="12" max="12" width="8.28515625" style="153" customWidth="1"/>
    <col min="13" max="13" width="14.42578125" style="153" bestFit="1" customWidth="1"/>
    <col min="14" max="16384" width="9.140625" style="153"/>
  </cols>
  <sheetData>
    <row r="1" spans="1:19" ht="15.75">
      <c r="A1" s="152"/>
    </row>
    <row r="2" spans="1:19" ht="15.75">
      <c r="A2" s="152" t="s">
        <v>184</v>
      </c>
    </row>
    <row r="3" spans="1:19" ht="15">
      <c r="A3" s="154"/>
    </row>
    <row r="4" spans="1:19" ht="20.25">
      <c r="A4" s="155" t="s">
        <v>3</v>
      </c>
      <c r="B4" s="156"/>
      <c r="F4" s="157" t="s">
        <v>28</v>
      </c>
      <c r="G4" s="158">
        <v>1</v>
      </c>
      <c r="H4" s="158" t="s">
        <v>399</v>
      </c>
      <c r="J4" s="153">
        <f>467+487+456</f>
        <v>1410</v>
      </c>
    </row>
    <row r="5" spans="1:19" ht="13.5" thickBot="1">
      <c r="C5" s="159"/>
      <c r="D5" s="159"/>
    </row>
    <row r="6" spans="1:19" ht="26.25" thickBot="1">
      <c r="A6" s="160" t="s">
        <v>46</v>
      </c>
      <c r="B6" s="161" t="s">
        <v>8</v>
      </c>
      <c r="C6" s="161" t="s">
        <v>47</v>
      </c>
      <c r="D6" s="161" t="s">
        <v>48</v>
      </c>
      <c r="E6" s="162" t="s">
        <v>49</v>
      </c>
      <c r="F6" s="106" t="s">
        <v>50</v>
      </c>
      <c r="G6" s="161" t="s">
        <v>51</v>
      </c>
      <c r="H6" s="163" t="s">
        <v>52</v>
      </c>
      <c r="I6" s="164" t="s">
        <v>53</v>
      </c>
      <c r="J6" s="165" t="s">
        <v>8</v>
      </c>
      <c r="K6" s="166" t="s">
        <v>54</v>
      </c>
      <c r="L6" s="215" t="s">
        <v>141</v>
      </c>
      <c r="M6" s="167" t="s">
        <v>55</v>
      </c>
      <c r="N6" s="153" t="s">
        <v>390</v>
      </c>
      <c r="O6" s="153">
        <v>1230</v>
      </c>
      <c r="P6" s="153">
        <f>+O6-O6*0.23</f>
        <v>947.09999999999991</v>
      </c>
      <c r="Q6" s="153">
        <f>60*2+55</f>
        <v>175</v>
      </c>
      <c r="R6" s="153">
        <f>+O6*Q6</f>
        <v>215250</v>
      </c>
      <c r="S6" s="153">
        <f>+P6*Q6</f>
        <v>165742.49999999997</v>
      </c>
    </row>
    <row r="7" spans="1:19" ht="13.5" customHeight="1" thickBot="1">
      <c r="A7" s="769" t="s">
        <v>442</v>
      </c>
      <c r="B7" s="221" t="s">
        <v>414</v>
      </c>
      <c r="C7" s="221">
        <v>14133</v>
      </c>
      <c r="D7" s="222">
        <v>299</v>
      </c>
      <c r="E7" s="223"/>
      <c r="F7" s="233"/>
      <c r="G7" s="234" t="s">
        <v>11</v>
      </c>
      <c r="H7" s="235" t="s">
        <v>387</v>
      </c>
      <c r="I7" s="772" t="s">
        <v>405</v>
      </c>
      <c r="J7" s="254" t="s">
        <v>414</v>
      </c>
      <c r="K7" s="243">
        <f>+C34</f>
        <v>44627</v>
      </c>
      <c r="L7" s="247"/>
      <c r="M7" s="121">
        <f>+K7+L7</f>
        <v>44627</v>
      </c>
      <c r="P7" s="153">
        <f>+O7-O7*0.23</f>
        <v>0</v>
      </c>
      <c r="R7" s="153">
        <f t="shared" ref="R7:R10" si="0">+O7*Q7</f>
        <v>0</v>
      </c>
      <c r="S7" s="153">
        <f t="shared" ref="S7:S10" si="1">+P7*Q7</f>
        <v>0</v>
      </c>
    </row>
    <row r="8" spans="1:19" ht="13.5" thickBot="1">
      <c r="A8" s="778"/>
      <c r="B8" s="220"/>
      <c r="C8" s="221"/>
      <c r="D8" s="222"/>
      <c r="E8" s="224"/>
      <c r="F8" s="236">
        <v>8</v>
      </c>
      <c r="G8" s="237" t="s">
        <v>11</v>
      </c>
      <c r="H8" s="235" t="s">
        <v>406</v>
      </c>
      <c r="I8" s="773"/>
      <c r="J8" s="255"/>
      <c r="K8" s="507"/>
      <c r="L8" s="244"/>
      <c r="M8" s="121">
        <f t="shared" ref="M8:M32" si="2">+K8+L8</f>
        <v>0</v>
      </c>
      <c r="P8" s="153">
        <f>+O8-O8*0.23</f>
        <v>0</v>
      </c>
      <c r="R8" s="153">
        <f t="shared" si="0"/>
        <v>0</v>
      </c>
      <c r="S8" s="153">
        <f t="shared" si="1"/>
        <v>0</v>
      </c>
    </row>
    <row r="9" spans="1:19" ht="13.5" thickBot="1">
      <c r="A9" s="778"/>
      <c r="B9" s="220"/>
      <c r="C9" s="221"/>
      <c r="D9" s="222"/>
      <c r="E9" s="225"/>
      <c r="F9" s="233">
        <v>10</v>
      </c>
      <c r="G9" s="237" t="s">
        <v>11</v>
      </c>
      <c r="H9" s="238" t="s">
        <v>389</v>
      </c>
      <c r="I9" s="773"/>
      <c r="J9" s="255"/>
      <c r="K9" s="244"/>
      <c r="L9" s="244"/>
      <c r="M9" s="121">
        <f t="shared" si="2"/>
        <v>0</v>
      </c>
      <c r="P9" s="153">
        <f t="shared" ref="P9:P10" si="3">+O9-O9*0.25</f>
        <v>0</v>
      </c>
      <c r="R9" s="153">
        <f t="shared" si="0"/>
        <v>0</v>
      </c>
      <c r="S9" s="153">
        <f t="shared" si="1"/>
        <v>0</v>
      </c>
    </row>
    <row r="10" spans="1:19" ht="13.5" thickBot="1">
      <c r="A10" s="778"/>
      <c r="B10" s="220"/>
      <c r="C10" s="221"/>
      <c r="D10" s="222"/>
      <c r="E10" s="224"/>
      <c r="F10" s="233"/>
      <c r="G10" s="242" t="s">
        <v>12</v>
      </c>
      <c r="H10" s="238" t="s">
        <v>402</v>
      </c>
      <c r="I10" s="773"/>
      <c r="J10" s="254"/>
      <c r="K10" s="244"/>
      <c r="L10" s="244"/>
      <c r="M10" s="121">
        <f t="shared" si="2"/>
        <v>0</v>
      </c>
      <c r="P10" s="153">
        <f t="shared" si="3"/>
        <v>0</v>
      </c>
      <c r="R10" s="153">
        <f t="shared" si="0"/>
        <v>0</v>
      </c>
      <c r="S10" s="153">
        <f t="shared" si="1"/>
        <v>0</v>
      </c>
    </row>
    <row r="11" spans="1:19" ht="13.5" thickBot="1">
      <c r="A11" s="778"/>
      <c r="B11" s="220"/>
      <c r="C11" s="221"/>
      <c r="D11" s="222"/>
      <c r="E11" s="224"/>
      <c r="F11" s="233"/>
      <c r="G11" s="237"/>
      <c r="H11" s="238" t="s">
        <v>403</v>
      </c>
      <c r="I11" s="773"/>
      <c r="J11" s="254"/>
      <c r="K11" s="244"/>
      <c r="L11" s="244"/>
      <c r="M11" s="121">
        <f t="shared" si="2"/>
        <v>0</v>
      </c>
      <c r="Q11" s="153">
        <f>SUM(Q6:Q10)</f>
        <v>175</v>
      </c>
      <c r="R11" s="153">
        <f>SUM(R6:R10)</f>
        <v>215250</v>
      </c>
      <c r="S11" s="153">
        <f>SUM(S6:S10)</f>
        <v>165742.49999999997</v>
      </c>
    </row>
    <row r="12" spans="1:19" ht="13.5" thickBot="1">
      <c r="A12" s="778"/>
      <c r="B12" s="220"/>
      <c r="C12" s="221"/>
      <c r="D12" s="222"/>
      <c r="E12" s="224"/>
      <c r="F12" s="233"/>
      <c r="G12" s="237"/>
      <c r="H12" s="238"/>
      <c r="I12" s="773"/>
      <c r="J12" s="254"/>
      <c r="K12" s="244"/>
      <c r="L12" s="244"/>
      <c r="M12" s="121">
        <f t="shared" si="2"/>
        <v>0</v>
      </c>
      <c r="O12" s="153" t="s">
        <v>404</v>
      </c>
      <c r="R12" s="153">
        <f>+R11/Q11</f>
        <v>1230</v>
      </c>
      <c r="S12" s="153">
        <f>+S11/Q11</f>
        <v>947.0999999999998</v>
      </c>
    </row>
    <row r="13" spans="1:19" ht="13.5" thickBot="1">
      <c r="A13" s="778"/>
      <c r="B13" s="220"/>
      <c r="C13" s="221"/>
      <c r="D13" s="221"/>
      <c r="E13" s="224"/>
      <c r="F13" s="233"/>
      <c r="G13" s="237"/>
      <c r="H13" s="238"/>
      <c r="I13" s="774"/>
      <c r="J13" s="254"/>
      <c r="K13" s="244"/>
      <c r="L13" s="244"/>
      <c r="M13" s="121">
        <f t="shared" si="2"/>
        <v>0</v>
      </c>
    </row>
    <row r="14" spans="1:19" ht="13.5" thickBot="1">
      <c r="A14" s="779"/>
      <c r="B14" s="170" t="s">
        <v>2</v>
      </c>
      <c r="C14" s="103">
        <f>SUM(C7:C13)</f>
        <v>14133</v>
      </c>
      <c r="D14" s="115">
        <f>SUM(D7:D13)</f>
        <v>299</v>
      </c>
      <c r="E14" s="116">
        <f>SUM(E5:E13)</f>
        <v>0</v>
      </c>
      <c r="F14" s="120">
        <f>SUM(F7:F13)</f>
        <v>18</v>
      </c>
      <c r="G14" s="163"/>
      <c r="H14" s="171"/>
      <c r="I14" s="172"/>
      <c r="J14" s="254"/>
      <c r="K14" s="244"/>
      <c r="L14" s="244"/>
      <c r="M14" s="121">
        <f t="shared" si="2"/>
        <v>0</v>
      </c>
      <c r="P14" s="181"/>
      <c r="Q14" s="181"/>
      <c r="R14" s="181"/>
    </row>
    <row r="15" spans="1:19" ht="13.5" customHeight="1" thickBot="1">
      <c r="A15" s="780" t="s">
        <v>443</v>
      </c>
      <c r="B15" s="170"/>
      <c r="C15" s="117">
        <f>C14/($C$23+$D$23+$E$23)</f>
        <v>0.89841713813489288</v>
      </c>
      <c r="D15" s="118">
        <f>D14/($C$23+$D$23+$E$23)</f>
        <v>1.9007056131205898E-2</v>
      </c>
      <c r="E15" s="119">
        <f>E14/($C$23+$D$23+$E$23)</f>
        <v>0</v>
      </c>
      <c r="F15" s="233">
        <v>9</v>
      </c>
      <c r="G15" s="234" t="s">
        <v>11</v>
      </c>
      <c r="H15" s="235" t="s">
        <v>407</v>
      </c>
      <c r="I15" s="772" t="s">
        <v>405</v>
      </c>
      <c r="J15" s="254"/>
      <c r="K15" s="244"/>
      <c r="L15" s="244"/>
      <c r="M15" s="121">
        <f t="shared" si="2"/>
        <v>0</v>
      </c>
      <c r="Q15" s="181"/>
      <c r="R15" s="181"/>
    </row>
    <row r="16" spans="1:19" ht="13.5" thickBot="1">
      <c r="A16" s="778"/>
      <c r="B16" s="221" t="s">
        <v>414</v>
      </c>
      <c r="C16" s="227">
        <v>15731</v>
      </c>
      <c r="D16" s="228"/>
      <c r="E16" s="229"/>
      <c r="F16" s="236"/>
      <c r="G16" s="237" t="s">
        <v>11</v>
      </c>
      <c r="H16" s="235" t="s">
        <v>286</v>
      </c>
      <c r="I16" s="773"/>
      <c r="J16" s="254"/>
      <c r="K16" s="234"/>
      <c r="L16" s="234"/>
      <c r="M16" s="121">
        <f t="shared" si="2"/>
        <v>0</v>
      </c>
    </row>
    <row r="17" spans="1:13" ht="13.5" thickBot="1">
      <c r="A17" s="778"/>
      <c r="B17" s="220"/>
      <c r="C17" s="221"/>
      <c r="D17" s="222"/>
      <c r="E17" s="230"/>
      <c r="F17" s="233">
        <v>11</v>
      </c>
      <c r="G17" s="237" t="s">
        <v>11</v>
      </c>
      <c r="H17" s="238" t="s">
        <v>389</v>
      </c>
      <c r="I17" s="773"/>
      <c r="J17" s="254"/>
      <c r="K17" s="234"/>
      <c r="L17" s="234"/>
      <c r="M17" s="121">
        <f t="shared" si="2"/>
        <v>0</v>
      </c>
    </row>
    <row r="18" spans="1:13" ht="13.5" thickBot="1">
      <c r="A18" s="778"/>
      <c r="B18" s="220"/>
      <c r="C18" s="221"/>
      <c r="D18" s="222"/>
      <c r="E18" s="230"/>
      <c r="F18" s="233"/>
      <c r="G18" s="242" t="s">
        <v>12</v>
      </c>
      <c r="H18" s="238" t="s">
        <v>400</v>
      </c>
      <c r="I18" s="773"/>
      <c r="J18" s="254"/>
      <c r="K18" s="244"/>
      <c r="L18" s="244"/>
      <c r="M18" s="121">
        <f t="shared" si="2"/>
        <v>0</v>
      </c>
    </row>
    <row r="19" spans="1:13" ht="13.5" thickBot="1">
      <c r="A19" s="778"/>
      <c r="B19" s="220"/>
      <c r="C19" s="221"/>
      <c r="D19" s="222"/>
      <c r="E19" s="230"/>
      <c r="F19" s="240"/>
      <c r="G19" s="237"/>
      <c r="H19" s="238"/>
      <c r="I19" s="773"/>
      <c r="J19" s="254"/>
      <c r="K19" s="244"/>
      <c r="L19" s="244"/>
      <c r="M19" s="121">
        <f t="shared" si="2"/>
        <v>0</v>
      </c>
    </row>
    <row r="20" spans="1:13" ht="13.5" thickBot="1">
      <c r="A20" s="778"/>
      <c r="B20" s="220"/>
      <c r="C20" s="221"/>
      <c r="D20" s="222"/>
      <c r="E20" s="230"/>
      <c r="F20" s="233"/>
      <c r="G20" s="237"/>
      <c r="H20" s="238"/>
      <c r="I20" s="773"/>
      <c r="J20" s="254"/>
      <c r="K20" s="245"/>
      <c r="L20" s="245"/>
      <c r="M20" s="121">
        <f t="shared" si="2"/>
        <v>0</v>
      </c>
    </row>
    <row r="21" spans="1:13" ht="13.5" thickBot="1">
      <c r="A21" s="778"/>
      <c r="B21" s="220"/>
      <c r="C21" s="221"/>
      <c r="D21" s="222"/>
      <c r="E21" s="230"/>
      <c r="F21" s="236"/>
      <c r="G21" s="237"/>
      <c r="H21" s="238"/>
      <c r="I21" s="773"/>
      <c r="J21" s="254"/>
      <c r="K21" s="244"/>
      <c r="L21" s="244"/>
      <c r="M21" s="121">
        <f t="shared" si="2"/>
        <v>0</v>
      </c>
    </row>
    <row r="22" spans="1:13" ht="13.5" thickBot="1">
      <c r="A22" s="778"/>
      <c r="B22" s="220"/>
      <c r="C22" s="221"/>
      <c r="D22" s="222"/>
      <c r="E22" s="230"/>
      <c r="F22" s="241"/>
      <c r="G22" s="237"/>
      <c r="H22" s="238"/>
      <c r="I22" s="774"/>
      <c r="J22" s="254"/>
      <c r="K22" s="244"/>
      <c r="L22" s="244"/>
      <c r="M22" s="121">
        <f t="shared" si="2"/>
        <v>0</v>
      </c>
    </row>
    <row r="23" spans="1:13" ht="13.5" thickBot="1">
      <c r="A23" s="779"/>
      <c r="B23" s="173" t="s">
        <v>2</v>
      </c>
      <c r="C23" s="104">
        <f>SUM(C16:C22)</f>
        <v>15731</v>
      </c>
      <c r="D23" s="115">
        <f>SUM(D16:D22)</f>
        <v>0</v>
      </c>
      <c r="E23" s="116">
        <f>SUM(E18:E22)</f>
        <v>0</v>
      </c>
      <c r="F23" s="120">
        <f>SUM(F15:F22)</f>
        <v>20</v>
      </c>
      <c r="G23" s="163"/>
      <c r="H23" s="171"/>
      <c r="I23" s="174"/>
      <c r="J23" s="254"/>
      <c r="K23" s="244"/>
      <c r="L23" s="244"/>
      <c r="M23" s="121">
        <f t="shared" si="2"/>
        <v>0</v>
      </c>
    </row>
    <row r="24" spans="1:13" ht="13.5" customHeight="1" thickBot="1">
      <c r="A24" s="780" t="s">
        <v>444</v>
      </c>
      <c r="B24" s="175"/>
      <c r="C24" s="117">
        <f>C23/($C$23+$D$23+$E$23)</f>
        <v>1</v>
      </c>
      <c r="D24" s="118">
        <f>D23/($C$23+$D$23+$E$23)</f>
        <v>0</v>
      </c>
      <c r="E24" s="119">
        <f>E23/($C$23+$D$23+$E$23)</f>
        <v>0</v>
      </c>
      <c r="F24" s="233"/>
      <c r="G24" s="234" t="s">
        <v>11</v>
      </c>
      <c r="H24" s="235" t="s">
        <v>387</v>
      </c>
      <c r="I24" s="772" t="s">
        <v>405</v>
      </c>
      <c r="J24" s="254"/>
      <c r="K24" s="244"/>
      <c r="L24" s="244"/>
      <c r="M24" s="121">
        <f t="shared" si="2"/>
        <v>0</v>
      </c>
    </row>
    <row r="25" spans="1:13" ht="13.5" thickBot="1">
      <c r="A25" s="778"/>
      <c r="B25" s="221" t="s">
        <v>414</v>
      </c>
      <c r="C25" s="231">
        <v>14763</v>
      </c>
      <c r="D25" s="222"/>
      <c r="E25" s="230"/>
      <c r="F25" s="236">
        <v>6</v>
      </c>
      <c r="G25" s="237" t="s">
        <v>11</v>
      </c>
      <c r="H25" s="235" t="s">
        <v>388</v>
      </c>
      <c r="I25" s="773"/>
      <c r="J25" s="254"/>
      <c r="K25" s="244"/>
      <c r="L25" s="244"/>
      <c r="M25" s="121">
        <f t="shared" si="2"/>
        <v>0</v>
      </c>
    </row>
    <row r="26" spans="1:13" ht="13.5" thickBot="1">
      <c r="A26" s="778"/>
      <c r="B26" s="220"/>
      <c r="C26" s="231"/>
      <c r="D26" s="222"/>
      <c r="E26" s="232"/>
      <c r="F26" s="233">
        <v>18</v>
      </c>
      <c r="G26" s="237" t="s">
        <v>11</v>
      </c>
      <c r="H26" s="238" t="s">
        <v>408</v>
      </c>
      <c r="I26" s="773"/>
      <c r="J26" s="254"/>
      <c r="K26" s="244"/>
      <c r="L26" s="244"/>
      <c r="M26" s="121">
        <f t="shared" si="2"/>
        <v>0</v>
      </c>
    </row>
    <row r="27" spans="1:13" ht="13.5" thickBot="1">
      <c r="A27" s="778"/>
      <c r="B27" s="220"/>
      <c r="C27" s="221"/>
      <c r="D27" s="222"/>
      <c r="E27" s="230"/>
      <c r="F27" s="233"/>
      <c r="G27" s="242" t="s">
        <v>12</v>
      </c>
      <c r="H27" s="238" t="s">
        <v>400</v>
      </c>
      <c r="I27" s="773"/>
      <c r="J27" s="254"/>
      <c r="K27" s="244"/>
      <c r="L27" s="244"/>
      <c r="M27" s="121">
        <f t="shared" si="2"/>
        <v>0</v>
      </c>
    </row>
    <row r="28" spans="1:13" ht="13.5" thickBot="1">
      <c r="A28" s="778"/>
      <c r="B28" s="220"/>
      <c r="C28" s="221"/>
      <c r="D28" s="222"/>
      <c r="E28" s="230"/>
      <c r="F28" s="236"/>
      <c r="G28" s="237"/>
      <c r="H28" s="238" t="s">
        <v>401</v>
      </c>
      <c r="I28" s="773"/>
      <c r="J28" s="254"/>
      <c r="K28" s="244"/>
      <c r="L28" s="244"/>
      <c r="M28" s="121">
        <f t="shared" si="2"/>
        <v>0</v>
      </c>
    </row>
    <row r="29" spans="1:13" ht="13.5" thickBot="1">
      <c r="A29" s="778"/>
      <c r="B29" s="220"/>
      <c r="C29" s="221"/>
      <c r="D29" s="222"/>
      <c r="E29" s="230"/>
      <c r="F29" s="241"/>
      <c r="G29" s="237"/>
      <c r="H29" s="238"/>
      <c r="I29" s="773"/>
      <c r="J29" s="254"/>
      <c r="K29" s="244"/>
      <c r="L29" s="244"/>
      <c r="M29" s="121">
        <f t="shared" si="2"/>
        <v>0</v>
      </c>
    </row>
    <row r="30" spans="1:13" ht="13.5" thickBot="1">
      <c r="A30" s="778"/>
      <c r="B30" s="220"/>
      <c r="C30" s="231"/>
      <c r="D30" s="222"/>
      <c r="E30" s="230"/>
      <c r="F30" s="241"/>
      <c r="G30" s="237"/>
      <c r="H30" s="238"/>
      <c r="I30" s="773"/>
      <c r="J30" s="254"/>
      <c r="K30" s="244"/>
      <c r="L30" s="244"/>
      <c r="M30" s="121">
        <f t="shared" si="2"/>
        <v>0</v>
      </c>
    </row>
    <row r="31" spans="1:13" ht="13.5" thickBot="1">
      <c r="A31" s="778"/>
      <c r="B31" s="220"/>
      <c r="C31" s="231"/>
      <c r="D31" s="222"/>
      <c r="E31" s="230"/>
      <c r="F31" s="241"/>
      <c r="G31" s="242"/>
      <c r="H31" s="441"/>
      <c r="I31" s="774"/>
      <c r="J31" s="254"/>
      <c r="K31" s="244"/>
      <c r="L31" s="244"/>
      <c r="M31" s="121">
        <f t="shared" si="2"/>
        <v>0</v>
      </c>
    </row>
    <row r="32" spans="1:13" ht="13.5" thickBot="1">
      <c r="A32" s="779"/>
      <c r="B32" s="170" t="s">
        <v>2</v>
      </c>
      <c r="C32" s="103">
        <f>SUM(C25:C31)</f>
        <v>14763</v>
      </c>
      <c r="D32" s="104">
        <f>SUM(D25:D31)</f>
        <v>0</v>
      </c>
      <c r="E32" s="105">
        <f>SUM(E25:E31)</f>
        <v>0</v>
      </c>
      <c r="F32" s="106">
        <f>SUM(F24:F31)</f>
        <v>24</v>
      </c>
      <c r="G32" s="176"/>
      <c r="H32" s="177"/>
      <c r="I32" s="174"/>
      <c r="J32" s="256"/>
      <c r="K32" s="246"/>
      <c r="L32" s="248"/>
      <c r="M32" s="121">
        <f t="shared" si="2"/>
        <v>0</v>
      </c>
    </row>
    <row r="33" spans="1:13" ht="13.5" thickBot="1">
      <c r="A33" s="178"/>
      <c r="B33" s="179"/>
      <c r="C33" s="107">
        <f>C32/($C$32+$D$32+$E$32)</f>
        <v>1</v>
      </c>
      <c r="D33" s="108">
        <f>D32/($C$32+$D$32+$E$32)</f>
        <v>0</v>
      </c>
      <c r="E33" s="109">
        <f>E32/($C$32+$D$32+$E$32)</f>
        <v>0</v>
      </c>
      <c r="F33" s="110"/>
      <c r="G33" s="180"/>
      <c r="H33" s="181"/>
      <c r="I33" s="182"/>
      <c r="J33" s="125"/>
      <c r="K33" s="126"/>
      <c r="L33" s="218"/>
      <c r="M33" s="123"/>
    </row>
    <row r="34" spans="1:13" ht="13.5" thickBot="1">
      <c r="A34" s="765" t="s">
        <v>56</v>
      </c>
      <c r="B34" s="766"/>
      <c r="C34" s="111">
        <f>C14+C23+C32</f>
        <v>44627</v>
      </c>
      <c r="D34" s="111">
        <f>D14+D23+D32</f>
        <v>299</v>
      </c>
      <c r="E34" s="111">
        <f>E14+E23+E32</f>
        <v>0</v>
      </c>
      <c r="F34" s="112">
        <f>F14+F23+F32</f>
        <v>62</v>
      </c>
      <c r="H34" s="183"/>
      <c r="I34" s="183"/>
      <c r="J34" s="127" t="s">
        <v>27</v>
      </c>
      <c r="K34" s="128">
        <f>SUM(K7:K32)</f>
        <v>44627</v>
      </c>
      <c r="L34" s="217">
        <f>SUM(L7:L32)</f>
        <v>0</v>
      </c>
      <c r="M34" s="124">
        <f>SUM(M7:M32)</f>
        <v>44627</v>
      </c>
    </row>
    <row r="35" spans="1:13" ht="13.5" thickBot="1">
      <c r="A35" s="184"/>
      <c r="B35" s="185"/>
      <c r="C35" s="108">
        <f>C34/($C$34+$D$34+$E$34)</f>
        <v>0.99334461113831629</v>
      </c>
      <c r="D35" s="108">
        <f>D34/($C$34+$D$34+$E$34)</f>
        <v>6.6553888616836575E-3</v>
      </c>
      <c r="E35" s="113">
        <f>E34/($C$34+$D$34+$E$34)</f>
        <v>0</v>
      </c>
      <c r="K35" s="159"/>
    </row>
    <row r="36" spans="1:13" ht="13.5" thickBot="1">
      <c r="A36" s="183"/>
      <c r="B36" s="183"/>
      <c r="C36" s="159"/>
      <c r="D36" s="159"/>
      <c r="E36" s="159"/>
      <c r="G36" s="159"/>
      <c r="H36" s="186"/>
      <c r="I36" s="166" t="s">
        <v>36</v>
      </c>
      <c r="J36" s="166" t="s">
        <v>37</v>
      </c>
      <c r="K36" s="187"/>
    </row>
    <row r="37" spans="1:13" ht="17.45" customHeight="1" thickBot="1">
      <c r="A37" s="767" t="s">
        <v>57</v>
      </c>
      <c r="B37" s="768"/>
      <c r="C37" s="166" t="s">
        <v>58</v>
      </c>
      <c r="D37" s="188" t="s">
        <v>59</v>
      </c>
      <c r="E37" s="189" t="s">
        <v>60</v>
      </c>
      <c r="F37" s="190"/>
      <c r="G37" s="159"/>
      <c r="H37" s="191" t="s">
        <v>61</v>
      </c>
      <c r="I37" s="249">
        <f>(13*1440)/1440*G42*2.74*1440/1000000</f>
        <v>48.579410879999998</v>
      </c>
      <c r="J37" s="129">
        <f>I37</f>
        <v>48.579410879999998</v>
      </c>
      <c r="K37" s="130" t="s">
        <v>62</v>
      </c>
    </row>
    <row r="38" spans="1:13" ht="17.45" customHeight="1">
      <c r="A38" s="759" t="s">
        <v>11</v>
      </c>
      <c r="B38" s="760"/>
      <c r="C38" s="168">
        <f>SUMIF($G$7:$G$31,"Process",$F$7:$F$31)</f>
        <v>62</v>
      </c>
      <c r="D38" s="122">
        <f>C38</f>
        <v>62</v>
      </c>
      <c r="E38" s="147">
        <f t="shared" ref="E38:E51" si="4">D38/60</f>
        <v>1.0333333333333334</v>
      </c>
      <c r="F38" s="190">
        <v>1230</v>
      </c>
      <c r="G38" s="190">
        <v>947.09999999999991</v>
      </c>
      <c r="H38" s="192" t="s">
        <v>63</v>
      </c>
      <c r="I38" s="250">
        <f>15.474+15.392+14.715</f>
        <v>45.581000000000003</v>
      </c>
      <c r="J38" s="131">
        <f>I38</f>
        <v>45.581000000000003</v>
      </c>
      <c r="K38" s="132" t="s">
        <v>62</v>
      </c>
    </row>
    <row r="39" spans="1:13" ht="17.45" customHeight="1">
      <c r="A39" s="763" t="s">
        <v>12</v>
      </c>
      <c r="B39" s="764"/>
      <c r="C39" s="168">
        <f>SUMIF($G$7:$G$31,"Cleaning",$F$7:$F$31)</f>
        <v>0</v>
      </c>
      <c r="D39" s="122">
        <f>C39</f>
        <v>0</v>
      </c>
      <c r="E39" s="147">
        <f t="shared" si="4"/>
        <v>0</v>
      </c>
      <c r="F39" s="190">
        <v>1230</v>
      </c>
      <c r="G39" s="190">
        <v>947.09999999999991</v>
      </c>
      <c r="H39" s="192" t="s">
        <v>64</v>
      </c>
      <c r="I39" s="146"/>
      <c r="J39" s="133">
        <f>J37/G4</f>
        <v>48.579410879999998</v>
      </c>
      <c r="K39" s="134" t="s">
        <v>62</v>
      </c>
    </row>
    <row r="40" spans="1:13" ht="17.45" customHeight="1">
      <c r="A40" s="763" t="s">
        <v>65</v>
      </c>
      <c r="B40" s="764"/>
      <c r="C40" s="168">
        <f>SUMIF($G$7:$G$31,"Mechanical",$F$7:$F$31)</f>
        <v>0</v>
      </c>
      <c r="D40" s="122">
        <f t="shared" ref="D40:D51" si="5">C40</f>
        <v>0</v>
      </c>
      <c r="E40" s="147">
        <f t="shared" si="4"/>
        <v>0</v>
      </c>
      <c r="F40" s="190">
        <v>1230</v>
      </c>
      <c r="G40" s="190">
        <v>947.09999999999991</v>
      </c>
      <c r="H40" s="192" t="s">
        <v>66</v>
      </c>
      <c r="I40" s="122">
        <f>(K34+L34)/1000</f>
        <v>44.627000000000002</v>
      </c>
      <c r="J40" s="135">
        <f>M34/1000</f>
        <v>44.627000000000002</v>
      </c>
      <c r="K40" s="134" t="s">
        <v>62</v>
      </c>
    </row>
    <row r="41" spans="1:13" ht="17.45" customHeight="1">
      <c r="A41" s="763" t="s">
        <v>67</v>
      </c>
      <c r="B41" s="764"/>
      <c r="C41" s="168">
        <f>SUMIF($G$7:$G$31,"Electrical",$F$7:$F$31)</f>
        <v>0</v>
      </c>
      <c r="D41" s="122">
        <f t="shared" si="5"/>
        <v>0</v>
      </c>
      <c r="E41" s="147">
        <f t="shared" si="4"/>
        <v>0</v>
      </c>
      <c r="F41" s="190"/>
      <c r="G41" s="190"/>
      <c r="H41" s="192" t="s">
        <v>68</v>
      </c>
      <c r="I41" s="146"/>
      <c r="J41" s="133">
        <f>J40/G4</f>
        <v>44.627000000000002</v>
      </c>
      <c r="K41" s="134" t="s">
        <v>62</v>
      </c>
    </row>
    <row r="42" spans="1:13" ht="17.45" customHeight="1">
      <c r="A42" s="763" t="s">
        <v>15</v>
      </c>
      <c r="B42" s="764"/>
      <c r="C42" s="168">
        <f>SUMIF($G$7:$G$31,"Instrument",$F$7:$F$31)</f>
        <v>0</v>
      </c>
      <c r="D42" s="122">
        <f t="shared" si="5"/>
        <v>0</v>
      </c>
      <c r="E42" s="147">
        <f t="shared" si="4"/>
        <v>0</v>
      </c>
      <c r="F42" s="327">
        <v>1230</v>
      </c>
      <c r="G42" s="327">
        <v>947.09999999999991</v>
      </c>
      <c r="H42" s="192" t="s">
        <v>69</v>
      </c>
      <c r="I42" s="251" t="s">
        <v>405</v>
      </c>
      <c r="J42" s="136"/>
      <c r="K42" s="134" t="s">
        <v>70</v>
      </c>
    </row>
    <row r="43" spans="1:13" ht="17.45" customHeight="1">
      <c r="A43" s="763" t="s">
        <v>222</v>
      </c>
      <c r="B43" s="764"/>
      <c r="C43" s="168">
        <f>SUMIF($G$7:$G$31,"Change Grade",$F$7:$F$31)</f>
        <v>0</v>
      </c>
      <c r="D43" s="122">
        <f t="shared" si="5"/>
        <v>0</v>
      </c>
      <c r="E43" s="147">
        <f t="shared" si="4"/>
        <v>0</v>
      </c>
      <c r="F43" s="190"/>
      <c r="H43" s="193" t="s">
        <v>72</v>
      </c>
      <c r="I43" s="122">
        <f>+Report1!Z9</f>
        <v>59.5</v>
      </c>
      <c r="J43" s="137">
        <f>I43</f>
        <v>59.5</v>
      </c>
      <c r="K43" s="134" t="s">
        <v>62</v>
      </c>
      <c r="L43" s="194"/>
    </row>
    <row r="44" spans="1:13" ht="17.45" customHeight="1">
      <c r="A44" s="763" t="s">
        <v>16</v>
      </c>
      <c r="B44" s="764"/>
      <c r="C44" s="168">
        <f>SUMIF($G$7:$G$31,"PLN",$F$7:$F$31)</f>
        <v>0</v>
      </c>
      <c r="D44" s="122">
        <f>C44</f>
        <v>0</v>
      </c>
      <c r="E44" s="147">
        <f t="shared" si="4"/>
        <v>0</v>
      </c>
      <c r="F44" s="190"/>
      <c r="H44" s="193" t="s">
        <v>73</v>
      </c>
      <c r="I44" s="122">
        <f>I43/I38</f>
        <v>1.305368464930563</v>
      </c>
      <c r="J44" s="138">
        <f>J43/J38</f>
        <v>1.305368464930563</v>
      </c>
      <c r="K44" s="134" t="s">
        <v>62</v>
      </c>
    </row>
    <row r="45" spans="1:13" ht="17.45" customHeight="1">
      <c r="A45" s="763" t="s">
        <v>17</v>
      </c>
      <c r="B45" s="764"/>
      <c r="C45" s="168">
        <f>SUMIF($G$7:$G$31,"Boiler",$F$7:$F$31)</f>
        <v>0</v>
      </c>
      <c r="D45" s="122">
        <f t="shared" si="5"/>
        <v>0</v>
      </c>
      <c r="E45" s="147">
        <f t="shared" si="4"/>
        <v>0</v>
      </c>
      <c r="F45" s="190"/>
      <c r="G45" s="181"/>
      <c r="H45" s="193" t="s">
        <v>74</v>
      </c>
      <c r="I45" s="122">
        <f>I43/I40</f>
        <v>1.3332735787751808</v>
      </c>
      <c r="J45" s="138">
        <f>J43/J40</f>
        <v>1.3332735787751808</v>
      </c>
      <c r="K45" s="134" t="s">
        <v>62</v>
      </c>
    </row>
    <row r="46" spans="1:13" ht="17.45" customHeight="1">
      <c r="A46" s="763" t="s">
        <v>75</v>
      </c>
      <c r="B46" s="764"/>
      <c r="C46" s="168">
        <f>SUMIF($G$7:$G$31,"Gas",$F$7:$F$31)</f>
        <v>0</v>
      </c>
      <c r="D46" s="122">
        <f t="shared" si="5"/>
        <v>0</v>
      </c>
      <c r="E46" s="147">
        <f t="shared" si="4"/>
        <v>0</v>
      </c>
      <c r="F46" s="190"/>
      <c r="H46" s="193" t="s">
        <v>76</v>
      </c>
      <c r="I46" s="144">
        <f>+SUMIF(Listrik!P8,"&gt;0")</f>
        <v>37566.020000000724</v>
      </c>
      <c r="J46" s="139">
        <f>I46</f>
        <v>37566.020000000724</v>
      </c>
      <c r="K46" s="134" t="s">
        <v>77</v>
      </c>
    </row>
    <row r="47" spans="1:13" ht="17.45" customHeight="1">
      <c r="A47" s="763" t="s">
        <v>78</v>
      </c>
      <c r="B47" s="764"/>
      <c r="C47" s="168">
        <f>SUMIF($G$7:$G$31,"Gas",$F$7:$F$31)</f>
        <v>0</v>
      </c>
      <c r="D47" s="122">
        <f t="shared" si="5"/>
        <v>0</v>
      </c>
      <c r="E47" s="147">
        <f t="shared" si="4"/>
        <v>0</v>
      </c>
      <c r="F47" s="190"/>
      <c r="H47" s="193" t="s">
        <v>79</v>
      </c>
      <c r="I47" s="122">
        <f>I46/I38</f>
        <v>824.15962791515597</v>
      </c>
      <c r="J47" s="139">
        <f>J46/J38</f>
        <v>824.15962791515597</v>
      </c>
      <c r="K47" s="134" t="s">
        <v>23</v>
      </c>
    </row>
    <row r="48" spans="1:13" ht="17.45" customHeight="1">
      <c r="A48" s="763" t="s">
        <v>13</v>
      </c>
      <c r="B48" s="764"/>
      <c r="C48" s="168">
        <f>SUMIF($G$7:$G$31,"Start Up",$F$7:$F$31)</f>
        <v>0</v>
      </c>
      <c r="D48" s="122">
        <f t="shared" si="5"/>
        <v>0</v>
      </c>
      <c r="E48" s="147">
        <f t="shared" si="4"/>
        <v>0</v>
      </c>
      <c r="F48" s="190"/>
      <c r="H48" s="193" t="s">
        <v>80</v>
      </c>
      <c r="I48" s="122">
        <f>I46/I40</f>
        <v>841.77784749144519</v>
      </c>
      <c r="J48" s="139">
        <f>J46/J40</f>
        <v>841.77784749144519</v>
      </c>
      <c r="K48" s="134" t="s">
        <v>23</v>
      </c>
    </row>
    <row r="49" spans="1:11" ht="17.45" customHeight="1">
      <c r="A49" s="763" t="s">
        <v>19</v>
      </c>
      <c r="B49" s="764"/>
      <c r="C49" s="168">
        <f>SUMIF($G$7:$G$31,"Others",$F$7:$F$31)</f>
        <v>0</v>
      </c>
      <c r="D49" s="122">
        <f t="shared" si="5"/>
        <v>0</v>
      </c>
      <c r="E49" s="147">
        <f t="shared" si="4"/>
        <v>0</v>
      </c>
      <c r="F49" s="190"/>
      <c r="H49" s="193" t="s">
        <v>270</v>
      </c>
      <c r="I49" s="122">
        <f>+Report1!T9</f>
        <v>4127.5495501299147</v>
      </c>
      <c r="J49" s="139">
        <f>I49</f>
        <v>4127.5495501299147</v>
      </c>
      <c r="K49" s="134" t="s">
        <v>81</v>
      </c>
    </row>
    <row r="50" spans="1:11" ht="17.45" customHeight="1">
      <c r="A50" s="763" t="s">
        <v>18</v>
      </c>
      <c r="B50" s="764"/>
      <c r="C50" s="168">
        <f>SUMIF($G$7:$G$31,"Steam",$F$7:$F$31)</f>
        <v>0</v>
      </c>
      <c r="D50" s="122">
        <f t="shared" si="5"/>
        <v>0</v>
      </c>
      <c r="E50" s="147">
        <f t="shared" si="4"/>
        <v>0</v>
      </c>
      <c r="F50" s="190"/>
      <c r="H50" s="193" t="s">
        <v>82</v>
      </c>
      <c r="I50" s="144">
        <f>I49/I38</f>
        <v>90.55416840635165</v>
      </c>
      <c r="J50" s="137">
        <f>J49/J38</f>
        <v>90.55416840635165</v>
      </c>
      <c r="K50" s="134" t="s">
        <v>81</v>
      </c>
    </row>
    <row r="51" spans="1:11" ht="17.45" customHeight="1" thickBot="1">
      <c r="A51" s="757" t="s">
        <v>83</v>
      </c>
      <c r="B51" s="758"/>
      <c r="C51" s="168">
        <f>SUMIF($G$7:$G$31,"Planned shut",$F$7:$F$31)</f>
        <v>0</v>
      </c>
      <c r="D51" s="122">
        <f t="shared" si="5"/>
        <v>0</v>
      </c>
      <c r="E51" s="147">
        <f t="shared" si="4"/>
        <v>0</v>
      </c>
      <c r="F51" s="190"/>
      <c r="H51" s="195" t="s">
        <v>84</v>
      </c>
      <c r="I51" s="145">
        <f>I49/I40</f>
        <v>92.489962357539483</v>
      </c>
      <c r="J51" s="140">
        <f>J49/J40</f>
        <v>92.489962357539483</v>
      </c>
      <c r="K51" s="141" t="s">
        <v>81</v>
      </c>
    </row>
    <row r="52" spans="1:11" ht="13.5" thickBot="1">
      <c r="A52" s="759" t="s">
        <v>27</v>
      </c>
      <c r="B52" s="760"/>
      <c r="C52" s="148">
        <f>SUM(C38:C51)</f>
        <v>62</v>
      </c>
      <c r="D52" s="148">
        <f>SUM(D38:D51)</f>
        <v>62</v>
      </c>
      <c r="E52" s="149">
        <f>SUM(E38:E51)</f>
        <v>1.0333333333333334</v>
      </c>
      <c r="F52" s="190"/>
      <c r="H52" s="196"/>
      <c r="I52" s="197"/>
      <c r="J52" s="142"/>
      <c r="K52" s="143"/>
    </row>
    <row r="53" spans="1:11" ht="13.5" thickBot="1">
      <c r="A53" s="761"/>
      <c r="B53" s="762"/>
      <c r="C53" s="150">
        <f>C52/(24*60)</f>
        <v>4.3055555555555555E-2</v>
      </c>
      <c r="D53" s="150">
        <f>D52/(24*60*G4)</f>
        <v>4.3055555555555555E-2</v>
      </c>
      <c r="E53" s="151">
        <f>E52/(G4*24)</f>
        <v>4.3055555555555562E-2</v>
      </c>
      <c r="F53" s="190"/>
    </row>
    <row r="54" spans="1:11">
      <c r="E54" s="198"/>
      <c r="F54" s="190"/>
    </row>
    <row r="55" spans="1:11">
      <c r="E55" s="198"/>
    </row>
    <row r="56" spans="1:11">
      <c r="A56" s="199" t="s">
        <v>85</v>
      </c>
      <c r="B56" s="200"/>
      <c r="C56" s="201"/>
      <c r="D56" s="201"/>
      <c r="E56" s="201"/>
      <c r="F56" s="202"/>
      <c r="G56" s="201"/>
      <c r="H56" s="203"/>
      <c r="I56" s="204" t="s">
        <v>86</v>
      </c>
      <c r="J56" s="205">
        <f>D34</f>
        <v>299</v>
      </c>
      <c r="K56" s="206">
        <f>J56/(J40+J56/1000)/1000</f>
        <v>6.6553888616836575E-3</v>
      </c>
    </row>
    <row r="57" spans="1:11">
      <c r="A57" s="181"/>
      <c r="I57" s="204" t="s">
        <v>87</v>
      </c>
      <c r="J57" s="205">
        <f>+E34</f>
        <v>0</v>
      </c>
      <c r="K57" s="206">
        <f>J57/(J40+J57/1000)/1000</f>
        <v>0</v>
      </c>
    </row>
    <row r="58" spans="1:11">
      <c r="A58" s="207"/>
      <c r="B58" s="208"/>
      <c r="F58" s="190"/>
      <c r="H58" s="209"/>
    </row>
    <row r="59" spans="1:11">
      <c r="A59" s="210"/>
      <c r="B59" s="181"/>
      <c r="C59" s="181"/>
      <c r="D59" s="181"/>
      <c r="E59" s="181"/>
      <c r="F59" s="194"/>
      <c r="G59" s="181"/>
      <c r="H59" s="209"/>
    </row>
    <row r="60" spans="1:11">
      <c r="H60" s="209"/>
    </row>
    <row r="61" spans="1:11">
      <c r="A61" s="211"/>
      <c r="B61" s="212"/>
      <c r="C61" s="212"/>
      <c r="D61" s="212"/>
      <c r="E61" s="212"/>
      <c r="F61" s="213"/>
      <c r="G61" s="212"/>
      <c r="H61" s="214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7:A14"/>
    <mergeCell ref="I7:I13"/>
    <mergeCell ref="A15:A23"/>
    <mergeCell ref="I15:I22"/>
    <mergeCell ref="A34:B34"/>
    <mergeCell ref="A37:B37"/>
    <mergeCell ref="A24:A32"/>
    <mergeCell ref="I24:I31"/>
    <mergeCell ref="A48:B48"/>
    <mergeCell ref="A49:B49"/>
    <mergeCell ref="A40:B40"/>
    <mergeCell ref="A41:B41"/>
    <mergeCell ref="A38:B38"/>
    <mergeCell ref="A39:B39"/>
  </mergeCells>
  <phoneticPr fontId="32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35</vt:i4>
      </vt:variant>
    </vt:vector>
  </HeadingPairs>
  <TitlesOfParts>
    <vt:vector size="77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RBP</vt:lpstr>
      <vt:lpstr>BB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2025-09-02T02:51:19Z</cp:lastPrinted>
  <dcterms:created xsi:type="dcterms:W3CDTF">2007-07-30T03:52:39Z</dcterms:created>
  <dcterms:modified xsi:type="dcterms:W3CDTF">2025-09-11T07:49:27Z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