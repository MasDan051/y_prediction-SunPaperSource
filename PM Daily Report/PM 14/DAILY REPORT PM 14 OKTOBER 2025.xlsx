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-0120-P-PRD-DI\Documents Network Produksi - PM\2025\10. OKTOBER\"/>
    </mc:Choice>
  </mc:AlternateContent>
  <bookViews>
    <workbookView xWindow="-105" yWindow="-105" windowWidth="20730" windowHeight="11760" tabRatio="930" activeTab="10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46" r:id="rId5"/>
    <sheet name="Efficiency2" sheetId="57" r:id="rId6"/>
    <sheet name="Chem" sheetId="1" r:id="rId7"/>
    <sheet name="RBP" sheetId="54" r:id="rId8"/>
    <sheet name="BB" sheetId="2" r:id="rId9"/>
    <sheet name="Sheet1" sheetId="56" r:id="rId10"/>
    <sheet name="summary" sheetId="55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  <externalReference r:id="rId44"/>
    <externalReference r:id="rId45"/>
    <externalReference r:id="rId46"/>
  </externalReferences>
  <definedNames>
    <definedName name="_xlnm._FilterDatabase" localSheetId="9" hidden="1">Sheet1!$B$1:$F$121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Chem!$CE$6:$CQ$15</definedName>
    <definedName name="_xlnm.Print_Area" localSheetId="4">Efficiency1!$A$1:$AD$189</definedName>
    <definedName name="_xlnm.Print_Area" localSheetId="5">Efficiency2!$A$1:$AD$167</definedName>
    <definedName name="_xlnm.Print_Area" localSheetId="2">Listrik!$A$2:$AT$40</definedName>
    <definedName name="_xlnm.Print_Area" localSheetId="0">Report1!$A$3:$AK$41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9" i="48" l="1"/>
  <c r="N141" i="57" l="1"/>
  <c r="H141" i="57" s="1"/>
  <c r="N136" i="57"/>
  <c r="H136" i="57" s="1"/>
  <c r="N131" i="57"/>
  <c r="H131" i="57" s="1"/>
  <c r="N127" i="57"/>
  <c r="H127" i="57" s="1"/>
  <c r="N126" i="57"/>
  <c r="H126" i="57" s="1"/>
  <c r="N121" i="57"/>
  <c r="H121" i="57" s="1"/>
  <c r="N116" i="57"/>
  <c r="H116" i="57" s="1"/>
  <c r="N111" i="57"/>
  <c r="H111" i="57" s="1"/>
  <c r="N106" i="57"/>
  <c r="H106" i="57" s="1"/>
  <c r="N101" i="57"/>
  <c r="H101" i="57" s="1"/>
  <c r="N96" i="57"/>
  <c r="H96" i="57" s="1"/>
  <c r="N91" i="57"/>
  <c r="H91" i="57"/>
  <c r="N86" i="57"/>
  <c r="H86" i="57" s="1"/>
  <c r="N81" i="57"/>
  <c r="H81" i="57" s="1"/>
  <c r="N77" i="57"/>
  <c r="H77" i="57" s="1"/>
  <c r="N75" i="57"/>
  <c r="H75" i="57" s="1"/>
  <c r="N74" i="57"/>
  <c r="H74" i="57" s="1"/>
  <c r="N73" i="57"/>
  <c r="H73" i="57" s="1"/>
  <c r="N70" i="57"/>
  <c r="H70" i="57" s="1"/>
  <c r="N69" i="57"/>
  <c r="H69" i="57"/>
  <c r="J69" i="57" s="1"/>
  <c r="N65" i="57"/>
  <c r="H65" i="57" s="1"/>
  <c r="N64" i="57"/>
  <c r="H64" i="57" s="1"/>
  <c r="N60" i="57"/>
  <c r="H60" i="57" s="1"/>
  <c r="N56" i="57"/>
  <c r="H56" i="57"/>
  <c r="N53" i="57"/>
  <c r="H53" i="57" s="1"/>
  <c r="N52" i="57"/>
  <c r="H52" i="57" s="1"/>
  <c r="N49" i="57"/>
  <c r="H49" i="57" s="1"/>
  <c r="N48" i="57"/>
  <c r="H48" i="57" s="1"/>
  <c r="N44" i="57"/>
  <c r="H44" i="57" s="1"/>
  <c r="N40" i="57"/>
  <c r="H40" i="57" s="1"/>
  <c r="N36" i="57"/>
  <c r="H36" i="57" s="1"/>
  <c r="N33" i="57"/>
  <c r="H33" i="57" s="1"/>
  <c r="N32" i="57"/>
  <c r="H32" i="57" s="1"/>
  <c r="G32" i="57"/>
  <c r="N28" i="57"/>
  <c r="H28" i="57"/>
  <c r="G28" i="57"/>
  <c r="N24" i="57"/>
  <c r="H24" i="57" s="1"/>
  <c r="J24" i="57" s="1"/>
  <c r="G24" i="57"/>
  <c r="N22" i="57"/>
  <c r="H22" i="57"/>
  <c r="J22" i="57" s="1"/>
  <c r="G22" i="57"/>
  <c r="N21" i="57"/>
  <c r="J21" i="57"/>
  <c r="N20" i="57"/>
  <c r="J20" i="57"/>
  <c r="N16" i="57"/>
  <c r="J16" i="57"/>
  <c r="N12" i="57"/>
  <c r="J12" i="57"/>
  <c r="N6" i="57"/>
  <c r="J6" i="57"/>
  <c r="A6" i="57"/>
  <c r="J127" i="57" l="1"/>
  <c r="J111" i="57"/>
  <c r="J75" i="57"/>
  <c r="J28" i="57"/>
  <c r="J91" i="57"/>
  <c r="J56" i="57"/>
  <c r="J53" i="57"/>
  <c r="J40" i="57"/>
  <c r="J101" i="57"/>
  <c r="J126" i="57"/>
  <c r="J131" i="57"/>
  <c r="J73" i="57"/>
  <c r="J96" i="57"/>
  <c r="J60" i="57"/>
  <c r="J86" i="57"/>
  <c r="J74" i="57"/>
  <c r="J44" i="57"/>
  <c r="J81" i="57"/>
  <c r="J106" i="57"/>
  <c r="J116" i="57"/>
  <c r="J64" i="57"/>
  <c r="J77" i="57"/>
  <c r="J33" i="57"/>
  <c r="J136" i="57"/>
  <c r="J52" i="57"/>
  <c r="J65" i="57"/>
  <c r="J70" i="57"/>
  <c r="J48" i="57"/>
  <c r="J49" i="57"/>
  <c r="J36" i="57"/>
  <c r="J121" i="57"/>
  <c r="J141" i="57"/>
  <c r="J32" i="57"/>
  <c r="Q141" i="57"/>
  <c r="R141" i="57"/>
  <c r="R136" i="57"/>
  <c r="Q136" i="57"/>
  <c r="Q131" i="57"/>
  <c r="R131" i="57"/>
  <c r="Q121" i="57"/>
  <c r="R121" i="57"/>
  <c r="Q116" i="57"/>
  <c r="Q111" i="57"/>
  <c r="Q106" i="57"/>
  <c r="R116" i="57"/>
  <c r="R111" i="57"/>
  <c r="R106" i="57"/>
  <c r="R101" i="57"/>
  <c r="Q101" i="57"/>
  <c r="Q96" i="57"/>
  <c r="R96" i="57"/>
  <c r="R91" i="57"/>
  <c r="Q91" i="57"/>
  <c r="Q86" i="57"/>
  <c r="R86" i="57"/>
  <c r="R81" i="57"/>
  <c r="Q81" i="57"/>
  <c r="Q6" i="57"/>
  <c r="R6" i="57"/>
  <c r="AU9" i="57"/>
  <c r="BA9" i="57" s="1"/>
  <c r="AD9" i="57" s="1"/>
  <c r="AZ144" i="57"/>
  <c r="AZ139" i="57"/>
  <c r="AZ134" i="57"/>
  <c r="AZ124" i="57"/>
  <c r="AZ119" i="57"/>
  <c r="AZ114" i="57"/>
  <c r="AZ109" i="57"/>
  <c r="AZ104" i="57"/>
  <c r="BA104" i="57" s="1"/>
  <c r="AZ99" i="57"/>
  <c r="AZ94" i="57"/>
  <c r="AZ89" i="57"/>
  <c r="AZ84" i="57"/>
  <c r="AR144" i="57"/>
  <c r="AM144" i="57"/>
  <c r="AR143" i="57"/>
  <c r="BA143" i="57" s="1"/>
  <c r="AM143" i="57"/>
  <c r="AD143" i="57" s="1"/>
  <c r="AR142" i="57"/>
  <c r="BA142" i="57" s="1"/>
  <c r="AD142" i="57" s="1"/>
  <c r="AM142" i="57"/>
  <c r="AR141" i="57"/>
  <c r="BA141" i="57" s="1"/>
  <c r="AD141" i="57" s="1"/>
  <c r="AM141" i="57"/>
  <c r="Z141" i="57"/>
  <c r="Y141" i="57"/>
  <c r="AR139" i="57"/>
  <c r="BA139" i="57" s="1"/>
  <c r="AD139" i="57" s="1"/>
  <c r="AM139" i="57"/>
  <c r="AR138" i="57"/>
  <c r="BA138" i="57" s="1"/>
  <c r="AD138" i="57" s="1"/>
  <c r="AM138" i="57"/>
  <c r="AR137" i="57"/>
  <c r="BA137" i="57" s="1"/>
  <c r="AM137" i="57"/>
  <c r="AR136" i="57"/>
  <c r="BA136" i="57" s="1"/>
  <c r="AM136" i="57"/>
  <c r="AD136" i="57"/>
  <c r="Z136" i="57"/>
  <c r="Y136" i="57"/>
  <c r="AR134" i="57"/>
  <c r="BA134" i="57" s="1"/>
  <c r="AM134" i="57"/>
  <c r="AR133" i="57"/>
  <c r="BA133" i="57" s="1"/>
  <c r="AM133" i="57"/>
  <c r="AD133" i="57" s="1"/>
  <c r="AR132" i="57"/>
  <c r="BA132" i="57" s="1"/>
  <c r="AM132" i="57"/>
  <c r="AR131" i="57"/>
  <c r="BA131" i="57" s="1"/>
  <c r="AM131" i="57"/>
  <c r="AD131" i="57"/>
  <c r="Z131" i="57"/>
  <c r="Y131" i="57"/>
  <c r="W131" i="57"/>
  <c r="AR129" i="57"/>
  <c r="BA129" i="57" s="1"/>
  <c r="AM129" i="57"/>
  <c r="BA128" i="57"/>
  <c r="AR128" i="57"/>
  <c r="AM128" i="57"/>
  <c r="AD128" i="57" s="1"/>
  <c r="AR127" i="57"/>
  <c r="BA127" i="57" s="1"/>
  <c r="AM127" i="57"/>
  <c r="AR126" i="57"/>
  <c r="BA126" i="57" s="1"/>
  <c r="AM126" i="57"/>
  <c r="Q126" i="57"/>
  <c r="BA124" i="57"/>
  <c r="AR124" i="57"/>
  <c r="AM124" i="57"/>
  <c r="AR123" i="57"/>
  <c r="BA123" i="57" s="1"/>
  <c r="AM123" i="57"/>
  <c r="AR122" i="57"/>
  <c r="BA122" i="57" s="1"/>
  <c r="AM122" i="57"/>
  <c r="AR121" i="57"/>
  <c r="BA121" i="57" s="1"/>
  <c r="AM121" i="57"/>
  <c r="AR119" i="57"/>
  <c r="AM119" i="57"/>
  <c r="AR118" i="57"/>
  <c r="BA118" i="57" s="1"/>
  <c r="AD118" i="57" s="1"/>
  <c r="AM118" i="57"/>
  <c r="AR117" i="57"/>
  <c r="BA117" i="57" s="1"/>
  <c r="AM117" i="57"/>
  <c r="AR116" i="57"/>
  <c r="BA116" i="57" s="1"/>
  <c r="AM116" i="57"/>
  <c r="AR114" i="57"/>
  <c r="BA114" i="57" s="1"/>
  <c r="AM114" i="57"/>
  <c r="AR113" i="57"/>
  <c r="BA113" i="57" s="1"/>
  <c r="AM113" i="57"/>
  <c r="AD113" i="57" s="1"/>
  <c r="AR112" i="57"/>
  <c r="BA112" i="57" s="1"/>
  <c r="AD112" i="57" s="1"/>
  <c r="AM112" i="57"/>
  <c r="AR111" i="57"/>
  <c r="BA111" i="57" s="1"/>
  <c r="AM111" i="57"/>
  <c r="AD111" i="57"/>
  <c r="AR109" i="57"/>
  <c r="AM109" i="57"/>
  <c r="AR108" i="57"/>
  <c r="BA108" i="57" s="1"/>
  <c r="AD108" i="57" s="1"/>
  <c r="AM108" i="57"/>
  <c r="AR107" i="57"/>
  <c r="BA107" i="57" s="1"/>
  <c r="AM107" i="57"/>
  <c r="AD107" i="57"/>
  <c r="AR106" i="57"/>
  <c r="BA106" i="57" s="1"/>
  <c r="AM106" i="57"/>
  <c r="W106" i="57"/>
  <c r="AR104" i="57"/>
  <c r="AM104" i="57"/>
  <c r="AR103" i="57"/>
  <c r="BA103" i="57" s="1"/>
  <c r="AM103" i="57"/>
  <c r="AR102" i="57"/>
  <c r="BA102" i="57" s="1"/>
  <c r="AM102" i="57"/>
  <c r="AR101" i="57"/>
  <c r="BA101" i="57" s="1"/>
  <c r="AM101" i="57"/>
  <c r="Z101" i="57"/>
  <c r="Y101" i="57"/>
  <c r="W101" i="57"/>
  <c r="AR99" i="57"/>
  <c r="AM99" i="57"/>
  <c r="AR98" i="57"/>
  <c r="BA98" i="57" s="1"/>
  <c r="AM98" i="57"/>
  <c r="AD98" i="57" s="1"/>
  <c r="AR97" i="57"/>
  <c r="BA97" i="57" s="1"/>
  <c r="AD97" i="57" s="1"/>
  <c r="AM97" i="57"/>
  <c r="AR96" i="57"/>
  <c r="BA96" i="57" s="1"/>
  <c r="AM96" i="57"/>
  <c r="AD96" i="57"/>
  <c r="Z96" i="57"/>
  <c r="Y96" i="57"/>
  <c r="W96" i="57"/>
  <c r="AR94" i="57"/>
  <c r="BA94" i="57" s="1"/>
  <c r="AM94" i="57"/>
  <c r="AR93" i="57"/>
  <c r="BA93" i="57" s="1"/>
  <c r="AM93" i="57"/>
  <c r="AR92" i="57"/>
  <c r="BA92" i="57" s="1"/>
  <c r="AM92" i="57"/>
  <c r="AR91" i="57"/>
  <c r="BA91" i="57" s="1"/>
  <c r="AM91" i="57"/>
  <c r="Z91" i="57"/>
  <c r="Y91" i="57"/>
  <c r="W91" i="57"/>
  <c r="AR89" i="57"/>
  <c r="BA89" i="57" s="1"/>
  <c r="AD89" i="57" s="1"/>
  <c r="AM89" i="57"/>
  <c r="AR88" i="57"/>
  <c r="BA88" i="57" s="1"/>
  <c r="AM88" i="57"/>
  <c r="AD88" i="57"/>
  <c r="AR87" i="57"/>
  <c r="BA87" i="57" s="1"/>
  <c r="AM87" i="57"/>
  <c r="AR86" i="57"/>
  <c r="BA86" i="57" s="1"/>
  <c r="AM86" i="57"/>
  <c r="AD86" i="57" s="1"/>
  <c r="Z86" i="57"/>
  <c r="Y86" i="57"/>
  <c r="W86" i="57"/>
  <c r="AR84" i="57"/>
  <c r="AM84" i="57"/>
  <c r="BA83" i="57"/>
  <c r="AR83" i="57"/>
  <c r="AM83" i="57"/>
  <c r="AD83" i="57" s="1"/>
  <c r="AR82" i="57"/>
  <c r="BA82" i="57" s="1"/>
  <c r="AM82" i="57"/>
  <c r="BA81" i="57"/>
  <c r="AR81" i="57"/>
  <c r="AM81" i="57"/>
  <c r="Z81" i="57"/>
  <c r="BA79" i="57"/>
  <c r="AR79" i="57"/>
  <c r="AM79" i="57"/>
  <c r="AD79" i="57" s="1"/>
  <c r="AR78" i="57"/>
  <c r="BA78" i="57" s="1"/>
  <c r="AM78" i="57"/>
  <c r="BA77" i="57"/>
  <c r="AR77" i="57"/>
  <c r="AM77" i="57"/>
  <c r="AD77" i="57" s="1"/>
  <c r="Y77" i="57"/>
  <c r="AR75" i="57"/>
  <c r="BA75" i="57" s="1"/>
  <c r="AD75" i="57" s="1"/>
  <c r="AM75" i="57"/>
  <c r="Z75" i="57"/>
  <c r="S75" i="57"/>
  <c r="AR74" i="57"/>
  <c r="BA74" i="57" s="1"/>
  <c r="AM74" i="57"/>
  <c r="Z74" i="57"/>
  <c r="AR73" i="57"/>
  <c r="BA73" i="57" s="1"/>
  <c r="AM73" i="57"/>
  <c r="Z73" i="57"/>
  <c r="Y73" i="57"/>
  <c r="AR71" i="57"/>
  <c r="BA71" i="57" s="1"/>
  <c r="AM71" i="57"/>
  <c r="AD71" i="57" s="1"/>
  <c r="AR70" i="57"/>
  <c r="BA70" i="57" s="1"/>
  <c r="AD70" i="57" s="1"/>
  <c r="AM70" i="57"/>
  <c r="Z70" i="57"/>
  <c r="AR69" i="57"/>
  <c r="BA69" i="57" s="1"/>
  <c r="AM69" i="57"/>
  <c r="AD69" i="57" s="1"/>
  <c r="Z69" i="57"/>
  <c r="Y69" i="57"/>
  <c r="BA67" i="57"/>
  <c r="AR67" i="57"/>
  <c r="AM67" i="57"/>
  <c r="AR66" i="57"/>
  <c r="BA66" i="57" s="1"/>
  <c r="AM66" i="57"/>
  <c r="AR65" i="57"/>
  <c r="BA65" i="57" s="1"/>
  <c r="AM65" i="57"/>
  <c r="Q65" i="57"/>
  <c r="BA64" i="57"/>
  <c r="AR64" i="57"/>
  <c r="AM64" i="57"/>
  <c r="AD64" i="57" s="1"/>
  <c r="Y64" i="57"/>
  <c r="BA62" i="57"/>
  <c r="AR62" i="57"/>
  <c r="AM62" i="57"/>
  <c r="BA61" i="57"/>
  <c r="AR61" i="57"/>
  <c r="AM61" i="57"/>
  <c r="AD61" i="57" s="1"/>
  <c r="AR60" i="57"/>
  <c r="BA60" i="57" s="1"/>
  <c r="AM60" i="57"/>
  <c r="AR58" i="57"/>
  <c r="BA58" i="57" s="1"/>
  <c r="AM58" i="57"/>
  <c r="AR57" i="57"/>
  <c r="BA57" i="57" s="1"/>
  <c r="AM57" i="57"/>
  <c r="AD57" i="57" s="1"/>
  <c r="AR56" i="57"/>
  <c r="BA56" i="57" s="1"/>
  <c r="AM56" i="57"/>
  <c r="AD56" i="57"/>
  <c r="AR54" i="57"/>
  <c r="BA54" i="57" s="1"/>
  <c r="AM54" i="57"/>
  <c r="AD54" i="57"/>
  <c r="AR53" i="57"/>
  <c r="BA53" i="57" s="1"/>
  <c r="AM53" i="57"/>
  <c r="AR52" i="57"/>
  <c r="BA52" i="57" s="1"/>
  <c r="AM52" i="57"/>
  <c r="AR50" i="57"/>
  <c r="BA50" i="57" s="1"/>
  <c r="AM50" i="57"/>
  <c r="AR49" i="57"/>
  <c r="BA49" i="57" s="1"/>
  <c r="AM49" i="57"/>
  <c r="AR48" i="57"/>
  <c r="BA48" i="57" s="1"/>
  <c r="AM48" i="57"/>
  <c r="AD48" i="57"/>
  <c r="AR46" i="57"/>
  <c r="BA46" i="57" s="1"/>
  <c r="AM46" i="57"/>
  <c r="AR45" i="57"/>
  <c r="BA45" i="57" s="1"/>
  <c r="AD45" i="57" s="1"/>
  <c r="AM45" i="57"/>
  <c r="AR44" i="57"/>
  <c r="BA44" i="57" s="1"/>
  <c r="AD44" i="57" s="1"/>
  <c r="AM44" i="57"/>
  <c r="AR42" i="57"/>
  <c r="BA42" i="57" s="1"/>
  <c r="AM42" i="57"/>
  <c r="AD42" i="57" s="1"/>
  <c r="AR41" i="57"/>
  <c r="BA41" i="57" s="1"/>
  <c r="AD41" i="57" s="1"/>
  <c r="AM41" i="57"/>
  <c r="AR40" i="57"/>
  <c r="BA40" i="57" s="1"/>
  <c r="AM40" i="57"/>
  <c r="BA38" i="57"/>
  <c r="AR38" i="57"/>
  <c r="AM38" i="57"/>
  <c r="AD38" i="57" s="1"/>
  <c r="AR37" i="57"/>
  <c r="BA37" i="57" s="1"/>
  <c r="AM37" i="57"/>
  <c r="BA36" i="57"/>
  <c r="AR36" i="57"/>
  <c r="AM36" i="57"/>
  <c r="AR34" i="57"/>
  <c r="BA34" i="57" s="1"/>
  <c r="AM34" i="57"/>
  <c r="BA33" i="57"/>
  <c r="AR33" i="57"/>
  <c r="AM33" i="57"/>
  <c r="AR32" i="57"/>
  <c r="BA32" i="57" s="1"/>
  <c r="AM32" i="57"/>
  <c r="AD32" i="57" s="1"/>
  <c r="BA30" i="57"/>
  <c r="AR30" i="57"/>
  <c r="AM30" i="57"/>
  <c r="AR29" i="57"/>
  <c r="BA29" i="57" s="1"/>
  <c r="AM29" i="57"/>
  <c r="AR28" i="57"/>
  <c r="BA28" i="57" s="1"/>
  <c r="AM28" i="57"/>
  <c r="Z28" i="57"/>
  <c r="AR26" i="57"/>
  <c r="BA26" i="57" s="1"/>
  <c r="AD26" i="57" s="1"/>
  <c r="AM26" i="57"/>
  <c r="AR25" i="57"/>
  <c r="BA25" i="57" s="1"/>
  <c r="AM25" i="57"/>
  <c r="AD25" i="57"/>
  <c r="AR24" i="57"/>
  <c r="BA24" i="57" s="1"/>
  <c r="AD24" i="57" s="1"/>
  <c r="AM24" i="57"/>
  <c r="Z24" i="57"/>
  <c r="AR22" i="57"/>
  <c r="BA22" i="57" s="1"/>
  <c r="AM22" i="57"/>
  <c r="S22" i="57"/>
  <c r="AR21" i="57"/>
  <c r="BA21" i="57" s="1"/>
  <c r="AM21" i="57"/>
  <c r="AR20" i="57"/>
  <c r="BA20" i="57" s="1"/>
  <c r="AM20" i="57"/>
  <c r="Z20" i="57"/>
  <c r="AR18" i="57"/>
  <c r="BA18" i="57" s="1"/>
  <c r="AM18" i="57"/>
  <c r="BA17" i="57"/>
  <c r="AR17" i="57"/>
  <c r="AM17" i="57"/>
  <c r="AD17" i="57" s="1"/>
  <c r="AR16" i="57"/>
  <c r="BA16" i="57" s="1"/>
  <c r="AM16" i="57"/>
  <c r="Z16" i="57"/>
  <c r="AR14" i="57"/>
  <c r="BA14" i="57" s="1"/>
  <c r="AD14" i="57" s="1"/>
  <c r="AM14" i="57"/>
  <c r="BA13" i="57"/>
  <c r="AR13" i="57"/>
  <c r="AM13" i="57"/>
  <c r="AR12" i="57"/>
  <c r="BA12" i="57" s="1"/>
  <c r="AD12" i="57" s="1"/>
  <c r="AM12" i="57"/>
  <c r="Z12" i="57"/>
  <c r="AM11" i="57"/>
  <c r="AP10" i="57"/>
  <c r="AR10" i="57" s="1"/>
  <c r="BA10" i="57" s="1"/>
  <c r="AM10" i="57"/>
  <c r="AR9" i="57"/>
  <c r="AM9" i="57"/>
  <c r="AR8" i="57"/>
  <c r="BA8" i="57" s="1"/>
  <c r="AD8" i="57" s="1"/>
  <c r="AM8" i="57"/>
  <c r="AR7" i="57"/>
  <c r="BA7" i="57" s="1"/>
  <c r="AM7" i="57"/>
  <c r="BA6" i="57"/>
  <c r="AR6" i="57"/>
  <c r="AM6" i="57"/>
  <c r="Z6" i="57"/>
  <c r="AD73" i="57" l="1"/>
  <c r="AD74" i="57"/>
  <c r="AD28" i="57"/>
  <c r="AD40" i="57"/>
  <c r="AD93" i="57"/>
  <c r="AD103" i="57"/>
  <c r="AD29" i="57"/>
  <c r="AD50" i="57"/>
  <c r="AD66" i="57"/>
  <c r="AD106" i="57"/>
  <c r="AD116" i="57"/>
  <c r="AD129" i="57"/>
  <c r="AD34" i="57"/>
  <c r="AD65" i="57"/>
  <c r="AD20" i="57"/>
  <c r="AD37" i="57"/>
  <c r="AD53" i="57"/>
  <c r="AD6" i="57"/>
  <c r="AD91" i="57"/>
  <c r="AD101" i="57"/>
  <c r="AD137" i="57"/>
  <c r="AD46" i="57"/>
  <c r="AD13" i="57"/>
  <c r="AD33" i="57"/>
  <c r="AD62" i="57"/>
  <c r="AD82" i="57"/>
  <c r="AD114" i="57"/>
  <c r="AD117" i="57"/>
  <c r="AD123" i="57"/>
  <c r="AD126" i="57"/>
  <c r="AD127" i="57"/>
  <c r="AD132" i="57"/>
  <c r="BA144" i="57"/>
  <c r="AD144" i="57" s="1"/>
  <c r="AD16" i="57"/>
  <c r="AD7" i="57"/>
  <c r="AD10" i="57"/>
  <c r="AD18" i="57"/>
  <c r="AD30" i="57"/>
  <c r="AD67" i="57"/>
  <c r="BA84" i="57"/>
  <c r="AD21" i="57"/>
  <c r="AD22" i="57"/>
  <c r="AD58" i="57"/>
  <c r="AD60" i="57"/>
  <c r="AD87" i="57"/>
  <c r="AD102" i="57"/>
  <c r="AD121" i="57"/>
  <c r="AD134" i="57"/>
  <c r="AD124" i="57"/>
  <c r="BA119" i="57"/>
  <c r="AD119" i="57" s="1"/>
  <c r="BA109" i="57"/>
  <c r="AD109" i="57" s="1"/>
  <c r="BA99" i="57"/>
  <c r="AD99" i="57" s="1"/>
  <c r="AD94" i="57"/>
  <c r="AD84" i="57"/>
  <c r="AD36" i="57"/>
  <c r="AD92" i="57"/>
  <c r="AD104" i="57"/>
  <c r="AD49" i="57"/>
  <c r="AD52" i="57"/>
  <c r="AD81" i="57"/>
  <c r="AD78" i="57"/>
  <c r="AD122" i="57"/>
  <c r="C7" i="54"/>
  <c r="B10" i="54"/>
  <c r="M6" i="54"/>
  <c r="I80" i="47" l="1"/>
  <c r="E80" i="47"/>
  <c r="H80" i="47" s="1"/>
  <c r="O141" i="57" s="1"/>
  <c r="AR144" i="46"/>
  <c r="BA144" i="46" s="1"/>
  <c r="AM144" i="46"/>
  <c r="AR143" i="46"/>
  <c r="BA143" i="46" s="1"/>
  <c r="AD143" i="46" s="1"/>
  <c r="AM143" i="46"/>
  <c r="AR142" i="46"/>
  <c r="BA142" i="46" s="1"/>
  <c r="AM142" i="46"/>
  <c r="AR141" i="46"/>
  <c r="BA141" i="46" s="1"/>
  <c r="AM141" i="46"/>
  <c r="Z141" i="46"/>
  <c r="Y141" i="46"/>
  <c r="N141" i="46"/>
  <c r="H141" i="46"/>
  <c r="AD141" i="46" l="1"/>
  <c r="C141" i="57"/>
  <c r="K141" i="57"/>
  <c r="V141" i="57"/>
  <c r="T141" i="57"/>
  <c r="P141" i="57"/>
  <c r="U141" i="57"/>
  <c r="AA141" i="57" s="1"/>
  <c r="AD142" i="46"/>
  <c r="O141" i="46"/>
  <c r="AD144" i="46"/>
  <c r="J141" i="46"/>
  <c r="I78" i="47"/>
  <c r="E78" i="47"/>
  <c r="H78" i="47" s="1"/>
  <c r="O136" i="46" l="1"/>
  <c r="O136" i="57"/>
  <c r="X141" i="57"/>
  <c r="AC141" i="57"/>
  <c r="AB141" i="57" s="1"/>
  <c r="BA39" i="48"/>
  <c r="P141" i="46"/>
  <c r="U141" i="46"/>
  <c r="AA141" i="46" s="1"/>
  <c r="T141" i="46"/>
  <c r="C141" i="46"/>
  <c r="N39" i="48" s="1"/>
  <c r="V141" i="46"/>
  <c r="K141" i="46"/>
  <c r="AP38" i="48"/>
  <c r="L39" i="48" l="1"/>
  <c r="X141" i="46"/>
  <c r="AC141" i="46"/>
  <c r="AB141" i="46" s="1"/>
  <c r="C136" i="57"/>
  <c r="V136" i="57"/>
  <c r="U136" i="57"/>
  <c r="AA136" i="57" s="1"/>
  <c r="K136" i="57"/>
  <c r="T136" i="57"/>
  <c r="P136" i="57"/>
  <c r="BA139" i="46"/>
  <c r="AR139" i="46"/>
  <c r="AM139" i="46"/>
  <c r="AR138" i="46"/>
  <c r="BA138" i="46" s="1"/>
  <c r="AM138" i="46"/>
  <c r="AR137" i="46"/>
  <c r="BA137" i="46" s="1"/>
  <c r="AM137" i="46"/>
  <c r="AR136" i="46"/>
  <c r="BA136" i="46" s="1"/>
  <c r="AM136" i="46"/>
  <c r="Z136" i="46"/>
  <c r="Y136" i="46"/>
  <c r="U136" i="46"/>
  <c r="AA136" i="46" s="1"/>
  <c r="T136" i="46"/>
  <c r="P136" i="46"/>
  <c r="N136" i="46"/>
  <c r="H136" i="46" s="1"/>
  <c r="J136" i="46" s="1"/>
  <c r="C136" i="46"/>
  <c r="N38" i="48" s="1"/>
  <c r="AD138" i="46" l="1"/>
  <c r="X136" i="57"/>
  <c r="AC136" i="57"/>
  <c r="AB136" i="57" s="1"/>
  <c r="AD136" i="46"/>
  <c r="AD137" i="46"/>
  <c r="V136" i="46"/>
  <c r="AD139" i="46"/>
  <c r="BA38" i="48"/>
  <c r="K136" i="46"/>
  <c r="L38" i="48" s="1"/>
  <c r="AC136" i="46" l="1"/>
  <c r="AB136" i="46" s="1"/>
  <c r="X136" i="46"/>
  <c r="AU38" i="2" l="1"/>
  <c r="AQ38" i="2"/>
  <c r="G38" i="2"/>
  <c r="AP37" i="48" l="1"/>
  <c r="W131" i="46"/>
  <c r="I76" i="47"/>
  <c r="E76" i="47"/>
  <c r="G76" i="47" s="1"/>
  <c r="H76" i="47" s="1"/>
  <c r="O131" i="57" s="1"/>
  <c r="C131" i="57" l="1"/>
  <c r="T131" i="57"/>
  <c r="K131" i="57"/>
  <c r="P131" i="57"/>
  <c r="V131" i="57"/>
  <c r="U131" i="57"/>
  <c r="AA131" i="57" s="1"/>
  <c r="O131" i="46"/>
  <c r="AC131" i="57" l="1"/>
  <c r="AB131" i="57" s="1"/>
  <c r="X131" i="57"/>
  <c r="BA37" i="48"/>
  <c r="T131" i="46" l="1"/>
  <c r="N131" i="46"/>
  <c r="V131" i="46" s="1"/>
  <c r="AR134" i="46"/>
  <c r="BA134" i="46" s="1"/>
  <c r="AM134" i="46"/>
  <c r="AR133" i="46"/>
  <c r="BA133" i="46" s="1"/>
  <c r="AM133" i="46"/>
  <c r="AR132" i="46"/>
  <c r="BA132" i="46" s="1"/>
  <c r="AM132" i="46"/>
  <c r="AD132" i="46" s="1"/>
  <c r="AR131" i="46"/>
  <c r="BA131" i="46" s="1"/>
  <c r="AM131" i="46"/>
  <c r="Z131" i="46"/>
  <c r="Y131" i="46"/>
  <c r="G42" i="37"/>
  <c r="I37" i="37" s="1"/>
  <c r="F42" i="37"/>
  <c r="AA6" i="37"/>
  <c r="AA13" i="37" s="1"/>
  <c r="AA14" i="37" s="1"/>
  <c r="Z12" i="37"/>
  <c r="AC11" i="37"/>
  <c r="AB11" i="37"/>
  <c r="AC10" i="37"/>
  <c r="AB10" i="37"/>
  <c r="AC9" i="37"/>
  <c r="AB9" i="37"/>
  <c r="AC8" i="37"/>
  <c r="AB8" i="37"/>
  <c r="Z8" i="37"/>
  <c r="AB7" i="37"/>
  <c r="Z7" i="37"/>
  <c r="AC7" i="37" s="1"/>
  <c r="Z6" i="37"/>
  <c r="AD133" i="46" l="1"/>
  <c r="AD131" i="46"/>
  <c r="P131" i="46"/>
  <c r="C131" i="46"/>
  <c r="N37" i="48" s="1"/>
  <c r="U131" i="46"/>
  <c r="AA131" i="46" s="1"/>
  <c r="H131" i="46"/>
  <c r="AD134" i="46"/>
  <c r="AB6" i="37"/>
  <c r="AB13" i="37" s="1"/>
  <c r="AB14" i="37" s="1"/>
  <c r="AC6" i="37"/>
  <c r="AC13" i="37" s="1"/>
  <c r="AC14" i="37" s="1"/>
  <c r="Z75" i="46"/>
  <c r="J131" i="46" l="1"/>
  <c r="K131" i="46"/>
  <c r="L37" i="48" s="1"/>
  <c r="K7" i="6"/>
  <c r="W127" i="57" s="1"/>
  <c r="K14" i="6"/>
  <c r="W126" i="57" s="1"/>
  <c r="F74" i="47"/>
  <c r="E74" i="47"/>
  <c r="G74" i="47" s="1"/>
  <c r="H74" i="47" s="1"/>
  <c r="O127" i="57" s="1"/>
  <c r="E73" i="47"/>
  <c r="G73" i="47" s="1"/>
  <c r="H73" i="47" s="1"/>
  <c r="O126" i="57" s="1"/>
  <c r="AP36" i="48"/>
  <c r="AP35" i="48"/>
  <c r="C127" i="57" l="1"/>
  <c r="U127" i="57"/>
  <c r="K127" i="57"/>
  <c r="V127" i="57"/>
  <c r="T127" i="57"/>
  <c r="P127" i="57"/>
  <c r="W127" i="46"/>
  <c r="O126" i="46"/>
  <c r="C126" i="57"/>
  <c r="K126" i="57"/>
  <c r="AC126" i="57" s="1"/>
  <c r="T126" i="57"/>
  <c r="U126" i="57"/>
  <c r="P126" i="57"/>
  <c r="V126" i="57"/>
  <c r="O127" i="46"/>
  <c r="W126" i="46"/>
  <c r="AC131" i="46"/>
  <c r="AB131" i="46" s="1"/>
  <c r="X131" i="46"/>
  <c r="X126" i="57" l="1"/>
  <c r="BA36" i="48"/>
  <c r="AU37" i="2" l="1"/>
  <c r="AQ37" i="2"/>
  <c r="G37" i="2"/>
  <c r="Q126" i="46" l="1"/>
  <c r="N127" i="46"/>
  <c r="H127" i="46" s="1"/>
  <c r="C127" i="46"/>
  <c r="AR129" i="46"/>
  <c r="BA129" i="46" s="1"/>
  <c r="AM129" i="46"/>
  <c r="AR128" i="46"/>
  <c r="BA128" i="46" s="1"/>
  <c r="AM128" i="46"/>
  <c r="AR127" i="46"/>
  <c r="BA127" i="46" s="1"/>
  <c r="AM127" i="46"/>
  <c r="AR126" i="46"/>
  <c r="BA126" i="46" s="1"/>
  <c r="AM126" i="46"/>
  <c r="U126" i="46"/>
  <c r="N126" i="46"/>
  <c r="H126" i="46"/>
  <c r="J126" i="46" s="1"/>
  <c r="I38" i="6"/>
  <c r="I73" i="47" s="1"/>
  <c r="AA44" i="6"/>
  <c r="AH33" i="6"/>
  <c r="AH34" i="6" s="1"/>
  <c r="AG32" i="6"/>
  <c r="AJ31" i="6"/>
  <c r="AI31" i="6"/>
  <c r="AJ30" i="6"/>
  <c r="AI30" i="6"/>
  <c r="AJ29" i="6"/>
  <c r="AI29" i="6"/>
  <c r="AI28" i="6"/>
  <c r="AG28" i="6"/>
  <c r="AJ28" i="6" s="1"/>
  <c r="AJ27" i="6"/>
  <c r="AI27" i="6"/>
  <c r="AI26" i="6"/>
  <c r="AG26" i="6"/>
  <c r="AJ26" i="6" s="1"/>
  <c r="AH9" i="6"/>
  <c r="AI9" i="6" s="1"/>
  <c r="AG9" i="6"/>
  <c r="AJ9" i="6" s="1"/>
  <c r="AG8" i="6"/>
  <c r="AJ8" i="6" s="1"/>
  <c r="AG12" i="6"/>
  <c r="AJ11" i="6"/>
  <c r="AI11" i="6"/>
  <c r="AJ10" i="6"/>
  <c r="AI10" i="6"/>
  <c r="AI8" i="6"/>
  <c r="AJ7" i="6"/>
  <c r="AI7" i="6"/>
  <c r="AH7" i="6"/>
  <c r="AG7" i="6"/>
  <c r="AI6" i="6"/>
  <c r="AH6" i="6"/>
  <c r="AG6" i="6"/>
  <c r="AJ6" i="6" s="1"/>
  <c r="G42" i="6"/>
  <c r="I37" i="6" s="1"/>
  <c r="F42" i="6"/>
  <c r="X40" i="6"/>
  <c r="Z32" i="6"/>
  <c r="AC31" i="6"/>
  <c r="AB31" i="6"/>
  <c r="AC30" i="6"/>
  <c r="AB30" i="6"/>
  <c r="AC29" i="6"/>
  <c r="AB29" i="6"/>
  <c r="AB28" i="6"/>
  <c r="Z28" i="6"/>
  <c r="AC28" i="6" s="1"/>
  <c r="AB27" i="6"/>
  <c r="Z27" i="6"/>
  <c r="AC27" i="6" s="1"/>
  <c r="AB26" i="6"/>
  <c r="Z26" i="6"/>
  <c r="AC26" i="6" s="1"/>
  <c r="AA18" i="6"/>
  <c r="AB18" i="6" s="1"/>
  <c r="AA17" i="6"/>
  <c r="AA23" i="6" s="1"/>
  <c r="AA24" i="6" s="1"/>
  <c r="Z18" i="6"/>
  <c r="Z22" i="6"/>
  <c r="AC21" i="6"/>
  <c r="AB21" i="6"/>
  <c r="AC20" i="6"/>
  <c r="AB20" i="6"/>
  <c r="AC19" i="6"/>
  <c r="AB19" i="6"/>
  <c r="Z17" i="6"/>
  <c r="Z16" i="6"/>
  <c r="AC16" i="6" s="1"/>
  <c r="AA7" i="6"/>
  <c r="Z7" i="6"/>
  <c r="AA6" i="6"/>
  <c r="AA13" i="6" s="1"/>
  <c r="AA14" i="6" s="1"/>
  <c r="Z12" i="6"/>
  <c r="AC11" i="6"/>
  <c r="AB11" i="6"/>
  <c r="AC10" i="6"/>
  <c r="AB10" i="6"/>
  <c r="AC9" i="6"/>
  <c r="AB9" i="6"/>
  <c r="AB8" i="6"/>
  <c r="Z8" i="6"/>
  <c r="AC8" i="6" s="1"/>
  <c r="AB7" i="6"/>
  <c r="Z6" i="6"/>
  <c r="AJ13" i="6" l="1"/>
  <c r="AI13" i="6"/>
  <c r="AB17" i="6"/>
  <c r="AD127" i="46"/>
  <c r="AH13" i="6"/>
  <c r="AH14" i="6" s="1"/>
  <c r="AD126" i="46"/>
  <c r="AC6" i="6"/>
  <c r="AC13" i="6" s="1"/>
  <c r="AC14" i="6" s="1"/>
  <c r="AJ33" i="6"/>
  <c r="AJ34" i="6" s="1"/>
  <c r="AD128" i="46"/>
  <c r="AB6" i="6"/>
  <c r="AC17" i="6"/>
  <c r="AI33" i="6"/>
  <c r="AI34" i="6" s="1"/>
  <c r="V126" i="46"/>
  <c r="AD129" i="46"/>
  <c r="J127" i="46"/>
  <c r="K127" i="46"/>
  <c r="P127" i="46"/>
  <c r="T127" i="46"/>
  <c r="V127" i="46"/>
  <c r="U127" i="46"/>
  <c r="K126" i="46"/>
  <c r="P126" i="46"/>
  <c r="T126" i="46"/>
  <c r="C126" i="46"/>
  <c r="N36" i="48" s="1"/>
  <c r="AB33" i="6"/>
  <c r="AC33" i="6"/>
  <c r="AA33" i="6"/>
  <c r="AA34" i="6" s="1"/>
  <c r="AC18" i="6"/>
  <c r="AB16" i="6"/>
  <c r="AB23" i="6" s="1"/>
  <c r="AB24" i="6" s="1"/>
  <c r="AC7" i="6"/>
  <c r="AB13" i="6"/>
  <c r="AB14" i="6" s="1"/>
  <c r="AB4" i="54"/>
  <c r="AB3" i="54"/>
  <c r="AG4" i="54"/>
  <c r="AG3" i="54"/>
  <c r="Y24" i="57" s="1"/>
  <c r="AJ14" i="6" l="1"/>
  <c r="AC23" i="6"/>
  <c r="AC24" i="6" s="1"/>
  <c r="AI14" i="6"/>
  <c r="AC126" i="46"/>
  <c r="L36" i="48"/>
  <c r="X126" i="46"/>
  <c r="AB34" i="6"/>
  <c r="AC34" i="6"/>
  <c r="E71" i="47" l="1"/>
  <c r="G71" i="47" l="1"/>
  <c r="H71" i="47" s="1"/>
  <c r="O121" i="57" s="1"/>
  <c r="C121" i="57" l="1"/>
  <c r="K121" i="57"/>
  <c r="V121" i="57"/>
  <c r="U121" i="57"/>
  <c r="P121" i="57"/>
  <c r="T121" i="57"/>
  <c r="O121" i="46"/>
  <c r="AU36" i="2"/>
  <c r="AQ36" i="2"/>
  <c r="G36" i="2"/>
  <c r="AC121" i="57" l="1"/>
  <c r="BA35" i="48"/>
  <c r="AR124" i="46"/>
  <c r="BA124" i="46" s="1"/>
  <c r="AM124" i="46"/>
  <c r="AR123" i="46"/>
  <c r="BA123" i="46" s="1"/>
  <c r="AM123" i="46"/>
  <c r="AR122" i="46"/>
  <c r="BA122" i="46" s="1"/>
  <c r="AM122" i="46"/>
  <c r="AR121" i="46"/>
  <c r="BA121" i="46" s="1"/>
  <c r="AM121" i="46"/>
  <c r="C121" i="46"/>
  <c r="N35" i="48" s="1"/>
  <c r="N121" i="46"/>
  <c r="H121" i="46"/>
  <c r="K121" i="46" s="1"/>
  <c r="L35" i="48" s="1"/>
  <c r="F26" i="7"/>
  <c r="I38" i="7"/>
  <c r="I71" i="47" s="1"/>
  <c r="G42" i="7"/>
  <c r="I37" i="7" s="1"/>
  <c r="N38" i="7"/>
  <c r="F42" i="7"/>
  <c r="P25" i="7"/>
  <c r="P31" i="7"/>
  <c r="S30" i="7"/>
  <c r="R30" i="7"/>
  <c r="S29" i="7"/>
  <c r="R29" i="7"/>
  <c r="S28" i="7"/>
  <c r="R28" i="7"/>
  <c r="P27" i="7"/>
  <c r="R26" i="7"/>
  <c r="S26" i="7"/>
  <c r="Q17" i="7"/>
  <c r="Q16" i="7"/>
  <c r="R16" i="7" s="1"/>
  <c r="Q15" i="7"/>
  <c r="R15" i="7" s="1"/>
  <c r="P16" i="7"/>
  <c r="P17" i="7"/>
  <c r="P21" i="7"/>
  <c r="S20" i="7"/>
  <c r="R20" i="7"/>
  <c r="S19" i="7"/>
  <c r="R19" i="7"/>
  <c r="S18" i="7"/>
  <c r="R18" i="7"/>
  <c r="P15" i="7"/>
  <c r="S15" i="7" s="1"/>
  <c r="AD122" i="46" l="1"/>
  <c r="Q22" i="7"/>
  <c r="Q23" i="7" s="1"/>
  <c r="AD123" i="46"/>
  <c r="AD121" i="46"/>
  <c r="J121" i="46"/>
  <c r="AD124" i="46"/>
  <c r="P121" i="46"/>
  <c r="T121" i="46"/>
  <c r="AC121" i="46" s="1"/>
  <c r="U121" i="46"/>
  <c r="V121" i="46"/>
  <c r="S27" i="7"/>
  <c r="S25" i="7"/>
  <c r="Q32" i="7"/>
  <c r="Q33" i="7" s="1"/>
  <c r="R27" i="7"/>
  <c r="R25" i="7"/>
  <c r="R17" i="7"/>
  <c r="S17" i="7"/>
  <c r="S16" i="7"/>
  <c r="R22" i="7"/>
  <c r="R23" i="7" s="1"/>
  <c r="S22" i="7"/>
  <c r="S23" i="7" s="1"/>
  <c r="S32" i="7" l="1"/>
  <c r="S33" i="7" s="1"/>
  <c r="R32" i="7"/>
  <c r="R33" i="7" s="1"/>
  <c r="AU35" i="2" l="1"/>
  <c r="AQ35" i="2"/>
  <c r="G35" i="2"/>
  <c r="AP34" i="48" l="1"/>
  <c r="AP33" i="48"/>
  <c r="I69" i="47" l="1"/>
  <c r="I67" i="47"/>
  <c r="E69" i="47"/>
  <c r="G69" i="47" s="1"/>
  <c r="E67" i="47"/>
  <c r="H67" i="47" s="1"/>
  <c r="O111" i="57" s="1"/>
  <c r="AR119" i="46"/>
  <c r="BA119" i="46" s="1"/>
  <c r="AM119" i="46"/>
  <c r="AR118" i="46"/>
  <c r="BA118" i="46" s="1"/>
  <c r="AM118" i="46"/>
  <c r="AR117" i="46"/>
  <c r="BA117" i="46" s="1"/>
  <c r="AM117" i="46"/>
  <c r="AR116" i="46"/>
  <c r="BA116" i="46" s="1"/>
  <c r="AM116" i="46"/>
  <c r="AD116" i="46" s="1"/>
  <c r="N116" i="46"/>
  <c r="H116" i="46" s="1"/>
  <c r="AR114" i="46"/>
  <c r="BA114" i="46" s="1"/>
  <c r="AM114" i="46"/>
  <c r="AR113" i="46"/>
  <c r="BA113" i="46" s="1"/>
  <c r="AM113" i="46"/>
  <c r="AR112" i="46"/>
  <c r="BA112" i="46" s="1"/>
  <c r="AD112" i="46" s="1"/>
  <c r="AM112" i="46"/>
  <c r="AR111" i="46"/>
  <c r="BA111" i="46" s="1"/>
  <c r="AM111" i="46"/>
  <c r="N111" i="46"/>
  <c r="H111" i="46" s="1"/>
  <c r="AD118" i="46" l="1"/>
  <c r="C111" i="57"/>
  <c r="K111" i="57"/>
  <c r="U111" i="57"/>
  <c r="AA111" i="57" s="1"/>
  <c r="V111" i="57"/>
  <c r="T111" i="57"/>
  <c r="P111" i="57"/>
  <c r="AD111" i="46"/>
  <c r="AD114" i="46"/>
  <c r="AD117" i="46"/>
  <c r="O111" i="46"/>
  <c r="U111" i="46" s="1"/>
  <c r="AA111" i="46" s="1"/>
  <c r="AD113" i="46"/>
  <c r="AD119" i="46"/>
  <c r="H69" i="47"/>
  <c r="O116" i="57" s="1"/>
  <c r="K111" i="46"/>
  <c r="L33" i="48" s="1"/>
  <c r="V111" i="46"/>
  <c r="G67" i="47"/>
  <c r="J116" i="46"/>
  <c r="J111" i="46"/>
  <c r="AP32" i="48"/>
  <c r="X111" i="57" l="1"/>
  <c r="AC111" i="57"/>
  <c r="AB111" i="57" s="1"/>
  <c r="C116" i="57"/>
  <c r="T116" i="57"/>
  <c r="P116" i="57"/>
  <c r="K116" i="57"/>
  <c r="V116" i="57"/>
  <c r="U116" i="57"/>
  <c r="C111" i="46"/>
  <c r="N33" i="48" s="1"/>
  <c r="T111" i="46"/>
  <c r="P111" i="46"/>
  <c r="O116" i="46"/>
  <c r="AC111" i="46"/>
  <c r="AB111" i="46" s="1"/>
  <c r="X111" i="46"/>
  <c r="X116" i="57" l="1"/>
  <c r="AC116" i="57"/>
  <c r="U116" i="46"/>
  <c r="K116" i="46"/>
  <c r="P116" i="46"/>
  <c r="V116" i="46"/>
  <c r="T116" i="46"/>
  <c r="C116" i="46"/>
  <c r="N34" i="48" s="1"/>
  <c r="BA33" i="48"/>
  <c r="BA34" i="48"/>
  <c r="D12" i="55"/>
  <c r="M12" i="55"/>
  <c r="AR109" i="46"/>
  <c r="BA109" i="46" s="1"/>
  <c r="AM109" i="46"/>
  <c r="AR108" i="46"/>
  <c r="BA108" i="46" s="1"/>
  <c r="AM108" i="46"/>
  <c r="AR107" i="46"/>
  <c r="BA107" i="46" s="1"/>
  <c r="AM107" i="46"/>
  <c r="AD107" i="46" s="1"/>
  <c r="AR106" i="46"/>
  <c r="BA106" i="46" s="1"/>
  <c r="AM106" i="46"/>
  <c r="W106" i="46"/>
  <c r="N106" i="46"/>
  <c r="H106" i="46" s="1"/>
  <c r="AD106" i="46" l="1"/>
  <c r="AC116" i="46"/>
  <c r="L34" i="48"/>
  <c r="X116" i="46"/>
  <c r="AD108" i="46"/>
  <c r="AD109" i="46"/>
  <c r="J106" i="46"/>
  <c r="F23" i="10"/>
  <c r="F14" i="10"/>
  <c r="I65" i="47" l="1"/>
  <c r="E65" i="47"/>
  <c r="G65" i="47" s="1"/>
  <c r="AP31" i="48"/>
  <c r="H65" i="47" l="1"/>
  <c r="O106" i="57" s="1"/>
  <c r="E63" i="47"/>
  <c r="G63" i="47" s="1"/>
  <c r="AR104" i="46"/>
  <c r="BA104" i="46" s="1"/>
  <c r="AM104" i="46"/>
  <c r="AR103" i="46"/>
  <c r="BA103" i="46" s="1"/>
  <c r="AM103" i="46"/>
  <c r="AR102" i="46"/>
  <c r="BA102" i="46" s="1"/>
  <c r="AM102" i="46"/>
  <c r="AR101" i="46"/>
  <c r="BA101" i="46" s="1"/>
  <c r="AM101" i="46"/>
  <c r="Z101" i="46"/>
  <c r="Y101" i="46"/>
  <c r="W101" i="46"/>
  <c r="N101" i="46"/>
  <c r="H101" i="46"/>
  <c r="C106" i="57" l="1"/>
  <c r="K106" i="57"/>
  <c r="V106" i="57"/>
  <c r="U106" i="57"/>
  <c r="P106" i="57"/>
  <c r="T106" i="57"/>
  <c r="AD102" i="46"/>
  <c r="H63" i="47"/>
  <c r="O101" i="57" s="1"/>
  <c r="AD101" i="46"/>
  <c r="AD103" i="46"/>
  <c r="AD104" i="46"/>
  <c r="O106" i="46"/>
  <c r="J101" i="46"/>
  <c r="AP30" i="48"/>
  <c r="C101" i="57" l="1"/>
  <c r="T101" i="57"/>
  <c r="V101" i="57"/>
  <c r="U101" i="57"/>
  <c r="AA101" i="57" s="1"/>
  <c r="K101" i="57"/>
  <c r="P101" i="57"/>
  <c r="X106" i="57"/>
  <c r="AC106" i="57"/>
  <c r="P106" i="46"/>
  <c r="U106" i="46"/>
  <c r="T106" i="46"/>
  <c r="K106" i="46"/>
  <c r="C106" i="46"/>
  <c r="N32" i="48" s="1"/>
  <c r="V106" i="46"/>
  <c r="O101" i="46"/>
  <c r="S4" i="54"/>
  <c r="S3" i="54"/>
  <c r="I61" i="47"/>
  <c r="E61" i="47"/>
  <c r="G61" i="47" s="1"/>
  <c r="H61" i="47"/>
  <c r="O96" i="57" s="1"/>
  <c r="AR99" i="46"/>
  <c r="BA99" i="46" s="1"/>
  <c r="AM99" i="46"/>
  <c r="AR98" i="46"/>
  <c r="BA98" i="46" s="1"/>
  <c r="AM98" i="46"/>
  <c r="AR97" i="46"/>
  <c r="BA97" i="46" s="1"/>
  <c r="AM97" i="46"/>
  <c r="AR96" i="46"/>
  <c r="BA96" i="46" s="1"/>
  <c r="AM96" i="46"/>
  <c r="Z96" i="46"/>
  <c r="Y96" i="46"/>
  <c r="W96" i="46"/>
  <c r="N96" i="46"/>
  <c r="H96" i="46" s="1"/>
  <c r="X101" i="57" l="1"/>
  <c r="AC101" i="57"/>
  <c r="AB101" i="57" s="1"/>
  <c r="O96" i="46"/>
  <c r="U96" i="46" s="1"/>
  <c r="AA96" i="46" s="1"/>
  <c r="C96" i="57"/>
  <c r="T96" i="57"/>
  <c r="K96" i="57"/>
  <c r="P96" i="57"/>
  <c r="V96" i="57"/>
  <c r="U96" i="57"/>
  <c r="AA96" i="57" s="1"/>
  <c r="AD96" i="46"/>
  <c r="AD97" i="46"/>
  <c r="AD98" i="46"/>
  <c r="V96" i="46"/>
  <c r="C101" i="46"/>
  <c r="N31" i="48" s="1"/>
  <c r="K101" i="46"/>
  <c r="P101" i="46"/>
  <c r="U101" i="46"/>
  <c r="AA101" i="46" s="1"/>
  <c r="V101" i="46"/>
  <c r="T101" i="46"/>
  <c r="AC101" i="46" s="1"/>
  <c r="L32" i="48"/>
  <c r="X106" i="46"/>
  <c r="AC106" i="46"/>
  <c r="BA32" i="48"/>
  <c r="AD99" i="46"/>
  <c r="J96" i="46"/>
  <c r="P96" i="46"/>
  <c r="T96" i="46"/>
  <c r="AP29" i="48"/>
  <c r="AC96" i="57" l="1"/>
  <c r="AB96" i="57" s="1"/>
  <c r="X96" i="57"/>
  <c r="K96" i="46"/>
  <c r="AC96" i="46"/>
  <c r="C96" i="46"/>
  <c r="N30" i="48" s="1"/>
  <c r="BA31" i="48"/>
  <c r="AB101" i="46"/>
  <c r="L31" i="48"/>
  <c r="X101" i="46"/>
  <c r="BA30" i="48"/>
  <c r="I59" i="47"/>
  <c r="E59" i="47"/>
  <c r="H59" i="47" s="1"/>
  <c r="O91" i="57" s="1"/>
  <c r="N91" i="46"/>
  <c r="H91" i="46" s="1"/>
  <c r="W91" i="46"/>
  <c r="Y91" i="46"/>
  <c r="Z91" i="46"/>
  <c r="AM91" i="46"/>
  <c r="AR91" i="46"/>
  <c r="BA91" i="46"/>
  <c r="AM92" i="46"/>
  <c r="AR92" i="46"/>
  <c r="BA92" i="46" s="1"/>
  <c r="AM93" i="46"/>
  <c r="AR93" i="46"/>
  <c r="BA93" i="46"/>
  <c r="AM94" i="46"/>
  <c r="AR94" i="46"/>
  <c r="BA94" i="46" s="1"/>
  <c r="C91" i="57" l="1"/>
  <c r="P91" i="57"/>
  <c r="U91" i="57"/>
  <c r="AA91" i="57" s="1"/>
  <c r="T91" i="57"/>
  <c r="K91" i="57"/>
  <c r="V91" i="57"/>
  <c r="O91" i="46"/>
  <c r="T91" i="46" s="1"/>
  <c r="AD94" i="46"/>
  <c r="L30" i="48"/>
  <c r="X96" i="46"/>
  <c r="AB96" i="46"/>
  <c r="AD91" i="46"/>
  <c r="AD93" i="46"/>
  <c r="C91" i="46"/>
  <c r="N29" i="48" s="1"/>
  <c r="G59" i="47"/>
  <c r="AD92" i="46"/>
  <c r="J91" i="46"/>
  <c r="I57" i="47"/>
  <c r="E57" i="47"/>
  <c r="G57" i="47" s="1"/>
  <c r="V91" i="46" l="1"/>
  <c r="P91" i="46"/>
  <c r="U91" i="46"/>
  <c r="AA91" i="46" s="1"/>
  <c r="K91" i="46"/>
  <c r="AC91" i="46" s="1"/>
  <c r="AB91" i="46" s="1"/>
  <c r="X91" i="57"/>
  <c r="AC91" i="57"/>
  <c r="AB91" i="57" s="1"/>
  <c r="H57" i="47"/>
  <c r="O86" i="57" s="1"/>
  <c r="BA29" i="48"/>
  <c r="AP28" i="48"/>
  <c r="X91" i="46" l="1"/>
  <c r="L29" i="48"/>
  <c r="C86" i="57"/>
  <c r="V86" i="57"/>
  <c r="T86" i="57"/>
  <c r="K86" i="57"/>
  <c r="U86" i="57"/>
  <c r="AA86" i="57" s="1"/>
  <c r="P86" i="57"/>
  <c r="O86" i="46"/>
  <c r="AR89" i="46"/>
  <c r="BA89" i="46" s="1"/>
  <c r="AM89" i="46"/>
  <c r="AR88" i="46"/>
  <c r="BA88" i="46" s="1"/>
  <c r="AM88" i="46"/>
  <c r="AD88" i="46" s="1"/>
  <c r="AR87" i="46"/>
  <c r="BA87" i="46" s="1"/>
  <c r="AM87" i="46"/>
  <c r="AR86" i="46"/>
  <c r="BA86" i="46" s="1"/>
  <c r="AM86" i="46"/>
  <c r="Z86" i="46"/>
  <c r="Y86" i="46"/>
  <c r="W86" i="46"/>
  <c r="U86" i="46"/>
  <c r="N86" i="46"/>
  <c r="V86" i="46" s="1"/>
  <c r="H86" i="46"/>
  <c r="K86" i="46" s="1"/>
  <c r="L28" i="48" s="1"/>
  <c r="AC86" i="57" l="1"/>
  <c r="AB86" i="57" s="1"/>
  <c r="X86" i="57"/>
  <c r="AD89" i="46"/>
  <c r="BA28" i="48"/>
  <c r="AD86" i="46"/>
  <c r="AA86" i="46"/>
  <c r="AD87" i="46"/>
  <c r="X86" i="46"/>
  <c r="J86" i="46"/>
  <c r="P86" i="46"/>
  <c r="T86" i="46"/>
  <c r="AC86" i="46" s="1"/>
  <c r="C86" i="46"/>
  <c r="N28" i="48" s="1"/>
  <c r="AB86" i="46" l="1"/>
  <c r="K7" i="15"/>
  <c r="W81" i="46" l="1"/>
  <c r="W81" i="57"/>
  <c r="AP27" i="48"/>
  <c r="AP26" i="48"/>
  <c r="Z81" i="46"/>
  <c r="K12" i="16"/>
  <c r="W78" i="57" s="1"/>
  <c r="C16" i="16"/>
  <c r="K7" i="16" s="1"/>
  <c r="W77" i="57" s="1"/>
  <c r="C17" i="16"/>
  <c r="C8" i="16"/>
  <c r="I55" i="47"/>
  <c r="E55" i="47"/>
  <c r="G55" i="47" s="1"/>
  <c r="H55" i="47" s="1"/>
  <c r="O81" i="57" s="1"/>
  <c r="F52" i="47"/>
  <c r="F51" i="47"/>
  <c r="H51" i="47" s="1"/>
  <c r="O77" i="57" s="1"/>
  <c r="E53" i="47"/>
  <c r="G53" i="47" s="1"/>
  <c r="E52" i="47"/>
  <c r="E51" i="47"/>
  <c r="C81" i="57" l="1"/>
  <c r="K81" i="57"/>
  <c r="V81" i="57"/>
  <c r="T81" i="57"/>
  <c r="U81" i="57"/>
  <c r="AA81" i="57" s="1"/>
  <c r="P81" i="57"/>
  <c r="C77" i="57"/>
  <c r="K77" i="57"/>
  <c r="U77" i="57"/>
  <c r="P77" i="57"/>
  <c r="T77" i="57"/>
  <c r="V77" i="57"/>
  <c r="X81" i="57"/>
  <c r="G51" i="47"/>
  <c r="O77" i="46"/>
  <c r="W77" i="46"/>
  <c r="G52" i="47"/>
  <c r="O81" i="46"/>
  <c r="W78" i="46"/>
  <c r="BA27" i="48"/>
  <c r="AC81" i="57" l="1"/>
  <c r="AB81" i="57" s="1"/>
  <c r="AC77" i="57"/>
  <c r="X77" i="57"/>
  <c r="BA26" i="48"/>
  <c r="AU27" i="2" l="1"/>
  <c r="AQ27" i="2"/>
  <c r="G27" i="2"/>
  <c r="AM84" i="46" l="1"/>
  <c r="AR84" i="46"/>
  <c r="BA84" i="46"/>
  <c r="U81" i="46"/>
  <c r="N81" i="46"/>
  <c r="AR83" i="46"/>
  <c r="BA83" i="46" s="1"/>
  <c r="AM83" i="46"/>
  <c r="AR82" i="46"/>
  <c r="BA82" i="46" s="1"/>
  <c r="AD82" i="46" s="1"/>
  <c r="AM82" i="46"/>
  <c r="AR81" i="46"/>
  <c r="BA81" i="46" s="1"/>
  <c r="AM81" i="46"/>
  <c r="U77" i="46"/>
  <c r="N77" i="46"/>
  <c r="V77" i="46" s="1"/>
  <c r="AR79" i="46"/>
  <c r="BA79" i="46" s="1"/>
  <c r="AM79" i="46"/>
  <c r="AR78" i="46"/>
  <c r="BA78" i="46" s="1"/>
  <c r="AM78" i="46"/>
  <c r="AR77" i="46"/>
  <c r="BA77" i="46" s="1"/>
  <c r="AM77" i="46"/>
  <c r="Y77" i="46"/>
  <c r="I37" i="15"/>
  <c r="P12" i="15"/>
  <c r="S11" i="15"/>
  <c r="R11" i="15"/>
  <c r="S10" i="15"/>
  <c r="R10" i="15"/>
  <c r="S9" i="15"/>
  <c r="R9" i="15"/>
  <c r="S8" i="15"/>
  <c r="R8" i="15"/>
  <c r="Q13" i="15"/>
  <c r="Q14" i="15" s="1"/>
  <c r="P7" i="15"/>
  <c r="S7" i="15" s="1"/>
  <c r="R6" i="15"/>
  <c r="P6" i="15"/>
  <c r="S6" i="15" s="1"/>
  <c r="I38" i="16"/>
  <c r="I51" i="47" s="1"/>
  <c r="P32" i="16"/>
  <c r="S31" i="16"/>
  <c r="R31" i="16"/>
  <c r="S30" i="16"/>
  <c r="R30" i="16"/>
  <c r="S29" i="16"/>
  <c r="R29" i="16"/>
  <c r="S28" i="16"/>
  <c r="R28" i="16"/>
  <c r="Q27" i="16"/>
  <c r="R27" i="16" s="1"/>
  <c r="P27" i="16"/>
  <c r="R26" i="16"/>
  <c r="R33" i="16" s="1"/>
  <c r="P26" i="16"/>
  <c r="S26" i="16" s="1"/>
  <c r="P22" i="16"/>
  <c r="S21" i="16"/>
  <c r="R21" i="16"/>
  <c r="S20" i="16"/>
  <c r="R20" i="16"/>
  <c r="S19" i="16"/>
  <c r="R19" i="16"/>
  <c r="S18" i="16"/>
  <c r="R18" i="16"/>
  <c r="Q17" i="16"/>
  <c r="Q23" i="16" s="1"/>
  <c r="Q24" i="16" s="1"/>
  <c r="P17" i="16"/>
  <c r="R16" i="16"/>
  <c r="P16" i="16"/>
  <c r="S16" i="16" s="1"/>
  <c r="P12" i="16"/>
  <c r="S11" i="16"/>
  <c r="R11" i="16"/>
  <c r="S10" i="16"/>
  <c r="R10" i="16"/>
  <c r="S9" i="16"/>
  <c r="R9" i="16"/>
  <c r="S8" i="16"/>
  <c r="R8" i="16"/>
  <c r="Q7" i="16"/>
  <c r="Q13" i="16" s="1"/>
  <c r="Q14" i="16" s="1"/>
  <c r="P7" i="16"/>
  <c r="R6" i="16"/>
  <c r="P6" i="16"/>
  <c r="S6" i="16" s="1"/>
  <c r="J4" i="16"/>
  <c r="S27" i="16" l="1"/>
  <c r="Q33" i="16"/>
  <c r="Q34" i="16" s="1"/>
  <c r="AD83" i="46"/>
  <c r="R34" i="16"/>
  <c r="S33" i="16"/>
  <c r="S34" i="16" s="1"/>
  <c r="AD78" i="46"/>
  <c r="C81" i="46"/>
  <c r="N27" i="48" s="1"/>
  <c r="V81" i="46"/>
  <c r="AD84" i="46"/>
  <c r="AD81" i="46"/>
  <c r="P81" i="46"/>
  <c r="T81" i="46"/>
  <c r="H81" i="46"/>
  <c r="AA81" i="46"/>
  <c r="AD79" i="46"/>
  <c r="P77" i="46"/>
  <c r="C77" i="46"/>
  <c r="N26" i="48" s="1"/>
  <c r="T77" i="46"/>
  <c r="H77" i="46"/>
  <c r="AD77" i="46"/>
  <c r="S13" i="15"/>
  <c r="S14" i="15" s="1"/>
  <c r="R7" i="15"/>
  <c r="R13" i="15" s="1"/>
  <c r="R14" i="15" s="1"/>
  <c r="R17" i="16"/>
  <c r="R23" i="16" s="1"/>
  <c r="R24" i="16" s="1"/>
  <c r="S17" i="16"/>
  <c r="S23" i="16" s="1"/>
  <c r="S24" i="16" s="1"/>
  <c r="R7" i="16"/>
  <c r="R13" i="16" s="1"/>
  <c r="R14" i="16" s="1"/>
  <c r="S7" i="16"/>
  <c r="S13" i="16" s="1"/>
  <c r="S14" i="16" s="1"/>
  <c r="P4" i="54"/>
  <c r="P3" i="54"/>
  <c r="Q3" i="54"/>
  <c r="Q4" i="54"/>
  <c r="J81" i="46" l="1"/>
  <c r="K81" i="46"/>
  <c r="L27" i="48" s="1"/>
  <c r="J77" i="46"/>
  <c r="K77" i="46"/>
  <c r="L26" i="48" s="1"/>
  <c r="R4" i="54"/>
  <c r="R3" i="54"/>
  <c r="K13" i="17"/>
  <c r="W74" i="57" s="1"/>
  <c r="C26" i="17"/>
  <c r="C18" i="17"/>
  <c r="C17" i="17"/>
  <c r="K7" i="17" s="1"/>
  <c r="W75" i="57" s="1"/>
  <c r="F48" i="47"/>
  <c r="F47" i="47"/>
  <c r="G47" i="47" s="1"/>
  <c r="H47" i="47" s="1"/>
  <c r="O74" i="57" s="1"/>
  <c r="E49" i="47"/>
  <c r="G49" i="47" s="1"/>
  <c r="E47" i="47"/>
  <c r="E48" i="47"/>
  <c r="E46" i="47"/>
  <c r="G46" i="47" s="1"/>
  <c r="H46" i="47" s="1"/>
  <c r="O73" i="57" s="1"/>
  <c r="AP25" i="48"/>
  <c r="C74" i="57" l="1"/>
  <c r="V74" i="57"/>
  <c r="T74" i="57"/>
  <c r="U74" i="57"/>
  <c r="K74" i="57"/>
  <c r="P74" i="57"/>
  <c r="H48" i="47"/>
  <c r="O75" i="57" s="1"/>
  <c r="C73" i="57"/>
  <c r="U73" i="57"/>
  <c r="T73" i="57"/>
  <c r="K73" i="57"/>
  <c r="AC73" i="57" s="1"/>
  <c r="P73" i="57"/>
  <c r="V73" i="57"/>
  <c r="K12" i="17"/>
  <c r="W73" i="57" s="1"/>
  <c r="AC81" i="46"/>
  <c r="AB81" i="46" s="1"/>
  <c r="X81" i="46"/>
  <c r="X77" i="46"/>
  <c r="AC77" i="46"/>
  <c r="O74" i="46"/>
  <c r="O73" i="46"/>
  <c r="W75" i="46"/>
  <c r="W73" i="46"/>
  <c r="W74" i="46"/>
  <c r="G48" i="47"/>
  <c r="O75" i="46" l="1"/>
  <c r="C75" i="57"/>
  <c r="U75" i="57"/>
  <c r="AA73" i="57" s="1"/>
  <c r="AB73" i="57" s="1"/>
  <c r="T75" i="57"/>
  <c r="K75" i="57"/>
  <c r="X73" i="57" s="1"/>
  <c r="P75" i="57"/>
  <c r="V75" i="57"/>
  <c r="BA25" i="48" l="1"/>
  <c r="AU26" i="2"/>
  <c r="AQ26" i="2"/>
  <c r="G26" i="2"/>
  <c r="S75" i="46" l="1"/>
  <c r="N75" i="46"/>
  <c r="H75" i="46" s="1"/>
  <c r="C75" i="46"/>
  <c r="T73" i="46"/>
  <c r="N73" i="46"/>
  <c r="H73" i="46" s="1"/>
  <c r="K73" i="46" s="1"/>
  <c r="AR75" i="46"/>
  <c r="BA75" i="46" s="1"/>
  <c r="AM75" i="46"/>
  <c r="AR74" i="46"/>
  <c r="BA74" i="46" s="1"/>
  <c r="AM74" i="46"/>
  <c r="Z74" i="46"/>
  <c r="U74" i="46"/>
  <c r="N74" i="46"/>
  <c r="AR73" i="46"/>
  <c r="BA73" i="46" s="1"/>
  <c r="AM73" i="46"/>
  <c r="Z73" i="46"/>
  <c r="Y73" i="46"/>
  <c r="I38" i="17"/>
  <c r="I46" i="47" s="1"/>
  <c r="Q37" i="17"/>
  <c r="Q38" i="17" s="1"/>
  <c r="W12" i="17"/>
  <c r="Z11" i="17"/>
  <c r="Y11" i="17"/>
  <c r="Z10" i="17"/>
  <c r="Y10" i="17"/>
  <c r="Z9" i="17"/>
  <c r="Y9" i="17"/>
  <c r="Z8" i="17"/>
  <c r="Y8" i="17"/>
  <c r="Y7" i="17"/>
  <c r="Z7" i="17"/>
  <c r="Z6" i="17"/>
  <c r="Y6" i="17"/>
  <c r="X13" i="17"/>
  <c r="F26" i="17"/>
  <c r="F9" i="17"/>
  <c r="P24" i="17"/>
  <c r="S24" i="17" s="1"/>
  <c r="P30" i="17"/>
  <c r="S29" i="17"/>
  <c r="R29" i="17"/>
  <c r="S28" i="17"/>
  <c r="R28" i="17"/>
  <c r="S27" i="17"/>
  <c r="R27" i="17"/>
  <c r="S26" i="17"/>
  <c r="R26" i="17"/>
  <c r="Q25" i="17"/>
  <c r="P25" i="17"/>
  <c r="Q15" i="17"/>
  <c r="Q16" i="17" s="1"/>
  <c r="P15" i="17"/>
  <c r="S15" i="17" s="1"/>
  <c r="P21" i="17"/>
  <c r="S20" i="17"/>
  <c r="R20" i="17"/>
  <c r="S19" i="17"/>
  <c r="R19" i="17"/>
  <c r="S18" i="17"/>
  <c r="R18" i="17"/>
  <c r="S17" i="17"/>
  <c r="R17" i="17"/>
  <c r="P16" i="17"/>
  <c r="Q6" i="17"/>
  <c r="P6" i="17"/>
  <c r="P12" i="17"/>
  <c r="S11" i="17"/>
  <c r="R11" i="17"/>
  <c r="S10" i="17"/>
  <c r="R10" i="17"/>
  <c r="S9" i="17"/>
  <c r="R9" i="17"/>
  <c r="S8" i="17"/>
  <c r="R8" i="17"/>
  <c r="P7" i="17"/>
  <c r="Q7" i="17"/>
  <c r="J4" i="17"/>
  <c r="AD75" i="46" l="1"/>
  <c r="S6" i="17"/>
  <c r="Z13" i="17"/>
  <c r="Z14" i="17" s="1"/>
  <c r="AC73" i="46"/>
  <c r="U73" i="46"/>
  <c r="T74" i="46"/>
  <c r="V74" i="46"/>
  <c r="P74" i="46"/>
  <c r="C73" i="46"/>
  <c r="AD74" i="46"/>
  <c r="AD73" i="46"/>
  <c r="V73" i="46"/>
  <c r="J75" i="46"/>
  <c r="K75" i="46"/>
  <c r="T75" i="46"/>
  <c r="V75" i="46"/>
  <c r="P75" i="46"/>
  <c r="U75" i="46"/>
  <c r="P73" i="46"/>
  <c r="J73" i="46"/>
  <c r="C74" i="46"/>
  <c r="H74" i="46"/>
  <c r="Y13" i="17"/>
  <c r="Y14" i="17" s="1"/>
  <c r="S25" i="17"/>
  <c r="R25" i="17"/>
  <c r="R24" i="17"/>
  <c r="S16" i="17"/>
  <c r="R16" i="17"/>
  <c r="Q22" i="17"/>
  <c r="Q23" i="17" s="1"/>
  <c r="Q31" i="17" s="1"/>
  <c r="Q32" i="17" s="1"/>
  <c r="R15" i="17"/>
  <c r="S13" i="17"/>
  <c r="S14" i="17" s="1"/>
  <c r="S22" i="17" s="1"/>
  <c r="S23" i="17" s="1"/>
  <c r="R7" i="17"/>
  <c r="S7" i="17"/>
  <c r="Q13" i="17"/>
  <c r="Q14" i="17" s="1"/>
  <c r="R6" i="17"/>
  <c r="AQ25" i="2"/>
  <c r="AU25" i="2"/>
  <c r="G25" i="2"/>
  <c r="R13" i="17" l="1"/>
  <c r="R14" i="17" s="1"/>
  <c r="R22" i="17" s="1"/>
  <c r="R23" i="17" s="1"/>
  <c r="R31" i="17" s="1"/>
  <c r="R32" i="17" s="1"/>
  <c r="AA73" i="46"/>
  <c r="S31" i="17"/>
  <c r="S32" i="17" s="1"/>
  <c r="N25" i="48"/>
  <c r="J74" i="46"/>
  <c r="K74" i="46"/>
  <c r="AP24" i="48"/>
  <c r="Z70" i="46"/>
  <c r="Z69" i="46"/>
  <c r="X73" i="46" l="1"/>
  <c r="L25" i="48"/>
  <c r="AB73" i="46"/>
  <c r="K12" i="18"/>
  <c r="W70" i="57" s="1"/>
  <c r="C16" i="18"/>
  <c r="K8" i="18" s="1"/>
  <c r="W69" i="57" s="1"/>
  <c r="E44" i="47"/>
  <c r="E43" i="47"/>
  <c r="E42" i="47"/>
  <c r="W70" i="46" l="1"/>
  <c r="H42" i="47"/>
  <c r="O69" i="57" s="1"/>
  <c r="W69" i="46"/>
  <c r="O69" i="46"/>
  <c r="G44" i="47"/>
  <c r="H44" i="47" s="1"/>
  <c r="O70" i="57" s="1"/>
  <c r="G43" i="47"/>
  <c r="G42" i="47"/>
  <c r="C70" i="57" l="1"/>
  <c r="P70" i="57"/>
  <c r="K70" i="57"/>
  <c r="U70" i="57"/>
  <c r="T70" i="57"/>
  <c r="V70" i="57"/>
  <c r="C69" i="57"/>
  <c r="K69" i="57"/>
  <c r="T69" i="57"/>
  <c r="U69" i="57"/>
  <c r="P69" i="57"/>
  <c r="V69" i="57"/>
  <c r="O70" i="46"/>
  <c r="N70" i="46"/>
  <c r="H70" i="46" s="1"/>
  <c r="U70" i="46"/>
  <c r="U69" i="46"/>
  <c r="N69" i="46"/>
  <c r="AR71" i="46"/>
  <c r="BA71" i="46" s="1"/>
  <c r="AM71" i="46"/>
  <c r="AD71" i="46" s="1"/>
  <c r="AR70" i="46"/>
  <c r="BA70" i="46" s="1"/>
  <c r="AM70" i="46"/>
  <c r="AR69" i="46"/>
  <c r="BA69" i="46" s="1"/>
  <c r="AM69" i="46"/>
  <c r="Y69" i="46"/>
  <c r="I38" i="18"/>
  <c r="I42" i="47" s="1"/>
  <c r="Q39" i="18"/>
  <c r="V23" i="18"/>
  <c r="Y22" i="18"/>
  <c r="X22" i="18"/>
  <c r="Y21" i="18"/>
  <c r="X21" i="18"/>
  <c r="Y20" i="18"/>
  <c r="X20" i="18"/>
  <c r="Y19" i="18"/>
  <c r="X19" i="18"/>
  <c r="Y17" i="18"/>
  <c r="V12" i="18"/>
  <c r="Y11" i="18"/>
  <c r="X11" i="18"/>
  <c r="Y10" i="18"/>
  <c r="X10" i="18"/>
  <c r="Y9" i="18"/>
  <c r="X9" i="18"/>
  <c r="Y8" i="18"/>
  <c r="X8" i="18"/>
  <c r="V7" i="18"/>
  <c r="W6" i="18"/>
  <c r="W7" i="18" s="1"/>
  <c r="V6" i="18"/>
  <c r="Q27" i="18"/>
  <c r="P27" i="18"/>
  <c r="P33" i="18"/>
  <c r="S32" i="18"/>
  <c r="R32" i="18"/>
  <c r="S31" i="18"/>
  <c r="R31" i="18"/>
  <c r="S30" i="18"/>
  <c r="R30" i="18"/>
  <c r="S29" i="18"/>
  <c r="R29" i="18"/>
  <c r="Q17" i="18"/>
  <c r="Q18" i="18" s="1"/>
  <c r="P18" i="18"/>
  <c r="P23" i="18"/>
  <c r="S22" i="18"/>
  <c r="R22" i="18"/>
  <c r="S21" i="18"/>
  <c r="R21" i="18"/>
  <c r="S20" i="18"/>
  <c r="R20" i="18"/>
  <c r="S19" i="18"/>
  <c r="R19" i="18"/>
  <c r="P17" i="18"/>
  <c r="S17" i="18" s="1"/>
  <c r="Q6" i="18"/>
  <c r="Q7" i="18" s="1"/>
  <c r="P12" i="18"/>
  <c r="S11" i="18"/>
  <c r="R11" i="18"/>
  <c r="S10" i="18"/>
  <c r="R10" i="18"/>
  <c r="S9" i="18"/>
  <c r="R9" i="18"/>
  <c r="S8" i="18"/>
  <c r="R8" i="18"/>
  <c r="P7" i="18"/>
  <c r="P6" i="18"/>
  <c r="J4" i="18"/>
  <c r="AA69" i="57" l="1"/>
  <c r="AC69" i="57"/>
  <c r="X69" i="57"/>
  <c r="Y6" i="18"/>
  <c r="S27" i="18"/>
  <c r="AD70" i="46"/>
  <c r="AD69" i="46"/>
  <c r="T70" i="46"/>
  <c r="C70" i="46"/>
  <c r="V69" i="46"/>
  <c r="J70" i="46"/>
  <c r="K70" i="46"/>
  <c r="P70" i="46"/>
  <c r="AA69" i="46"/>
  <c r="V70" i="46"/>
  <c r="C69" i="46"/>
  <c r="T69" i="46"/>
  <c r="P69" i="46"/>
  <c r="H69" i="46"/>
  <c r="X17" i="18"/>
  <c r="X7" i="18"/>
  <c r="Y7" i="18"/>
  <c r="Y13" i="18" s="1"/>
  <c r="X6" i="18"/>
  <c r="W13" i="18"/>
  <c r="W14" i="18" s="1"/>
  <c r="R28" i="18"/>
  <c r="S28" i="18"/>
  <c r="Q34" i="18"/>
  <c r="Q35" i="18" s="1"/>
  <c r="R27" i="18"/>
  <c r="R18" i="18"/>
  <c r="S18" i="18"/>
  <c r="S24" i="18" s="1"/>
  <c r="Q24" i="18"/>
  <c r="Q25" i="18" s="1"/>
  <c r="R17" i="18"/>
  <c r="Q13" i="18"/>
  <c r="Q14" i="18" s="1"/>
  <c r="R6" i="18"/>
  <c r="S6" i="18"/>
  <c r="R7" i="18"/>
  <c r="S34" i="18" l="1"/>
  <c r="AB69" i="57"/>
  <c r="Y14" i="18"/>
  <c r="R34" i="18"/>
  <c r="R35" i="18" s="1"/>
  <c r="S35" i="18"/>
  <c r="BA24" i="48"/>
  <c r="N24" i="48"/>
  <c r="K69" i="46"/>
  <c r="L24" i="48" s="1"/>
  <c r="J69" i="46"/>
  <c r="X18" i="18"/>
  <c r="X24" i="18" s="1"/>
  <c r="Y18" i="18"/>
  <c r="Y24" i="18" s="1"/>
  <c r="W24" i="18"/>
  <c r="W25" i="18" s="1"/>
  <c r="X13" i="18"/>
  <c r="X14" i="18" s="1"/>
  <c r="R24" i="18"/>
  <c r="R25" i="18" s="1"/>
  <c r="S25" i="18"/>
  <c r="S7" i="18"/>
  <c r="S13" i="18" s="1"/>
  <c r="S14" i="18" s="1"/>
  <c r="R13" i="18"/>
  <c r="R14" i="18" s="1"/>
  <c r="AC69" i="46" l="1"/>
  <c r="AB69" i="46" s="1"/>
  <c r="X69" i="46"/>
  <c r="X25" i="18"/>
  <c r="Y25" i="18"/>
  <c r="AP23" i="48" l="1"/>
  <c r="K10" i="19" l="1"/>
  <c r="W64" i="57" s="1"/>
  <c r="C17" i="19"/>
  <c r="K8" i="19" s="1"/>
  <c r="W65" i="57" s="1"/>
  <c r="E40" i="47"/>
  <c r="G40" i="47" s="1"/>
  <c r="E39" i="47"/>
  <c r="H39" i="47" s="1"/>
  <c r="O65" i="57" s="1"/>
  <c r="E31" i="47"/>
  <c r="E34" i="47"/>
  <c r="E36" i="47"/>
  <c r="E38" i="47"/>
  <c r="G38" i="47" s="1"/>
  <c r="H38" i="47" s="1"/>
  <c r="O64" i="57" s="1"/>
  <c r="C64" i="57" l="1"/>
  <c r="K64" i="57"/>
  <c r="U64" i="57"/>
  <c r="AA64" i="57" s="1"/>
  <c r="T64" i="57"/>
  <c r="P64" i="57"/>
  <c r="V64" i="57"/>
  <c r="C65" i="57"/>
  <c r="K65" i="57"/>
  <c r="X64" i="57" s="1"/>
  <c r="U65" i="57"/>
  <c r="P65" i="57"/>
  <c r="V65" i="57"/>
  <c r="T65" i="57"/>
  <c r="G39" i="47"/>
  <c r="W65" i="46"/>
  <c r="O65" i="46"/>
  <c r="O64" i="46"/>
  <c r="W64" i="46"/>
  <c r="AQ24" i="2"/>
  <c r="AU24" i="2"/>
  <c r="G24" i="2"/>
  <c r="AC64" i="57" l="1"/>
  <c r="AB64" i="57" s="1"/>
  <c r="BA23" i="48"/>
  <c r="AM67" i="46"/>
  <c r="AR67" i="46"/>
  <c r="BA67" i="46" s="1"/>
  <c r="Q65" i="46"/>
  <c r="N65" i="46"/>
  <c r="H65" i="46" s="1"/>
  <c r="AR66" i="46"/>
  <c r="BA66" i="46" s="1"/>
  <c r="AM66" i="46"/>
  <c r="AR65" i="46"/>
  <c r="BA65" i="46" s="1"/>
  <c r="AM65" i="46"/>
  <c r="AR64" i="46"/>
  <c r="BA64" i="46" s="1"/>
  <c r="AM64" i="46"/>
  <c r="AD64" i="46" s="1"/>
  <c r="Y64" i="46"/>
  <c r="U64" i="46"/>
  <c r="N64" i="46"/>
  <c r="H64" i="46" s="1"/>
  <c r="J64" i="46" s="1"/>
  <c r="G34" i="19"/>
  <c r="I38" i="19"/>
  <c r="I38" i="47" s="1"/>
  <c r="Q46" i="19"/>
  <c r="W23" i="19"/>
  <c r="W24" i="19" s="1"/>
  <c r="V22" i="19"/>
  <c r="Y21" i="19"/>
  <c r="X21" i="19"/>
  <c r="Y20" i="19"/>
  <c r="X20" i="19"/>
  <c r="X19" i="19"/>
  <c r="Y19" i="19"/>
  <c r="Y18" i="19"/>
  <c r="X18" i="19"/>
  <c r="X17" i="19"/>
  <c r="Y17" i="19"/>
  <c r="X16" i="19"/>
  <c r="Y16" i="19"/>
  <c r="V12" i="19"/>
  <c r="Y11" i="19"/>
  <c r="X11" i="19"/>
  <c r="Y10" i="19"/>
  <c r="X10" i="19"/>
  <c r="X9" i="19"/>
  <c r="V9" i="19"/>
  <c r="Y9" i="19" s="1"/>
  <c r="Y8" i="19"/>
  <c r="X8" i="19"/>
  <c r="W7" i="19"/>
  <c r="X7" i="19" s="1"/>
  <c r="V7" i="19"/>
  <c r="X6" i="19"/>
  <c r="V6" i="19"/>
  <c r="Y6" i="19" s="1"/>
  <c r="F9" i="19"/>
  <c r="G42" i="19"/>
  <c r="I37" i="19" s="1"/>
  <c r="F42" i="19"/>
  <c r="N41" i="19"/>
  <c r="Q27" i="19"/>
  <c r="P32" i="19"/>
  <c r="S31" i="19"/>
  <c r="R31" i="19"/>
  <c r="S30" i="19"/>
  <c r="R30" i="19"/>
  <c r="S29" i="19"/>
  <c r="R29" i="19"/>
  <c r="S28" i="19"/>
  <c r="R28" i="19"/>
  <c r="P27" i="19"/>
  <c r="R26" i="19"/>
  <c r="P26" i="19"/>
  <c r="S26" i="19" s="1"/>
  <c r="Q17" i="19"/>
  <c r="R17" i="19" s="1"/>
  <c r="Q16" i="19"/>
  <c r="P17" i="19"/>
  <c r="P16" i="19"/>
  <c r="P22" i="19"/>
  <c r="S21" i="19"/>
  <c r="R21" i="19"/>
  <c r="S20" i="19"/>
  <c r="R20" i="19"/>
  <c r="R19" i="19"/>
  <c r="S19" i="19"/>
  <c r="S18" i="19"/>
  <c r="R18" i="19"/>
  <c r="Q8" i="19"/>
  <c r="P8" i="19"/>
  <c r="Q7" i="19"/>
  <c r="P12" i="19"/>
  <c r="S11" i="19"/>
  <c r="R11" i="19"/>
  <c r="S10" i="19"/>
  <c r="R10" i="19"/>
  <c r="R9" i="19"/>
  <c r="P9" i="19"/>
  <c r="S9" i="19" s="1"/>
  <c r="R7" i="19"/>
  <c r="P7" i="19"/>
  <c r="R6" i="19"/>
  <c r="P6" i="19"/>
  <c r="S6" i="19" s="1"/>
  <c r="J4" i="19"/>
  <c r="V64" i="46" l="1"/>
  <c r="S16" i="19"/>
  <c r="S17" i="19"/>
  <c r="AD66" i="46"/>
  <c r="W13" i="19"/>
  <c r="W14" i="19" s="1"/>
  <c r="R16" i="19"/>
  <c r="X13" i="19"/>
  <c r="X14" i="19" s="1"/>
  <c r="S8" i="19"/>
  <c r="Q23" i="19"/>
  <c r="Q24" i="19" s="1"/>
  <c r="Y7" i="19"/>
  <c r="T65" i="46"/>
  <c r="AD67" i="46"/>
  <c r="AD65" i="46"/>
  <c r="U65" i="46"/>
  <c r="AA64" i="46" s="1"/>
  <c r="P65" i="46"/>
  <c r="C65" i="46"/>
  <c r="J65" i="46"/>
  <c r="K65" i="46"/>
  <c r="V65" i="46"/>
  <c r="K64" i="46"/>
  <c r="P64" i="46"/>
  <c r="T64" i="46"/>
  <c r="C64" i="46"/>
  <c r="X23" i="19"/>
  <c r="X24" i="19" s="1"/>
  <c r="Y23" i="19"/>
  <c r="Y24" i="19" s="1"/>
  <c r="Y13" i="19"/>
  <c r="S27" i="19"/>
  <c r="S33" i="19" s="1"/>
  <c r="R27" i="19"/>
  <c r="R33" i="19" s="1"/>
  <c r="Q33" i="19"/>
  <c r="Q34" i="19" s="1"/>
  <c r="R23" i="19"/>
  <c r="S23" i="19"/>
  <c r="R8" i="19"/>
  <c r="R13" i="19" s="1"/>
  <c r="S7" i="19"/>
  <c r="Q13" i="19"/>
  <c r="Q14" i="19" s="1"/>
  <c r="L4" i="54"/>
  <c r="L3" i="54"/>
  <c r="M4" i="54"/>
  <c r="M3" i="54"/>
  <c r="N4" i="54"/>
  <c r="N3" i="54"/>
  <c r="O4" i="54"/>
  <c r="O3" i="54"/>
  <c r="S13" i="19" l="1"/>
  <c r="N23" i="48"/>
  <c r="S24" i="19"/>
  <c r="R24" i="19"/>
  <c r="Y14" i="19"/>
  <c r="L23" i="48"/>
  <c r="AC64" i="46"/>
  <c r="AB64" i="46" s="1"/>
  <c r="X64" i="46"/>
  <c r="R34" i="19"/>
  <c r="S34" i="19"/>
  <c r="S14" i="19"/>
  <c r="R14" i="19"/>
  <c r="AU23" i="2"/>
  <c r="G23" i="2"/>
  <c r="AP22" i="48" l="1"/>
  <c r="G36" i="47" l="1"/>
  <c r="H36" i="47" s="1"/>
  <c r="O60" i="57" s="1"/>
  <c r="C60" i="57" l="1"/>
  <c r="K60" i="57"/>
  <c r="P60" i="57"/>
  <c r="U60" i="57"/>
  <c r="T60" i="57"/>
  <c r="V60" i="57"/>
  <c r="O60" i="46"/>
  <c r="T60" i="46" s="1"/>
  <c r="AR62" i="46"/>
  <c r="BA62" i="46" s="1"/>
  <c r="AM62" i="46"/>
  <c r="AR61" i="46"/>
  <c r="BA61" i="46" s="1"/>
  <c r="AM61" i="46"/>
  <c r="AR60" i="46"/>
  <c r="BA60" i="46" s="1"/>
  <c r="AM60" i="46"/>
  <c r="N60" i="46"/>
  <c r="F26" i="20"/>
  <c r="F17" i="20"/>
  <c r="F9" i="20"/>
  <c r="I38" i="20"/>
  <c r="I36" i="47" s="1"/>
  <c r="G42" i="20"/>
  <c r="I37" i="20" s="1"/>
  <c r="F42" i="20"/>
  <c r="P26" i="20"/>
  <c r="S26" i="20" s="1"/>
  <c r="Q33" i="20"/>
  <c r="Q34" i="20" s="1"/>
  <c r="P32" i="20"/>
  <c r="S31" i="20"/>
  <c r="R31" i="20"/>
  <c r="S30" i="20"/>
  <c r="R30" i="20"/>
  <c r="R29" i="20"/>
  <c r="P29" i="20"/>
  <c r="S29" i="20" s="1"/>
  <c r="R28" i="20"/>
  <c r="P28" i="20"/>
  <c r="S28" i="20" s="1"/>
  <c r="R27" i="20"/>
  <c r="P27" i="20"/>
  <c r="S27" i="20" s="1"/>
  <c r="R26" i="20"/>
  <c r="Q18" i="20"/>
  <c r="R18" i="20" s="1"/>
  <c r="Q17" i="20"/>
  <c r="R17" i="20" s="1"/>
  <c r="Q16" i="20"/>
  <c r="R16" i="20" s="1"/>
  <c r="P18" i="20"/>
  <c r="P17" i="20"/>
  <c r="P16" i="20"/>
  <c r="S16" i="20" s="1"/>
  <c r="P22" i="20"/>
  <c r="S21" i="20"/>
  <c r="R21" i="20"/>
  <c r="S20" i="20"/>
  <c r="R20" i="20"/>
  <c r="R19" i="20"/>
  <c r="P19" i="20"/>
  <c r="S19" i="20" s="1"/>
  <c r="Q7" i="20"/>
  <c r="Q13" i="20" s="1"/>
  <c r="Q14" i="20" s="1"/>
  <c r="P6" i="20"/>
  <c r="S6" i="20" s="1"/>
  <c r="J4" i="20"/>
  <c r="P12" i="20"/>
  <c r="S11" i="20"/>
  <c r="R11" i="20"/>
  <c r="S10" i="20"/>
  <c r="R10" i="20"/>
  <c r="R9" i="20"/>
  <c r="P9" i="20"/>
  <c r="S9" i="20" s="1"/>
  <c r="S8" i="20"/>
  <c r="R8" i="20"/>
  <c r="P7" i="20"/>
  <c r="R6" i="20"/>
  <c r="AC60" i="57" l="1"/>
  <c r="BA22" i="48"/>
  <c r="R7" i="20"/>
  <c r="R13" i="20"/>
  <c r="AD62" i="46"/>
  <c r="S18" i="20"/>
  <c r="V60" i="46"/>
  <c r="AD60" i="46"/>
  <c r="AD61" i="46"/>
  <c r="C60" i="46"/>
  <c r="N22" i="48" s="1"/>
  <c r="U60" i="46"/>
  <c r="P60" i="46"/>
  <c r="H60" i="46"/>
  <c r="R33" i="20"/>
  <c r="R34" i="20" s="1"/>
  <c r="S33" i="20"/>
  <c r="S34" i="20" s="1"/>
  <c r="S17" i="20"/>
  <c r="R23" i="20"/>
  <c r="Q23" i="20"/>
  <c r="Q24" i="20" s="1"/>
  <c r="S7" i="20"/>
  <c r="R14" i="20"/>
  <c r="S13" i="20"/>
  <c r="S14" i="20" s="1"/>
  <c r="S23" i="20" l="1"/>
  <c r="S24" i="20" s="1"/>
  <c r="R24" i="20"/>
  <c r="K60" i="46"/>
  <c r="L22" i="48" s="1"/>
  <c r="J60" i="46"/>
  <c r="AC60" i="46" l="1"/>
  <c r="AP21" i="48" l="1"/>
  <c r="G34" i="47"/>
  <c r="H34" i="47" s="1"/>
  <c r="O56" i="57" s="1"/>
  <c r="C56" i="57" l="1"/>
  <c r="U56" i="57"/>
  <c r="P56" i="57"/>
  <c r="T56" i="57"/>
  <c r="K56" i="57"/>
  <c r="AC56" i="57" s="1"/>
  <c r="V56" i="57"/>
  <c r="O56" i="46"/>
  <c r="AU22" i="2"/>
  <c r="G22" i="2"/>
  <c r="BA21" i="48" l="1"/>
  <c r="U56" i="46"/>
  <c r="N56" i="46"/>
  <c r="AR58" i="46"/>
  <c r="BA58" i="46" s="1"/>
  <c r="AM58" i="46"/>
  <c r="AR57" i="46"/>
  <c r="BA57" i="46" s="1"/>
  <c r="AM57" i="46"/>
  <c r="AR56" i="46"/>
  <c r="BA56" i="46" s="1"/>
  <c r="AM56" i="46"/>
  <c r="F26" i="22"/>
  <c r="I38" i="22"/>
  <c r="I34" i="47" s="1"/>
  <c r="G42" i="22"/>
  <c r="I37" i="22" s="1"/>
  <c r="F42" i="22"/>
  <c r="P32" i="22"/>
  <c r="S31" i="22"/>
  <c r="R31" i="22"/>
  <c r="S30" i="22"/>
  <c r="R30" i="22"/>
  <c r="R29" i="22"/>
  <c r="P29" i="22"/>
  <c r="S29" i="22" s="1"/>
  <c r="S28" i="22"/>
  <c r="R28" i="22"/>
  <c r="Q27" i="22"/>
  <c r="R27" i="22" s="1"/>
  <c r="P27" i="22"/>
  <c r="R26" i="22"/>
  <c r="P26" i="22"/>
  <c r="S26" i="22" s="1"/>
  <c r="P16" i="22"/>
  <c r="S16" i="22" s="1"/>
  <c r="P22" i="22"/>
  <c r="S21" i="22"/>
  <c r="R21" i="22"/>
  <c r="S20" i="22"/>
  <c r="R20" i="22"/>
  <c r="R19" i="22"/>
  <c r="P19" i="22"/>
  <c r="S19" i="22" s="1"/>
  <c r="S18" i="22"/>
  <c r="R18" i="22"/>
  <c r="P17" i="22"/>
  <c r="Q17" i="22"/>
  <c r="R17" i="22" s="1"/>
  <c r="Q6" i="22"/>
  <c r="P7" i="22"/>
  <c r="P6" i="22"/>
  <c r="P12" i="22"/>
  <c r="S11" i="22"/>
  <c r="R11" i="22"/>
  <c r="S10" i="22"/>
  <c r="R10" i="22"/>
  <c r="R9" i="22"/>
  <c r="P9" i="22"/>
  <c r="S9" i="22" s="1"/>
  <c r="S8" i="22"/>
  <c r="R8" i="22"/>
  <c r="J4" i="22"/>
  <c r="S27" i="22" l="1"/>
  <c r="S33" i="22"/>
  <c r="S6" i="22"/>
  <c r="R33" i="22"/>
  <c r="Q7" i="22"/>
  <c r="Q13" i="22" s="1"/>
  <c r="Q14" i="22" s="1"/>
  <c r="R6" i="22"/>
  <c r="Q33" i="22"/>
  <c r="Q34" i="22" s="1"/>
  <c r="AD58" i="46"/>
  <c r="V56" i="46"/>
  <c r="AD57" i="46"/>
  <c r="AD56" i="46"/>
  <c r="P56" i="46"/>
  <c r="T56" i="46"/>
  <c r="C56" i="46"/>
  <c r="N21" i="48" s="1"/>
  <c r="H56" i="46"/>
  <c r="S17" i="22"/>
  <c r="S23" i="22" s="1"/>
  <c r="R16" i="22"/>
  <c r="R23" i="22" s="1"/>
  <c r="Q23" i="22"/>
  <c r="Q24" i="22" s="1"/>
  <c r="S7" i="22" l="1"/>
  <c r="S13" i="22" s="1"/>
  <c r="S14" i="22" s="1"/>
  <c r="R7" i="22"/>
  <c r="R13" i="22" s="1"/>
  <c r="R14" i="22" s="1"/>
  <c r="S34" i="22"/>
  <c r="R34" i="22"/>
  <c r="J56" i="46"/>
  <c r="K56" i="46"/>
  <c r="L21" i="48" s="1"/>
  <c r="S24" i="22"/>
  <c r="R24" i="22"/>
  <c r="AC56" i="46" l="1"/>
  <c r="AP10" i="48" l="1"/>
  <c r="AP11" i="48"/>
  <c r="AP12" i="48"/>
  <c r="AP13" i="48"/>
  <c r="AP14" i="48"/>
  <c r="AP15" i="48"/>
  <c r="AP16" i="48"/>
  <c r="AP17" i="48"/>
  <c r="AP18" i="48"/>
  <c r="AP19" i="48"/>
  <c r="AP20" i="48"/>
  <c r="AP9" i="48"/>
  <c r="K11" i="21" l="1"/>
  <c r="W52" i="57" s="1"/>
  <c r="K10" i="21"/>
  <c r="W53" i="57" s="1"/>
  <c r="W52" i="46" l="1"/>
  <c r="W53" i="46"/>
  <c r="K11" i="23"/>
  <c r="W49" i="57" s="1"/>
  <c r="K10" i="23"/>
  <c r="W48" i="57" s="1"/>
  <c r="W48" i="46" l="1"/>
  <c r="W49" i="46"/>
  <c r="F31" i="47"/>
  <c r="E32" i="47"/>
  <c r="G32" i="47" s="1"/>
  <c r="H32" i="47" s="1"/>
  <c r="O52" i="57" s="1"/>
  <c r="F28" i="47"/>
  <c r="E29" i="47"/>
  <c r="G29" i="47" s="1"/>
  <c r="H29" i="47" s="1"/>
  <c r="O49" i="57" s="1"/>
  <c r="E28" i="47"/>
  <c r="C49" i="57" l="1"/>
  <c r="U49" i="57"/>
  <c r="P49" i="57"/>
  <c r="T49" i="57"/>
  <c r="K49" i="57"/>
  <c r="V49" i="57"/>
  <c r="C52" i="57"/>
  <c r="T52" i="57"/>
  <c r="AC52" i="57" s="1"/>
  <c r="U52" i="57"/>
  <c r="V52" i="57"/>
  <c r="K52" i="57"/>
  <c r="P52" i="57"/>
  <c r="O49" i="46"/>
  <c r="O52" i="46"/>
  <c r="G31" i="47"/>
  <c r="H31" i="47" s="1"/>
  <c r="O53" i="57" s="1"/>
  <c r="G28" i="47"/>
  <c r="H28" i="47" s="1"/>
  <c r="O48" i="57" s="1"/>
  <c r="AU21" i="2"/>
  <c r="AU20" i="2"/>
  <c r="G21" i="2"/>
  <c r="G20" i="2"/>
  <c r="C53" i="57" l="1"/>
  <c r="T53" i="57"/>
  <c r="K53" i="57"/>
  <c r="P53" i="57"/>
  <c r="V53" i="57"/>
  <c r="U53" i="57"/>
  <c r="C48" i="57"/>
  <c r="U48" i="57"/>
  <c r="P48" i="57"/>
  <c r="T48" i="57"/>
  <c r="K48" i="57"/>
  <c r="V48" i="57"/>
  <c r="X52" i="57"/>
  <c r="O48" i="46"/>
  <c r="O53" i="46"/>
  <c r="J4" i="21"/>
  <c r="AC48" i="57" l="1"/>
  <c r="X48" i="57"/>
  <c r="Q38" i="21"/>
  <c r="W12" i="21"/>
  <c r="Z11" i="21"/>
  <c r="Y11" i="21"/>
  <c r="Z10" i="21"/>
  <c r="Y10" i="21"/>
  <c r="Y9" i="21"/>
  <c r="Z9" i="21"/>
  <c r="Y8" i="21"/>
  <c r="Z8" i="21"/>
  <c r="Z6" i="21"/>
  <c r="G42" i="21"/>
  <c r="I37" i="21" s="1"/>
  <c r="F42" i="21"/>
  <c r="P32" i="21"/>
  <c r="S31" i="21"/>
  <c r="R31" i="21"/>
  <c r="S30" i="21"/>
  <c r="R30" i="21"/>
  <c r="R29" i="21"/>
  <c r="P29" i="21"/>
  <c r="S29" i="21" s="1"/>
  <c r="Q33" i="21"/>
  <c r="Q34" i="21" s="1"/>
  <c r="S27" i="21"/>
  <c r="R26" i="21"/>
  <c r="P26" i="21"/>
  <c r="S26" i="21" s="1"/>
  <c r="P16" i="21"/>
  <c r="BA19" i="48" l="1"/>
  <c r="BA20" i="48"/>
  <c r="Y7" i="21"/>
  <c r="Y6" i="21"/>
  <c r="X13" i="21"/>
  <c r="X14" i="21" s="1"/>
  <c r="Z7" i="21"/>
  <c r="Z13" i="21" s="1"/>
  <c r="R27" i="21"/>
  <c r="F9" i="23"/>
  <c r="I38" i="23"/>
  <c r="I28" i="47" s="1"/>
  <c r="I38" i="21"/>
  <c r="I31" i="47" s="1"/>
  <c r="Z14" i="21" l="1"/>
  <c r="Y13" i="21"/>
  <c r="Y14" i="21" s="1"/>
  <c r="S28" i="21"/>
  <c r="S33" i="21" s="1"/>
  <c r="S34" i="21" s="1"/>
  <c r="R28" i="21"/>
  <c r="R33" i="21"/>
  <c r="R34" i="21" s="1"/>
  <c r="N53" i="46"/>
  <c r="H53" i="46" s="1"/>
  <c r="C53" i="46"/>
  <c r="P53" i="46"/>
  <c r="N49" i="46"/>
  <c r="H49" i="46" s="1"/>
  <c r="U49" i="46"/>
  <c r="AR54" i="46"/>
  <c r="BA54" i="46" s="1"/>
  <c r="AM54" i="46"/>
  <c r="AR53" i="46"/>
  <c r="BA53" i="46" s="1"/>
  <c r="AM53" i="46"/>
  <c r="AD53" i="46" s="1"/>
  <c r="AR52" i="46"/>
  <c r="BA52" i="46" s="1"/>
  <c r="AM52" i="46"/>
  <c r="U52" i="46"/>
  <c r="N52" i="46"/>
  <c r="H52" i="46" s="1"/>
  <c r="AR50" i="46"/>
  <c r="BA50" i="46" s="1"/>
  <c r="AM50" i="46"/>
  <c r="AR49" i="46"/>
  <c r="BA49" i="46" s="1"/>
  <c r="AM49" i="46"/>
  <c r="AR48" i="46"/>
  <c r="BA48" i="46" s="1"/>
  <c r="AM48" i="46"/>
  <c r="P48" i="46"/>
  <c r="N48" i="46"/>
  <c r="H48" i="46" s="1"/>
  <c r="Q18" i="21"/>
  <c r="Q17" i="21"/>
  <c r="Q16" i="21"/>
  <c r="O17" i="21"/>
  <c r="P17" i="21" s="1"/>
  <c r="P22" i="21"/>
  <c r="S21" i="21"/>
  <c r="R21" i="21"/>
  <c r="S20" i="21"/>
  <c r="R20" i="21"/>
  <c r="R19" i="21"/>
  <c r="P19" i="21"/>
  <c r="S19" i="21" s="1"/>
  <c r="R16" i="21"/>
  <c r="S16" i="21"/>
  <c r="Q6" i="21"/>
  <c r="Q7" i="21" s="1"/>
  <c r="P12" i="21"/>
  <c r="S11" i="21"/>
  <c r="R11" i="21"/>
  <c r="S10" i="21"/>
  <c r="R10" i="21"/>
  <c r="R9" i="21"/>
  <c r="P9" i="21"/>
  <c r="S9" i="21" s="1"/>
  <c r="R8" i="21"/>
  <c r="P8" i="21"/>
  <c r="S8" i="21" s="1"/>
  <c r="O7" i="21"/>
  <c r="P7" i="21" s="1"/>
  <c r="P6" i="21"/>
  <c r="Q40" i="23"/>
  <c r="X13" i="23"/>
  <c r="X14" i="23" s="1"/>
  <c r="W12" i="23"/>
  <c r="Z11" i="23"/>
  <c r="Y11" i="23"/>
  <c r="Z10" i="23"/>
  <c r="Y10" i="23"/>
  <c r="Y9" i="23"/>
  <c r="Z9" i="23"/>
  <c r="Z8" i="23"/>
  <c r="Y8" i="23"/>
  <c r="Y7" i="23"/>
  <c r="Z7" i="23"/>
  <c r="Y6" i="23"/>
  <c r="W6" i="23"/>
  <c r="Z6" i="23" s="1"/>
  <c r="G42" i="23"/>
  <c r="I37" i="23" s="1"/>
  <c r="F42" i="23"/>
  <c r="Q27" i="23"/>
  <c r="R27" i="23" s="1"/>
  <c r="Q26" i="23"/>
  <c r="R26" i="23" s="1"/>
  <c r="Q28" i="23"/>
  <c r="R28" i="23" s="1"/>
  <c r="Q16" i="23"/>
  <c r="Q17" i="23" s="1"/>
  <c r="Q23" i="23" s="1"/>
  <c r="Q24" i="23" s="1"/>
  <c r="O17" i="23"/>
  <c r="P17" i="23" s="1"/>
  <c r="P32" i="23"/>
  <c r="S31" i="23"/>
  <c r="R31" i="23"/>
  <c r="S30" i="23"/>
  <c r="R30" i="23"/>
  <c r="R29" i="23"/>
  <c r="P29" i="23"/>
  <c r="S29" i="23" s="1"/>
  <c r="P28" i="23"/>
  <c r="P27" i="23"/>
  <c r="P26" i="23"/>
  <c r="P22" i="23"/>
  <c r="S21" i="23"/>
  <c r="R21" i="23"/>
  <c r="S20" i="23"/>
  <c r="R20" i="23"/>
  <c r="R19" i="23"/>
  <c r="P19" i="23"/>
  <c r="S19" i="23" s="1"/>
  <c r="R18" i="23"/>
  <c r="P18" i="23"/>
  <c r="S18" i="23" s="1"/>
  <c r="P16" i="23"/>
  <c r="P12" i="23"/>
  <c r="S11" i="23"/>
  <c r="R11" i="23"/>
  <c r="S10" i="23"/>
  <c r="R10" i="23"/>
  <c r="R9" i="23"/>
  <c r="P9" i="23"/>
  <c r="S9" i="23" s="1"/>
  <c r="R8" i="23"/>
  <c r="P8" i="23"/>
  <c r="S8" i="23" s="1"/>
  <c r="Q7" i="23"/>
  <c r="R7" i="23" s="1"/>
  <c r="P7" i="23"/>
  <c r="R6" i="23"/>
  <c r="P6" i="23"/>
  <c r="S6" i="23" s="1"/>
  <c r="J4" i="23"/>
  <c r="R16" i="23" l="1"/>
  <c r="S16" i="23"/>
  <c r="AD52" i="46"/>
  <c r="S26" i="23"/>
  <c r="Q13" i="23"/>
  <c r="Q14" i="23" s="1"/>
  <c r="AD54" i="46"/>
  <c r="O18" i="21"/>
  <c r="P18" i="21" s="1"/>
  <c r="S18" i="21" s="1"/>
  <c r="S28" i="23"/>
  <c r="R13" i="23"/>
  <c r="S7" i="23"/>
  <c r="S13" i="23" s="1"/>
  <c r="T48" i="46"/>
  <c r="T49" i="46"/>
  <c r="V52" i="46"/>
  <c r="U48" i="46"/>
  <c r="C48" i="46"/>
  <c r="C49" i="46"/>
  <c r="AD50" i="46"/>
  <c r="AD49" i="46"/>
  <c r="AD48" i="46"/>
  <c r="V53" i="46"/>
  <c r="J52" i="46"/>
  <c r="J48" i="46"/>
  <c r="V49" i="46"/>
  <c r="J53" i="46"/>
  <c r="K53" i="46"/>
  <c r="U53" i="46"/>
  <c r="T53" i="46"/>
  <c r="J49" i="46"/>
  <c r="K49" i="46"/>
  <c r="P49" i="46"/>
  <c r="K52" i="46"/>
  <c r="P52" i="46"/>
  <c r="C52" i="46"/>
  <c r="N20" i="48" s="1"/>
  <c r="T52" i="46"/>
  <c r="K48" i="46"/>
  <c r="V48" i="46"/>
  <c r="Q23" i="21"/>
  <c r="Q24" i="21" s="1"/>
  <c r="R7" i="21"/>
  <c r="R6" i="21"/>
  <c r="Q13" i="21"/>
  <c r="Q14" i="21" s="1"/>
  <c r="S7" i="21"/>
  <c r="S6" i="21"/>
  <c r="Y13" i="23"/>
  <c r="Y14" i="23" s="1"/>
  <c r="Z13" i="23"/>
  <c r="Z14" i="23" s="1"/>
  <c r="S27" i="23"/>
  <c r="Q33" i="23"/>
  <c r="Q34" i="23" s="1"/>
  <c r="R33" i="23"/>
  <c r="S17" i="23"/>
  <c r="S23" i="23" s="1"/>
  <c r="S24" i="23" s="1"/>
  <c r="R17" i="23"/>
  <c r="R23" i="23" s="1"/>
  <c r="R24" i="23" s="1"/>
  <c r="E26" i="47"/>
  <c r="G26" i="47" s="1"/>
  <c r="H26" i="47" s="1"/>
  <c r="O44" i="57" s="1"/>
  <c r="C44" i="57" l="1"/>
  <c r="U44" i="57"/>
  <c r="T44" i="57"/>
  <c r="P44" i="57"/>
  <c r="K44" i="57"/>
  <c r="AC44" i="57" s="1"/>
  <c r="V44" i="57"/>
  <c r="R18" i="21"/>
  <c r="S14" i="23"/>
  <c r="R34" i="23"/>
  <c r="R14" i="23"/>
  <c r="N19" i="48"/>
  <c r="S33" i="23"/>
  <c r="S34" i="23" s="1"/>
  <c r="O44" i="46"/>
  <c r="AC52" i="46"/>
  <c r="L20" i="48"/>
  <c r="AC48" i="46"/>
  <c r="L19" i="48"/>
  <c r="X52" i="46"/>
  <c r="X48" i="46"/>
  <c r="R17" i="21"/>
  <c r="S17" i="21"/>
  <c r="S23" i="21" s="1"/>
  <c r="S24" i="21" s="1"/>
  <c r="S13" i="21"/>
  <c r="S14" i="21" s="1"/>
  <c r="R13" i="21"/>
  <c r="R14" i="21" s="1"/>
  <c r="K4" i="54"/>
  <c r="K3" i="54"/>
  <c r="R23" i="21" l="1"/>
  <c r="R24" i="21" s="1"/>
  <c r="BA18" i="48"/>
  <c r="KV10" i="1" l="1"/>
  <c r="KV11" i="1"/>
  <c r="KV12" i="1"/>
  <c r="KV13" i="1"/>
  <c r="KV14" i="1"/>
  <c r="KV15" i="1"/>
  <c r="KV16" i="1"/>
  <c r="KV17" i="1"/>
  <c r="KV18" i="1"/>
  <c r="KW18" i="1" s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3" i="1"/>
  <c r="KV34" i="1"/>
  <c r="KV35" i="1"/>
  <c r="KV36" i="1"/>
  <c r="KV37" i="1"/>
  <c r="KV38" i="1"/>
  <c r="KV39" i="1"/>
  <c r="KV9" i="1"/>
  <c r="AU19" i="2" l="1"/>
  <c r="G19" i="2"/>
  <c r="N44" i="46" l="1"/>
  <c r="H44" i="46" s="1"/>
  <c r="C44" i="46"/>
  <c r="N18" i="48" s="1"/>
  <c r="AM44" i="46"/>
  <c r="AR44" i="46"/>
  <c r="BA44" i="46" s="1"/>
  <c r="AM45" i="46"/>
  <c r="AR45" i="46"/>
  <c r="BA45" i="46" s="1"/>
  <c r="AM46" i="46"/>
  <c r="AR46" i="46"/>
  <c r="BA46" i="46" s="1"/>
  <c r="F26" i="24"/>
  <c r="F7" i="24"/>
  <c r="I38" i="24"/>
  <c r="I26" i="47" s="1"/>
  <c r="G42" i="24"/>
  <c r="I37" i="24" s="1"/>
  <c r="F42" i="24"/>
  <c r="Q26" i="24"/>
  <c r="R26" i="24" s="1"/>
  <c r="O27" i="24"/>
  <c r="P27" i="24" s="1"/>
  <c r="P32" i="24"/>
  <c r="S31" i="24"/>
  <c r="R31" i="24"/>
  <c r="S30" i="24"/>
  <c r="R30" i="24"/>
  <c r="R29" i="24"/>
  <c r="P29" i="24"/>
  <c r="S29" i="24" s="1"/>
  <c r="R28" i="24"/>
  <c r="P28" i="24"/>
  <c r="S28" i="24" s="1"/>
  <c r="P26" i="24"/>
  <c r="P22" i="24"/>
  <c r="S21" i="24"/>
  <c r="R21" i="24"/>
  <c r="S20" i="24"/>
  <c r="R20" i="24"/>
  <c r="R19" i="24"/>
  <c r="P19" i="24"/>
  <c r="S19" i="24" s="1"/>
  <c r="R18" i="24"/>
  <c r="P18" i="24"/>
  <c r="S18" i="24" s="1"/>
  <c r="Q17" i="24"/>
  <c r="R17" i="24" s="1"/>
  <c r="P17" i="24"/>
  <c r="R16" i="24"/>
  <c r="P16" i="24"/>
  <c r="S16" i="24" s="1"/>
  <c r="P12" i="24"/>
  <c r="S11" i="24"/>
  <c r="R11" i="24"/>
  <c r="S10" i="24"/>
  <c r="R10" i="24"/>
  <c r="R9" i="24"/>
  <c r="P9" i="24"/>
  <c r="S9" i="24" s="1"/>
  <c r="R8" i="24"/>
  <c r="P8" i="24"/>
  <c r="S8" i="24" s="1"/>
  <c r="P7" i="24"/>
  <c r="Q7" i="24"/>
  <c r="R7" i="24" s="1"/>
  <c r="P6" i="24"/>
  <c r="J4" i="24"/>
  <c r="S17" i="24" l="1"/>
  <c r="S26" i="24"/>
  <c r="Q27" i="24"/>
  <c r="S27" i="24" s="1"/>
  <c r="S33" i="24" s="1"/>
  <c r="AD44" i="46"/>
  <c r="R23" i="24"/>
  <c r="R27" i="24"/>
  <c r="R33" i="24" s="1"/>
  <c r="Q23" i="24"/>
  <c r="Q24" i="24" s="1"/>
  <c r="Q33" i="24"/>
  <c r="Q34" i="24" s="1"/>
  <c r="AD46" i="46"/>
  <c r="J44" i="46"/>
  <c r="K44" i="46"/>
  <c r="L18" i="48" s="1"/>
  <c r="AD45" i="46"/>
  <c r="P44" i="46"/>
  <c r="V44" i="46"/>
  <c r="U44" i="46"/>
  <c r="T44" i="46"/>
  <c r="S23" i="24"/>
  <c r="S7" i="24"/>
  <c r="R6" i="24"/>
  <c r="R13" i="24" s="1"/>
  <c r="S6" i="24"/>
  <c r="S13" i="24" s="1"/>
  <c r="Q13" i="24"/>
  <c r="Q14" i="24" s="1"/>
  <c r="S34" i="24" l="1"/>
  <c r="R34" i="24"/>
  <c r="S24" i="24"/>
  <c r="R24" i="24"/>
  <c r="AC44" i="46"/>
  <c r="S14" i="24"/>
  <c r="R14" i="24"/>
  <c r="H4" i="54"/>
  <c r="H3" i="54"/>
  <c r="F4" i="54"/>
  <c r="F3" i="54"/>
  <c r="E4" i="54"/>
  <c r="E3" i="54"/>
  <c r="J4" i="54"/>
  <c r="J3" i="54"/>
  <c r="AU18" i="2" l="1"/>
  <c r="G18" i="2"/>
  <c r="C32" i="25" l="1"/>
  <c r="C23" i="25"/>
  <c r="C14" i="25"/>
  <c r="E24" i="47"/>
  <c r="G24" i="47" s="1"/>
  <c r="H24" i="47" s="1"/>
  <c r="O40" i="57" s="1"/>
  <c r="C40" i="57" l="1"/>
  <c r="V40" i="57"/>
  <c r="K40" i="57"/>
  <c r="AC40" i="57" s="1"/>
  <c r="T40" i="57"/>
  <c r="P40" i="57"/>
  <c r="U40" i="57"/>
  <c r="O40" i="46"/>
  <c r="BA17" i="48" l="1"/>
  <c r="AR42" i="46"/>
  <c r="BA42" i="46" s="1"/>
  <c r="AM42" i="46"/>
  <c r="AR41" i="46"/>
  <c r="BA41" i="46" s="1"/>
  <c r="AM41" i="46"/>
  <c r="AR40" i="46"/>
  <c r="BA40" i="46" s="1"/>
  <c r="AM40" i="46"/>
  <c r="U40" i="46"/>
  <c r="N40" i="46"/>
  <c r="V40" i="46" s="1"/>
  <c r="C40" i="46"/>
  <c r="N17" i="48" s="1"/>
  <c r="F26" i="25"/>
  <c r="F17" i="25"/>
  <c r="I38" i="25"/>
  <c r="I24" i="47" s="1"/>
  <c r="Q25" i="25"/>
  <c r="R25" i="25" s="1"/>
  <c r="P26" i="25"/>
  <c r="P25" i="25"/>
  <c r="P27" i="25"/>
  <c r="S27" i="25" s="1"/>
  <c r="R27" i="25"/>
  <c r="P28" i="25"/>
  <c r="S28" i="25" s="1"/>
  <c r="R28" i="25"/>
  <c r="R29" i="25"/>
  <c r="S29" i="25"/>
  <c r="R30" i="25"/>
  <c r="S30" i="25"/>
  <c r="P31" i="25"/>
  <c r="Q23" i="25"/>
  <c r="Q24" i="25" s="1"/>
  <c r="P22" i="25"/>
  <c r="S21" i="25"/>
  <c r="R21" i="25"/>
  <c r="S20" i="25"/>
  <c r="R20" i="25"/>
  <c r="R19" i="25"/>
  <c r="P19" i="25"/>
  <c r="S19" i="25" s="1"/>
  <c r="R18" i="25"/>
  <c r="P18" i="25"/>
  <c r="S18" i="25" s="1"/>
  <c r="R17" i="25"/>
  <c r="P17" i="25"/>
  <c r="S17" i="25" s="1"/>
  <c r="R16" i="25"/>
  <c r="P16" i="25"/>
  <c r="S16" i="25" s="1"/>
  <c r="P12" i="25"/>
  <c r="S11" i="25"/>
  <c r="R11" i="25"/>
  <c r="S10" i="25"/>
  <c r="R10" i="25"/>
  <c r="R9" i="25"/>
  <c r="P9" i="25"/>
  <c r="S9" i="25" s="1"/>
  <c r="R8" i="25"/>
  <c r="P8" i="25"/>
  <c r="S8" i="25" s="1"/>
  <c r="R7" i="25"/>
  <c r="P7" i="25"/>
  <c r="S7" i="25" s="1"/>
  <c r="P6" i="25"/>
  <c r="H40" i="46" l="1"/>
  <c r="K40" i="46" s="1"/>
  <c r="L17" i="48" s="1"/>
  <c r="S25" i="25"/>
  <c r="Q26" i="25"/>
  <c r="Q32" i="25"/>
  <c r="Q33" i="25" s="1"/>
  <c r="R23" i="25"/>
  <c r="R24" i="25" s="1"/>
  <c r="S23" i="25"/>
  <c r="S24" i="25" s="1"/>
  <c r="S32" i="25" s="1"/>
  <c r="S33" i="25" s="1"/>
  <c r="AD41" i="46"/>
  <c r="AD42" i="46"/>
  <c r="AD40" i="46"/>
  <c r="P40" i="46"/>
  <c r="T40" i="46"/>
  <c r="R26" i="25"/>
  <c r="S26" i="25"/>
  <c r="S6" i="25"/>
  <c r="S13" i="25" s="1"/>
  <c r="Q13" i="25"/>
  <c r="Q14" i="25" s="1"/>
  <c r="R6" i="25"/>
  <c r="R13" i="25" s="1"/>
  <c r="J4" i="25"/>
  <c r="AC40" i="46" l="1"/>
  <c r="J40" i="46"/>
  <c r="R32" i="25"/>
  <c r="R33" i="25" s="1"/>
  <c r="R14" i="25"/>
  <c r="S14" i="25"/>
  <c r="I4" i="54"/>
  <c r="I3" i="54"/>
  <c r="E22" i="47" l="1"/>
  <c r="G22" i="47" s="1"/>
  <c r="H22" i="47" s="1"/>
  <c r="O36" i="57" s="1"/>
  <c r="C36" i="57" l="1"/>
  <c r="K36" i="57"/>
  <c r="AC36" i="57" s="1"/>
  <c r="V36" i="57"/>
  <c r="P36" i="57"/>
  <c r="T36" i="57"/>
  <c r="U36" i="57"/>
  <c r="O36" i="46"/>
  <c r="AU17" i="2"/>
  <c r="BA16" i="48" l="1"/>
  <c r="AQ17" i="2"/>
  <c r="G17" i="2"/>
  <c r="F17" i="26" l="1"/>
  <c r="I38" i="26"/>
  <c r="I22" i="47" s="1"/>
  <c r="T36" i="46" l="1"/>
  <c r="N36" i="46"/>
  <c r="H36" i="46" s="1"/>
  <c r="AR38" i="46"/>
  <c r="BA38" i="46" s="1"/>
  <c r="AM38" i="46"/>
  <c r="AR37" i="46"/>
  <c r="BA37" i="46" s="1"/>
  <c r="AM37" i="46"/>
  <c r="AR36" i="46"/>
  <c r="BA36" i="46" s="1"/>
  <c r="AM36" i="46"/>
  <c r="J4" i="26"/>
  <c r="AD38" i="46" l="1"/>
  <c r="V36" i="46"/>
  <c r="AD37" i="46"/>
  <c r="AD36" i="46"/>
  <c r="K36" i="46"/>
  <c r="J36" i="46"/>
  <c r="P36" i="46"/>
  <c r="U36" i="46"/>
  <c r="C36" i="46"/>
  <c r="N16" i="48" s="1"/>
  <c r="L16" i="48" l="1"/>
  <c r="AC36" i="46"/>
  <c r="K9" i="28" l="1"/>
  <c r="W32" i="57" s="1"/>
  <c r="C8" i="28"/>
  <c r="K10" i="28" s="1"/>
  <c r="W33" i="57" s="1"/>
  <c r="F20" i="47"/>
  <c r="E20" i="47"/>
  <c r="E19" i="47"/>
  <c r="G19" i="47" s="1"/>
  <c r="H19" i="47" s="1"/>
  <c r="O32" i="57" s="1"/>
  <c r="AQ16" i="2"/>
  <c r="G16" i="2"/>
  <c r="C32" i="57" l="1"/>
  <c r="P32" i="57"/>
  <c r="T32" i="57"/>
  <c r="K32" i="57"/>
  <c r="AC32" i="57" s="1"/>
  <c r="U32" i="57"/>
  <c r="V32" i="57"/>
  <c r="O32" i="46"/>
  <c r="W33" i="46"/>
  <c r="W32" i="46"/>
  <c r="G20" i="47"/>
  <c r="H20" i="47" s="1"/>
  <c r="O33" i="57" s="1"/>
  <c r="N33" i="46"/>
  <c r="H33" i="46" s="1"/>
  <c r="AR34" i="46"/>
  <c r="BA34" i="46" s="1"/>
  <c r="AM34" i="46"/>
  <c r="AR33" i="46"/>
  <c r="BA33" i="46" s="1"/>
  <c r="AM33" i="46"/>
  <c r="AR32" i="46"/>
  <c r="BA32" i="46" s="1"/>
  <c r="AM32" i="46"/>
  <c r="N32" i="46"/>
  <c r="H32" i="46" s="1"/>
  <c r="G32" i="46"/>
  <c r="F26" i="28"/>
  <c r="F9" i="28"/>
  <c r="I38" i="28"/>
  <c r="I19" i="47" s="1"/>
  <c r="Q41" i="28"/>
  <c r="X16" i="28"/>
  <c r="W12" i="28"/>
  <c r="Z11" i="28"/>
  <c r="Y11" i="28"/>
  <c r="Z10" i="28"/>
  <c r="Y10" i="28"/>
  <c r="Y9" i="28"/>
  <c r="Z9" i="28"/>
  <c r="Y8" i="28"/>
  <c r="Z8" i="28"/>
  <c r="Z6" i="28"/>
  <c r="G42" i="28"/>
  <c r="I37" i="28" s="1"/>
  <c r="F42" i="28"/>
  <c r="R29" i="28"/>
  <c r="Q27" i="28"/>
  <c r="Q28" i="28" s="1"/>
  <c r="R28" i="28" s="1"/>
  <c r="P33" i="28"/>
  <c r="S32" i="28"/>
  <c r="R32" i="28"/>
  <c r="S31" i="28"/>
  <c r="R31" i="28"/>
  <c r="R30" i="28"/>
  <c r="P30" i="28"/>
  <c r="S30" i="28" s="1"/>
  <c r="P29" i="28"/>
  <c r="P28" i="28"/>
  <c r="P27" i="28"/>
  <c r="P23" i="28"/>
  <c r="S22" i="28"/>
  <c r="R22" i="28"/>
  <c r="S21" i="28"/>
  <c r="R21" i="28"/>
  <c r="R20" i="28"/>
  <c r="P20" i="28"/>
  <c r="S20" i="28" s="1"/>
  <c r="R19" i="28"/>
  <c r="P19" i="28"/>
  <c r="S19" i="28" s="1"/>
  <c r="Q18" i="28"/>
  <c r="R18" i="28" s="1"/>
  <c r="P18" i="28"/>
  <c r="R17" i="28"/>
  <c r="P17" i="28"/>
  <c r="S17" i="28" s="1"/>
  <c r="Q6" i="28"/>
  <c r="R6" i="28" s="1"/>
  <c r="P12" i="28"/>
  <c r="S11" i="28"/>
  <c r="R11" i="28"/>
  <c r="S10" i="28"/>
  <c r="R10" i="28"/>
  <c r="R9" i="28"/>
  <c r="P9" i="28"/>
  <c r="S9" i="28" s="1"/>
  <c r="R8" i="28"/>
  <c r="P8" i="28"/>
  <c r="S8" i="28" s="1"/>
  <c r="P7" i="28"/>
  <c r="P6" i="28"/>
  <c r="J4" i="28"/>
  <c r="C33" i="57" l="1"/>
  <c r="T33" i="57"/>
  <c r="K33" i="57"/>
  <c r="X32" i="57" s="1"/>
  <c r="U33" i="57"/>
  <c r="P33" i="57"/>
  <c r="V33" i="57"/>
  <c r="S27" i="28"/>
  <c r="R27" i="28"/>
  <c r="R34" i="28"/>
  <c r="K32" i="46"/>
  <c r="O33" i="46"/>
  <c r="C33" i="46" s="1"/>
  <c r="Q34" i="28"/>
  <c r="Q35" i="28" s="1"/>
  <c r="Q36" i="28" s="1"/>
  <c r="AD33" i="46"/>
  <c r="Q7" i="28"/>
  <c r="R7" i="28" s="1"/>
  <c r="R13" i="28" s="1"/>
  <c r="R24" i="28"/>
  <c r="AD34" i="46"/>
  <c r="AD32" i="46"/>
  <c r="J32" i="46"/>
  <c r="J33" i="46"/>
  <c r="U32" i="46"/>
  <c r="V32" i="46"/>
  <c r="T32" i="46"/>
  <c r="P32" i="46"/>
  <c r="C32" i="46"/>
  <c r="Y6" i="28"/>
  <c r="S29" i="28"/>
  <c r="S28" i="28"/>
  <c r="S18" i="28"/>
  <c r="Q24" i="28"/>
  <c r="Q25" i="28" s="1"/>
  <c r="Q26" i="28" s="1"/>
  <c r="S24" i="28"/>
  <c r="S25" i="28" s="1"/>
  <c r="S6" i="28"/>
  <c r="G4" i="54"/>
  <c r="G3" i="54"/>
  <c r="AC32" i="46" l="1"/>
  <c r="S34" i="28"/>
  <c r="Q13" i="28"/>
  <c r="Q14" i="28" s="1"/>
  <c r="Q15" i="28" s="1"/>
  <c r="S35" i="28"/>
  <c r="K33" i="46"/>
  <c r="X32" i="46" s="1"/>
  <c r="V33" i="46"/>
  <c r="U33" i="46"/>
  <c r="P33" i="46"/>
  <c r="S7" i="28"/>
  <c r="S13" i="28" s="1"/>
  <c r="N15" i="48"/>
  <c r="R25" i="28"/>
  <c r="R26" i="28" s="1"/>
  <c r="T33" i="46"/>
  <c r="R35" i="28"/>
  <c r="R36" i="28" s="1"/>
  <c r="Y7" i="28"/>
  <c r="Y16" i="28" s="1"/>
  <c r="Z7" i="28"/>
  <c r="Z16" i="28" s="1"/>
  <c r="S14" i="28" l="1"/>
  <c r="R14" i="28"/>
  <c r="R15" i="28" s="1"/>
  <c r="L15" i="48"/>
  <c r="BA15" i="48"/>
  <c r="Y17" i="28"/>
  <c r="Z17" i="28"/>
  <c r="J4" i="27"/>
  <c r="F17" i="47"/>
  <c r="E17" i="47"/>
  <c r="AQ15" i="2"/>
  <c r="AM11" i="2"/>
  <c r="G15" i="2"/>
  <c r="G17" i="47" l="1"/>
  <c r="H17" i="47" s="1"/>
  <c r="O28" i="57" s="1"/>
  <c r="O28" i="46"/>
  <c r="AR30" i="46"/>
  <c r="BA30" i="46" s="1"/>
  <c r="AM30" i="46"/>
  <c r="AR29" i="46"/>
  <c r="BA29" i="46" s="1"/>
  <c r="AM29" i="46"/>
  <c r="AR28" i="46"/>
  <c r="BA28" i="46" s="1"/>
  <c r="AM28" i="46"/>
  <c r="Z28" i="46"/>
  <c r="P28" i="46"/>
  <c r="N28" i="46"/>
  <c r="H28" i="46" s="1"/>
  <c r="G28" i="46"/>
  <c r="F26" i="27"/>
  <c r="F17" i="27"/>
  <c r="F9" i="27"/>
  <c r="I38" i="27"/>
  <c r="I17" i="47" s="1"/>
  <c r="O8" i="27"/>
  <c r="O9" i="27"/>
  <c r="O7" i="27"/>
  <c r="C28" i="57" l="1"/>
  <c r="K28" i="57"/>
  <c r="AC28" i="57" s="1"/>
  <c r="T28" i="57"/>
  <c r="P28" i="57"/>
  <c r="V28" i="57"/>
  <c r="U28" i="57"/>
  <c r="V28" i="46"/>
  <c r="BA14" i="48"/>
  <c r="AD30" i="46"/>
  <c r="AD29" i="46"/>
  <c r="AD28" i="46"/>
  <c r="K28" i="46"/>
  <c r="J28" i="46"/>
  <c r="T28" i="46"/>
  <c r="C28" i="46"/>
  <c r="N14" i="48" s="1"/>
  <c r="U28" i="46"/>
  <c r="L14" i="48" l="1"/>
  <c r="AC28" i="46"/>
  <c r="Y24" i="46" l="1"/>
  <c r="Z24" i="46"/>
  <c r="Z20" i="46"/>
  <c r="Z16" i="46"/>
  <c r="K9" i="30"/>
  <c r="W22" i="57" s="1"/>
  <c r="K7" i="30"/>
  <c r="W20" i="57" s="1"/>
  <c r="C16" i="30"/>
  <c r="C8" i="30"/>
  <c r="K8" i="30" s="1"/>
  <c r="W21" i="57" s="1"/>
  <c r="W21" i="46" l="1"/>
  <c r="W20" i="46"/>
  <c r="W22" i="46"/>
  <c r="G24" i="46" l="1"/>
  <c r="G22" i="46"/>
  <c r="F15" i="47"/>
  <c r="E15" i="47"/>
  <c r="F13" i="47"/>
  <c r="E13" i="47"/>
  <c r="G13" i="47" s="1"/>
  <c r="H13" i="47" s="1"/>
  <c r="O22" i="57" s="1"/>
  <c r="E12" i="47"/>
  <c r="G12" i="47" s="1"/>
  <c r="H12" i="47" s="1"/>
  <c r="O21" i="57" s="1"/>
  <c r="E11" i="47"/>
  <c r="G11" i="47" s="1"/>
  <c r="H11" i="47" s="1"/>
  <c r="O20" i="57" s="1"/>
  <c r="C21" i="57" l="1"/>
  <c r="U21" i="57"/>
  <c r="T21" i="57"/>
  <c r="P21" i="57"/>
  <c r="K21" i="57"/>
  <c r="V21" i="57"/>
  <c r="K20" i="57"/>
  <c r="X20" i="57" s="1"/>
  <c r="C20" i="57"/>
  <c r="T20" i="57"/>
  <c r="V20" i="57"/>
  <c r="U20" i="57"/>
  <c r="P20" i="57"/>
  <c r="C22" i="57"/>
  <c r="U22" i="57"/>
  <c r="K22" i="57"/>
  <c r="T22" i="57"/>
  <c r="P22" i="57"/>
  <c r="V22" i="57"/>
  <c r="O22" i="46"/>
  <c r="O20" i="46"/>
  <c r="O21" i="46"/>
  <c r="G15" i="47"/>
  <c r="H15" i="47" s="1"/>
  <c r="O24" i="57" s="1"/>
  <c r="AQ14" i="2"/>
  <c r="AQ13" i="2"/>
  <c r="G14" i="2"/>
  <c r="G13" i="2"/>
  <c r="C24" i="57" l="1"/>
  <c r="K24" i="57"/>
  <c r="V24" i="57"/>
  <c r="U24" i="57"/>
  <c r="P24" i="57"/>
  <c r="T24" i="57"/>
  <c r="AC24" i="57" s="1"/>
  <c r="AA20" i="57"/>
  <c r="AB20" i="57" s="1"/>
  <c r="AC20" i="57"/>
  <c r="BA12" i="48"/>
  <c r="O24" i="46"/>
  <c r="C24" i="46" l="1"/>
  <c r="N13" i="48" s="1"/>
  <c r="N24" i="46"/>
  <c r="H24" i="46" s="1"/>
  <c r="J24" i="46" s="1"/>
  <c r="AR26" i="46"/>
  <c r="BA26" i="46" s="1"/>
  <c r="AM26" i="46"/>
  <c r="AR25" i="46"/>
  <c r="BA25" i="46" s="1"/>
  <c r="AM25" i="46"/>
  <c r="AR24" i="46"/>
  <c r="BA24" i="46" s="1"/>
  <c r="AM24" i="46"/>
  <c r="S22" i="46"/>
  <c r="J21" i="46"/>
  <c r="N21" i="46"/>
  <c r="C21" i="46"/>
  <c r="N22" i="46"/>
  <c r="H22" i="46" s="1"/>
  <c r="J22" i="46" s="1"/>
  <c r="T22" i="46"/>
  <c r="AR22" i="46"/>
  <c r="BA22" i="46" s="1"/>
  <c r="AM22" i="46"/>
  <c r="AR21" i="46"/>
  <c r="BA21" i="46" s="1"/>
  <c r="AM21" i="46"/>
  <c r="AR20" i="46"/>
  <c r="BA20" i="46" s="1"/>
  <c r="AM20" i="46"/>
  <c r="AD20" i="46" s="1"/>
  <c r="C20" i="46"/>
  <c r="N20" i="46"/>
  <c r="J20" i="46"/>
  <c r="F9" i="30"/>
  <c r="I38" i="30"/>
  <c r="I11" i="47" s="1"/>
  <c r="Q41" i="30"/>
  <c r="W7" i="30"/>
  <c r="U7" i="30"/>
  <c r="V7" i="30" s="1"/>
  <c r="W6" i="30"/>
  <c r="X6" i="30" s="1"/>
  <c r="V6" i="30"/>
  <c r="V12" i="30"/>
  <c r="Y11" i="30"/>
  <c r="X11" i="30"/>
  <c r="Y10" i="30"/>
  <c r="X10" i="30"/>
  <c r="X9" i="30"/>
  <c r="V9" i="30"/>
  <c r="Y9" i="30" s="1"/>
  <c r="X8" i="30"/>
  <c r="Y8" i="30"/>
  <c r="Q26" i="30"/>
  <c r="R26" i="30" s="1"/>
  <c r="P26" i="30"/>
  <c r="S26" i="30" s="1"/>
  <c r="P32" i="30"/>
  <c r="S31" i="30"/>
  <c r="R31" i="30"/>
  <c r="S30" i="30"/>
  <c r="R30" i="30"/>
  <c r="R29" i="30"/>
  <c r="P29" i="30"/>
  <c r="S29" i="30" s="1"/>
  <c r="R28" i="30"/>
  <c r="P28" i="30"/>
  <c r="S28" i="30" s="1"/>
  <c r="R27" i="30"/>
  <c r="S27" i="30"/>
  <c r="Q17" i="30"/>
  <c r="Q23" i="30" s="1"/>
  <c r="Q24" i="30" s="1"/>
  <c r="P22" i="30"/>
  <c r="S21" i="30"/>
  <c r="R21" i="30"/>
  <c r="S20" i="30"/>
  <c r="R20" i="30"/>
  <c r="R19" i="30"/>
  <c r="P19" i="30"/>
  <c r="S19" i="30" s="1"/>
  <c r="R18" i="30"/>
  <c r="P18" i="30"/>
  <c r="S18" i="30" s="1"/>
  <c r="P17" i="30"/>
  <c r="R16" i="30"/>
  <c r="P16" i="30"/>
  <c r="S16" i="30" s="1"/>
  <c r="Q8" i="30"/>
  <c r="Q7" i="30"/>
  <c r="R7" i="30" s="1"/>
  <c r="Q6" i="30"/>
  <c r="R6" i="30" s="1"/>
  <c r="O8" i="30"/>
  <c r="P8" i="30" s="1"/>
  <c r="P12" i="30"/>
  <c r="S11" i="30"/>
  <c r="R11" i="30"/>
  <c r="S10" i="30"/>
  <c r="R10" i="30"/>
  <c r="R9" i="30"/>
  <c r="P9" i="30"/>
  <c r="S9" i="30" s="1"/>
  <c r="P7" i="30"/>
  <c r="P6" i="30"/>
  <c r="F9" i="29"/>
  <c r="I43" i="29"/>
  <c r="I38" i="29"/>
  <c r="I15" i="47" s="1"/>
  <c r="P8" i="29"/>
  <c r="S8" i="29" s="1"/>
  <c r="P9" i="29"/>
  <c r="Q14" i="29"/>
  <c r="Q15" i="29" s="1"/>
  <c r="P13" i="29"/>
  <c r="S12" i="29"/>
  <c r="R12" i="29"/>
  <c r="S11" i="29"/>
  <c r="R11" i="29"/>
  <c r="R10" i="29"/>
  <c r="P10" i="29"/>
  <c r="S10" i="29" s="1"/>
  <c r="R9" i="29"/>
  <c r="S9" i="29"/>
  <c r="R8" i="29"/>
  <c r="R7" i="29"/>
  <c r="P7" i="29"/>
  <c r="S7" i="29" s="1"/>
  <c r="S6" i="30" l="1"/>
  <c r="R8" i="30"/>
  <c r="R14" i="29"/>
  <c r="R15" i="29" s="1"/>
  <c r="BA13" i="48"/>
  <c r="S17" i="30"/>
  <c r="S23" i="30" s="1"/>
  <c r="S24" i="30" s="1"/>
  <c r="R17" i="30"/>
  <c r="R23" i="30" s="1"/>
  <c r="R24" i="30" s="1"/>
  <c r="X7" i="30"/>
  <c r="X13" i="30" s="1"/>
  <c r="K20" i="46"/>
  <c r="P22" i="46"/>
  <c r="V21" i="46"/>
  <c r="K24" i="46"/>
  <c r="V24" i="46"/>
  <c r="R33" i="30"/>
  <c r="U24" i="46"/>
  <c r="P24" i="46"/>
  <c r="Y6" i="30"/>
  <c r="Y13" i="30" s="1"/>
  <c r="U21" i="46"/>
  <c r="Y7" i="30"/>
  <c r="AD22" i="46"/>
  <c r="T21" i="46"/>
  <c r="AD26" i="46"/>
  <c r="AD25" i="46"/>
  <c r="AD24" i="46"/>
  <c r="T24" i="46"/>
  <c r="AD21" i="46"/>
  <c r="V22" i="46"/>
  <c r="P21" i="46"/>
  <c r="K22" i="46"/>
  <c r="C22" i="46"/>
  <c r="N12" i="48" s="1"/>
  <c r="K21" i="46"/>
  <c r="U22" i="46"/>
  <c r="P20" i="46"/>
  <c r="T20" i="46"/>
  <c r="U20" i="46"/>
  <c r="V20" i="46"/>
  <c r="W13" i="30"/>
  <c r="W14" i="30" s="1"/>
  <c r="Q33" i="30"/>
  <c r="Q34" i="30" s="1"/>
  <c r="S33" i="30"/>
  <c r="S8" i="30"/>
  <c r="S7" i="30"/>
  <c r="S13" i="30" s="1"/>
  <c r="S14" i="30" s="1"/>
  <c r="R13" i="30"/>
  <c r="Q13" i="30"/>
  <c r="Q14" i="30" s="1"/>
  <c r="S14" i="29"/>
  <c r="S15" i="29" s="1"/>
  <c r="B4" i="54"/>
  <c r="B3" i="54"/>
  <c r="C4" i="54"/>
  <c r="C3" i="54"/>
  <c r="L13" i="48" l="1"/>
  <c r="AC24" i="46"/>
  <c r="AA20" i="46"/>
  <c r="AC20" i="46"/>
  <c r="X20" i="46"/>
  <c r="L12" i="48"/>
  <c r="S34" i="30"/>
  <c r="Y14" i="30"/>
  <c r="X14" i="30"/>
  <c r="R34" i="30"/>
  <c r="R14" i="30"/>
  <c r="AQ12" i="2"/>
  <c r="G12" i="2"/>
  <c r="AB20" i="46" l="1"/>
  <c r="D4" i="54"/>
  <c r="D3" i="54"/>
  <c r="E9" i="47"/>
  <c r="G9" i="47" l="1"/>
  <c r="H9" i="47" s="1"/>
  <c r="O16" i="57" s="1"/>
  <c r="C16" i="57" l="1"/>
  <c r="K16" i="57"/>
  <c r="U16" i="57"/>
  <c r="T16" i="57"/>
  <c r="P16" i="57"/>
  <c r="V16" i="57"/>
  <c r="O16" i="46"/>
  <c r="F9" i="31"/>
  <c r="I38" i="31"/>
  <c r="I9" i="47" s="1"/>
  <c r="AC16" i="57" l="1"/>
  <c r="BA11" i="48"/>
  <c r="AR18" i="46"/>
  <c r="BA18" i="46" s="1"/>
  <c r="AM18" i="46"/>
  <c r="AR17" i="46"/>
  <c r="BA17" i="46" s="1"/>
  <c r="AM17" i="46"/>
  <c r="AR16" i="46"/>
  <c r="BA16" i="46" s="1"/>
  <c r="AM16" i="46"/>
  <c r="C16" i="46"/>
  <c r="N11" i="48" s="1"/>
  <c r="N16" i="46"/>
  <c r="K16" i="46" s="1"/>
  <c r="J16" i="46"/>
  <c r="P33" i="31"/>
  <c r="S32" i="31"/>
  <c r="R32" i="31"/>
  <c r="S31" i="31"/>
  <c r="R31" i="31"/>
  <c r="R30" i="31"/>
  <c r="P30" i="31"/>
  <c r="S30" i="31" s="1"/>
  <c r="R29" i="31"/>
  <c r="P29" i="31"/>
  <c r="S29" i="31" s="1"/>
  <c r="Q28" i="31"/>
  <c r="R28" i="31" s="1"/>
  <c r="P28" i="31"/>
  <c r="S28" i="31" s="1"/>
  <c r="R27" i="31"/>
  <c r="P27" i="31"/>
  <c r="S27" i="31" s="1"/>
  <c r="P23" i="31"/>
  <c r="S22" i="31"/>
  <c r="R22" i="31"/>
  <c r="S21" i="31"/>
  <c r="R21" i="31"/>
  <c r="R20" i="31"/>
  <c r="P20" i="31"/>
  <c r="S20" i="31" s="1"/>
  <c r="R19" i="31"/>
  <c r="P19" i="31"/>
  <c r="S19" i="31" s="1"/>
  <c r="P18" i="31"/>
  <c r="Q18" i="31"/>
  <c r="R18" i="31" s="1"/>
  <c r="P17" i="31"/>
  <c r="S17" i="31" s="1"/>
  <c r="Q7" i="31"/>
  <c r="Q8" i="31" s="1"/>
  <c r="R34" i="31" l="1"/>
  <c r="L11" i="48"/>
  <c r="Q34" i="31"/>
  <c r="Q35" i="31" s="1"/>
  <c r="AD18" i="46"/>
  <c r="AD17" i="46"/>
  <c r="AD16" i="46"/>
  <c r="T16" i="46"/>
  <c r="AC16" i="46" s="1"/>
  <c r="P16" i="46"/>
  <c r="U16" i="46"/>
  <c r="V16" i="46"/>
  <c r="S34" i="31"/>
  <c r="S18" i="31"/>
  <c r="S24" i="31" s="1"/>
  <c r="Q24" i="31"/>
  <c r="Q25" i="31" s="1"/>
  <c r="R17" i="31"/>
  <c r="R24" i="31" s="1"/>
  <c r="R25" i="31" s="1"/>
  <c r="S35" i="31" l="1"/>
  <c r="S25" i="31"/>
  <c r="R35" i="31"/>
  <c r="P13" i="31" l="1"/>
  <c r="S12" i="31"/>
  <c r="R12" i="31"/>
  <c r="S11" i="31"/>
  <c r="R11" i="31"/>
  <c r="R10" i="31"/>
  <c r="P10" i="31"/>
  <c r="S10" i="31" s="1"/>
  <c r="S9" i="31"/>
  <c r="R9" i="31"/>
  <c r="P9" i="31"/>
  <c r="R8" i="31"/>
  <c r="P8" i="31"/>
  <c r="S8" i="31" s="1"/>
  <c r="R7" i="31"/>
  <c r="P7" i="31"/>
  <c r="S7" i="31" s="1"/>
  <c r="R14" i="31" l="1"/>
  <c r="S14" i="31"/>
  <c r="Q14" i="31"/>
  <c r="Q15" i="31" s="1"/>
  <c r="R15" i="31" l="1"/>
  <c r="S15" i="31"/>
  <c r="F7" i="47" l="1"/>
  <c r="F6" i="47"/>
  <c r="E7" i="47"/>
  <c r="G7" i="47" s="1"/>
  <c r="E6" i="47"/>
  <c r="G6" i="47" s="1"/>
  <c r="H6" i="47" l="1"/>
  <c r="O12" i="57" s="1"/>
  <c r="AQ11" i="2"/>
  <c r="G11" i="2"/>
  <c r="C12" i="57" l="1"/>
  <c r="K12" i="57"/>
  <c r="P12" i="57"/>
  <c r="U12" i="57"/>
  <c r="T12" i="57"/>
  <c r="V12" i="57"/>
  <c r="O12" i="46"/>
  <c r="I38" i="32"/>
  <c r="I6" i="47" s="1"/>
  <c r="AC12" i="57" l="1"/>
  <c r="BA10" i="48"/>
  <c r="AR14" i="46"/>
  <c r="BA14" i="46" s="1"/>
  <c r="AM14" i="46"/>
  <c r="AR13" i="46"/>
  <c r="BA13" i="46" s="1"/>
  <c r="AM13" i="46"/>
  <c r="AR12" i="46"/>
  <c r="BA12" i="46" s="1"/>
  <c r="AM12" i="46"/>
  <c r="Z12" i="46"/>
  <c r="C12" i="46"/>
  <c r="N10" i="48" s="1"/>
  <c r="N12" i="46"/>
  <c r="J12" i="46"/>
  <c r="G42" i="32"/>
  <c r="I37" i="32" s="1"/>
  <c r="F42" i="32"/>
  <c r="Q27" i="32"/>
  <c r="Q33" i="32" s="1"/>
  <c r="Q34" i="32" s="1"/>
  <c r="P32" i="32"/>
  <c r="S31" i="32"/>
  <c r="R31" i="32"/>
  <c r="S30" i="32"/>
  <c r="R30" i="32"/>
  <c r="R29" i="32"/>
  <c r="P29" i="32"/>
  <c r="S29" i="32" s="1"/>
  <c r="R28" i="32"/>
  <c r="P28" i="32"/>
  <c r="S28" i="32" s="1"/>
  <c r="P27" i="32"/>
  <c r="R26" i="32"/>
  <c r="P26" i="32"/>
  <c r="S26" i="32" s="1"/>
  <c r="P22" i="32"/>
  <c r="S21" i="32"/>
  <c r="R21" i="32"/>
  <c r="S20" i="32"/>
  <c r="R20" i="32"/>
  <c r="R19" i="32"/>
  <c r="P19" i="32"/>
  <c r="S19" i="32" s="1"/>
  <c r="R18" i="32"/>
  <c r="P18" i="32"/>
  <c r="S18" i="32" s="1"/>
  <c r="Q23" i="32"/>
  <c r="Q24" i="32" s="1"/>
  <c r="P17" i="32"/>
  <c r="S17" i="32" s="1"/>
  <c r="R16" i="32"/>
  <c r="P16" i="32"/>
  <c r="S16" i="32" s="1"/>
  <c r="Q9" i="32"/>
  <c r="Q8" i="32"/>
  <c r="R8" i="32" s="1"/>
  <c r="Q7" i="32"/>
  <c r="R7" i="32" s="1"/>
  <c r="P7" i="32"/>
  <c r="P8" i="32"/>
  <c r="S8" i="32" s="1"/>
  <c r="P9" i="32"/>
  <c r="P12" i="32"/>
  <c r="S11" i="32"/>
  <c r="R11" i="32"/>
  <c r="S10" i="32"/>
  <c r="R10" i="32"/>
  <c r="R6" i="32"/>
  <c r="P6" i="32"/>
  <c r="S6" i="32" s="1"/>
  <c r="AD12" i="46" l="1"/>
  <c r="AD13" i="46"/>
  <c r="S9" i="32"/>
  <c r="K12" i="46"/>
  <c r="AD14" i="46"/>
  <c r="P12" i="46"/>
  <c r="T12" i="46"/>
  <c r="U12" i="46"/>
  <c r="V12" i="46"/>
  <c r="R27" i="32"/>
  <c r="R33" i="32" s="1"/>
  <c r="R34" i="32" s="1"/>
  <c r="S27" i="32"/>
  <c r="S33" i="32" s="1"/>
  <c r="S34" i="32" s="1"/>
  <c r="S23" i="32"/>
  <c r="S24" i="32" s="1"/>
  <c r="R17" i="32"/>
  <c r="R23" i="32" s="1"/>
  <c r="R24" i="32" s="1"/>
  <c r="R9" i="32"/>
  <c r="R13" i="32" s="1"/>
  <c r="Q13" i="32"/>
  <c r="Q14" i="32" s="1"/>
  <c r="S7" i="32"/>
  <c r="S13" i="32" l="1"/>
  <c r="S14" i="32" s="1"/>
  <c r="L10" i="48"/>
  <c r="R14" i="32"/>
  <c r="AC12" i="46"/>
  <c r="AQ10" i="2"/>
  <c r="G10" i="2" l="1"/>
  <c r="E4" i="47" l="1"/>
  <c r="I38" i="33" l="1"/>
  <c r="I4" i="47" s="1"/>
  <c r="AP10" i="46" l="1"/>
  <c r="AR10" i="46" s="1"/>
  <c r="BA10" i="46" s="1"/>
  <c r="AU9" i="46"/>
  <c r="AM10" i="46"/>
  <c r="AM9" i="46"/>
  <c r="AR9" i="46"/>
  <c r="BA9" i="46" s="1"/>
  <c r="N38" i="33"/>
  <c r="G42" i="33"/>
  <c r="I37" i="33" s="1"/>
  <c r="F42" i="33"/>
  <c r="Q23" i="33"/>
  <c r="R23" i="33" s="1"/>
  <c r="P24" i="33"/>
  <c r="P29" i="33"/>
  <c r="S28" i="33"/>
  <c r="R28" i="33"/>
  <c r="S27" i="33"/>
  <c r="R27" i="33"/>
  <c r="S26" i="33"/>
  <c r="R26" i="33"/>
  <c r="R25" i="33"/>
  <c r="P25" i="33"/>
  <c r="S25" i="33" s="1"/>
  <c r="R24" i="33"/>
  <c r="P23" i="33"/>
  <c r="Q7" i="33"/>
  <c r="P6" i="33"/>
  <c r="P8" i="33"/>
  <c r="O7" i="33"/>
  <c r="P7" i="33" s="1"/>
  <c r="AD10" i="46" l="1"/>
  <c r="AD9" i="46"/>
  <c r="Q30" i="33"/>
  <c r="Q31" i="33" s="1"/>
  <c r="S23" i="33"/>
  <c r="R30" i="33"/>
  <c r="R31" i="33" s="1"/>
  <c r="S24" i="33"/>
  <c r="S30" i="33" s="1"/>
  <c r="S31" i="33" s="1"/>
  <c r="Q13" i="33"/>
  <c r="Q14" i="33" s="1"/>
  <c r="P12" i="33"/>
  <c r="S11" i="33"/>
  <c r="R11" i="33"/>
  <c r="S10" i="33"/>
  <c r="R10" i="33"/>
  <c r="S9" i="33"/>
  <c r="R9" i="33"/>
  <c r="R8" i="33"/>
  <c r="S8" i="33"/>
  <c r="R7" i="33"/>
  <c r="S7" i="33"/>
  <c r="R6" i="33"/>
  <c r="S6" i="33"/>
  <c r="R13" i="33" l="1"/>
  <c r="R14" i="33" s="1"/>
  <c r="S13" i="33"/>
  <c r="S14" i="33" s="1"/>
  <c r="A9" i="1" l="1"/>
  <c r="A6" i="46"/>
  <c r="N6" i="46"/>
  <c r="J6" i="46"/>
  <c r="BF189" i="46" l="1"/>
  <c r="BE189" i="46"/>
  <c r="BD189" i="46"/>
  <c r="BC189" i="46"/>
  <c r="BB189" i="46"/>
  <c r="BF167" i="57"/>
  <c r="BE167" i="57"/>
  <c r="BD167" i="57"/>
  <c r="B1" i="47" l="1"/>
  <c r="A8" i="45"/>
  <c r="F42" i="29" l="1"/>
  <c r="G42" i="29"/>
  <c r="I37" i="29" s="1"/>
  <c r="F32" i="27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E34" i="31" s="1"/>
  <c r="D14" i="31"/>
  <c r="C14" i="31"/>
  <c r="C34" i="27" l="1"/>
  <c r="K9" i="27" s="1"/>
  <c r="W28" i="57" s="1"/>
  <c r="D34" i="27"/>
  <c r="C34" i="30"/>
  <c r="E33" i="29"/>
  <c r="E33" i="27"/>
  <c r="D33" i="31"/>
  <c r="D33" i="30"/>
  <c r="D24" i="30"/>
  <c r="D34" i="29"/>
  <c r="C24" i="31"/>
  <c r="C33" i="30"/>
  <c r="D33" i="27"/>
  <c r="E34" i="27"/>
  <c r="C34" i="31"/>
  <c r="K7" i="31" s="1"/>
  <c r="W16" i="57" s="1"/>
  <c r="F34" i="27"/>
  <c r="F34" i="31"/>
  <c r="D34" i="31"/>
  <c r="C34" i="29"/>
  <c r="K9" i="29" s="1"/>
  <c r="W24" i="57" s="1"/>
  <c r="C33" i="29"/>
  <c r="D24" i="27"/>
  <c r="D33" i="29"/>
  <c r="Z32" i="57" s="1"/>
  <c r="AA32" i="57" s="1"/>
  <c r="AB32" i="57" s="1"/>
  <c r="E24" i="30"/>
  <c r="E33" i="31"/>
  <c r="D24" i="31"/>
  <c r="D34" i="30"/>
  <c r="F34" i="29"/>
  <c r="C33" i="27"/>
  <c r="E24" i="31"/>
  <c r="E34" i="30"/>
  <c r="E33" i="30"/>
  <c r="F34" i="30"/>
  <c r="E24" i="27"/>
  <c r="C33" i="31"/>
  <c r="C24" i="29"/>
  <c r="C24" i="27"/>
  <c r="C15" i="27"/>
  <c r="D15" i="27"/>
  <c r="E15" i="27"/>
  <c r="D24" i="29"/>
  <c r="D15" i="29"/>
  <c r="E24" i="29"/>
  <c r="C15" i="29"/>
  <c r="E15" i="29"/>
  <c r="C24" i="30"/>
  <c r="C15" i="30"/>
  <c r="D15" i="30"/>
  <c r="E15" i="30"/>
  <c r="C15" i="31"/>
  <c r="D15" i="31"/>
  <c r="E15" i="31"/>
  <c r="X16" i="57" l="1"/>
  <c r="AA16" i="57"/>
  <c r="AB16" i="57" s="1"/>
  <c r="X24" i="57"/>
  <c r="AA24" i="57"/>
  <c r="AB24" i="57" s="1"/>
  <c r="X28" i="57"/>
  <c r="AA28" i="57"/>
  <c r="AB28" i="57" s="1"/>
  <c r="Z32" i="46"/>
  <c r="W24" i="46"/>
  <c r="W28" i="46"/>
  <c r="W16" i="46"/>
  <c r="X28" i="46" l="1"/>
  <c r="X24" i="46"/>
  <c r="AA24" i="46"/>
  <c r="AB24" i="46" s="1"/>
  <c r="X16" i="46"/>
  <c r="AA16" i="46"/>
  <c r="AB16" i="46" s="1"/>
  <c r="R16" i="29"/>
  <c r="Q16" i="29"/>
  <c r="G42" i="30" l="1"/>
  <c r="I37" i="30" s="1"/>
  <c r="F42" i="30"/>
  <c r="AM40" i="2" l="1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0" i="2"/>
  <c r="C39" i="1" l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CC41" i="1"/>
  <c r="BZ41" i="1"/>
  <c r="BW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J41" i="1"/>
  <c r="AG41" i="1"/>
  <c r="AD41" i="1"/>
  <c r="AA41" i="1"/>
  <c r="X41" i="1"/>
  <c r="U41" i="1"/>
  <c r="W41" i="1" s="1"/>
  <c r="R41" i="1"/>
  <c r="T41" i="1" s="1"/>
  <c r="O41" i="1"/>
  <c r="Q41" i="1" s="1"/>
  <c r="L41" i="1"/>
  <c r="I41" i="1"/>
  <c r="K41" i="1" s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X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KA11" i="1"/>
  <c r="JZ11" i="1"/>
  <c r="JW11" i="1"/>
  <c r="JT11" i="1"/>
  <c r="JQ11" i="1"/>
  <c r="JO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D10" i="1"/>
  <c r="KC10" i="1"/>
  <c r="KA10" i="1"/>
  <c r="JZ10" i="1"/>
  <c r="JW10" i="1"/>
  <c r="JT10" i="1"/>
  <c r="JQ10" i="1"/>
  <c r="JO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M9" i="1"/>
  <c r="KL9" i="1"/>
  <c r="KJ9" i="1"/>
  <c r="KI9" i="1"/>
  <c r="KF9" i="1"/>
  <c r="KC9" i="1"/>
  <c r="KA9" i="1"/>
  <c r="JZ9" i="1"/>
  <c r="JX9" i="1"/>
  <c r="JW9" i="1"/>
  <c r="JT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M11" i="1"/>
  <c r="KJ12" i="1"/>
  <c r="KD12" i="1"/>
  <c r="JR9" i="1"/>
  <c r="JO12" i="1"/>
  <c r="JL11" i="1"/>
  <c r="M40" i="55"/>
  <c r="D40" i="55"/>
  <c r="M39" i="55"/>
  <c r="D39" i="55"/>
  <c r="M38" i="55"/>
  <c r="D38" i="55"/>
  <c r="M37" i="55"/>
  <c r="D37" i="55"/>
  <c r="M36" i="55"/>
  <c r="D36" i="55"/>
  <c r="M35" i="55"/>
  <c r="D35" i="55"/>
  <c r="M34" i="55"/>
  <c r="D34" i="55"/>
  <c r="M33" i="55"/>
  <c r="D33" i="55"/>
  <c r="M32" i="55"/>
  <c r="D32" i="55"/>
  <c r="M31" i="55"/>
  <c r="D31" i="55"/>
  <c r="M30" i="55"/>
  <c r="D30" i="55"/>
  <c r="M29" i="55"/>
  <c r="D29" i="55"/>
  <c r="M28" i="55"/>
  <c r="D28" i="55"/>
  <c r="M27" i="55"/>
  <c r="D27" i="55"/>
  <c r="M26" i="55"/>
  <c r="D26" i="55"/>
  <c r="M25" i="55"/>
  <c r="D25" i="55"/>
  <c r="M24" i="55"/>
  <c r="D24" i="55"/>
  <c r="M23" i="55"/>
  <c r="D23" i="55"/>
  <c r="M22" i="55"/>
  <c r="D22" i="55"/>
  <c r="M21" i="55"/>
  <c r="D21" i="55"/>
  <c r="M20" i="55"/>
  <c r="D20" i="55"/>
  <c r="M19" i="55"/>
  <c r="D19" i="55"/>
  <c r="M18" i="55"/>
  <c r="D18" i="55"/>
  <c r="M17" i="55"/>
  <c r="D17" i="55"/>
  <c r="M11" i="55"/>
  <c r="D11" i="55"/>
  <c r="M10" i="55"/>
  <c r="D10" i="55"/>
  <c r="M9" i="55"/>
  <c r="D9" i="55"/>
  <c r="M8" i="55"/>
  <c r="D8" i="55"/>
  <c r="M7" i="55"/>
  <c r="D7" i="55"/>
  <c r="M6" i="55"/>
  <c r="D6" i="55"/>
  <c r="M5" i="55"/>
  <c r="D5" i="55"/>
  <c r="M4" i="55"/>
  <c r="D4" i="55"/>
  <c r="E3" i="55"/>
  <c r="F3" i="55" s="1"/>
  <c r="G3" i="55" s="1"/>
  <c r="H3" i="55" s="1"/>
  <c r="M3" i="55" s="1"/>
  <c r="N3" i="55" s="1"/>
  <c r="O3" i="55" s="1"/>
  <c r="P3" i="55" s="1"/>
  <c r="Q3" i="55" s="1"/>
  <c r="DH41" i="1" l="1"/>
  <c r="EG41" i="1"/>
  <c r="FE41" i="1"/>
  <c r="GC41" i="1"/>
  <c r="HA41" i="1"/>
  <c r="HY41" i="1"/>
  <c r="IW41" i="1"/>
  <c r="EJ41" i="1"/>
  <c r="P41" i="1"/>
  <c r="KV41" i="1"/>
  <c r="KF41" i="1"/>
  <c r="M41" i="1"/>
  <c r="KT38" i="1"/>
  <c r="KT13" i="1"/>
  <c r="N41" i="1"/>
  <c r="AI41" i="1"/>
  <c r="BG41" i="1"/>
  <c r="CE41" i="1"/>
  <c r="DC41" i="1"/>
  <c r="EA41" i="1"/>
  <c r="EY41" i="1"/>
  <c r="FW41" i="1"/>
  <c r="GU41" i="1"/>
  <c r="HS41" i="1"/>
  <c r="IQ41" i="1"/>
  <c r="KT17" i="1"/>
  <c r="KT10" i="1"/>
  <c r="KT14" i="1"/>
  <c r="KT9" i="1"/>
  <c r="KT16" i="1"/>
  <c r="KT11" i="1"/>
  <c r="KT22" i="1"/>
  <c r="KT12" i="1"/>
  <c r="KT19" i="1"/>
  <c r="KT27" i="1"/>
  <c r="KT18" i="1"/>
  <c r="KT15" i="1"/>
  <c r="KT20" i="1"/>
  <c r="KT24" i="1"/>
  <c r="KT28" i="1"/>
  <c r="KT21" i="1"/>
  <c r="KT26" i="1"/>
  <c r="KT25" i="1"/>
  <c r="KT23" i="1"/>
  <c r="AL41" i="1"/>
  <c r="BJ41" i="1"/>
  <c r="CH41" i="1"/>
  <c r="DF41" i="1"/>
  <c r="ED41" i="1"/>
  <c r="FB41" i="1"/>
  <c r="FZ41" i="1"/>
  <c r="GX41" i="1"/>
  <c r="HV41" i="1"/>
  <c r="IT41" i="1"/>
  <c r="CM41" i="1"/>
  <c r="DK41" i="1"/>
  <c r="EI41" i="1"/>
  <c r="V41" i="1"/>
  <c r="AU41" i="1"/>
  <c r="BS41" i="1"/>
  <c r="CQ41" i="1"/>
  <c r="DO41" i="1"/>
  <c r="EM41" i="1"/>
  <c r="FK41" i="1"/>
  <c r="ID41" i="1"/>
  <c r="JB41" i="1"/>
  <c r="JZ41" i="1"/>
  <c r="KT39" i="1"/>
  <c r="Z41" i="1"/>
  <c r="AX41" i="1"/>
  <c r="BV41" i="1"/>
  <c r="CT41" i="1"/>
  <c r="DR41" i="1"/>
  <c r="EP41" i="1"/>
  <c r="FN41" i="1"/>
  <c r="GL41" i="1"/>
  <c r="HJ41" i="1"/>
  <c r="IH41" i="1"/>
  <c r="JF41" i="1"/>
  <c r="KT36" i="1"/>
  <c r="AB41" i="1"/>
  <c r="AZ41" i="1"/>
  <c r="BY41" i="1"/>
  <c r="CW41" i="1"/>
  <c r="DU41" i="1"/>
  <c r="ES41" i="1"/>
  <c r="FP41" i="1"/>
  <c r="GO41" i="1"/>
  <c r="HM41" i="1"/>
  <c r="AF41" i="1"/>
  <c r="BD41" i="1"/>
  <c r="CB41" i="1"/>
  <c r="CZ41" i="1"/>
  <c r="DX41" i="1"/>
  <c r="EV41" i="1"/>
  <c r="FT41" i="1"/>
  <c r="GR41" i="1"/>
  <c r="HP41" i="1"/>
  <c r="IN41" i="1"/>
  <c r="KP39" i="1"/>
  <c r="KP38" i="1"/>
  <c r="KP37" i="1"/>
  <c r="KP36" i="1"/>
  <c r="KP32" i="1"/>
  <c r="KP34" i="1"/>
  <c r="KP33" i="1"/>
  <c r="KP30" i="1"/>
  <c r="KP28" i="1"/>
  <c r="KP27" i="1"/>
  <c r="KP26" i="1"/>
  <c r="KP35" i="1"/>
  <c r="KP31" i="1"/>
  <c r="KP25" i="1"/>
  <c r="KP24" i="1"/>
  <c r="KP23" i="1"/>
  <c r="KP22" i="1"/>
  <c r="KP21" i="1"/>
  <c r="KP20" i="1"/>
  <c r="KP19" i="1"/>
  <c r="KP18" i="1"/>
  <c r="KP17" i="1"/>
  <c r="KP16" i="1"/>
  <c r="KP15" i="1"/>
  <c r="KP14" i="1"/>
  <c r="KP13" i="1"/>
  <c r="KP29" i="1"/>
  <c r="JR11" i="1"/>
  <c r="KP10" i="1"/>
  <c r="JL12" i="1"/>
  <c r="KP12" i="1"/>
  <c r="KS39" i="1"/>
  <c r="KS38" i="1"/>
  <c r="KS37" i="1"/>
  <c r="KS36" i="1"/>
  <c r="KS35" i="1"/>
  <c r="KS34" i="1"/>
  <c r="KS33" i="1"/>
  <c r="KS32" i="1"/>
  <c r="KS30" i="1"/>
  <c r="KS31" i="1"/>
  <c r="KS29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28" i="1"/>
  <c r="KS26" i="1"/>
  <c r="KS27" i="1"/>
  <c r="JU39" i="1"/>
  <c r="JU38" i="1"/>
  <c r="JU37" i="1"/>
  <c r="JU35" i="1"/>
  <c r="JU34" i="1"/>
  <c r="JU33" i="1"/>
  <c r="JU32" i="1"/>
  <c r="JU36" i="1"/>
  <c r="JU30" i="1"/>
  <c r="JU29" i="1"/>
  <c r="JU31" i="1"/>
  <c r="JU26" i="1"/>
  <c r="JU25" i="1"/>
  <c r="JU24" i="1"/>
  <c r="JU23" i="1"/>
  <c r="JU22" i="1"/>
  <c r="JU21" i="1"/>
  <c r="JU20" i="1"/>
  <c r="JU19" i="1"/>
  <c r="JU18" i="1"/>
  <c r="JU17" i="1"/>
  <c r="JU16" i="1"/>
  <c r="JU15" i="1"/>
  <c r="JU14" i="1"/>
  <c r="JU13" i="1"/>
  <c r="JU12" i="1"/>
  <c r="JU11" i="1"/>
  <c r="JU10" i="1"/>
  <c r="JU27" i="1"/>
  <c r="JU28" i="1"/>
  <c r="JX41" i="1"/>
  <c r="JX39" i="1"/>
  <c r="JX38" i="1"/>
  <c r="JX37" i="1"/>
  <c r="JX36" i="1"/>
  <c r="JX35" i="1"/>
  <c r="JX34" i="1"/>
  <c r="JX33" i="1"/>
  <c r="JX32" i="1"/>
  <c r="JX31" i="1"/>
  <c r="JX28" i="1"/>
  <c r="JX27" i="1"/>
  <c r="JX26" i="1"/>
  <c r="JX30" i="1"/>
  <c r="JX29" i="1"/>
  <c r="JX25" i="1"/>
  <c r="JX24" i="1"/>
  <c r="JX23" i="1"/>
  <c r="JX22" i="1"/>
  <c r="JX21" i="1"/>
  <c r="JX20" i="1"/>
  <c r="JX19" i="1"/>
  <c r="JX18" i="1"/>
  <c r="JX17" i="1"/>
  <c r="JX16" i="1"/>
  <c r="JX15" i="1"/>
  <c r="JX14" i="1"/>
  <c r="JX13" i="1"/>
  <c r="KJ11" i="1"/>
  <c r="KA41" i="1"/>
  <c r="KA39" i="1"/>
  <c r="KA38" i="1"/>
  <c r="KA37" i="1"/>
  <c r="KA36" i="1"/>
  <c r="KA35" i="1"/>
  <c r="KA34" i="1"/>
  <c r="KA33" i="1"/>
  <c r="KA32" i="1"/>
  <c r="KA31" i="1"/>
  <c r="KA30" i="1"/>
  <c r="KA29" i="1"/>
  <c r="KA28" i="1"/>
  <c r="KA25" i="1"/>
  <c r="KA24" i="1"/>
  <c r="KA23" i="1"/>
  <c r="KA22" i="1"/>
  <c r="KA21" i="1"/>
  <c r="KA20" i="1"/>
  <c r="KA19" i="1"/>
  <c r="KA18" i="1"/>
  <c r="KA17" i="1"/>
  <c r="KA16" i="1"/>
  <c r="KA15" i="1"/>
  <c r="KA14" i="1"/>
  <c r="KA13" i="1"/>
  <c r="KA12" i="1"/>
  <c r="KA26" i="1"/>
  <c r="KA27" i="1"/>
  <c r="JR10" i="1"/>
  <c r="JX11" i="1"/>
  <c r="KD39" i="1"/>
  <c r="KD38" i="1"/>
  <c r="KD37" i="1"/>
  <c r="KD36" i="1"/>
  <c r="KD35" i="1"/>
  <c r="KD33" i="1"/>
  <c r="KD31" i="1"/>
  <c r="KD28" i="1"/>
  <c r="KD27" i="1"/>
  <c r="KD26" i="1"/>
  <c r="KD32" i="1"/>
  <c r="KD34" i="1"/>
  <c r="KD29" i="1"/>
  <c r="KD25" i="1"/>
  <c r="KD24" i="1"/>
  <c r="KD23" i="1"/>
  <c r="KD22" i="1"/>
  <c r="KD21" i="1"/>
  <c r="KD20" i="1"/>
  <c r="KD19" i="1"/>
  <c r="KD18" i="1"/>
  <c r="KD17" i="1"/>
  <c r="KD16" i="1"/>
  <c r="KD15" i="1"/>
  <c r="KD14" i="1"/>
  <c r="KD13" i="1"/>
  <c r="KD30" i="1"/>
  <c r="KD9" i="1"/>
  <c r="KP9" i="1"/>
  <c r="JR39" i="1"/>
  <c r="JR38" i="1"/>
  <c r="JR37" i="1"/>
  <c r="JR36" i="1"/>
  <c r="JR35" i="1"/>
  <c r="JR31" i="1"/>
  <c r="JR34" i="1"/>
  <c r="JR30" i="1"/>
  <c r="JR33" i="1"/>
  <c r="JR32" i="1"/>
  <c r="JR28" i="1"/>
  <c r="JR27" i="1"/>
  <c r="JR26" i="1"/>
  <c r="JR29" i="1"/>
  <c r="JR25" i="1"/>
  <c r="JR24" i="1"/>
  <c r="JR23" i="1"/>
  <c r="JR22" i="1"/>
  <c r="JR21" i="1"/>
  <c r="JR20" i="1"/>
  <c r="JR19" i="1"/>
  <c r="JR18" i="1"/>
  <c r="JR17" i="1"/>
  <c r="JR16" i="1"/>
  <c r="JR15" i="1"/>
  <c r="JR14" i="1"/>
  <c r="JR13" i="1"/>
  <c r="KJ10" i="1"/>
  <c r="JR12" i="1"/>
  <c r="KG39" i="1"/>
  <c r="KG38" i="1"/>
  <c r="KG37" i="1"/>
  <c r="KG41" i="1"/>
  <c r="KG35" i="1"/>
  <c r="KG34" i="1"/>
  <c r="KG33" i="1"/>
  <c r="KG32" i="1"/>
  <c r="KG36" i="1"/>
  <c r="KG30" i="1"/>
  <c r="KG29" i="1"/>
  <c r="KG25" i="1"/>
  <c r="KG24" i="1"/>
  <c r="KG23" i="1"/>
  <c r="KG22" i="1"/>
  <c r="KG21" i="1"/>
  <c r="KG20" i="1"/>
  <c r="KG19" i="1"/>
  <c r="KG18" i="1"/>
  <c r="KG17" i="1"/>
  <c r="KG16" i="1"/>
  <c r="KG15" i="1"/>
  <c r="KG14" i="1"/>
  <c r="KG13" i="1"/>
  <c r="KG12" i="1"/>
  <c r="KG11" i="1"/>
  <c r="KG10" i="1"/>
  <c r="KG26" i="1"/>
  <c r="KG27" i="1"/>
  <c r="KG31" i="1"/>
  <c r="KG28" i="1"/>
  <c r="JL39" i="1"/>
  <c r="JL38" i="1"/>
  <c r="JL37" i="1"/>
  <c r="JL36" i="1"/>
  <c r="JL35" i="1"/>
  <c r="JL34" i="1"/>
  <c r="JL33" i="1"/>
  <c r="JL32" i="1"/>
  <c r="JL28" i="1"/>
  <c r="JL27" i="1"/>
  <c r="JL26" i="1"/>
  <c r="JL30" i="1"/>
  <c r="JL31" i="1"/>
  <c r="JL29" i="1"/>
  <c r="JL25" i="1"/>
  <c r="JL24" i="1"/>
  <c r="JL23" i="1"/>
  <c r="JL22" i="1"/>
  <c r="JL21" i="1"/>
  <c r="JL20" i="1"/>
  <c r="JL19" i="1"/>
  <c r="JL18" i="1"/>
  <c r="JL17" i="1"/>
  <c r="JL16" i="1"/>
  <c r="JL15" i="1"/>
  <c r="JL14" i="1"/>
  <c r="JL13" i="1"/>
  <c r="JU9" i="1"/>
  <c r="KP11" i="1"/>
  <c r="KJ39" i="1"/>
  <c r="KJ38" i="1"/>
  <c r="KJ37" i="1"/>
  <c r="KJ36" i="1"/>
  <c r="KJ35" i="1"/>
  <c r="KJ34" i="1"/>
  <c r="KJ33" i="1"/>
  <c r="KJ32" i="1"/>
  <c r="KJ31" i="1"/>
  <c r="KJ28" i="1"/>
  <c r="KJ27" i="1"/>
  <c r="KJ26" i="1"/>
  <c r="KJ30" i="1"/>
  <c r="KJ25" i="1"/>
  <c r="KJ24" i="1"/>
  <c r="KJ23" i="1"/>
  <c r="KJ22" i="1"/>
  <c r="KJ21" i="1"/>
  <c r="KJ20" i="1"/>
  <c r="KJ19" i="1"/>
  <c r="KJ18" i="1"/>
  <c r="KJ17" i="1"/>
  <c r="KJ16" i="1"/>
  <c r="KJ15" i="1"/>
  <c r="KJ14" i="1"/>
  <c r="KJ13" i="1"/>
  <c r="KJ29" i="1"/>
  <c r="KG9" i="1"/>
  <c r="JX10" i="1"/>
  <c r="JO39" i="1"/>
  <c r="JO38" i="1"/>
  <c r="JO37" i="1"/>
  <c r="JO36" i="1"/>
  <c r="JO35" i="1"/>
  <c r="JO34" i="1"/>
  <c r="JO33" i="1"/>
  <c r="JO32" i="1"/>
  <c r="JO31" i="1"/>
  <c r="JO30" i="1"/>
  <c r="JO29" i="1"/>
  <c r="JO28" i="1"/>
  <c r="JO26" i="1"/>
  <c r="JO25" i="1"/>
  <c r="JO24" i="1"/>
  <c r="JO23" i="1"/>
  <c r="JO22" i="1"/>
  <c r="JO21" i="1"/>
  <c r="JO20" i="1"/>
  <c r="JO19" i="1"/>
  <c r="JO18" i="1"/>
  <c r="JO17" i="1"/>
  <c r="JO16" i="1"/>
  <c r="JO15" i="1"/>
  <c r="JO14" i="1"/>
  <c r="JO13" i="1"/>
  <c r="JO27" i="1"/>
  <c r="KM39" i="1"/>
  <c r="KM38" i="1"/>
  <c r="KM37" i="1"/>
  <c r="KM36" i="1"/>
  <c r="KM35" i="1"/>
  <c r="KM34" i="1"/>
  <c r="KM33" i="1"/>
  <c r="KM32" i="1"/>
  <c r="KM31" i="1"/>
  <c r="KM30" i="1"/>
  <c r="KM29" i="1"/>
  <c r="KM27" i="1"/>
  <c r="KM28" i="1"/>
  <c r="KM25" i="1"/>
  <c r="KM24" i="1"/>
  <c r="KM23" i="1"/>
  <c r="KM22" i="1"/>
  <c r="KM21" i="1"/>
  <c r="KM20" i="1"/>
  <c r="KM19" i="1"/>
  <c r="KM18" i="1"/>
  <c r="KM17" i="1"/>
  <c r="KM16" i="1"/>
  <c r="KM15" i="1"/>
  <c r="KM14" i="1"/>
  <c r="KM13" i="1"/>
  <c r="KM12" i="1"/>
  <c r="KM26" i="1"/>
  <c r="JL10" i="1"/>
  <c r="KM10" i="1"/>
  <c r="KD11" i="1"/>
  <c r="KT32" i="1"/>
  <c r="KT31" i="1"/>
  <c r="KT29" i="1"/>
  <c r="KT30" i="1"/>
  <c r="KT35" i="1"/>
  <c r="KT33" i="1"/>
  <c r="KT34" i="1"/>
  <c r="KD41" i="1"/>
  <c r="JL41" i="1"/>
  <c r="KJ41" i="1"/>
  <c r="JO41" i="1"/>
  <c r="KM41" i="1"/>
  <c r="KT37" i="1"/>
  <c r="JR41" i="1"/>
  <c r="KP41" i="1"/>
  <c r="JU41" i="1"/>
  <c r="KS41" i="1"/>
  <c r="AC41" i="1"/>
  <c r="AK41" i="1"/>
  <c r="BA41" i="1"/>
  <c r="BI41" i="1"/>
  <c r="CG41" i="1"/>
  <c r="DE41" i="1"/>
  <c r="EC41" i="1"/>
  <c r="FA41" i="1"/>
  <c r="FQ41" i="1"/>
  <c r="FY41" i="1"/>
  <c r="GW41" i="1"/>
  <c r="HU41" i="1"/>
  <c r="IK41" i="1"/>
  <c r="IS41" i="1"/>
  <c r="JI41" i="1"/>
  <c r="JQ41" i="1"/>
  <c r="KO41" i="1"/>
  <c r="AT41" i="1"/>
  <c r="BR41" i="1"/>
  <c r="CP41" i="1"/>
  <c r="DN41" i="1"/>
  <c r="EL41" i="1"/>
  <c r="FJ41" i="1"/>
  <c r="GH41" i="1"/>
  <c r="HF41" i="1"/>
  <c r="G41" i="1"/>
  <c r="AE41" i="1"/>
  <c r="BC41" i="1"/>
  <c r="CA41" i="1"/>
  <c r="CY41" i="1"/>
  <c r="DW41" i="1"/>
  <c r="EU41" i="1"/>
  <c r="FS41" i="1"/>
  <c r="GI41" i="1"/>
  <c r="GQ41" i="1"/>
  <c r="HG41" i="1"/>
  <c r="HO41" i="1"/>
  <c r="IE41" i="1"/>
  <c r="IM41" i="1"/>
  <c r="JC41" i="1"/>
  <c r="JK41" i="1"/>
  <c r="KI41" i="1"/>
  <c r="H41" i="1"/>
  <c r="AN41" i="1"/>
  <c r="BL41" i="1"/>
  <c r="CJ41" i="1"/>
  <c r="EF41" i="1"/>
  <c r="FD41" i="1"/>
  <c r="GB41" i="1"/>
  <c r="GZ41" i="1"/>
  <c r="HX41" i="1"/>
  <c r="IV41" i="1"/>
  <c r="JT41" i="1"/>
  <c r="KR41" i="1"/>
  <c r="Y41" i="1"/>
  <c r="AO41" i="1"/>
  <c r="AW41" i="1"/>
  <c r="BM41" i="1"/>
  <c r="BU41" i="1"/>
  <c r="CK41" i="1"/>
  <c r="CS41" i="1"/>
  <c r="DI41" i="1"/>
  <c r="DQ41" i="1"/>
  <c r="EO41" i="1"/>
  <c r="FM41" i="1"/>
  <c r="GK41" i="1"/>
  <c r="HI41" i="1"/>
  <c r="IG41" i="1"/>
  <c r="JE41" i="1"/>
  <c r="KC41" i="1"/>
  <c r="J41" i="1"/>
  <c r="AH41" i="1"/>
  <c r="BF41" i="1"/>
  <c r="CD41" i="1"/>
  <c r="DB41" i="1"/>
  <c r="DZ41" i="1"/>
  <c r="EX41" i="1"/>
  <c r="FV41" i="1"/>
  <c r="GT41" i="1"/>
  <c r="HR41" i="1"/>
  <c r="IP41" i="1"/>
  <c r="JN41" i="1"/>
  <c r="KL41" i="1"/>
  <c r="S41" i="1"/>
  <c r="AQ41" i="1"/>
  <c r="BO41" i="1"/>
  <c r="FG41" i="1"/>
  <c r="GE41" i="1"/>
  <c r="HC41" i="1"/>
  <c r="IA41" i="1"/>
  <c r="IY41" i="1"/>
  <c r="JW41" i="1"/>
  <c r="AR41" i="1"/>
  <c r="BP41" i="1"/>
  <c r="BX41" i="1"/>
  <c r="CN41" i="1"/>
  <c r="CV41" i="1"/>
  <c r="DL41" i="1"/>
  <c r="DT41" i="1"/>
  <c r="ER41" i="1"/>
  <c r="FH41" i="1"/>
  <c r="GF41" i="1"/>
  <c r="GN41" i="1"/>
  <c r="HD41" i="1"/>
  <c r="HL41" i="1"/>
  <c r="IB41" i="1"/>
  <c r="IJ41" i="1"/>
  <c r="IZ41" i="1"/>
  <c r="JH41" i="1"/>
  <c r="M41" i="55"/>
  <c r="D41" i="55"/>
  <c r="KU36" i="1" l="1"/>
  <c r="KU15" i="1"/>
  <c r="KU35" i="1"/>
  <c r="KU14" i="1"/>
  <c r="KU31" i="1"/>
  <c r="KU39" i="1"/>
  <c r="KU13" i="1"/>
  <c r="KU21" i="1"/>
  <c r="KU26" i="1"/>
  <c r="KU37" i="1"/>
  <c r="KU38" i="1"/>
  <c r="KU10" i="1"/>
  <c r="KU27" i="1"/>
  <c r="KU33" i="1"/>
  <c r="KU32" i="1"/>
  <c r="KU16" i="1"/>
  <c r="KU34" i="1"/>
  <c r="KU28" i="1"/>
  <c r="KU23" i="1"/>
  <c r="KU22" i="1"/>
  <c r="KU24" i="1"/>
  <c r="KU30" i="1"/>
  <c r="KU17" i="1"/>
  <c r="KU25" i="1"/>
  <c r="KU18" i="1"/>
  <c r="KU12" i="1"/>
  <c r="KU19" i="1"/>
  <c r="KU9" i="1"/>
  <c r="KU20" i="1"/>
  <c r="KU29" i="1"/>
  <c r="KU11" i="1"/>
  <c r="KU41" i="1"/>
  <c r="KT41" i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42" i="10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E32" i="11"/>
  <c r="D32" i="11"/>
  <c r="C32" i="11"/>
  <c r="F23" i="11"/>
  <c r="E23" i="11"/>
  <c r="D23" i="11"/>
  <c r="D24" i="11" s="1"/>
  <c r="C23" i="11"/>
  <c r="F14" i="11"/>
  <c r="E14" i="1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E34" i="18" s="1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F23" i="25"/>
  <c r="E23" i="25"/>
  <c r="D23" i="25"/>
  <c r="F14" i="25"/>
  <c r="E14" i="25"/>
  <c r="D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C14" i="28"/>
  <c r="F32" i="32"/>
  <c r="E32" i="32"/>
  <c r="D32" i="32"/>
  <c r="C32" i="32"/>
  <c r="F23" i="32"/>
  <c r="E23" i="32"/>
  <c r="D23" i="32"/>
  <c r="C23" i="32"/>
  <c r="F14" i="32"/>
  <c r="E14" i="32"/>
  <c r="D14" i="32"/>
  <c r="C14" i="3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Y106" i="57" l="1"/>
  <c r="Z106" i="57"/>
  <c r="AA106" i="57" s="1"/>
  <c r="AB106" i="57" s="1"/>
  <c r="Z106" i="46"/>
  <c r="Y106" i="46"/>
  <c r="F34" i="8"/>
  <c r="F34" i="12"/>
  <c r="F34" i="14"/>
  <c r="C24" i="25"/>
  <c r="C15" i="25"/>
  <c r="E34" i="14"/>
  <c r="D34" i="8"/>
  <c r="D34" i="20"/>
  <c r="D34" i="14"/>
  <c r="D34" i="12"/>
  <c r="D34" i="10"/>
  <c r="C34" i="8"/>
  <c r="E34" i="10"/>
  <c r="D34" i="24"/>
  <c r="D34" i="21"/>
  <c r="C33" i="23"/>
  <c r="C33" i="22"/>
  <c r="C24" i="20"/>
  <c r="C33" i="17"/>
  <c r="C33" i="15"/>
  <c r="C24" i="14"/>
  <c r="C33" i="11"/>
  <c r="D33" i="9"/>
  <c r="D15" i="16"/>
  <c r="D33" i="17"/>
  <c r="D33" i="15"/>
  <c r="D24" i="14"/>
  <c r="E24" i="16"/>
  <c r="C34" i="18"/>
  <c r="C15" i="16"/>
  <c r="C34" i="14"/>
  <c r="C33" i="6"/>
  <c r="D34" i="25"/>
  <c r="D34" i="23"/>
  <c r="D34" i="22"/>
  <c r="F34" i="28"/>
  <c r="F34" i="11"/>
  <c r="E15" i="12"/>
  <c r="C15" i="23"/>
  <c r="C34" i="22"/>
  <c r="K10" i="22" s="1"/>
  <c r="W56" i="57" s="1"/>
  <c r="F34" i="18"/>
  <c r="C15" i="11"/>
  <c r="E34" i="28"/>
  <c r="E15" i="25"/>
  <c r="E15" i="23"/>
  <c r="E34" i="22"/>
  <c r="D34" i="19"/>
  <c r="D24" i="18"/>
  <c r="Z77" i="57" s="1"/>
  <c r="D24" i="12"/>
  <c r="E33" i="13"/>
  <c r="D33" i="7"/>
  <c r="C24" i="28"/>
  <c r="E33" i="26"/>
  <c r="E33" i="24"/>
  <c r="C24" i="23"/>
  <c r="C33" i="21"/>
  <c r="C24" i="22"/>
  <c r="E33" i="20"/>
  <c r="D33" i="26"/>
  <c r="D33" i="24"/>
  <c r="D24" i="23"/>
  <c r="D33" i="20"/>
  <c r="C15" i="12"/>
  <c r="C15" i="19"/>
  <c r="C33" i="19"/>
  <c r="C24" i="12"/>
  <c r="E33" i="25"/>
  <c r="D34" i="11"/>
  <c r="F34" i="25"/>
  <c r="F34" i="23"/>
  <c r="F34" i="22"/>
  <c r="E24" i="18"/>
  <c r="E24" i="12"/>
  <c r="E34" i="11"/>
  <c r="C33" i="9"/>
  <c r="C34" i="6"/>
  <c r="C34" i="37"/>
  <c r="D33" i="28"/>
  <c r="C34" i="24"/>
  <c r="K10" i="24" s="1"/>
  <c r="W44" i="57" s="1"/>
  <c r="F34" i="17"/>
  <c r="F34" i="13"/>
  <c r="D34" i="9"/>
  <c r="C33" i="16"/>
  <c r="C33" i="12"/>
  <c r="E33" i="9"/>
  <c r="D24" i="19"/>
  <c r="D34" i="18"/>
  <c r="C24" i="11"/>
  <c r="D33" i="10"/>
  <c r="F34" i="9"/>
  <c r="F34" i="7"/>
  <c r="C34" i="32"/>
  <c r="E33" i="32"/>
  <c r="D24" i="20"/>
  <c r="D33" i="16"/>
  <c r="D33" i="14"/>
  <c r="D24" i="13"/>
  <c r="D15" i="11"/>
  <c r="E24" i="21"/>
  <c r="E15" i="15"/>
  <c r="E33" i="11"/>
  <c r="E24" i="37"/>
  <c r="E34" i="19"/>
  <c r="E34" i="9"/>
  <c r="C34" i="21"/>
  <c r="C15" i="20"/>
  <c r="C34" i="15"/>
  <c r="C34" i="11"/>
  <c r="C33" i="37"/>
  <c r="C24" i="26"/>
  <c r="C33" i="26"/>
  <c r="D33" i="21"/>
  <c r="D15" i="20"/>
  <c r="D34" i="16"/>
  <c r="E15" i="9"/>
  <c r="E24" i="8"/>
  <c r="C24" i="19"/>
  <c r="E24" i="14"/>
  <c r="C24" i="9"/>
  <c r="D35" i="30"/>
  <c r="C24" i="17"/>
  <c r="E24" i="11"/>
  <c r="C33" i="8"/>
  <c r="E33" i="6"/>
  <c r="E34" i="32"/>
  <c r="F34" i="32"/>
  <c r="E24" i="26"/>
  <c r="E24" i="28"/>
  <c r="E34" i="25"/>
  <c r="E34" i="21"/>
  <c r="E24" i="17"/>
  <c r="E24" i="32"/>
  <c r="D24" i="25"/>
  <c r="D33" i="23"/>
  <c r="F34" i="21"/>
  <c r="D33" i="19"/>
  <c r="E34" i="16"/>
  <c r="D24" i="16"/>
  <c r="D34" i="15"/>
  <c r="C15" i="13"/>
  <c r="E15" i="11"/>
  <c r="D33" i="11"/>
  <c r="D24" i="9"/>
  <c r="E24" i="6"/>
  <c r="D15" i="37"/>
  <c r="E33" i="18"/>
  <c r="E24" i="13"/>
  <c r="D33" i="12"/>
  <c r="D34" i="7"/>
  <c r="E33" i="12"/>
  <c r="C15" i="28"/>
  <c r="C33" i="28"/>
  <c r="E34" i="26"/>
  <c r="D24" i="26"/>
  <c r="E24" i="25"/>
  <c r="D15" i="24"/>
  <c r="E34" i="23"/>
  <c r="D15" i="21"/>
  <c r="E15" i="20"/>
  <c r="E15" i="19"/>
  <c r="E34" i="15"/>
  <c r="E33" i="15"/>
  <c r="D34" i="13"/>
  <c r="C34" i="12"/>
  <c r="C34" i="10"/>
  <c r="E24" i="9"/>
  <c r="C24" i="7"/>
  <c r="C34" i="7"/>
  <c r="K14" i="7" s="1"/>
  <c r="W121" i="57" s="1"/>
  <c r="E34" i="37"/>
  <c r="D33" i="37"/>
  <c r="C34" i="26"/>
  <c r="K10" i="26" s="1"/>
  <c r="W36" i="57" s="1"/>
  <c r="D34" i="28"/>
  <c r="F34" i="26"/>
  <c r="E34" i="24"/>
  <c r="E15" i="21"/>
  <c r="F34" i="20"/>
  <c r="D34" i="17"/>
  <c r="F34" i="15"/>
  <c r="E34" i="13"/>
  <c r="C34" i="9"/>
  <c r="E34" i="8"/>
  <c r="E33" i="8"/>
  <c r="F34" i="37"/>
  <c r="E33" i="37"/>
  <c r="D24" i="28"/>
  <c r="E33" i="14"/>
  <c r="D34" i="26"/>
  <c r="D34" i="32"/>
  <c r="E15" i="28"/>
  <c r="E33" i="28"/>
  <c r="C15" i="26"/>
  <c r="C34" i="25"/>
  <c r="K10" i="25" s="1"/>
  <c r="W40" i="57" s="1"/>
  <c r="C33" i="25"/>
  <c r="F34" i="24"/>
  <c r="E33" i="23"/>
  <c r="C24" i="21"/>
  <c r="E34" i="17"/>
  <c r="D24" i="15"/>
  <c r="C24" i="10"/>
  <c r="D15" i="9"/>
  <c r="E34" i="7"/>
  <c r="D34" i="6"/>
  <c r="Z127" i="57" s="1"/>
  <c r="AA126" i="57" s="1"/>
  <c r="AB126" i="57" s="1"/>
  <c r="E15" i="37"/>
  <c r="E24" i="24"/>
  <c r="D33" i="22"/>
  <c r="F34" i="19"/>
  <c r="F34" i="16"/>
  <c r="E15" i="32"/>
  <c r="D15" i="26"/>
  <c r="D33" i="25"/>
  <c r="D24" i="24"/>
  <c r="C33" i="24"/>
  <c r="C34" i="23"/>
  <c r="C34" i="19"/>
  <c r="C24" i="16"/>
  <c r="C33" i="14"/>
  <c r="C24" i="13"/>
  <c r="E34" i="6"/>
  <c r="C24" i="37"/>
  <c r="D34" i="37"/>
  <c r="E15" i="8"/>
  <c r="C33" i="7"/>
  <c r="F34" i="6"/>
  <c r="D24" i="37"/>
  <c r="C15" i="37"/>
  <c r="D24" i="6"/>
  <c r="C24" i="6"/>
  <c r="D33" i="6"/>
  <c r="C15" i="6"/>
  <c r="D15" i="6"/>
  <c r="E15" i="6"/>
  <c r="C15" i="7"/>
  <c r="D24" i="7"/>
  <c r="E33" i="7"/>
  <c r="D15" i="7"/>
  <c r="E24" i="7"/>
  <c r="E15" i="7"/>
  <c r="C15" i="8"/>
  <c r="D24" i="8"/>
  <c r="C24" i="8"/>
  <c r="D33" i="8"/>
  <c r="D15" i="8"/>
  <c r="C15" i="9"/>
  <c r="C15" i="10"/>
  <c r="D24" i="10"/>
  <c r="E33" i="10"/>
  <c r="D15" i="10"/>
  <c r="E24" i="10"/>
  <c r="E15" i="10"/>
  <c r="C33" i="10"/>
  <c r="D15" i="12"/>
  <c r="E34" i="12"/>
  <c r="C33" i="13"/>
  <c r="D33" i="13"/>
  <c r="D15" i="13"/>
  <c r="C34" i="13"/>
  <c r="E15" i="13"/>
  <c r="C15" i="14"/>
  <c r="D15" i="14"/>
  <c r="E15" i="14"/>
  <c r="C15" i="15"/>
  <c r="C24" i="15"/>
  <c r="D15" i="15"/>
  <c r="E24" i="15"/>
  <c r="E33" i="16"/>
  <c r="C34" i="16"/>
  <c r="E15" i="16"/>
  <c r="C15" i="17"/>
  <c r="D24" i="17"/>
  <c r="E33" i="17"/>
  <c r="D15" i="17"/>
  <c r="C34" i="17"/>
  <c r="E15" i="17"/>
  <c r="C33" i="18"/>
  <c r="C24" i="18"/>
  <c r="D33" i="18"/>
  <c r="Z78" i="57" s="1"/>
  <c r="C15" i="18"/>
  <c r="D15" i="18"/>
  <c r="E15" i="18"/>
  <c r="E33" i="19"/>
  <c r="D15" i="19"/>
  <c r="E24" i="19"/>
  <c r="C33" i="20"/>
  <c r="E24" i="20"/>
  <c r="C34" i="20"/>
  <c r="K10" i="20" s="1"/>
  <c r="W60" i="57" s="1"/>
  <c r="E34" i="20"/>
  <c r="C15" i="22"/>
  <c r="D24" i="22"/>
  <c r="E33" i="22"/>
  <c r="D15" i="22"/>
  <c r="E24" i="22"/>
  <c r="E15" i="22"/>
  <c r="C15" i="21"/>
  <c r="D24" i="21"/>
  <c r="E33" i="21"/>
  <c r="D15" i="23"/>
  <c r="E24" i="23"/>
  <c r="C24" i="24"/>
  <c r="C15" i="24"/>
  <c r="E15" i="24"/>
  <c r="D15" i="25"/>
  <c r="E15" i="26"/>
  <c r="D15" i="28"/>
  <c r="C34" i="28"/>
  <c r="E35" i="30"/>
  <c r="C35" i="30"/>
  <c r="C33" i="32"/>
  <c r="C24" i="32"/>
  <c r="D33" i="32"/>
  <c r="C15" i="32"/>
  <c r="D24" i="32"/>
  <c r="D15" i="32"/>
  <c r="X36" i="57" l="1"/>
  <c r="X40" i="57"/>
  <c r="AA40" i="57"/>
  <c r="AB40" i="57" s="1"/>
  <c r="X121" i="57"/>
  <c r="AA77" i="57"/>
  <c r="AB77" i="57" s="1"/>
  <c r="X56" i="57"/>
  <c r="X44" i="57"/>
  <c r="X60" i="57"/>
  <c r="AA60" i="57"/>
  <c r="AB60" i="57" s="1"/>
  <c r="Z78" i="46"/>
  <c r="Z127" i="46"/>
  <c r="AA126" i="46" s="1"/>
  <c r="AB126" i="46" s="1"/>
  <c r="W121" i="46"/>
  <c r="Z77" i="46"/>
  <c r="AA106" i="46"/>
  <c r="AB106" i="46" s="1"/>
  <c r="E35" i="8"/>
  <c r="W56" i="46"/>
  <c r="D35" i="14"/>
  <c r="W60" i="46"/>
  <c r="W40" i="46"/>
  <c r="W44" i="46"/>
  <c r="W36" i="46"/>
  <c r="D35" i="10"/>
  <c r="E35" i="22"/>
  <c r="E35" i="24"/>
  <c r="D35" i="24"/>
  <c r="E35" i="18"/>
  <c r="C35" i="24"/>
  <c r="D35" i="22"/>
  <c r="C35" i="8"/>
  <c r="D35" i="7"/>
  <c r="C35" i="22"/>
  <c r="E35" i="21"/>
  <c r="C35" i="14"/>
  <c r="E35" i="15"/>
  <c r="E35" i="14"/>
  <c r="C35" i="18"/>
  <c r="C35" i="27"/>
  <c r="E35" i="27"/>
  <c r="D35" i="18"/>
  <c r="C35" i="19"/>
  <c r="D35" i="27"/>
  <c r="C35" i="6"/>
  <c r="D35" i="11"/>
  <c r="E35" i="23"/>
  <c r="D35" i="21"/>
  <c r="E35" i="11"/>
  <c r="D35" i="8"/>
  <c r="E35" i="31"/>
  <c r="C35" i="21"/>
  <c r="C35" i="16"/>
  <c r="D35" i="23"/>
  <c r="C35" i="23"/>
  <c r="C35" i="11"/>
  <c r="C35" i="10"/>
  <c r="D35" i="26"/>
  <c r="C35" i="9"/>
  <c r="D35" i="15"/>
  <c r="E35" i="10"/>
  <c r="C35" i="15"/>
  <c r="D35" i="9"/>
  <c r="C35" i="26"/>
  <c r="E35" i="9"/>
  <c r="C35" i="31"/>
  <c r="C35" i="12"/>
  <c r="E35" i="7"/>
  <c r="D35" i="31"/>
  <c r="E35" i="6"/>
  <c r="E35" i="20"/>
  <c r="E35" i="19"/>
  <c r="D35" i="6"/>
  <c r="C35" i="17"/>
  <c r="E35" i="12"/>
  <c r="E35" i="26"/>
  <c r="D35" i="19"/>
  <c r="C35" i="7"/>
  <c r="D35" i="12"/>
  <c r="D35" i="16"/>
  <c r="E35" i="16"/>
  <c r="D35" i="17"/>
  <c r="E35" i="17"/>
  <c r="C35" i="20"/>
  <c r="D35" i="20"/>
  <c r="AA77" i="46" l="1"/>
  <c r="AB77" i="46" s="1"/>
  <c r="X121" i="46"/>
  <c r="X60" i="46"/>
  <c r="X56" i="46"/>
  <c r="X44" i="46"/>
  <c r="X40" i="46"/>
  <c r="X36" i="46"/>
  <c r="AE39" i="54"/>
  <c r="AF39" i="54"/>
  <c r="AD39" i="54"/>
  <c r="BC167" i="57" l="1"/>
  <c r="BB167" i="57"/>
  <c r="C35" i="2" l="1"/>
  <c r="K7" i="8" l="1"/>
  <c r="I37" i="9" l="1"/>
  <c r="G42" i="8"/>
  <c r="I37" i="8" s="1"/>
  <c r="F42" i="8"/>
  <c r="R19" i="8"/>
  <c r="P19" i="8"/>
  <c r="Q9" i="8"/>
  <c r="R9" i="8" l="1"/>
  <c r="R11" i="8"/>
  <c r="Q11" i="8"/>
  <c r="R10" i="8"/>
  <c r="Q10" i="8"/>
  <c r="R12" i="8" l="1"/>
  <c r="R13" i="8" s="1"/>
  <c r="Q12" i="8"/>
  <c r="Q13" i="8" s="1"/>
  <c r="Q14" i="8" l="1"/>
  <c r="R14" i="8"/>
  <c r="G42" i="10" l="1"/>
  <c r="I37" i="10" s="1"/>
  <c r="I37" i="11" l="1"/>
  <c r="I37" i="12"/>
  <c r="I37" i="13" l="1"/>
  <c r="I37" i="14" l="1"/>
  <c r="W78" i="20" l="1"/>
  <c r="C38" i="24" l="1"/>
  <c r="C39" i="24"/>
  <c r="C43" i="26" l="1"/>
  <c r="G42" i="25"/>
  <c r="I37" i="25" s="1"/>
  <c r="F42" i="25"/>
  <c r="G42" i="26"/>
  <c r="I37" i="26" s="1"/>
  <c r="F42" i="26"/>
  <c r="R7" i="43" l="1"/>
  <c r="U7" i="43" s="1"/>
  <c r="R8" i="43"/>
  <c r="S8" i="43"/>
  <c r="U8" i="43" l="1"/>
  <c r="Z6" i="46" l="1"/>
  <c r="AM11" i="46" l="1"/>
  <c r="AZ167" i="57"/>
  <c r="AY167" i="57"/>
  <c r="AX167" i="57"/>
  <c r="AW167" i="57"/>
  <c r="AV167" i="57"/>
  <c r="AU167" i="57"/>
  <c r="AT167" i="57"/>
  <c r="AS167" i="57"/>
  <c r="AQ167" i="57"/>
  <c r="AP167" i="57"/>
  <c r="AO167" i="57"/>
  <c r="AN167" i="57"/>
  <c r="AL167" i="57"/>
  <c r="AK167" i="57"/>
  <c r="AJ167" i="57"/>
  <c r="AI167" i="57"/>
  <c r="AH167" i="57"/>
  <c r="AG167" i="57"/>
  <c r="AF167" i="57"/>
  <c r="S167" i="57"/>
  <c r="R167" i="57"/>
  <c r="Q167" i="57"/>
  <c r="Q168" i="57" s="1"/>
  <c r="AR166" i="57"/>
  <c r="AM166" i="57"/>
  <c r="AC166" i="57"/>
  <c r="AA166" i="57"/>
  <c r="AR165" i="57"/>
  <c r="AM165" i="57"/>
  <c r="AC165" i="57"/>
  <c r="AA165" i="57"/>
  <c r="AR164" i="57"/>
  <c r="AM164" i="57"/>
  <c r="AR163" i="57"/>
  <c r="AM163" i="57"/>
  <c r="AR162" i="57"/>
  <c r="AM162" i="57"/>
  <c r="BE169" i="57" l="1"/>
  <c r="BD169" i="57"/>
  <c r="BF169" i="57"/>
  <c r="BB169" i="57"/>
  <c r="BC169" i="57"/>
  <c r="R168" i="57"/>
  <c r="S168" i="57"/>
  <c r="AR167" i="57"/>
  <c r="BA167" i="57"/>
  <c r="R169" i="57" s="1"/>
  <c r="AM167" i="57"/>
  <c r="S169" i="57"/>
  <c r="AZ189" i="46"/>
  <c r="AY189" i="46"/>
  <c r="AX189" i="46"/>
  <c r="AW189" i="46"/>
  <c r="AV189" i="46"/>
  <c r="AU189" i="46"/>
  <c r="AT176" i="57" s="1"/>
  <c r="AT189" i="46"/>
  <c r="AS189" i="46"/>
  <c r="AQ189" i="46"/>
  <c r="AP189" i="46"/>
  <c r="AO189" i="46"/>
  <c r="AN189" i="46"/>
  <c r="AL189" i="46"/>
  <c r="AK189" i="46"/>
  <c r="AJ189" i="46"/>
  <c r="AI189" i="46"/>
  <c r="AH189" i="46"/>
  <c r="AG189" i="46"/>
  <c r="AF189" i="46"/>
  <c r="AR188" i="46"/>
  <c r="AM188" i="46"/>
  <c r="AR187" i="46"/>
  <c r="AM187" i="46"/>
  <c r="AR186" i="46"/>
  <c r="AM186" i="46"/>
  <c r="AR185" i="46"/>
  <c r="AM185" i="46"/>
  <c r="AR184" i="46"/>
  <c r="AM184" i="46"/>
  <c r="AR183" i="46"/>
  <c r="AM183" i="46"/>
  <c r="AR182" i="46"/>
  <c r="AM182" i="46"/>
  <c r="AR181" i="46"/>
  <c r="AM181" i="46"/>
  <c r="AR180" i="46"/>
  <c r="AM180" i="46"/>
  <c r="AR179" i="46"/>
  <c r="AM179" i="46"/>
  <c r="AR178" i="46"/>
  <c r="AM178" i="46"/>
  <c r="AR177" i="46"/>
  <c r="AM177" i="46"/>
  <c r="AR176" i="46"/>
  <c r="AM176" i="46"/>
  <c r="AR175" i="46"/>
  <c r="AM175" i="46"/>
  <c r="AR174" i="46"/>
  <c r="AM174" i="46"/>
  <c r="AR173" i="46"/>
  <c r="AM173" i="46"/>
  <c r="AR172" i="46"/>
  <c r="AM172" i="46"/>
  <c r="AR171" i="46"/>
  <c r="AM171" i="46"/>
  <c r="AR170" i="46"/>
  <c r="AM170" i="46"/>
  <c r="AR169" i="46"/>
  <c r="AM169" i="46"/>
  <c r="AR168" i="46"/>
  <c r="AM168" i="46"/>
  <c r="AR167" i="46"/>
  <c r="AM167" i="46"/>
  <c r="AR166" i="46"/>
  <c r="AM166" i="46"/>
  <c r="AR165" i="46"/>
  <c r="AM165" i="46"/>
  <c r="AR164" i="46"/>
  <c r="AM164" i="46"/>
  <c r="AR8" i="46"/>
  <c r="BA8" i="46" s="1"/>
  <c r="AM8" i="46"/>
  <c r="AR7" i="46"/>
  <c r="BA7" i="46" s="1"/>
  <c r="AM7" i="46"/>
  <c r="AR6" i="46"/>
  <c r="AM6" i="46"/>
  <c r="AD7" i="46" l="1"/>
  <c r="AD8" i="46"/>
  <c r="AM189" i="46"/>
  <c r="AR189" i="46"/>
  <c r="AD167" i="57"/>
  <c r="T9" i="56" s="1"/>
  <c r="BA6" i="46"/>
  <c r="AD6" i="46" s="1"/>
  <c r="AD189" i="46" s="1"/>
  <c r="BA189" i="46" l="1"/>
  <c r="A7" i="45" l="1"/>
  <c r="S189" i="46" l="1"/>
  <c r="R189" i="46"/>
  <c r="Q189" i="46"/>
  <c r="Q190" i="46" s="1"/>
  <c r="AC188" i="46"/>
  <c r="AA188" i="46"/>
  <c r="AC187" i="46"/>
  <c r="AA187" i="46"/>
  <c r="BB191" i="46" l="1"/>
  <c r="BC191" i="46"/>
  <c r="BE191" i="46"/>
  <c r="BD191" i="46"/>
  <c r="BF191" i="46"/>
  <c r="S191" i="46"/>
  <c r="R190" i="46"/>
  <c r="S190" i="46"/>
  <c r="I9" i="56" l="1"/>
  <c r="R191" i="46"/>
  <c r="G4" i="47" l="1"/>
  <c r="H4" i="47" s="1"/>
  <c r="O6" i="57" s="1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R30" i="48" s="1"/>
  <c r="AO31" i="48"/>
  <c r="AR31" i="48" s="1"/>
  <c r="AO32" i="48"/>
  <c r="AO33" i="48"/>
  <c r="AO34" i="48"/>
  <c r="AO35" i="48"/>
  <c r="AO36" i="48"/>
  <c r="AO37" i="48"/>
  <c r="AO38" i="48"/>
  <c r="AO39" i="48"/>
  <c r="AO12" i="48"/>
  <c r="AO10" i="48"/>
  <c r="AO11" i="48"/>
  <c r="AO9" i="48"/>
  <c r="C6" i="57" l="1"/>
  <c r="U6" i="57"/>
  <c r="V6" i="57"/>
  <c r="K6" i="57"/>
  <c r="BA9" i="48" s="1"/>
  <c r="T6" i="57"/>
  <c r="P6" i="57"/>
  <c r="O6" i="46"/>
  <c r="AS39" i="48"/>
  <c r="AR39" i="48"/>
  <c r="AR38" i="48"/>
  <c r="AS38" i="48"/>
  <c r="AC6" i="57" l="1"/>
  <c r="K167" i="57"/>
  <c r="U167" i="57"/>
  <c r="P167" i="57"/>
  <c r="O167" i="57" s="1"/>
  <c r="K6" i="46"/>
  <c r="L9" i="48" s="1"/>
  <c r="P6" i="46"/>
  <c r="P189" i="46" s="1"/>
  <c r="O189" i="46" s="1"/>
  <c r="T6" i="46"/>
  <c r="T189" i="46" s="1"/>
  <c r="C6" i="46"/>
  <c r="N9" i="48" s="1"/>
  <c r="V167" i="57"/>
  <c r="T10" i="56" s="1"/>
  <c r="N12" i="55" s="1"/>
  <c r="C167" i="57"/>
  <c r="AT38" i="48"/>
  <c r="AT39" i="48"/>
  <c r="V6" i="46"/>
  <c r="V189" i="46" s="1"/>
  <c r="I10" i="56" s="1"/>
  <c r="E12" i="55" s="1"/>
  <c r="U6" i="46"/>
  <c r="U189" i="46" s="1"/>
  <c r="C46" i="30"/>
  <c r="T167" i="57" l="1"/>
  <c r="K189" i="46"/>
  <c r="AH4" i="54" s="1"/>
  <c r="AC167" i="57"/>
  <c r="AC168" i="57" s="1"/>
  <c r="X177" i="57" s="1"/>
  <c r="E9" i="55"/>
  <c r="E8" i="55"/>
  <c r="E21" i="55"/>
  <c r="E19" i="55"/>
  <c r="E28" i="55"/>
  <c r="E7" i="55"/>
  <c r="E5" i="55"/>
  <c r="E36" i="55"/>
  <c r="E35" i="55"/>
  <c r="E33" i="55"/>
  <c r="E24" i="55"/>
  <c r="E32" i="55"/>
  <c r="E40" i="55"/>
  <c r="E17" i="55"/>
  <c r="E34" i="55"/>
  <c r="E37" i="55"/>
  <c r="E27" i="55"/>
  <c r="E30" i="55"/>
  <c r="E11" i="55"/>
  <c r="E6" i="55"/>
  <c r="E39" i="55"/>
  <c r="E25" i="55"/>
  <c r="E10" i="55"/>
  <c r="E18" i="55"/>
  <c r="E22" i="55"/>
  <c r="E38" i="55"/>
  <c r="E31" i="55"/>
  <c r="E26" i="55"/>
  <c r="E4" i="55"/>
  <c r="E20" i="55"/>
  <c r="E29" i="55"/>
  <c r="E23" i="55"/>
  <c r="N29" i="55"/>
  <c r="N21" i="55"/>
  <c r="N24" i="55"/>
  <c r="N6" i="55"/>
  <c r="N17" i="55"/>
  <c r="N27" i="55"/>
  <c r="N10" i="55"/>
  <c r="N40" i="55"/>
  <c r="N26" i="55"/>
  <c r="N28" i="55"/>
  <c r="N23" i="55"/>
  <c r="N32" i="55"/>
  <c r="N7" i="55"/>
  <c r="N18" i="55"/>
  <c r="N11" i="55"/>
  <c r="N19" i="55"/>
  <c r="N8" i="55"/>
  <c r="N35" i="55"/>
  <c r="N38" i="55"/>
  <c r="N5" i="55"/>
  <c r="N20" i="55"/>
  <c r="N31" i="55"/>
  <c r="N34" i="55"/>
  <c r="N39" i="55"/>
  <c r="N4" i="55"/>
  <c r="N37" i="55"/>
  <c r="N30" i="55"/>
  <c r="N33" i="55"/>
  <c r="N25" i="55"/>
  <c r="N36" i="55"/>
  <c r="N9" i="55"/>
  <c r="N22" i="55"/>
  <c r="V168" i="57"/>
  <c r="AM168" i="57" s="1"/>
  <c r="T8" i="56"/>
  <c r="BA41" i="48"/>
  <c r="BB9" i="48"/>
  <c r="BB10" i="48" s="1"/>
  <c r="BB11" i="48" s="1"/>
  <c r="BB12" i="48" s="1"/>
  <c r="BB13" i="48" s="1"/>
  <c r="BB14" i="48" s="1"/>
  <c r="BB15" i="48" s="1"/>
  <c r="BB16" i="48" s="1"/>
  <c r="BB17" i="48" s="1"/>
  <c r="BB18" i="48" s="1"/>
  <c r="BB19" i="48" s="1"/>
  <c r="BB20" i="48" s="1"/>
  <c r="BB21" i="48" s="1"/>
  <c r="BB22" i="48" s="1"/>
  <c r="BB23" i="48" s="1"/>
  <c r="BB24" i="48" s="1"/>
  <c r="BB25" i="48" s="1"/>
  <c r="BB26" i="48" s="1"/>
  <c r="BB27" i="48" s="1"/>
  <c r="BB28" i="48" s="1"/>
  <c r="BB29" i="48" s="1"/>
  <c r="BB30" i="48" s="1"/>
  <c r="BB31" i="48" s="1"/>
  <c r="BB32" i="48" s="1"/>
  <c r="BB33" i="48" s="1"/>
  <c r="BB34" i="48" s="1"/>
  <c r="BB35" i="48" s="1"/>
  <c r="BB36" i="48" s="1"/>
  <c r="BB37" i="48" s="1"/>
  <c r="BB38" i="48" s="1"/>
  <c r="BB39" i="48" s="1"/>
  <c r="AC6" i="46"/>
  <c r="AC189" i="46" s="1"/>
  <c r="C189" i="46"/>
  <c r="AH3" i="54" l="1"/>
  <c r="V190" i="46"/>
  <c r="AO190" i="46" s="1"/>
  <c r="X210" i="46" s="1"/>
  <c r="I8" i="56"/>
  <c r="AW168" i="57"/>
  <c r="X194" i="57" s="1"/>
  <c r="BA168" i="57"/>
  <c r="AJ168" i="57"/>
  <c r="X184" i="57" s="1"/>
  <c r="AG168" i="57"/>
  <c r="X181" i="57" s="1"/>
  <c r="AH168" i="57"/>
  <c r="X182" i="57" s="1"/>
  <c r="AR168" i="57"/>
  <c r="AX168" i="57"/>
  <c r="AQ168" i="57"/>
  <c r="X190" i="57" s="1"/>
  <c r="AF168" i="57"/>
  <c r="X180" i="57" s="1"/>
  <c r="AN168" i="57"/>
  <c r="X187" i="57" s="1"/>
  <c r="AV168" i="57"/>
  <c r="X195" i="57" s="1"/>
  <c r="AY168" i="57"/>
  <c r="AZ168" i="57"/>
  <c r="X197" i="57" s="1"/>
  <c r="AS168" i="57"/>
  <c r="X191" i="57" s="1"/>
  <c r="AI168" i="57"/>
  <c r="X183" i="57" s="1"/>
  <c r="AT168" i="57"/>
  <c r="X192" i="57" s="1"/>
  <c r="AO168" i="57"/>
  <c r="X188" i="57" s="1"/>
  <c r="AL168" i="57"/>
  <c r="X186" i="57" s="1"/>
  <c r="AK168" i="57"/>
  <c r="X185" i="57" s="1"/>
  <c r="AU168" i="57"/>
  <c r="X193" i="57" s="1"/>
  <c r="AP168" i="57"/>
  <c r="X189" i="57" s="1"/>
  <c r="T5" i="56"/>
  <c r="N16" i="55" s="1"/>
  <c r="T11" i="56"/>
  <c r="O12" i="55" s="1"/>
  <c r="P12" i="55" s="1"/>
  <c r="AJ190" i="46"/>
  <c r="X206" i="46" s="1"/>
  <c r="AX190" i="46"/>
  <c r="AI190" i="46"/>
  <c r="X205" i="46" s="1"/>
  <c r="AL190" i="46"/>
  <c r="X208" i="46" s="1"/>
  <c r="AR190" i="46"/>
  <c r="AK190" i="46"/>
  <c r="X207" i="46" s="1"/>
  <c r="AC190" i="46"/>
  <c r="X199" i="46" s="1"/>
  <c r="I5" i="56"/>
  <c r="E16" i="55" s="1"/>
  <c r="BA190" i="46" l="1"/>
  <c r="AS190" i="46"/>
  <c r="X213" i="46" s="1"/>
  <c r="AU190" i="46"/>
  <c r="X215" i="46" s="1"/>
  <c r="AH190" i="46"/>
  <c r="X204" i="46" s="1"/>
  <c r="AV190" i="46"/>
  <c r="X217" i="46" s="1"/>
  <c r="AN190" i="46"/>
  <c r="X209" i="46" s="1"/>
  <c r="AY190" i="46"/>
  <c r="X218" i="46" s="1"/>
  <c r="AW190" i="46"/>
  <c r="X216" i="46" s="1"/>
  <c r="F16" i="55"/>
  <c r="G16" i="55" s="1"/>
  <c r="AZ190" i="46"/>
  <c r="X219" i="46" s="1"/>
  <c r="AP190" i="46"/>
  <c r="X211" i="46" s="1"/>
  <c r="AF190" i="46"/>
  <c r="X202" i="46" s="1"/>
  <c r="AT190" i="46"/>
  <c r="X214" i="46" s="1"/>
  <c r="AQ190" i="46"/>
  <c r="X212" i="46" s="1"/>
  <c r="AM190" i="46"/>
  <c r="AG190" i="46"/>
  <c r="X203" i="46" s="1"/>
  <c r="X196" i="57"/>
  <c r="O11" i="55"/>
  <c r="P11" i="55" s="1"/>
  <c r="O31" i="55"/>
  <c r="O25" i="55"/>
  <c r="O8" i="55"/>
  <c r="P8" i="55" s="1"/>
  <c r="O32" i="55"/>
  <c r="O27" i="55"/>
  <c r="O29" i="55"/>
  <c r="O21" i="55"/>
  <c r="O39" i="55"/>
  <c r="O20" i="55"/>
  <c r="O18" i="55"/>
  <c r="O23" i="55"/>
  <c r="O40" i="55"/>
  <c r="O7" i="55"/>
  <c r="P7" i="55" s="1"/>
  <c r="O34" i="55"/>
  <c r="O22" i="55"/>
  <c r="O19" i="55"/>
  <c r="P19" i="55" s="1"/>
  <c r="O38" i="55"/>
  <c r="O24" i="55"/>
  <c r="O5" i="55"/>
  <c r="P5" i="55" s="1"/>
  <c r="O36" i="55"/>
  <c r="O33" i="55"/>
  <c r="O9" i="55"/>
  <c r="P9" i="55" s="1"/>
  <c r="O26" i="55"/>
  <c r="O6" i="55"/>
  <c r="P6" i="55" s="1"/>
  <c r="O10" i="55"/>
  <c r="P10" i="55" s="1"/>
  <c r="O37" i="55"/>
  <c r="O4" i="55"/>
  <c r="O28" i="55"/>
  <c r="O35" i="55"/>
  <c r="O30" i="55"/>
  <c r="O17" i="55"/>
  <c r="U5" i="56"/>
  <c r="O16" i="55" s="1"/>
  <c r="P16" i="55" s="1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G37" i="54"/>
  <c r="AG36" i="54"/>
  <c r="AG35" i="54"/>
  <c r="AG34" i="54"/>
  <c r="AG33" i="54"/>
  <c r="AG32" i="54"/>
  <c r="AG31" i="54"/>
  <c r="Y52" i="57" s="1"/>
  <c r="AA52" i="57" s="1"/>
  <c r="AB52" i="57" s="1"/>
  <c r="AG30" i="54"/>
  <c r="AG29" i="54"/>
  <c r="AG28" i="54"/>
  <c r="AG27" i="54"/>
  <c r="AG26" i="54"/>
  <c r="AG25" i="54"/>
  <c r="AG24" i="54"/>
  <c r="AG23" i="54"/>
  <c r="Y44" i="57" s="1"/>
  <c r="AA44" i="57" s="1"/>
  <c r="AB44" i="57" s="1"/>
  <c r="AG22" i="54"/>
  <c r="AG21" i="54"/>
  <c r="AG20" i="54"/>
  <c r="AG19" i="54"/>
  <c r="AG18" i="54"/>
  <c r="AG17" i="54"/>
  <c r="AG16" i="54"/>
  <c r="AG15" i="54"/>
  <c r="Y36" i="57" s="1"/>
  <c r="AA36" i="57" s="1"/>
  <c r="AB36" i="57" s="1"/>
  <c r="AG14" i="54"/>
  <c r="AG13" i="54"/>
  <c r="AG12" i="54"/>
  <c r="AG11" i="54"/>
  <c r="AG10" i="54"/>
  <c r="AG9" i="54"/>
  <c r="AG8" i="54"/>
  <c r="AG7" i="54"/>
  <c r="AG6" i="54"/>
  <c r="Y48" i="57" l="1"/>
  <c r="AA48" i="57" s="1"/>
  <c r="AB48" i="57" s="1"/>
  <c r="Y56" i="57"/>
  <c r="AA56" i="57" s="1"/>
  <c r="AB56" i="57" s="1"/>
  <c r="Y56" i="46"/>
  <c r="AA56" i="46" s="1"/>
  <c r="AB56" i="46" s="1"/>
  <c r="Y44" i="46"/>
  <c r="AA44" i="46" s="1"/>
  <c r="AB44" i="46" s="1"/>
  <c r="Y52" i="46"/>
  <c r="AA52" i="46" s="1"/>
  <c r="AB52" i="46" s="1"/>
  <c r="AA40" i="46"/>
  <c r="AB40" i="46" s="1"/>
  <c r="Y48" i="46"/>
  <c r="AA48" i="46" s="1"/>
  <c r="AB48" i="46" s="1"/>
  <c r="AA32" i="46"/>
  <c r="AB32" i="46" s="1"/>
  <c r="AA28" i="46"/>
  <c r="AB28" i="46" s="1"/>
  <c r="Y36" i="46"/>
  <c r="AA36" i="46" s="1"/>
  <c r="AB36" i="46" s="1"/>
  <c r="P37" i="55"/>
  <c r="P17" i="55"/>
  <c r="P34" i="55"/>
  <c r="P32" i="55"/>
  <c r="P4" i="55"/>
  <c r="Q4" i="55" s="1"/>
  <c r="P25" i="55"/>
  <c r="P20" i="55"/>
  <c r="P39" i="55"/>
  <c r="Q39" i="55" s="1"/>
  <c r="AI3" i="54"/>
  <c r="AG39" i="54"/>
  <c r="AA60" i="46" l="1"/>
  <c r="AB60" i="46" s="1"/>
  <c r="Q25" i="55"/>
  <c r="AH7" i="54"/>
  <c r="AH38" i="54"/>
  <c r="AH37" i="54"/>
  <c r="AH20" i="54"/>
  <c r="AH36" i="54"/>
  <c r="AH12" i="54"/>
  <c r="AH14" i="54"/>
  <c r="AH9" i="54"/>
  <c r="AH13" i="54"/>
  <c r="AH17" i="54"/>
  <c r="AH28" i="54"/>
  <c r="AH27" i="54"/>
  <c r="AH34" i="54"/>
  <c r="AH11" i="54"/>
  <c r="AH18" i="54"/>
  <c r="AH6" i="54"/>
  <c r="AH10" i="54"/>
  <c r="AH30" i="54"/>
  <c r="AH29" i="54"/>
  <c r="AH16" i="54"/>
  <c r="AH15" i="54"/>
  <c r="AH35" i="54"/>
  <c r="AH32" i="54"/>
  <c r="AH24" i="54"/>
  <c r="AH8" i="54"/>
  <c r="AH26" i="54"/>
  <c r="AH21" i="54"/>
  <c r="AH31" i="54"/>
  <c r="AH25" i="54"/>
  <c r="AH23" i="54"/>
  <c r="AH22" i="54"/>
  <c r="AH33" i="54"/>
  <c r="AH19" i="54"/>
  <c r="AH39" i="54" l="1"/>
  <c r="AP41" i="48"/>
  <c r="AQ39" i="48"/>
  <c r="AQ38" i="48"/>
  <c r="AQ37" i="48"/>
  <c r="AR37" i="48"/>
  <c r="AQ36" i="48"/>
  <c r="AR36" i="48"/>
  <c r="AQ35" i="48"/>
  <c r="AS35" i="48"/>
  <c r="AQ34" i="48"/>
  <c r="AS34" i="48"/>
  <c r="AQ33" i="48"/>
  <c r="AR33" i="48"/>
  <c r="AQ32" i="48"/>
  <c r="AS32" i="48"/>
  <c r="AQ31" i="48"/>
  <c r="AS31" i="48"/>
  <c r="AS25" i="48"/>
  <c r="AR24" i="48"/>
  <c r="AS23" i="48"/>
  <c r="AS22" i="48"/>
  <c r="AS21" i="48"/>
  <c r="AS20" i="48"/>
  <c r="AS19" i="48"/>
  <c r="AS18" i="48"/>
  <c r="AS17" i="48"/>
  <c r="AQ16" i="48"/>
  <c r="AS15" i="48"/>
  <c r="AR13" i="48"/>
  <c r="AQ13" i="48"/>
  <c r="AS13" i="48"/>
  <c r="AS12" i="48"/>
  <c r="AR12" i="48"/>
  <c r="AQ12" i="48"/>
  <c r="AS11" i="48"/>
  <c r="AR11" i="48"/>
  <c r="AQ11" i="48"/>
  <c r="AS10" i="48"/>
  <c r="AR10" i="48"/>
  <c r="AQ10" i="48"/>
  <c r="AS9" i="48"/>
  <c r="AR9" i="48"/>
  <c r="AQ9" i="48"/>
  <c r="AV38" i="48" l="1"/>
  <c r="AY38" i="48" s="1"/>
  <c r="AU38" i="48"/>
  <c r="AX38" i="48" s="1"/>
  <c r="AW38" i="48"/>
  <c r="AZ38" i="48" s="1"/>
  <c r="AV39" i="48"/>
  <c r="AY39" i="48" s="1"/>
  <c r="AU39" i="48"/>
  <c r="AX39" i="48" s="1"/>
  <c r="AW39" i="48"/>
  <c r="AZ39" i="48" s="1"/>
  <c r="AV32" i="48"/>
  <c r="AY32" i="48" s="1"/>
  <c r="AV13" i="48"/>
  <c r="AY13" i="48" s="1"/>
  <c r="AV12" i="48"/>
  <c r="AY12" i="48" s="1"/>
  <c r="AV9" i="48"/>
  <c r="AY9" i="48" s="1"/>
  <c r="AV34" i="48"/>
  <c r="AY34" i="48" s="1"/>
  <c r="AT11" i="48"/>
  <c r="AW11" i="48" s="1"/>
  <c r="AV31" i="48"/>
  <c r="AY31" i="48" s="1"/>
  <c r="AT13" i="48"/>
  <c r="AW13" i="48" s="1"/>
  <c r="AV35" i="48"/>
  <c r="AY35" i="48" s="1"/>
  <c r="AV10" i="48"/>
  <c r="AY10" i="48" s="1"/>
  <c r="AU10" i="48"/>
  <c r="AX10" i="48" s="1"/>
  <c r="AV11" i="48"/>
  <c r="AY11" i="48" s="1"/>
  <c r="AS14" i="48"/>
  <c r="AR14" i="48"/>
  <c r="AS28" i="48"/>
  <c r="AR28" i="48"/>
  <c r="AQ28" i="48"/>
  <c r="AU36" i="48"/>
  <c r="AX36" i="48" s="1"/>
  <c r="AT10" i="48"/>
  <c r="AW10" i="48" s="1"/>
  <c r="AU12" i="48"/>
  <c r="AX12" i="48" s="1"/>
  <c r="AT12" i="48"/>
  <c r="AW12" i="48" s="1"/>
  <c r="AQ14" i="48"/>
  <c r="AU37" i="48"/>
  <c r="AX37" i="48" s="1"/>
  <c r="AU9" i="48"/>
  <c r="AX9" i="48" s="1"/>
  <c r="AR18" i="48"/>
  <c r="AQ18" i="48"/>
  <c r="AV18" i="48" s="1"/>
  <c r="AY18" i="48" s="1"/>
  <c r="AR22" i="48"/>
  <c r="AQ22" i="48"/>
  <c r="AV22" i="48" s="1"/>
  <c r="AY22" i="48" s="1"/>
  <c r="AQ25" i="48"/>
  <c r="AV25" i="48" s="1"/>
  <c r="AY25" i="48" s="1"/>
  <c r="AR25" i="48"/>
  <c r="AU13" i="48"/>
  <c r="AX13" i="48" s="1"/>
  <c r="AR17" i="48"/>
  <c r="AQ17" i="48"/>
  <c r="AV17" i="48" s="1"/>
  <c r="AY17" i="48" s="1"/>
  <c r="AQ21" i="48"/>
  <c r="AV21" i="48" s="1"/>
  <c r="AY21" i="48" s="1"/>
  <c r="AR21" i="48"/>
  <c r="AS24" i="48"/>
  <c r="AT24" i="48" s="1"/>
  <c r="AQ24" i="48"/>
  <c r="AU24" i="48" s="1"/>
  <c r="AX24" i="48" s="1"/>
  <c r="AQ15" i="48"/>
  <c r="AV15" i="48" s="1"/>
  <c r="AY15" i="48" s="1"/>
  <c r="AR15" i="48"/>
  <c r="AT9" i="48"/>
  <c r="AW9" i="48" s="1"/>
  <c r="AZ9" i="48" s="1"/>
  <c r="AU11" i="48"/>
  <c r="AX11" i="48" s="1"/>
  <c r="AR16" i="48"/>
  <c r="AS16" i="48"/>
  <c r="AV16" i="48" s="1"/>
  <c r="AY16" i="48" s="1"/>
  <c r="AR19" i="48"/>
  <c r="AQ19" i="48"/>
  <c r="AV19" i="48" s="1"/>
  <c r="AY19" i="48" s="1"/>
  <c r="AR23" i="48"/>
  <c r="AQ23" i="48"/>
  <c r="AV23" i="48" s="1"/>
  <c r="AY23" i="48" s="1"/>
  <c r="AS30" i="48"/>
  <c r="AQ30" i="48"/>
  <c r="AU33" i="48"/>
  <c r="AX33" i="48" s="1"/>
  <c r="AS26" i="48"/>
  <c r="AR26" i="48"/>
  <c r="AQ26" i="48"/>
  <c r="AS27" i="48"/>
  <c r="AR27" i="48"/>
  <c r="AQ27" i="48"/>
  <c r="AS29" i="48"/>
  <c r="AR29" i="48"/>
  <c r="AQ29" i="48"/>
  <c r="AR20" i="48"/>
  <c r="AQ20" i="48"/>
  <c r="AV20" i="48" s="1"/>
  <c r="AY20" i="48" s="1"/>
  <c r="AR32" i="48"/>
  <c r="AR34" i="48"/>
  <c r="AR35" i="48"/>
  <c r="AS33" i="48"/>
  <c r="AV33" i="48" s="1"/>
  <c r="AY33" i="48" s="1"/>
  <c r="AS36" i="48"/>
  <c r="AV36" i="48" s="1"/>
  <c r="AY36" i="48" s="1"/>
  <c r="AS37" i="48"/>
  <c r="AV37" i="48" s="1"/>
  <c r="AY37" i="48" s="1"/>
  <c r="T39" i="48" l="1"/>
  <c r="T38" i="48"/>
  <c r="T37" i="48"/>
  <c r="T33" i="48"/>
  <c r="T36" i="48"/>
  <c r="T24" i="48"/>
  <c r="T11" i="48"/>
  <c r="T12" i="48"/>
  <c r="T13" i="48"/>
  <c r="T10" i="48"/>
  <c r="T9" i="48"/>
  <c r="AZ12" i="48"/>
  <c r="AW24" i="48"/>
  <c r="AZ13" i="48"/>
  <c r="AZ11" i="48"/>
  <c r="AZ10" i="48"/>
  <c r="AV30" i="48"/>
  <c r="AY30" i="48" s="1"/>
  <c r="AV14" i="48"/>
  <c r="AY14" i="48" s="1"/>
  <c r="AV24" i="48"/>
  <c r="AY24" i="48" s="1"/>
  <c r="AV27" i="48"/>
  <c r="AY27" i="48" s="1"/>
  <c r="AT30" i="48"/>
  <c r="AW30" i="48" s="1"/>
  <c r="AU30" i="48"/>
  <c r="AT18" i="48"/>
  <c r="AW18" i="48" s="1"/>
  <c r="AU18" i="48"/>
  <c r="AT36" i="48"/>
  <c r="AW36" i="48" s="1"/>
  <c r="AU16" i="48"/>
  <c r="AX16" i="48" s="1"/>
  <c r="AT16" i="48"/>
  <c r="AW16" i="48" s="1"/>
  <c r="AT26" i="48"/>
  <c r="AW26" i="48" s="1"/>
  <c r="AU26" i="48"/>
  <c r="AX26" i="48" s="1"/>
  <c r="AV26" i="48"/>
  <c r="AY26" i="48" s="1"/>
  <c r="AT15" i="48"/>
  <c r="AW15" i="48" s="1"/>
  <c r="AU15" i="48"/>
  <c r="AX15" i="48" s="1"/>
  <c r="AT37" i="48"/>
  <c r="AW37" i="48" s="1"/>
  <c r="AU32" i="48"/>
  <c r="AX32" i="48" s="1"/>
  <c r="AT32" i="48"/>
  <c r="AW32" i="48" s="1"/>
  <c r="AT21" i="48"/>
  <c r="AW21" i="48" s="1"/>
  <c r="AU21" i="48"/>
  <c r="AX21" i="48" s="1"/>
  <c r="AU31" i="48"/>
  <c r="AX31" i="48" s="1"/>
  <c r="AT31" i="48"/>
  <c r="AW31" i="48" s="1"/>
  <c r="AT20" i="48"/>
  <c r="AW20" i="48" s="1"/>
  <c r="AU20" i="48"/>
  <c r="AX20" i="48" s="1"/>
  <c r="AT19" i="48"/>
  <c r="AW19" i="48" s="1"/>
  <c r="AU19" i="48"/>
  <c r="AX19" i="48" s="1"/>
  <c r="AT25" i="48"/>
  <c r="AW25" i="48" s="1"/>
  <c r="AU25" i="48"/>
  <c r="AX25" i="48" s="1"/>
  <c r="AU28" i="48"/>
  <c r="AX28" i="48" s="1"/>
  <c r="AT28" i="48"/>
  <c r="AW28" i="48" s="1"/>
  <c r="AU35" i="48"/>
  <c r="AX35" i="48" s="1"/>
  <c r="AT35" i="48"/>
  <c r="AW35" i="48" s="1"/>
  <c r="AV29" i="48"/>
  <c r="AY29" i="48" s="1"/>
  <c r="AV28" i="48"/>
  <c r="AY28" i="48" s="1"/>
  <c r="AT27" i="48"/>
  <c r="AW27" i="48" s="1"/>
  <c r="AU27" i="48"/>
  <c r="AX27" i="48" s="1"/>
  <c r="AT22" i="48"/>
  <c r="AW22" i="48" s="1"/>
  <c r="AU22" i="48"/>
  <c r="AX22" i="48" s="1"/>
  <c r="AT23" i="48"/>
  <c r="AW23" i="48" s="1"/>
  <c r="AU23" i="48"/>
  <c r="AX23" i="48" s="1"/>
  <c r="AT17" i="48"/>
  <c r="AW17" i="48" s="1"/>
  <c r="AU17" i="48"/>
  <c r="AX17" i="48" s="1"/>
  <c r="AT29" i="48"/>
  <c r="AW29" i="48" s="1"/>
  <c r="AU29" i="48"/>
  <c r="AX29" i="48" s="1"/>
  <c r="AT33" i="48"/>
  <c r="AW33" i="48" s="1"/>
  <c r="AU34" i="48"/>
  <c r="AX34" i="48" s="1"/>
  <c r="AT34" i="48"/>
  <c r="AW34" i="48" s="1"/>
  <c r="AU14" i="48"/>
  <c r="AX14" i="48" s="1"/>
  <c r="AT14" i="48"/>
  <c r="AW14" i="48" s="1"/>
  <c r="T35" i="48" l="1"/>
  <c r="T34" i="48"/>
  <c r="T32" i="48"/>
  <c r="T31" i="48"/>
  <c r="T28" i="48"/>
  <c r="T29" i="48"/>
  <c r="T26" i="48"/>
  <c r="T27" i="48"/>
  <c r="T22" i="48"/>
  <c r="T23" i="48"/>
  <c r="T25" i="48"/>
  <c r="T21" i="48"/>
  <c r="T14" i="48"/>
  <c r="T16" i="48"/>
  <c r="T15" i="48"/>
  <c r="T17" i="48"/>
  <c r="T20" i="48"/>
  <c r="T19" i="48"/>
  <c r="AX18" i="48"/>
  <c r="AX30" i="48"/>
  <c r="AZ29" i="48"/>
  <c r="AZ23" i="48"/>
  <c r="AZ27" i="48"/>
  <c r="AZ25" i="48"/>
  <c r="AZ20" i="48"/>
  <c r="AZ21" i="48"/>
  <c r="AZ26" i="48"/>
  <c r="AZ30" i="48"/>
  <c r="AZ28" i="48"/>
  <c r="AZ31" i="48"/>
  <c r="AZ32" i="48"/>
  <c r="AZ15" i="48"/>
  <c r="AZ16" i="48"/>
  <c r="AZ18" i="48"/>
  <c r="AZ24" i="48"/>
  <c r="AZ34" i="48"/>
  <c r="AZ33" i="48"/>
  <c r="AZ17" i="48"/>
  <c r="AZ22" i="48"/>
  <c r="AZ19" i="48"/>
  <c r="AZ14" i="48"/>
  <c r="AZ35" i="48"/>
  <c r="AZ37" i="48"/>
  <c r="AZ36" i="48"/>
  <c r="T30" i="48" l="1"/>
  <c r="T18" i="48"/>
  <c r="AZ41" i="48"/>
  <c r="AX41" i="48"/>
  <c r="AY41" i="48"/>
  <c r="AY43" i="48" l="1"/>
  <c r="I43" i="33" l="1"/>
  <c r="I43" i="31"/>
  <c r="C36" i="2"/>
  <c r="BG42" i="2" l="1"/>
  <c r="AY42" i="2"/>
  <c r="AQ42" i="2"/>
  <c r="W42" i="2"/>
  <c r="K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AE42" i="2"/>
  <c r="BC17" i="2"/>
  <c r="BC16" i="2"/>
  <c r="BC15" i="2"/>
  <c r="BC14" i="2"/>
  <c r="BC13" i="2"/>
  <c r="BC12" i="2"/>
  <c r="BC11" i="2"/>
  <c r="BI10" i="2"/>
  <c r="BI11" i="2" s="1"/>
  <c r="BA10" i="2"/>
  <c r="BA11" i="2" s="1"/>
  <c r="BA12" i="2" s="1"/>
  <c r="AU10" i="2"/>
  <c r="AU42" i="2" s="1"/>
  <c r="AS10" i="2"/>
  <c r="AS11" i="2" s="1"/>
  <c r="AI42" i="2"/>
  <c r="AG10" i="2"/>
  <c r="AG11" i="2" s="1"/>
  <c r="Y10" i="2"/>
  <c r="Q10" i="2"/>
  <c r="Q11" i="2" s="1"/>
  <c r="M10" i="2"/>
  <c r="M11" i="2" s="1"/>
  <c r="G42" i="2"/>
  <c r="X42" i="2" l="1"/>
  <c r="BK38" i="2"/>
  <c r="AZ38" i="2" s="1"/>
  <c r="BK39" i="2"/>
  <c r="AR39" i="2" s="1"/>
  <c r="BK22" i="2"/>
  <c r="T22" i="2" s="1"/>
  <c r="BK36" i="2"/>
  <c r="BK12" i="2"/>
  <c r="BK15" i="2"/>
  <c r="AF15" i="2" s="1"/>
  <c r="BK17" i="2"/>
  <c r="M12" i="2"/>
  <c r="AS12" i="2"/>
  <c r="Q12" i="2"/>
  <c r="AG12" i="2"/>
  <c r="BI12" i="2"/>
  <c r="BA13" i="2"/>
  <c r="I10" i="2"/>
  <c r="I11" i="2" s="1"/>
  <c r="AW10" i="2"/>
  <c r="AA42" i="2"/>
  <c r="AC10" i="2"/>
  <c r="BC10" i="2"/>
  <c r="BK20" i="2"/>
  <c r="AN20" i="2" s="1"/>
  <c r="AK10" i="2"/>
  <c r="BK14" i="2"/>
  <c r="AF14" i="2" s="1"/>
  <c r="BK24" i="2"/>
  <c r="AN24" i="2" s="1"/>
  <c r="BK27" i="2"/>
  <c r="BK28" i="2"/>
  <c r="BK23" i="2"/>
  <c r="BK26" i="2"/>
  <c r="BK31" i="2"/>
  <c r="BK32" i="2"/>
  <c r="AF32" i="2" s="1"/>
  <c r="BK33" i="2"/>
  <c r="BK34" i="2"/>
  <c r="BK29" i="2"/>
  <c r="BK35" i="2"/>
  <c r="BK37" i="2"/>
  <c r="BK40" i="2"/>
  <c r="T38" i="2" l="1"/>
  <c r="P17" i="2"/>
  <c r="AF17" i="2"/>
  <c r="AJ12" i="2"/>
  <c r="AF12" i="2"/>
  <c r="AZ36" i="2"/>
  <c r="AB36" i="2"/>
  <c r="T36" i="2"/>
  <c r="BD39" i="2"/>
  <c r="L22" i="2"/>
  <c r="AR22" i="2"/>
  <c r="AF22" i="2"/>
  <c r="BD22" i="2"/>
  <c r="AV38" i="2"/>
  <c r="BH38" i="2"/>
  <c r="AF39" i="2"/>
  <c r="AV39" i="2"/>
  <c r="BD38" i="2"/>
  <c r="BH39" i="2"/>
  <c r="AR38" i="2"/>
  <c r="AN39" i="2"/>
  <c r="AJ39" i="2"/>
  <c r="H38" i="2"/>
  <c r="AN38" i="2"/>
  <c r="AJ38" i="2"/>
  <c r="L38" i="2"/>
  <c r="T39" i="2"/>
  <c r="P38" i="2"/>
  <c r="AF38" i="2"/>
  <c r="AB38" i="2"/>
  <c r="AB22" i="2"/>
  <c r="AV22" i="2"/>
  <c r="H22" i="2"/>
  <c r="AV36" i="2"/>
  <c r="AJ36" i="2"/>
  <c r="AR36" i="2"/>
  <c r="BD36" i="2"/>
  <c r="BH36" i="2"/>
  <c r="AN36" i="2"/>
  <c r="AF36" i="2"/>
  <c r="L12" i="2"/>
  <c r="AN12" i="2"/>
  <c r="AR12" i="2"/>
  <c r="AV12" i="2"/>
  <c r="AZ12" i="2"/>
  <c r="BD12" i="2"/>
  <c r="H12" i="2"/>
  <c r="P12" i="2"/>
  <c r="AN17" i="2"/>
  <c r="BH17" i="2"/>
  <c r="T17" i="2"/>
  <c r="AJ17" i="2"/>
  <c r="BH12" i="2"/>
  <c r="AZ17" i="2"/>
  <c r="T12" i="2"/>
  <c r="AB12" i="2"/>
  <c r="AN33" i="2"/>
  <c r="T28" i="2"/>
  <c r="AN34" i="2"/>
  <c r="T32" i="2"/>
  <c r="T20" i="2"/>
  <c r="L36" i="2"/>
  <c r="T37" i="2"/>
  <c r="BD31" i="2"/>
  <c r="T24" i="2"/>
  <c r="AN22" i="2"/>
  <c r="T23" i="2"/>
  <c r="T26" i="2"/>
  <c r="H15" i="2"/>
  <c r="AB15" i="2"/>
  <c r="AJ15" i="2"/>
  <c r="AN29" i="2"/>
  <c r="BD28" i="2"/>
  <c r="T33" i="2"/>
  <c r="BD26" i="2"/>
  <c r="P39" i="2"/>
  <c r="H39" i="2"/>
  <c r="L39" i="2"/>
  <c r="AB39" i="2"/>
  <c r="AZ39" i="2"/>
  <c r="BD37" i="2"/>
  <c r="BD33" i="2"/>
  <c r="AV15" i="2"/>
  <c r="BD15" i="2"/>
  <c r="P15" i="2"/>
  <c r="AZ15" i="2"/>
  <c r="AN28" i="2"/>
  <c r="BH15" i="2"/>
  <c r="AR15" i="2"/>
  <c r="T15" i="2"/>
  <c r="L15" i="2"/>
  <c r="AN15" i="2"/>
  <c r="AN31" i="2"/>
  <c r="AN26" i="2"/>
  <c r="AF20" i="2"/>
  <c r="BH22" i="2"/>
  <c r="P22" i="2"/>
  <c r="AJ22" i="2"/>
  <c r="AZ22" i="2"/>
  <c r="L17" i="2"/>
  <c r="AV17" i="2"/>
  <c r="AB17" i="2"/>
  <c r="AR17" i="2"/>
  <c r="BD17" i="2"/>
  <c r="H17" i="2"/>
  <c r="H36" i="2"/>
  <c r="P36" i="2"/>
  <c r="BD23" i="2"/>
  <c r="AF27" i="2"/>
  <c r="AN27" i="2"/>
  <c r="T27" i="2"/>
  <c r="AZ14" i="2"/>
  <c r="AR14" i="2"/>
  <c r="AJ14" i="2"/>
  <c r="P14" i="2"/>
  <c r="AV14" i="2"/>
  <c r="T14" i="2"/>
  <c r="H14" i="2"/>
  <c r="BH14" i="2"/>
  <c r="L14" i="2"/>
  <c r="BD14" i="2"/>
  <c r="AB14" i="2"/>
  <c r="I12" i="2"/>
  <c r="AZ40" i="2"/>
  <c r="AR40" i="2"/>
  <c r="AJ40" i="2"/>
  <c r="AB40" i="2"/>
  <c r="L40" i="2"/>
  <c r="BH40" i="2"/>
  <c r="AN40" i="2"/>
  <c r="AF40" i="2"/>
  <c r="P40" i="2"/>
  <c r="AV40" i="2"/>
  <c r="H40" i="2"/>
  <c r="BH35" i="2"/>
  <c r="AV35" i="2"/>
  <c r="AN35" i="2"/>
  <c r="AF35" i="2"/>
  <c r="P35" i="2"/>
  <c r="H35" i="2"/>
  <c r="AZ35" i="2"/>
  <c r="AR35" i="2"/>
  <c r="AJ35" i="2"/>
  <c r="AB35" i="2"/>
  <c r="L35" i="2"/>
  <c r="BD34" i="2"/>
  <c r="AZ34" i="2"/>
  <c r="AR34" i="2"/>
  <c r="AJ34" i="2"/>
  <c r="L34" i="2"/>
  <c r="BH34" i="2"/>
  <c r="AV34" i="2"/>
  <c r="AB34" i="2"/>
  <c r="P34" i="2"/>
  <c r="H34" i="2"/>
  <c r="BD32" i="2"/>
  <c r="AZ32" i="2"/>
  <c r="AR32" i="2"/>
  <c r="AJ32" i="2"/>
  <c r="BH32" i="2"/>
  <c r="AV32" i="2"/>
  <c r="AB32" i="2"/>
  <c r="P32" i="2"/>
  <c r="H32" i="2"/>
  <c r="L32" i="2"/>
  <c r="BD29" i="2"/>
  <c r="T40" i="2"/>
  <c r="AZ37" i="2"/>
  <c r="AR37" i="2"/>
  <c r="AJ37" i="2"/>
  <c r="AB37" i="2"/>
  <c r="L37" i="2"/>
  <c r="AV37" i="2"/>
  <c r="H37" i="2"/>
  <c r="BH37" i="2"/>
  <c r="AN37" i="2"/>
  <c r="AF37" i="2"/>
  <c r="P37" i="2"/>
  <c r="BD35" i="2"/>
  <c r="AF34" i="2"/>
  <c r="AN32" i="2"/>
  <c r="BK30" i="2"/>
  <c r="BH33" i="2"/>
  <c r="AV33" i="2"/>
  <c r="AF33" i="2"/>
  <c r="AB33" i="2"/>
  <c r="P33" i="2"/>
  <c r="H33" i="2"/>
  <c r="AZ33" i="2"/>
  <c r="AR33" i="2"/>
  <c r="AJ33" i="2"/>
  <c r="L33" i="2"/>
  <c r="BH26" i="2"/>
  <c r="AV26" i="2"/>
  <c r="AF26" i="2"/>
  <c r="AB26" i="2"/>
  <c r="AZ26" i="2"/>
  <c r="AR26" i="2"/>
  <c r="AJ26" i="2"/>
  <c r="L26" i="2"/>
  <c r="P26" i="2"/>
  <c r="H26" i="2"/>
  <c r="BK25" i="2"/>
  <c r="AZ23" i="2"/>
  <c r="AR23" i="2"/>
  <c r="AJ23" i="2"/>
  <c r="AV23" i="2"/>
  <c r="AF23" i="2"/>
  <c r="L23" i="2"/>
  <c r="BH23" i="2"/>
  <c r="AB23" i="2"/>
  <c r="P23" i="2"/>
  <c r="BH28" i="2"/>
  <c r="AV28" i="2"/>
  <c r="AF28" i="2"/>
  <c r="AB28" i="2"/>
  <c r="P28" i="2"/>
  <c r="H28" i="2"/>
  <c r="AZ28" i="2"/>
  <c r="AR28" i="2"/>
  <c r="AJ28" i="2"/>
  <c r="L28" i="2"/>
  <c r="BH24" i="2"/>
  <c r="AV24" i="2"/>
  <c r="AB24" i="2"/>
  <c r="L24" i="2"/>
  <c r="BD24" i="2"/>
  <c r="AR24" i="2"/>
  <c r="H24" i="2"/>
  <c r="AZ24" i="2"/>
  <c r="AJ24" i="2"/>
  <c r="P24" i="2"/>
  <c r="AF24" i="2"/>
  <c r="AN23" i="2"/>
  <c r="H23" i="2"/>
  <c r="BK16" i="2"/>
  <c r="AF16" i="2" s="1"/>
  <c r="BK13" i="2"/>
  <c r="AF13" i="2" s="1"/>
  <c r="BK11" i="2"/>
  <c r="AM42" i="2"/>
  <c r="AO10" i="2"/>
  <c r="S42" i="2"/>
  <c r="U10" i="2"/>
  <c r="U11" i="2" s="1"/>
  <c r="BK10" i="2"/>
  <c r="AN10" i="2" s="1"/>
  <c r="AW11" i="2"/>
  <c r="BI13" i="2"/>
  <c r="AG13" i="2"/>
  <c r="AS13" i="2"/>
  <c r="BD40" i="2"/>
  <c r="T35" i="2"/>
  <c r="AZ29" i="2"/>
  <c r="AR29" i="2"/>
  <c r="AJ29" i="2"/>
  <c r="AV29" i="2"/>
  <c r="AF29" i="2"/>
  <c r="L29" i="2"/>
  <c r="BH29" i="2"/>
  <c r="AB29" i="2"/>
  <c r="P29" i="2"/>
  <c r="H29" i="2"/>
  <c r="T34" i="2"/>
  <c r="AZ31" i="2"/>
  <c r="AR31" i="2"/>
  <c r="AJ31" i="2"/>
  <c r="L31" i="2"/>
  <c r="BH31" i="2"/>
  <c r="AB31" i="2"/>
  <c r="T31" i="2"/>
  <c r="P31" i="2"/>
  <c r="AV31" i="2"/>
  <c r="AF31" i="2"/>
  <c r="H31" i="2"/>
  <c r="T29" i="2"/>
  <c r="BD27" i="2"/>
  <c r="AZ27" i="2"/>
  <c r="AR27" i="2"/>
  <c r="AJ27" i="2"/>
  <c r="L27" i="2"/>
  <c r="BH27" i="2"/>
  <c r="AV27" i="2"/>
  <c r="AB27" i="2"/>
  <c r="P27" i="2"/>
  <c r="H27" i="2"/>
  <c r="BK21" i="2"/>
  <c r="BK19" i="2"/>
  <c r="BK18" i="2"/>
  <c r="T18" i="2" s="1"/>
  <c r="AN14" i="2"/>
  <c r="AK11" i="2"/>
  <c r="BD20" i="2"/>
  <c r="AZ20" i="2"/>
  <c r="AR20" i="2"/>
  <c r="AJ20" i="2"/>
  <c r="P20" i="2"/>
  <c r="H20" i="2"/>
  <c r="BH20" i="2"/>
  <c r="AV20" i="2"/>
  <c r="AB20" i="2"/>
  <c r="L20" i="2"/>
  <c r="BC42" i="2"/>
  <c r="BE10" i="2"/>
  <c r="BA14" i="2"/>
  <c r="Q13" i="2"/>
  <c r="AC11" i="2"/>
  <c r="M13" i="2"/>
  <c r="T11" i="2" l="1"/>
  <c r="AF11" i="2"/>
  <c r="T25" i="2"/>
  <c r="AN13" i="2"/>
  <c r="AN16" i="2"/>
  <c r="T30" i="2"/>
  <c r="T19" i="2"/>
  <c r="BD10" i="2"/>
  <c r="T13" i="2"/>
  <c r="T16" i="2"/>
  <c r="Q14" i="2"/>
  <c r="AK12" i="2"/>
  <c r="BH21" i="2"/>
  <c r="AV21" i="2"/>
  <c r="AF21" i="2"/>
  <c r="AB21" i="2"/>
  <c r="L21" i="2"/>
  <c r="AZ21" i="2"/>
  <c r="AR21" i="2"/>
  <c r="AJ21" i="2"/>
  <c r="P21" i="2"/>
  <c r="AN21" i="2"/>
  <c r="BD21" i="2"/>
  <c r="H21" i="2"/>
  <c r="M14" i="2"/>
  <c r="BE11" i="2"/>
  <c r="BD18" i="2"/>
  <c r="AZ18" i="2"/>
  <c r="AR18" i="2"/>
  <c r="AJ18" i="2"/>
  <c r="L18" i="2"/>
  <c r="BH18" i="2"/>
  <c r="AV18" i="2"/>
  <c r="P18" i="2"/>
  <c r="AN18" i="2"/>
  <c r="AF18" i="2"/>
  <c r="H18" i="2"/>
  <c r="AB18" i="2"/>
  <c r="BH19" i="2"/>
  <c r="AV19" i="2"/>
  <c r="AF19" i="2"/>
  <c r="AB19" i="2"/>
  <c r="L19" i="2"/>
  <c r="AZ19" i="2"/>
  <c r="AR19" i="2"/>
  <c r="AJ19" i="2"/>
  <c r="P19" i="2"/>
  <c r="AN19" i="2"/>
  <c r="BD19" i="2"/>
  <c r="H19" i="2"/>
  <c r="T21" i="2"/>
  <c r="T10" i="2"/>
  <c r="AZ11" i="2"/>
  <c r="AR11" i="2"/>
  <c r="AJ11" i="2"/>
  <c r="P11" i="2"/>
  <c r="BH11" i="2"/>
  <c r="AV11" i="2"/>
  <c r="L11" i="2"/>
  <c r="H11" i="2"/>
  <c r="AB11" i="2"/>
  <c r="BD11" i="2"/>
  <c r="AN11" i="2"/>
  <c r="BH13" i="2"/>
  <c r="AV13" i="2"/>
  <c r="L13" i="2"/>
  <c r="AZ13" i="2"/>
  <c r="AR13" i="2"/>
  <c r="AJ13" i="2"/>
  <c r="P13" i="2"/>
  <c r="H13" i="2"/>
  <c r="AB13" i="2"/>
  <c r="BD13" i="2"/>
  <c r="AZ16" i="2"/>
  <c r="AR16" i="2"/>
  <c r="AJ16" i="2"/>
  <c r="P16" i="2"/>
  <c r="BH16" i="2"/>
  <c r="AV16" i="2"/>
  <c r="L16" i="2"/>
  <c r="H16" i="2"/>
  <c r="AB16" i="2"/>
  <c r="BD16" i="2"/>
  <c r="AZ25" i="2"/>
  <c r="AR25" i="2"/>
  <c r="AJ25" i="2"/>
  <c r="P25" i="2"/>
  <c r="BH25" i="2"/>
  <c r="AB25" i="2"/>
  <c r="L25" i="2"/>
  <c r="AV25" i="2"/>
  <c r="AF25" i="2"/>
  <c r="H25" i="2"/>
  <c r="AN25" i="2"/>
  <c r="BD25" i="2"/>
  <c r="AC12" i="2"/>
  <c r="BA15" i="2"/>
  <c r="AS14" i="2"/>
  <c r="AG14" i="2"/>
  <c r="BI14" i="2"/>
  <c r="AW12" i="2"/>
  <c r="BK42" i="2"/>
  <c r="T42" i="2" s="1"/>
  <c r="AZ10" i="2"/>
  <c r="AB10" i="2"/>
  <c r="BL10" i="2"/>
  <c r="V10" i="2" s="1"/>
  <c r="BH10" i="2"/>
  <c r="AR10" i="2"/>
  <c r="AF10" i="2"/>
  <c r="X10" i="2"/>
  <c r="P10" i="2"/>
  <c r="L10" i="2"/>
  <c r="H10" i="2"/>
  <c r="AJ10" i="2"/>
  <c r="AV10" i="2"/>
  <c r="U12" i="2"/>
  <c r="AO11" i="2"/>
  <c r="BH30" i="2"/>
  <c r="AV30" i="2"/>
  <c r="AB30" i="2"/>
  <c r="P30" i="2"/>
  <c r="H30" i="2"/>
  <c r="AZ30" i="2"/>
  <c r="AJ30" i="2"/>
  <c r="L30" i="2"/>
  <c r="BD30" i="2"/>
  <c r="AR30" i="2"/>
  <c r="AN30" i="2"/>
  <c r="AF30" i="2"/>
  <c r="I13" i="2"/>
  <c r="AP10" i="2" l="1"/>
  <c r="AC13" i="2"/>
  <c r="I14" i="2"/>
  <c r="U13" i="2"/>
  <c r="N10" i="2"/>
  <c r="BB10" i="2"/>
  <c r="Z10" i="2"/>
  <c r="AT10" i="2"/>
  <c r="R10" i="2"/>
  <c r="AH10" i="2"/>
  <c r="BJ10" i="2"/>
  <c r="AD10" i="2"/>
  <c r="AX10" i="2"/>
  <c r="AL10" i="2"/>
  <c r="J10" i="2"/>
  <c r="BL42" i="2"/>
  <c r="AV42" i="2"/>
  <c r="AZ42" i="2"/>
  <c r="AR42" i="2"/>
  <c r="AJ42" i="2"/>
  <c r="H42" i="2"/>
  <c r="AF42" i="2"/>
  <c r="BH42" i="2"/>
  <c r="AB42" i="2"/>
  <c r="AW13" i="2"/>
  <c r="BI15" i="2"/>
  <c r="AG15" i="2"/>
  <c r="AS15" i="2"/>
  <c r="BA16" i="2"/>
  <c r="BL11" i="2"/>
  <c r="BF11" i="2" s="1"/>
  <c r="BD42" i="2"/>
  <c r="BF10" i="2"/>
  <c r="M15" i="2"/>
  <c r="AO12" i="2"/>
  <c r="BE12" i="2"/>
  <c r="AK13" i="2"/>
  <c r="Q15" i="2"/>
  <c r="AP11" i="2" l="1"/>
  <c r="Q16" i="2"/>
  <c r="AK14" i="2"/>
  <c r="M16" i="2"/>
  <c r="BI16" i="2"/>
  <c r="BE13" i="2"/>
  <c r="AO13" i="2"/>
  <c r="AT11" i="2"/>
  <c r="AH11" i="2"/>
  <c r="BJ11" i="2"/>
  <c r="BL12" i="2"/>
  <c r="BB11" i="2"/>
  <c r="N11" i="2"/>
  <c r="R11" i="2"/>
  <c r="J11" i="2"/>
  <c r="V11" i="2"/>
  <c r="AL11" i="2"/>
  <c r="AD11" i="2"/>
  <c r="AX11" i="2"/>
  <c r="BA17" i="2"/>
  <c r="AS16" i="2"/>
  <c r="AG16" i="2"/>
  <c r="AW14" i="2"/>
  <c r="U14" i="2"/>
  <c r="I15" i="2"/>
  <c r="AC14" i="2"/>
  <c r="AC15" i="2" l="1"/>
  <c r="I16" i="2"/>
  <c r="U15" i="2"/>
  <c r="AO14" i="2"/>
  <c r="BE14" i="2"/>
  <c r="Q17" i="2"/>
  <c r="AW15" i="2"/>
  <c r="AG17" i="2"/>
  <c r="AS17" i="2"/>
  <c r="BA18" i="2"/>
  <c r="BB12" i="2"/>
  <c r="N12" i="2"/>
  <c r="BJ12" i="2"/>
  <c r="AH12" i="2"/>
  <c r="AT12" i="2"/>
  <c r="R12" i="2"/>
  <c r="BL13" i="2"/>
  <c r="J12" i="2"/>
  <c r="AL12" i="2"/>
  <c r="AD12" i="2"/>
  <c r="V12" i="2"/>
  <c r="AX12" i="2"/>
  <c r="AP12" i="2"/>
  <c r="BF12" i="2"/>
  <c r="BI17" i="2"/>
  <c r="M17" i="2"/>
  <c r="AK15" i="2"/>
  <c r="AK16" i="2" l="1"/>
  <c r="BI18" i="2"/>
  <c r="M18" i="2"/>
  <c r="BL14" i="2"/>
  <c r="AP14" i="2" s="1"/>
  <c r="BB13" i="2"/>
  <c r="N13" i="2"/>
  <c r="R13" i="2"/>
  <c r="AT13" i="2"/>
  <c r="AH13" i="2"/>
  <c r="BJ13" i="2"/>
  <c r="J13" i="2"/>
  <c r="AL13" i="2"/>
  <c r="AX13" i="2"/>
  <c r="V13" i="2"/>
  <c r="AD13" i="2"/>
  <c r="BA19" i="2"/>
  <c r="BF13" i="2"/>
  <c r="AO15" i="2"/>
  <c r="AC16" i="2"/>
  <c r="AS18" i="2"/>
  <c r="AG18" i="2"/>
  <c r="AW16" i="2"/>
  <c r="Q18" i="2"/>
  <c r="BE15" i="2"/>
  <c r="AP13" i="2"/>
  <c r="U16" i="2"/>
  <c r="I17" i="2"/>
  <c r="BF14" i="2" l="1"/>
  <c r="I18" i="2"/>
  <c r="U17" i="2"/>
  <c r="Q19" i="2"/>
  <c r="AW17" i="2"/>
  <c r="AC17" i="2"/>
  <c r="AO16" i="2"/>
  <c r="BL15" i="2"/>
  <c r="AP15" i="2" s="1"/>
  <c r="BB14" i="2"/>
  <c r="BJ14" i="2"/>
  <c r="N14" i="2"/>
  <c r="R14" i="2"/>
  <c r="AH14" i="2"/>
  <c r="AT14" i="2"/>
  <c r="J14" i="2"/>
  <c r="AD14" i="2"/>
  <c r="V14" i="2"/>
  <c r="AX14" i="2"/>
  <c r="AL14" i="2"/>
  <c r="BE16" i="2"/>
  <c r="AG19" i="2"/>
  <c r="AS19" i="2"/>
  <c r="BA20" i="2"/>
  <c r="M19" i="2"/>
  <c r="BI19" i="2"/>
  <c r="AK17" i="2"/>
  <c r="BF15" i="2" l="1"/>
  <c r="AK18" i="2"/>
  <c r="AS20" i="2"/>
  <c r="M20" i="2"/>
  <c r="AG20" i="2"/>
  <c r="BE17" i="2"/>
  <c r="BL16" i="2"/>
  <c r="BF16" i="2" s="1"/>
  <c r="BB15" i="2"/>
  <c r="R15" i="2"/>
  <c r="N15" i="2"/>
  <c r="BJ15" i="2"/>
  <c r="AT15" i="2"/>
  <c r="AH15" i="2"/>
  <c r="J15" i="2"/>
  <c r="AD15" i="2"/>
  <c r="AX15" i="2"/>
  <c r="V15" i="2"/>
  <c r="AL15" i="2"/>
  <c r="AO17" i="2"/>
  <c r="AC18" i="2"/>
  <c r="U18" i="2"/>
  <c r="I19" i="2"/>
  <c r="BI20" i="2"/>
  <c r="BA21" i="2"/>
  <c r="AW18" i="2"/>
  <c r="Q20" i="2"/>
  <c r="AP16" i="2" l="1"/>
  <c r="Q21" i="2"/>
  <c r="BA22" i="2"/>
  <c r="BI21" i="2"/>
  <c r="I20" i="2"/>
  <c r="U19" i="2"/>
  <c r="AC19" i="2"/>
  <c r="AO18" i="2"/>
  <c r="BL17" i="2"/>
  <c r="AP17" i="2" s="1"/>
  <c r="BB16" i="2"/>
  <c r="R16" i="2"/>
  <c r="AH16" i="2"/>
  <c r="AT16" i="2"/>
  <c r="BJ16" i="2"/>
  <c r="N16" i="2"/>
  <c r="J16" i="2"/>
  <c r="V16" i="2"/>
  <c r="AD16" i="2"/>
  <c r="AX16" i="2"/>
  <c r="AL16" i="2"/>
  <c r="BE18" i="2"/>
  <c r="AG21" i="2"/>
  <c r="AK19" i="2"/>
  <c r="AW19" i="2"/>
  <c r="M21" i="2"/>
  <c r="AS21" i="2"/>
  <c r="BF17" i="2" l="1"/>
  <c r="AS22" i="2"/>
  <c r="AG22" i="2"/>
  <c r="BE19" i="2"/>
  <c r="BL18" i="2"/>
  <c r="BF18" i="2" s="1"/>
  <c r="BB17" i="2"/>
  <c r="BJ17" i="2"/>
  <c r="N17" i="2"/>
  <c r="AT17" i="2"/>
  <c r="AH17" i="2"/>
  <c r="R17" i="2"/>
  <c r="J17" i="2"/>
  <c r="AL17" i="2"/>
  <c r="AD17" i="2"/>
  <c r="V17" i="2"/>
  <c r="AX17" i="2"/>
  <c r="AO19" i="2"/>
  <c r="U20" i="2"/>
  <c r="I21" i="2"/>
  <c r="M22" i="2"/>
  <c r="AW20" i="2"/>
  <c r="AK20" i="2"/>
  <c r="AC20" i="2"/>
  <c r="BI22" i="2"/>
  <c r="BA23" i="2"/>
  <c r="Q22" i="2"/>
  <c r="AP18" i="2" l="1"/>
  <c r="Q23" i="2"/>
  <c r="BA24" i="2"/>
  <c r="AC21" i="2"/>
  <c r="AW21" i="2"/>
  <c r="M23" i="2"/>
  <c r="I22" i="2"/>
  <c r="U21" i="2"/>
  <c r="AO20" i="2"/>
  <c r="BL19" i="2"/>
  <c r="BF19" i="2" s="1"/>
  <c r="BB18" i="2"/>
  <c r="R18" i="2"/>
  <c r="AT18" i="2"/>
  <c r="BJ18" i="2"/>
  <c r="AH18" i="2"/>
  <c r="N18" i="2"/>
  <c r="J18" i="2"/>
  <c r="V18" i="2"/>
  <c r="AD18" i="2"/>
  <c r="AL18" i="2"/>
  <c r="AX18" i="2"/>
  <c r="BE20" i="2"/>
  <c r="AG23" i="2"/>
  <c r="BI23" i="2"/>
  <c r="AK21" i="2"/>
  <c r="AS23" i="2"/>
  <c r="AP19" i="2" l="1"/>
  <c r="AK22" i="2"/>
  <c r="AS24" i="2"/>
  <c r="AG24" i="2"/>
  <c r="BE21" i="2"/>
  <c r="BL20" i="2"/>
  <c r="BF20" i="2" s="1"/>
  <c r="BB19" i="2"/>
  <c r="AH19" i="2"/>
  <c r="AT19" i="2"/>
  <c r="N19" i="2"/>
  <c r="BJ19" i="2"/>
  <c r="R19" i="2"/>
  <c r="J19" i="2"/>
  <c r="V19" i="2"/>
  <c r="AX19" i="2"/>
  <c r="AL19" i="2"/>
  <c r="AD19" i="2"/>
  <c r="AO21" i="2"/>
  <c r="U22" i="2"/>
  <c r="I23" i="2"/>
  <c r="BI24" i="2"/>
  <c r="M24" i="2"/>
  <c r="AW22" i="2"/>
  <c r="AC22" i="2"/>
  <c r="BA25" i="2"/>
  <c r="Q24" i="2"/>
  <c r="AP20" i="2" l="1"/>
  <c r="AC23" i="2"/>
  <c r="AW23" i="2"/>
  <c r="M25" i="2"/>
  <c r="BA26" i="2"/>
  <c r="I24" i="2"/>
  <c r="U23" i="2"/>
  <c r="AO22" i="2"/>
  <c r="BL21" i="2"/>
  <c r="AP21" i="2" s="1"/>
  <c r="BB20" i="2"/>
  <c r="AH20" i="2"/>
  <c r="R20" i="2"/>
  <c r="BJ20" i="2"/>
  <c r="N20" i="2"/>
  <c r="AT20" i="2"/>
  <c r="J20" i="2"/>
  <c r="V20" i="2"/>
  <c r="AD20" i="2"/>
  <c r="AX20" i="2"/>
  <c r="AL20" i="2"/>
  <c r="BE22" i="2"/>
  <c r="Q25" i="2"/>
  <c r="BI25" i="2"/>
  <c r="AG25" i="2"/>
  <c r="AS25" i="2"/>
  <c r="AK23" i="2"/>
  <c r="BF21" i="2" l="1"/>
  <c r="BI26" i="2"/>
  <c r="AG26" i="2"/>
  <c r="BE23" i="2"/>
  <c r="BL22" i="2"/>
  <c r="AP22" i="2" s="1"/>
  <c r="BB21" i="2"/>
  <c r="AH21" i="2"/>
  <c r="AT21" i="2"/>
  <c r="N21" i="2"/>
  <c r="BJ21" i="2"/>
  <c r="R21" i="2"/>
  <c r="J21" i="2"/>
  <c r="V21" i="2"/>
  <c r="AL21" i="2"/>
  <c r="AX21" i="2"/>
  <c r="AD21" i="2"/>
  <c r="AO23" i="2"/>
  <c r="U24" i="2"/>
  <c r="I25" i="2"/>
  <c r="AK24" i="2"/>
  <c r="AS26" i="2"/>
  <c r="Q26" i="2"/>
  <c r="BA27" i="2"/>
  <c r="M26" i="2"/>
  <c r="AW24" i="2"/>
  <c r="AC24" i="2"/>
  <c r="I26" i="2" l="1"/>
  <c r="AO24" i="2"/>
  <c r="BL23" i="2"/>
  <c r="BF23" i="2" s="1"/>
  <c r="BB22" i="2"/>
  <c r="AH22" i="2"/>
  <c r="R22" i="2"/>
  <c r="N22" i="2"/>
  <c r="BJ22" i="2"/>
  <c r="AT22" i="2"/>
  <c r="J22" i="2"/>
  <c r="V22" i="2"/>
  <c r="AD22" i="2"/>
  <c r="AX22" i="2"/>
  <c r="AL22" i="2"/>
  <c r="BF22" i="2"/>
  <c r="AG27" i="2"/>
  <c r="AC25" i="2"/>
  <c r="AW25" i="2"/>
  <c r="M27" i="2"/>
  <c r="BA28" i="2"/>
  <c r="Q27" i="2"/>
  <c r="AS27" i="2"/>
  <c r="AK25" i="2"/>
  <c r="U25" i="2"/>
  <c r="BE24" i="2"/>
  <c r="BI27" i="2"/>
  <c r="BI28" i="2" l="1"/>
  <c r="AS28" i="2"/>
  <c r="Q28" i="2"/>
  <c r="BA29" i="2"/>
  <c r="M28" i="2"/>
  <c r="AW26" i="2"/>
  <c r="AC26" i="2"/>
  <c r="BL24" i="2"/>
  <c r="AP24" i="2" s="1"/>
  <c r="BB23" i="2"/>
  <c r="AT23" i="2"/>
  <c r="AH23" i="2"/>
  <c r="BJ23" i="2"/>
  <c r="N23" i="2"/>
  <c r="R23" i="2"/>
  <c r="J23" i="2"/>
  <c r="V23" i="2"/>
  <c r="AL23" i="2"/>
  <c r="AX23" i="2"/>
  <c r="AD23" i="2"/>
  <c r="AO25" i="2"/>
  <c r="I27" i="2"/>
  <c r="BE25" i="2"/>
  <c r="U26" i="2"/>
  <c r="AK26" i="2"/>
  <c r="AG28" i="2"/>
  <c r="AP23" i="2"/>
  <c r="BF24" i="2" l="1"/>
  <c r="AK27" i="2"/>
  <c r="I28" i="2"/>
  <c r="AG29" i="2"/>
  <c r="U27" i="2"/>
  <c r="BE26" i="2"/>
  <c r="AO26" i="2"/>
  <c r="BL25" i="2"/>
  <c r="BB24" i="2"/>
  <c r="N24" i="2"/>
  <c r="R24" i="2"/>
  <c r="BJ24" i="2"/>
  <c r="AT24" i="2"/>
  <c r="AH24" i="2"/>
  <c r="J24" i="2"/>
  <c r="AD24" i="2"/>
  <c r="AX24" i="2"/>
  <c r="AL24" i="2"/>
  <c r="V24" i="2"/>
  <c r="AC27" i="2"/>
  <c r="AW27" i="2"/>
  <c r="M29" i="2"/>
  <c r="BA30" i="2"/>
  <c r="Q29" i="2"/>
  <c r="AS29" i="2"/>
  <c r="BI29" i="2"/>
  <c r="BI30" i="2" l="1"/>
  <c r="BL26" i="2"/>
  <c r="AP26" i="2" s="1"/>
  <c r="BB25" i="2"/>
  <c r="AH25" i="2"/>
  <c r="BJ25" i="2"/>
  <c r="AT25" i="2"/>
  <c r="R25" i="2"/>
  <c r="N25" i="2"/>
  <c r="J25" i="2"/>
  <c r="V25" i="2"/>
  <c r="AX25" i="2"/>
  <c r="AD25" i="2"/>
  <c r="AL25" i="2"/>
  <c r="AO27" i="2"/>
  <c r="BE27" i="2"/>
  <c r="U28" i="2"/>
  <c r="AG30" i="2"/>
  <c r="AS30" i="2"/>
  <c r="Q30" i="2"/>
  <c r="BA31" i="2"/>
  <c r="M30" i="2"/>
  <c r="AW28" i="2"/>
  <c r="AC28" i="2"/>
  <c r="AP25" i="2"/>
  <c r="BF25" i="2"/>
  <c r="I29" i="2"/>
  <c r="AK28" i="2"/>
  <c r="BF26" i="2" l="1"/>
  <c r="AK29" i="2"/>
  <c r="AG31" i="2"/>
  <c r="U29" i="2"/>
  <c r="BE28" i="2"/>
  <c r="AO28" i="2"/>
  <c r="BL27" i="2"/>
  <c r="BB26" i="2"/>
  <c r="N26" i="2"/>
  <c r="R26" i="2"/>
  <c r="AT26" i="2"/>
  <c r="BJ26" i="2"/>
  <c r="AH26" i="2"/>
  <c r="J26" i="2"/>
  <c r="V26" i="2"/>
  <c r="AL26" i="2"/>
  <c r="AD26" i="2"/>
  <c r="AX26" i="2"/>
  <c r="BI31" i="2"/>
  <c r="I30" i="2"/>
  <c r="AC29" i="2"/>
  <c r="AW29" i="2"/>
  <c r="M31" i="2"/>
  <c r="BA32" i="2"/>
  <c r="Q31" i="2"/>
  <c r="AS31" i="2"/>
  <c r="BL28" i="2" l="1"/>
  <c r="AP28" i="2" s="1"/>
  <c r="BB27" i="2"/>
  <c r="BJ27" i="2"/>
  <c r="AT27" i="2"/>
  <c r="R27" i="2"/>
  <c r="N27" i="2"/>
  <c r="AH27" i="2"/>
  <c r="J27" i="2"/>
  <c r="V27" i="2"/>
  <c r="AX27" i="2"/>
  <c r="AD27" i="2"/>
  <c r="AL27" i="2"/>
  <c r="AO29" i="2"/>
  <c r="BE29" i="2"/>
  <c r="U30" i="2"/>
  <c r="AG32" i="2"/>
  <c r="AS32" i="2"/>
  <c r="Q32" i="2"/>
  <c r="BA33" i="2"/>
  <c r="M32" i="2"/>
  <c r="AW30" i="2"/>
  <c r="AC30" i="2"/>
  <c r="I31" i="2"/>
  <c r="BI32" i="2"/>
  <c r="AP27" i="2"/>
  <c r="BF27" i="2"/>
  <c r="AK30" i="2"/>
  <c r="BF28" i="2" l="1"/>
  <c r="AK31" i="2"/>
  <c r="I32" i="2"/>
  <c r="M33" i="2"/>
  <c r="AC31" i="2"/>
  <c r="AG33" i="2"/>
  <c r="U31" i="2"/>
  <c r="AO30" i="2"/>
  <c r="BL29" i="2"/>
  <c r="BF29" i="2" s="1"/>
  <c r="BB28" i="2"/>
  <c r="AH28" i="2"/>
  <c r="N28" i="2"/>
  <c r="R28" i="2"/>
  <c r="AT28" i="2"/>
  <c r="BJ28" i="2"/>
  <c r="J28" i="2"/>
  <c r="V28" i="2"/>
  <c r="AL28" i="2"/>
  <c r="AD28" i="2"/>
  <c r="AX28" i="2"/>
  <c r="BI33" i="2"/>
  <c r="AW31" i="2"/>
  <c r="BA34" i="2"/>
  <c r="Q33" i="2"/>
  <c r="AS33" i="2"/>
  <c r="BE30" i="2"/>
  <c r="BE31" i="2" l="1"/>
  <c r="BL30" i="2"/>
  <c r="AP30" i="2" s="1"/>
  <c r="BB29" i="2"/>
  <c r="BJ29" i="2"/>
  <c r="AH29" i="2"/>
  <c r="AT29" i="2"/>
  <c r="R29" i="2"/>
  <c r="N29" i="2"/>
  <c r="J29" i="2"/>
  <c r="V29" i="2"/>
  <c r="AX29" i="2"/>
  <c r="AL29" i="2"/>
  <c r="AD29" i="2"/>
  <c r="AO31" i="2"/>
  <c r="U32" i="2"/>
  <c r="AG34" i="2"/>
  <c r="AS34" i="2"/>
  <c r="Q34" i="2"/>
  <c r="BA35" i="2"/>
  <c r="AW32" i="2"/>
  <c r="BI34" i="2"/>
  <c r="AP29" i="2"/>
  <c r="AC32" i="2"/>
  <c r="M34" i="2"/>
  <c r="I33" i="2"/>
  <c r="AK32" i="2"/>
  <c r="AK33" i="2" l="1"/>
  <c r="I34" i="2"/>
  <c r="M35" i="2"/>
  <c r="AC33" i="2"/>
  <c r="AG35" i="2"/>
  <c r="U33" i="2"/>
  <c r="AO32" i="2"/>
  <c r="BL31" i="2"/>
  <c r="AP31" i="2" s="1"/>
  <c r="BB30" i="2"/>
  <c r="AH30" i="2"/>
  <c r="BJ30" i="2"/>
  <c r="N30" i="2"/>
  <c r="R30" i="2"/>
  <c r="AT30" i="2"/>
  <c r="J30" i="2"/>
  <c r="V30" i="2"/>
  <c r="AL30" i="2"/>
  <c r="AD30" i="2"/>
  <c r="AX30" i="2"/>
  <c r="BE32" i="2"/>
  <c r="BI35" i="2"/>
  <c r="AW33" i="2"/>
  <c r="BA36" i="2"/>
  <c r="Q35" i="2"/>
  <c r="AS35" i="2"/>
  <c r="BF30" i="2"/>
  <c r="BF31" i="2" l="1"/>
  <c r="BE33" i="2"/>
  <c r="BL32" i="2"/>
  <c r="AP32" i="2" s="1"/>
  <c r="BB31" i="2"/>
  <c r="AH31" i="2"/>
  <c r="AT31" i="2"/>
  <c r="R31" i="2"/>
  <c r="N31" i="2"/>
  <c r="BJ31" i="2"/>
  <c r="J31" i="2"/>
  <c r="V31" i="2"/>
  <c r="AX31" i="2"/>
  <c r="AD31" i="2"/>
  <c r="AL31" i="2"/>
  <c r="AO33" i="2"/>
  <c r="U34" i="2"/>
  <c r="AS36" i="2"/>
  <c r="Q36" i="2"/>
  <c r="BA37" i="2"/>
  <c r="AW34" i="2"/>
  <c r="BI36" i="2"/>
  <c r="AG36" i="2"/>
  <c r="AC34" i="2"/>
  <c r="M36" i="2"/>
  <c r="I35" i="2"/>
  <c r="AK34" i="2"/>
  <c r="I36" i="2" l="1"/>
  <c r="AC35" i="2"/>
  <c r="U35" i="2"/>
  <c r="AO34" i="2"/>
  <c r="BL33" i="2"/>
  <c r="BB32" i="2"/>
  <c r="AH32" i="2"/>
  <c r="N32" i="2"/>
  <c r="BJ32" i="2"/>
  <c r="R32" i="2"/>
  <c r="AT32" i="2"/>
  <c r="J32" i="2"/>
  <c r="V32" i="2"/>
  <c r="AL32" i="2"/>
  <c r="AD32" i="2"/>
  <c r="AX32" i="2"/>
  <c r="BE34" i="2"/>
  <c r="AK35" i="2"/>
  <c r="M37" i="2"/>
  <c r="AG37" i="2"/>
  <c r="BI37" i="2"/>
  <c r="AW35" i="2"/>
  <c r="BA38" i="2"/>
  <c r="Q37" i="2"/>
  <c r="AS37" i="2"/>
  <c r="BF32" i="2"/>
  <c r="AS38" i="2" l="1"/>
  <c r="BE35" i="2"/>
  <c r="BL34" i="2"/>
  <c r="BB33" i="2"/>
  <c r="AH33" i="2"/>
  <c r="AT33" i="2"/>
  <c r="R33" i="2"/>
  <c r="BJ33" i="2"/>
  <c r="N33" i="2"/>
  <c r="J33" i="2"/>
  <c r="V33" i="2"/>
  <c r="AX33" i="2"/>
  <c r="AD33" i="2"/>
  <c r="AL33" i="2"/>
  <c r="AO35" i="2"/>
  <c r="U36" i="2"/>
  <c r="Q38" i="2"/>
  <c r="BA39" i="2"/>
  <c r="AW36" i="2"/>
  <c r="BI38" i="2"/>
  <c r="AG38" i="2"/>
  <c r="M38" i="2"/>
  <c r="AK36" i="2"/>
  <c r="BF33" i="2"/>
  <c r="AP33" i="2"/>
  <c r="AC36" i="2"/>
  <c r="I37" i="2"/>
  <c r="AG39" i="2" l="1"/>
  <c r="BI39" i="2"/>
  <c r="U37" i="2"/>
  <c r="AO36" i="2"/>
  <c r="BL35" i="2"/>
  <c r="BB34" i="2"/>
  <c r="N34" i="2"/>
  <c r="AH34" i="2"/>
  <c r="BJ34" i="2"/>
  <c r="R34" i="2"/>
  <c r="AT34" i="2"/>
  <c r="J34" i="2"/>
  <c r="V34" i="2"/>
  <c r="AD34" i="2"/>
  <c r="AL34" i="2"/>
  <c r="AX34" i="2"/>
  <c r="BE36" i="2"/>
  <c r="I38" i="2"/>
  <c r="AC37" i="2"/>
  <c r="AK37" i="2"/>
  <c r="M39" i="2"/>
  <c r="AW37" i="2"/>
  <c r="BA40" i="2"/>
  <c r="Q39" i="2"/>
  <c r="AP34" i="2"/>
  <c r="BF34" i="2"/>
  <c r="AS39" i="2"/>
  <c r="AK38" i="2" l="1"/>
  <c r="BE37" i="2"/>
  <c r="BL36" i="2"/>
  <c r="BB35" i="2"/>
  <c r="AT35" i="2"/>
  <c r="R35" i="2"/>
  <c r="BJ35" i="2"/>
  <c r="AH35" i="2"/>
  <c r="N35" i="2"/>
  <c r="J35" i="2"/>
  <c r="V35" i="2"/>
  <c r="AX35" i="2"/>
  <c r="AL35" i="2"/>
  <c r="AD35" i="2"/>
  <c r="AO37" i="2"/>
  <c r="AS40" i="2"/>
  <c r="Q40" i="2"/>
  <c r="AW38" i="2"/>
  <c r="M40" i="2"/>
  <c r="AC38" i="2"/>
  <c r="I39" i="2"/>
  <c r="BF35" i="2"/>
  <c r="AP35" i="2"/>
  <c r="U38" i="2"/>
  <c r="BI40" i="2"/>
  <c r="AG40" i="2"/>
  <c r="I40" i="2" l="1"/>
  <c r="AC39" i="2"/>
  <c r="AO38" i="2"/>
  <c r="BL37" i="2"/>
  <c r="BF37" i="2" s="1"/>
  <c r="BB36" i="2"/>
  <c r="AT36" i="2"/>
  <c r="N36" i="2"/>
  <c r="AH36" i="2"/>
  <c r="BJ36" i="2"/>
  <c r="R36" i="2"/>
  <c r="J36" i="2"/>
  <c r="AL36" i="2"/>
  <c r="V36" i="2"/>
  <c r="AD36" i="2"/>
  <c r="AX36" i="2"/>
  <c r="BF36" i="2"/>
  <c r="U39" i="2"/>
  <c r="AW39" i="2"/>
  <c r="AP36" i="2"/>
  <c r="BE38" i="2"/>
  <c r="AK39" i="2"/>
  <c r="BE39" i="2" l="1"/>
  <c r="U40" i="2"/>
  <c r="AO39" i="2"/>
  <c r="AK40" i="2"/>
  <c r="AW40" i="2"/>
  <c r="BL38" i="2"/>
  <c r="BB37" i="2"/>
  <c r="BJ37" i="2"/>
  <c r="AH37" i="2"/>
  <c r="AT37" i="2"/>
  <c r="R37" i="2"/>
  <c r="N37" i="2"/>
  <c r="J37" i="2"/>
  <c r="AD37" i="2"/>
  <c r="AL37" i="2"/>
  <c r="AX37" i="2"/>
  <c r="V37" i="2"/>
  <c r="AP37" i="2"/>
  <c r="AC40" i="2"/>
  <c r="BL39" i="2" l="1"/>
  <c r="AP39" i="2" s="1"/>
  <c r="BB38" i="2"/>
  <c r="AH38" i="2"/>
  <c r="BJ38" i="2"/>
  <c r="N38" i="2"/>
  <c r="R38" i="2"/>
  <c r="AT38" i="2"/>
  <c r="J38" i="2"/>
  <c r="V38" i="2"/>
  <c r="AD38" i="2"/>
  <c r="AX38" i="2"/>
  <c r="AL38" i="2"/>
  <c r="AO40" i="2"/>
  <c r="BE40" i="2"/>
  <c r="AP38" i="2"/>
  <c r="BF38" i="2"/>
  <c r="BF39" i="2" l="1"/>
  <c r="BL40" i="2"/>
  <c r="BF40" i="2" s="1"/>
  <c r="BB39" i="2"/>
  <c r="R39" i="2"/>
  <c r="N39" i="2"/>
  <c r="BJ39" i="2"/>
  <c r="AH39" i="2"/>
  <c r="AT39" i="2"/>
  <c r="J39" i="2"/>
  <c r="AD39" i="2"/>
  <c r="V39" i="2"/>
  <c r="AL39" i="2"/>
  <c r="AX39" i="2"/>
  <c r="BB40" i="2" l="1"/>
  <c r="AH40" i="2"/>
  <c r="N40" i="2"/>
  <c r="AT40" i="2"/>
  <c r="BJ40" i="2"/>
  <c r="R40" i="2"/>
  <c r="J40" i="2"/>
  <c r="AD40" i="2"/>
  <c r="AL40" i="2"/>
  <c r="V40" i="2"/>
  <c r="AX40" i="2"/>
  <c r="AP40" i="2"/>
  <c r="G42" i="16" l="1"/>
  <c r="I37" i="16" s="1"/>
  <c r="F42" i="16"/>
  <c r="C43" i="16"/>
  <c r="G42" i="17" l="1"/>
  <c r="I37" i="17" s="1"/>
  <c r="F42" i="17"/>
  <c r="C43" i="18" l="1"/>
  <c r="C43" i="19" l="1"/>
  <c r="C40" i="24" l="1"/>
  <c r="C43" i="27" l="1"/>
  <c r="C43" i="29" l="1"/>
  <c r="C43" i="30" l="1"/>
  <c r="G42" i="31" l="1"/>
  <c r="I37" i="31" s="1"/>
  <c r="F42" i="31"/>
  <c r="I49" i="4" l="1"/>
  <c r="I49" i="6"/>
  <c r="I49" i="43" l="1"/>
  <c r="I49" i="37"/>
  <c r="C43" i="33" l="1"/>
  <c r="F23" i="33" l="1"/>
  <c r="C38" i="43"/>
  <c r="R24" i="43"/>
  <c r="U24" i="43" s="1"/>
  <c r="R15" i="43"/>
  <c r="U15" i="43" s="1"/>
  <c r="R24" i="4"/>
  <c r="U24" i="4" s="1"/>
  <c r="R15" i="4"/>
  <c r="U15" i="4" s="1"/>
  <c r="S8" i="4"/>
  <c r="R8" i="4"/>
  <c r="R7" i="4"/>
  <c r="U7" i="4" s="1"/>
  <c r="R24" i="37"/>
  <c r="U24" i="37" s="1"/>
  <c r="R15" i="37"/>
  <c r="U15" i="37" s="1"/>
  <c r="S8" i="37"/>
  <c r="R8" i="37"/>
  <c r="R7" i="37"/>
  <c r="U7" i="37" s="1"/>
  <c r="R24" i="6"/>
  <c r="U24" i="6" s="1"/>
  <c r="R15" i="6"/>
  <c r="U15" i="6" s="1"/>
  <c r="S8" i="6"/>
  <c r="R8" i="6"/>
  <c r="R7" i="6"/>
  <c r="U7" i="6" s="1"/>
  <c r="R24" i="13"/>
  <c r="U24" i="13" s="1"/>
  <c r="R15" i="13"/>
  <c r="U15" i="13" s="1"/>
  <c r="S8" i="13"/>
  <c r="R8" i="13"/>
  <c r="R7" i="13"/>
  <c r="U7" i="13" s="1"/>
  <c r="I43" i="30"/>
  <c r="C38" i="30"/>
  <c r="C38" i="31"/>
  <c r="C38" i="32"/>
  <c r="C38" i="33"/>
  <c r="U8" i="6" l="1"/>
  <c r="U8" i="37"/>
  <c r="U8" i="4"/>
  <c r="U8" i="13"/>
  <c r="D39" i="48" l="1"/>
  <c r="G42" i="43"/>
  <c r="I37" i="43" s="1"/>
  <c r="G42" i="4"/>
  <c r="I37" i="4" s="1"/>
  <c r="F42" i="4"/>
  <c r="D38" i="48" s="1"/>
  <c r="E35" i="48"/>
  <c r="D35" i="48"/>
  <c r="D37" i="48"/>
  <c r="D36" i="48"/>
  <c r="D34" i="48"/>
  <c r="D33" i="48"/>
  <c r="E32" i="48"/>
  <c r="D32" i="48"/>
  <c r="D31" i="48"/>
  <c r="D30" i="48"/>
  <c r="E29" i="48"/>
  <c r="D29" i="48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D20" i="48"/>
  <c r="I43" i="43"/>
  <c r="I44" i="43" s="1"/>
  <c r="I43" i="4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3" i="12"/>
  <c r="I44" i="12" s="1"/>
  <c r="I43" i="13"/>
  <c r="I44" i="13" s="1"/>
  <c r="I43" i="14"/>
  <c r="I44" i="14" s="1"/>
  <c r="I43" i="15"/>
  <c r="I44" i="15" s="1"/>
  <c r="I43" i="16"/>
  <c r="I44" i="16" s="1"/>
  <c r="I43" i="17"/>
  <c r="I44" i="17" s="1"/>
  <c r="I43" i="18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3" i="27"/>
  <c r="I44" i="27" s="1"/>
  <c r="I44" i="29"/>
  <c r="I44" i="30"/>
  <c r="I43" i="32"/>
  <c r="I44" i="32" s="1"/>
  <c r="J43" i="33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7" i="2" s="1"/>
  <c r="C38" i="2" s="1"/>
  <c r="C39" i="2" s="1"/>
  <c r="C40" i="2" s="1"/>
  <c r="C10" i="2" s="1"/>
  <c r="B11" i="2" s="1"/>
  <c r="B12" i="2" s="1"/>
  <c r="B13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6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10" i="2" s="1"/>
  <c r="P39" i="48"/>
  <c r="D39" i="1" s="1"/>
  <c r="P38" i="48"/>
  <c r="D38" i="1" s="1"/>
  <c r="P37" i="48"/>
  <c r="P36" i="48"/>
  <c r="P35" i="48"/>
  <c r="P34" i="48"/>
  <c r="P33" i="48"/>
  <c r="G33" i="48" s="1"/>
  <c r="P32" i="48"/>
  <c r="G32" i="48" s="1"/>
  <c r="P31" i="48"/>
  <c r="AB31" i="48" s="1"/>
  <c r="P30" i="48"/>
  <c r="AB30" i="48" s="1"/>
  <c r="P29" i="48"/>
  <c r="P28" i="48"/>
  <c r="P27" i="48"/>
  <c r="P26" i="48"/>
  <c r="P25" i="48"/>
  <c r="P24" i="48"/>
  <c r="P23" i="48"/>
  <c r="G23" i="48" s="1"/>
  <c r="P22" i="48"/>
  <c r="P21" i="48"/>
  <c r="P20" i="48"/>
  <c r="P19" i="48"/>
  <c r="H19" i="48" s="1"/>
  <c r="P18" i="48"/>
  <c r="P17" i="48"/>
  <c r="AB17" i="48" s="1"/>
  <c r="P16" i="48"/>
  <c r="P15" i="48"/>
  <c r="AB15" i="48" s="1"/>
  <c r="P14" i="48"/>
  <c r="B13" i="45" s="1"/>
  <c r="P13" i="48"/>
  <c r="B12" i="45" s="1"/>
  <c r="P12" i="48"/>
  <c r="B11" i="45" s="1"/>
  <c r="P11" i="48"/>
  <c r="B10" i="45" s="1"/>
  <c r="P10" i="48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D19" i="48"/>
  <c r="D18" i="48"/>
  <c r="D16" i="48"/>
  <c r="D15" i="48"/>
  <c r="G42" i="27"/>
  <c r="I37" i="27" s="1"/>
  <c r="F42" i="27"/>
  <c r="D14" i="48" s="1"/>
  <c r="E13" i="48"/>
  <c r="D11" i="48"/>
  <c r="P9" i="48"/>
  <c r="Q9" i="48" s="1"/>
  <c r="D38" i="33"/>
  <c r="L34" i="26"/>
  <c r="D10" i="48"/>
  <c r="D9" i="48"/>
  <c r="H4" i="43"/>
  <c r="C14" i="43"/>
  <c r="V7" i="43" s="1"/>
  <c r="W7" i="43" s="1"/>
  <c r="D14" i="43"/>
  <c r="E14" i="43"/>
  <c r="F14" i="43"/>
  <c r="C23" i="43"/>
  <c r="V15" i="43" s="1"/>
  <c r="W15" i="43" s="1"/>
  <c r="D23" i="43"/>
  <c r="E23" i="43"/>
  <c r="F23" i="43"/>
  <c r="C32" i="43"/>
  <c r="V24" i="43" s="1"/>
  <c r="W24" i="43" s="1"/>
  <c r="D32" i="43"/>
  <c r="E32" i="43"/>
  <c r="F32" i="43"/>
  <c r="K34" i="43"/>
  <c r="L34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V7" i="4" s="1"/>
  <c r="W7" i="4" s="1"/>
  <c r="D14" i="4"/>
  <c r="E14" i="4"/>
  <c r="F14" i="4"/>
  <c r="C23" i="4"/>
  <c r="D23" i="4"/>
  <c r="E23" i="4"/>
  <c r="F23" i="4"/>
  <c r="C32" i="4"/>
  <c r="V24" i="4" s="1"/>
  <c r="W24" i="4" s="1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V24" i="37"/>
  <c r="W24" i="37" s="1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V7" i="6"/>
  <c r="W7" i="6" s="1"/>
  <c r="V15" i="6"/>
  <c r="W15" i="6" s="1"/>
  <c r="V24" i="6"/>
  <c r="W24" i="6" s="1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I44" i="11"/>
  <c r="C45" i="11"/>
  <c r="C46" i="11"/>
  <c r="C47" i="11"/>
  <c r="C48" i="11"/>
  <c r="C49" i="11"/>
  <c r="C50" i="11"/>
  <c r="C51" i="11"/>
  <c r="H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V7" i="13"/>
  <c r="W7" i="13" s="1"/>
  <c r="V15" i="13"/>
  <c r="W15" i="13" s="1"/>
  <c r="V24" i="13"/>
  <c r="W24" i="13" s="1"/>
  <c r="L34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C51" i="16"/>
  <c r="H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H4" i="18"/>
  <c r="K34" i="18"/>
  <c r="L34" i="18"/>
  <c r="C38" i="18"/>
  <c r="C39" i="18"/>
  <c r="C40" i="18"/>
  <c r="C41" i="18"/>
  <c r="C42" i="18"/>
  <c r="C44" i="18"/>
  <c r="C45" i="18"/>
  <c r="C46" i="18"/>
  <c r="C47" i="18"/>
  <c r="C48" i="18"/>
  <c r="C49" i="18"/>
  <c r="C50" i="18"/>
  <c r="C51" i="18"/>
  <c r="H4" i="19"/>
  <c r="L34" i="19"/>
  <c r="C38" i="19"/>
  <c r="C39" i="19"/>
  <c r="C40" i="19"/>
  <c r="C41" i="19"/>
  <c r="C42" i="19"/>
  <c r="C44" i="19"/>
  <c r="I44" i="19"/>
  <c r="C45" i="19"/>
  <c r="C46" i="19"/>
  <c r="C47" i="19"/>
  <c r="C48" i="19"/>
  <c r="C49" i="19"/>
  <c r="C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1" i="24"/>
  <c r="C42" i="24"/>
  <c r="C43" i="24"/>
  <c r="C44" i="24"/>
  <c r="C45" i="24"/>
  <c r="C46" i="24"/>
  <c r="C47" i="24"/>
  <c r="C48" i="24"/>
  <c r="C49" i="24"/>
  <c r="C50" i="24"/>
  <c r="C51" i="24"/>
  <c r="H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C51" i="26"/>
  <c r="H4" i="28"/>
  <c r="L34" i="28"/>
  <c r="C38" i="28"/>
  <c r="C39" i="28"/>
  <c r="C40" i="28"/>
  <c r="C41" i="28"/>
  <c r="C42" i="28"/>
  <c r="C43" i="28"/>
  <c r="C44" i="28"/>
  <c r="I44" i="28"/>
  <c r="C45" i="28"/>
  <c r="C46" i="28"/>
  <c r="C47" i="28"/>
  <c r="C48" i="28"/>
  <c r="C49" i="28"/>
  <c r="C50" i="28"/>
  <c r="C51" i="28"/>
  <c r="H4" i="27"/>
  <c r="L34" i="27"/>
  <c r="C38" i="27"/>
  <c r="C39" i="27"/>
  <c r="C40" i="27"/>
  <c r="C41" i="27"/>
  <c r="C42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4" i="29"/>
  <c r="C45" i="29"/>
  <c r="C46" i="29"/>
  <c r="C47" i="29"/>
  <c r="C48" i="29"/>
  <c r="C49" i="29"/>
  <c r="C50" i="29"/>
  <c r="C51" i="29"/>
  <c r="H4" i="30"/>
  <c r="L34" i="30"/>
  <c r="C39" i="30"/>
  <c r="C40" i="30"/>
  <c r="C41" i="30"/>
  <c r="C42" i="30"/>
  <c r="C44" i="30"/>
  <c r="C45" i="30"/>
  <c r="C47" i="30"/>
  <c r="C48" i="30"/>
  <c r="C49" i="30"/>
  <c r="C50" i="30"/>
  <c r="C51" i="30"/>
  <c r="H4" i="31"/>
  <c r="L34" i="31"/>
  <c r="C39" i="31"/>
  <c r="C40" i="31"/>
  <c r="C41" i="31"/>
  <c r="C42" i="31"/>
  <c r="C43" i="31"/>
  <c r="C44" i="31"/>
  <c r="I44" i="31"/>
  <c r="C45" i="31"/>
  <c r="C46" i="31"/>
  <c r="C47" i="31"/>
  <c r="C48" i="31"/>
  <c r="C49" i="31"/>
  <c r="C50" i="31"/>
  <c r="C51" i="31"/>
  <c r="H4" i="32"/>
  <c r="J7" i="32"/>
  <c r="J7" i="31" s="1"/>
  <c r="J8" i="32"/>
  <c r="J8" i="31" s="1"/>
  <c r="J9" i="32"/>
  <c r="J9" i="31" s="1"/>
  <c r="J10" i="32"/>
  <c r="J10" i="31" s="1"/>
  <c r="J10" i="30" s="1"/>
  <c r="J11" i="32"/>
  <c r="J11" i="31" s="1"/>
  <c r="J11" i="30" s="1"/>
  <c r="J12" i="32"/>
  <c r="J12" i="31" s="1"/>
  <c r="J12" i="30" s="1"/>
  <c r="J13" i="32"/>
  <c r="J13" i="31" s="1"/>
  <c r="J13" i="30" s="1"/>
  <c r="J14" i="32"/>
  <c r="J14" i="31" s="1"/>
  <c r="J14" i="30" s="1"/>
  <c r="J15" i="32"/>
  <c r="J15" i="31" s="1"/>
  <c r="J15" i="30" s="1"/>
  <c r="J16" i="32"/>
  <c r="J16" i="31" s="1"/>
  <c r="J16" i="30" s="1"/>
  <c r="J17" i="32"/>
  <c r="J17" i="31" s="1"/>
  <c r="J17" i="30" s="1"/>
  <c r="J18" i="32"/>
  <c r="J18" i="31" s="1"/>
  <c r="J18" i="30" s="1"/>
  <c r="J19" i="32"/>
  <c r="J19" i="31" s="1"/>
  <c r="J19" i="30" s="1"/>
  <c r="J20" i="32"/>
  <c r="J20" i="31" s="1"/>
  <c r="J20" i="30" s="1"/>
  <c r="J21" i="32"/>
  <c r="J21" i="31" s="1"/>
  <c r="J21" i="30" s="1"/>
  <c r="J22" i="32"/>
  <c r="J22" i="31" s="1"/>
  <c r="J22" i="30" s="1"/>
  <c r="J23" i="32"/>
  <c r="J23" i="31" s="1"/>
  <c r="J23" i="30" s="1"/>
  <c r="J24" i="32"/>
  <c r="J25" i="32"/>
  <c r="J26" i="32"/>
  <c r="J27" i="32"/>
  <c r="J28" i="32"/>
  <c r="J29" i="32"/>
  <c r="J30" i="32"/>
  <c r="J31" i="32"/>
  <c r="J32" i="32"/>
  <c r="J32" i="31" s="1"/>
  <c r="J32" i="30" s="1"/>
  <c r="J32" i="29" s="1"/>
  <c r="J32" i="27" s="1"/>
  <c r="J32" i="28" s="1"/>
  <c r="J32" i="26" s="1"/>
  <c r="L34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9" i="30" s="1"/>
  <c r="M9" i="29" s="1"/>
  <c r="M9" i="27" s="1"/>
  <c r="M9" i="28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F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C42" i="33"/>
  <c r="D42" i="33" s="1"/>
  <c r="E42" i="33" s="1"/>
  <c r="D43" i="33"/>
  <c r="C44" i="33"/>
  <c r="D44" i="33" s="1"/>
  <c r="C45" i="33"/>
  <c r="D45" i="33" s="1"/>
  <c r="C46" i="33"/>
  <c r="D46" i="33" s="1"/>
  <c r="C47" i="33"/>
  <c r="D47" i="33" s="1"/>
  <c r="C48" i="33"/>
  <c r="D48" i="33" s="1"/>
  <c r="E48" i="33" s="1"/>
  <c r="C49" i="33"/>
  <c r="D49" i="33" s="1"/>
  <c r="C50" i="33"/>
  <c r="D50" i="33" s="1"/>
  <c r="C51" i="33"/>
  <c r="D51" i="33" s="1"/>
  <c r="A4" i="47"/>
  <c r="A10" i="2" s="1"/>
  <c r="I50" i="37"/>
  <c r="I50" i="43"/>
  <c r="AB14" i="48"/>
  <c r="Z41" i="48"/>
  <c r="I44" i="33"/>
  <c r="AB21" i="48"/>
  <c r="H21" i="48"/>
  <c r="AB33" i="48"/>
  <c r="H29" i="48"/>
  <c r="AB37" i="48"/>
  <c r="G37" i="48"/>
  <c r="G29" i="48"/>
  <c r="G17" i="48"/>
  <c r="H37" i="48"/>
  <c r="E28" i="48"/>
  <c r="G21" i="48"/>
  <c r="E18" i="48"/>
  <c r="E15" i="48"/>
  <c r="E30" i="48"/>
  <c r="F18" i="48" l="1"/>
  <c r="F34" i="43"/>
  <c r="H39" i="48"/>
  <c r="H15" i="48"/>
  <c r="G31" i="48"/>
  <c r="AB9" i="48"/>
  <c r="G15" i="48"/>
  <c r="AB39" i="48"/>
  <c r="AB23" i="48"/>
  <c r="J24" i="31"/>
  <c r="J24" i="30" s="1"/>
  <c r="J24" i="29" s="1"/>
  <c r="J24" i="27" s="1"/>
  <c r="J24" i="28" s="1"/>
  <c r="J24" i="26" s="1"/>
  <c r="J24" i="25" s="1"/>
  <c r="I40" i="10"/>
  <c r="C24" i="4"/>
  <c r="J31" i="31"/>
  <c r="J30" i="31"/>
  <c r="J29" i="31"/>
  <c r="J29" i="30" s="1"/>
  <c r="J29" i="29" s="1"/>
  <c r="J29" i="27" s="1"/>
  <c r="J29" i="28" s="1"/>
  <c r="J29" i="26" s="1"/>
  <c r="J25" i="31"/>
  <c r="J28" i="31"/>
  <c r="J27" i="31"/>
  <c r="J26" i="31"/>
  <c r="J26" i="30" s="1"/>
  <c r="J26" i="29" s="1"/>
  <c r="J26" i="27" s="1"/>
  <c r="J26" i="28" s="1"/>
  <c r="J26" i="26" s="1"/>
  <c r="B9" i="45"/>
  <c r="V10" i="48"/>
  <c r="E36" i="48"/>
  <c r="F30" i="48"/>
  <c r="A11" i="48"/>
  <c r="A9" i="45"/>
  <c r="C34" i="4"/>
  <c r="AB32" i="48"/>
  <c r="E33" i="43"/>
  <c r="E46" i="33"/>
  <c r="F13" i="48"/>
  <c r="F17" i="48"/>
  <c r="D11" i="1"/>
  <c r="D12" i="2" s="1"/>
  <c r="B18" i="45"/>
  <c r="D19" i="1"/>
  <c r="B26" i="45"/>
  <c r="D27" i="1"/>
  <c r="B34" i="45"/>
  <c r="D35" i="1"/>
  <c r="D12" i="1"/>
  <c r="B19" i="45"/>
  <c r="D20" i="1"/>
  <c r="B27" i="45"/>
  <c r="D28" i="1"/>
  <c r="B35" i="45"/>
  <c r="D36" i="1"/>
  <c r="B33" i="45"/>
  <c r="D34" i="1"/>
  <c r="D13" i="1"/>
  <c r="B20" i="45"/>
  <c r="D21" i="1"/>
  <c r="B28" i="45"/>
  <c r="D29" i="1"/>
  <c r="B36" i="45"/>
  <c r="D37" i="1"/>
  <c r="D10" i="1"/>
  <c r="B8" i="45"/>
  <c r="D9" i="1"/>
  <c r="D14" i="1"/>
  <c r="B21" i="45"/>
  <c r="D22" i="1"/>
  <c r="B29" i="45"/>
  <c r="D30" i="1"/>
  <c r="F12" i="48"/>
  <c r="B25" i="45"/>
  <c r="D26" i="1"/>
  <c r="D24" i="4"/>
  <c r="B14" i="45"/>
  <c r="D15" i="1"/>
  <c r="B22" i="45"/>
  <c r="D23" i="1"/>
  <c r="B30" i="45"/>
  <c r="D31" i="1"/>
  <c r="B15" i="45"/>
  <c r="D16" i="1"/>
  <c r="B23" i="45"/>
  <c r="D24" i="1"/>
  <c r="B31" i="45"/>
  <c r="D32" i="1"/>
  <c r="B17" i="45"/>
  <c r="D18" i="1"/>
  <c r="B16" i="45"/>
  <c r="D17" i="1"/>
  <c r="B24" i="45"/>
  <c r="D25" i="1"/>
  <c r="B32" i="45"/>
  <c r="D33" i="1"/>
  <c r="AB35" i="48"/>
  <c r="AB11" i="48"/>
  <c r="K34" i="6"/>
  <c r="I40" i="6" s="1"/>
  <c r="G19" i="48"/>
  <c r="AB19" i="48"/>
  <c r="K8" i="8"/>
  <c r="K34" i="8" s="1"/>
  <c r="H18" i="48"/>
  <c r="AB34" i="48"/>
  <c r="AB27" i="48"/>
  <c r="C52" i="37"/>
  <c r="C53" i="37" s="1"/>
  <c r="C33" i="4"/>
  <c r="D34" i="4"/>
  <c r="K7" i="37"/>
  <c r="H27" i="48"/>
  <c r="G27" i="48"/>
  <c r="G11" i="48"/>
  <c r="G35" i="48"/>
  <c r="K7" i="13"/>
  <c r="K34" i="17"/>
  <c r="E33" i="4"/>
  <c r="AB28" i="48"/>
  <c r="AB24" i="48"/>
  <c r="E23" i="48"/>
  <c r="F23" i="48" s="1"/>
  <c r="I40" i="22"/>
  <c r="R21" i="48" s="1"/>
  <c r="E21" i="1" s="1"/>
  <c r="C33" i="43"/>
  <c r="M9" i="26"/>
  <c r="J22" i="29"/>
  <c r="J22" i="27" s="1"/>
  <c r="J22" i="28" s="1"/>
  <c r="J22" i="26" s="1"/>
  <c r="J22" i="25" s="1"/>
  <c r="J22" i="24" s="1"/>
  <c r="J14" i="29"/>
  <c r="J14" i="27" s="1"/>
  <c r="J14" i="28" s="1"/>
  <c r="J14" i="26" s="1"/>
  <c r="J14" i="25" s="1"/>
  <c r="J14" i="24" s="1"/>
  <c r="J9" i="29"/>
  <c r="J9" i="27" s="1"/>
  <c r="J9" i="28" s="1"/>
  <c r="J9" i="26" s="1"/>
  <c r="J9" i="25" s="1"/>
  <c r="J9" i="24" s="1"/>
  <c r="J21" i="29"/>
  <c r="J21" i="27" s="1"/>
  <c r="J21" i="28" s="1"/>
  <c r="J21" i="26" s="1"/>
  <c r="J21" i="25" s="1"/>
  <c r="J21" i="24" s="1"/>
  <c r="J8" i="29"/>
  <c r="J8" i="27" s="1"/>
  <c r="J8" i="28" s="1"/>
  <c r="J8" i="26" s="1"/>
  <c r="J8" i="25" s="1"/>
  <c r="J8" i="24" s="1"/>
  <c r="J20" i="29"/>
  <c r="J20" i="27" s="1"/>
  <c r="J20" i="28" s="1"/>
  <c r="J20" i="26" s="1"/>
  <c r="J20" i="25" s="1"/>
  <c r="J20" i="24" s="1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23" i="29"/>
  <c r="J23" i="27" s="1"/>
  <c r="J23" i="28" s="1"/>
  <c r="J23" i="26" s="1"/>
  <c r="J23" i="25" s="1"/>
  <c r="J23" i="24" s="1"/>
  <c r="J19" i="29"/>
  <c r="J19" i="27" s="1"/>
  <c r="J19" i="28" s="1"/>
  <c r="J19" i="26" s="1"/>
  <c r="J19" i="25" s="1"/>
  <c r="J19" i="24" s="1"/>
  <c r="J18" i="29"/>
  <c r="J18" i="27" s="1"/>
  <c r="J18" i="28" s="1"/>
  <c r="J18" i="26" s="1"/>
  <c r="J18" i="25" s="1"/>
  <c r="J18" i="24" s="1"/>
  <c r="J13" i="29"/>
  <c r="J13" i="27" s="1"/>
  <c r="J13" i="28" s="1"/>
  <c r="J13" i="26" s="1"/>
  <c r="J13" i="25" s="1"/>
  <c r="J13" i="24" s="1"/>
  <c r="J17" i="29"/>
  <c r="J17" i="27" s="1"/>
  <c r="J17" i="28" s="1"/>
  <c r="J17" i="26" s="1"/>
  <c r="J17" i="25" s="1"/>
  <c r="J17" i="24" s="1"/>
  <c r="J12" i="29"/>
  <c r="J12" i="27" s="1"/>
  <c r="J12" i="28" s="1"/>
  <c r="J12" i="26" s="1"/>
  <c r="J12" i="25" s="1"/>
  <c r="J12" i="24" s="1"/>
  <c r="J16" i="29"/>
  <c r="J16" i="27" s="1"/>
  <c r="J16" i="28" s="1"/>
  <c r="J16" i="26" s="1"/>
  <c r="J11" i="29"/>
  <c r="J11" i="27" s="1"/>
  <c r="J11" i="28" s="1"/>
  <c r="J11" i="26" s="1"/>
  <c r="J11" i="25" s="1"/>
  <c r="J11" i="24" s="1"/>
  <c r="J15" i="29"/>
  <c r="J15" i="27" s="1"/>
  <c r="J15" i="28" s="1"/>
  <c r="J15" i="26" s="1"/>
  <c r="J10" i="29"/>
  <c r="J10" i="27" s="1"/>
  <c r="J10" i="26" s="1"/>
  <c r="J10" i="25" s="1"/>
  <c r="J10" i="24" s="1"/>
  <c r="AB13" i="48"/>
  <c r="H13" i="48"/>
  <c r="G13" i="48"/>
  <c r="D15" i="33"/>
  <c r="C52" i="6"/>
  <c r="C53" i="6" s="1"/>
  <c r="F34" i="4"/>
  <c r="F29" i="48"/>
  <c r="C52" i="13"/>
  <c r="C53" i="13" s="1"/>
  <c r="C52" i="9"/>
  <c r="C53" i="9" s="1"/>
  <c r="E24" i="33"/>
  <c r="C34" i="43"/>
  <c r="H28" i="48"/>
  <c r="E15" i="43"/>
  <c r="J57" i="23"/>
  <c r="G20" i="48"/>
  <c r="D24" i="43"/>
  <c r="E24" i="43"/>
  <c r="C24" i="43"/>
  <c r="D15" i="43"/>
  <c r="I40" i="43"/>
  <c r="E34" i="4"/>
  <c r="E15" i="33"/>
  <c r="D33" i="4"/>
  <c r="B37" i="45"/>
  <c r="B38" i="45"/>
  <c r="E34" i="33"/>
  <c r="J57" i="33" s="1"/>
  <c r="AB25" i="48"/>
  <c r="C24" i="33"/>
  <c r="D24" i="33"/>
  <c r="B27" i="2"/>
  <c r="B29" i="2"/>
  <c r="B25" i="2"/>
  <c r="V37" i="48"/>
  <c r="B28" i="2"/>
  <c r="B14" i="2"/>
  <c r="AB10" i="48"/>
  <c r="F32" i="48"/>
  <c r="C52" i="7"/>
  <c r="C53" i="7" s="1"/>
  <c r="H31" i="48"/>
  <c r="R32" i="48"/>
  <c r="E33" i="48"/>
  <c r="C52" i="10"/>
  <c r="C53" i="10" s="1"/>
  <c r="C52" i="11"/>
  <c r="C53" i="11" s="1"/>
  <c r="G30" i="48"/>
  <c r="C52" i="14"/>
  <c r="C53" i="14" s="1"/>
  <c r="E27" i="48"/>
  <c r="C52" i="15"/>
  <c r="C53" i="15" s="1"/>
  <c r="D28" i="2" s="1"/>
  <c r="AB26" i="48"/>
  <c r="I40" i="18"/>
  <c r="R24" i="48" s="1"/>
  <c r="F25" i="48"/>
  <c r="H25" i="48"/>
  <c r="G25" i="48"/>
  <c r="D26" i="2" s="1"/>
  <c r="D25" i="2" s="1"/>
  <c r="C52" i="17"/>
  <c r="C53" i="17" s="1"/>
  <c r="C52" i="19"/>
  <c r="C53" i="19" s="1"/>
  <c r="C52" i="20"/>
  <c r="C53" i="20" s="1"/>
  <c r="H22" i="48"/>
  <c r="G22" i="48"/>
  <c r="D23" i="2" s="1"/>
  <c r="D22" i="2" s="1"/>
  <c r="K34" i="21"/>
  <c r="C52" i="21"/>
  <c r="C53" i="21" s="1"/>
  <c r="C52" i="23"/>
  <c r="C53" i="23" s="1"/>
  <c r="G16" i="48"/>
  <c r="C52" i="26"/>
  <c r="C53" i="26" s="1"/>
  <c r="C52" i="28"/>
  <c r="C53" i="28" s="1"/>
  <c r="C52" i="27"/>
  <c r="C53" i="27" s="1"/>
  <c r="C34" i="33"/>
  <c r="W6" i="57" s="1"/>
  <c r="G10" i="48"/>
  <c r="E33" i="33"/>
  <c r="C52" i="29"/>
  <c r="C53" i="29" s="1"/>
  <c r="D13" i="2"/>
  <c r="C15" i="33"/>
  <c r="J38" i="31"/>
  <c r="D51" i="32"/>
  <c r="D51" i="31" s="1"/>
  <c r="D49" i="32"/>
  <c r="D49" i="31" s="1"/>
  <c r="E49" i="31" s="1"/>
  <c r="D47" i="32"/>
  <c r="E47" i="32" s="1"/>
  <c r="D45" i="32"/>
  <c r="E49" i="33"/>
  <c r="H10" i="48"/>
  <c r="C52" i="31"/>
  <c r="C53" i="31" s="1"/>
  <c r="D44" i="32"/>
  <c r="E44" i="32" s="1"/>
  <c r="D40" i="32"/>
  <c r="D34" i="33"/>
  <c r="C33" i="33"/>
  <c r="C52" i="32"/>
  <c r="C53" i="32" s="1"/>
  <c r="F15" i="48"/>
  <c r="F36" i="48"/>
  <c r="C52" i="22"/>
  <c r="C53" i="22" s="1"/>
  <c r="C52" i="18"/>
  <c r="C53" i="18" s="1"/>
  <c r="C52" i="16"/>
  <c r="C53" i="16" s="1"/>
  <c r="C52" i="12"/>
  <c r="C53" i="12" s="1"/>
  <c r="C52" i="8"/>
  <c r="C53" i="8" s="1"/>
  <c r="V15" i="37"/>
  <c r="W15" i="37" s="1"/>
  <c r="V7" i="37"/>
  <c r="W7" i="37" s="1"/>
  <c r="C52" i="4"/>
  <c r="C53" i="4" s="1"/>
  <c r="E24" i="4"/>
  <c r="E15" i="4"/>
  <c r="D15" i="4"/>
  <c r="C52" i="43"/>
  <c r="C53" i="43" s="1"/>
  <c r="E16" i="48"/>
  <c r="AB12" i="48"/>
  <c r="G12" i="48"/>
  <c r="G14" i="48"/>
  <c r="H14" i="48"/>
  <c r="AB18" i="48"/>
  <c r="G18" i="48"/>
  <c r="AB20" i="48"/>
  <c r="H20" i="48"/>
  <c r="AB22" i="48"/>
  <c r="G28" i="48"/>
  <c r="H30" i="48"/>
  <c r="H34" i="48"/>
  <c r="G34" i="48"/>
  <c r="V36" i="48"/>
  <c r="AB36" i="48"/>
  <c r="V38" i="48"/>
  <c r="AB38" i="48"/>
  <c r="G38" i="48"/>
  <c r="H38" i="48"/>
  <c r="J44" i="33"/>
  <c r="J43" i="32"/>
  <c r="I44" i="18"/>
  <c r="I45" i="10"/>
  <c r="I44" i="4"/>
  <c r="C52" i="25"/>
  <c r="C53" i="25" s="1"/>
  <c r="C52" i="30"/>
  <c r="C53" i="30" s="1"/>
  <c r="C52" i="24"/>
  <c r="C53" i="24" s="1"/>
  <c r="D43" i="32"/>
  <c r="D43" i="31" s="1"/>
  <c r="D41" i="32"/>
  <c r="E41" i="32" s="1"/>
  <c r="F34" i="33"/>
  <c r="D33" i="33"/>
  <c r="I40" i="20"/>
  <c r="E34" i="43"/>
  <c r="C15" i="43"/>
  <c r="V39" i="48"/>
  <c r="G39" i="48"/>
  <c r="E21" i="48"/>
  <c r="E22" i="48"/>
  <c r="E24" i="48"/>
  <c r="E39" i="48"/>
  <c r="I40" i="4"/>
  <c r="C15" i="4"/>
  <c r="V15" i="4"/>
  <c r="W15" i="4" s="1"/>
  <c r="D33" i="43"/>
  <c r="D34" i="43"/>
  <c r="E20" i="48"/>
  <c r="E9" i="48"/>
  <c r="J37" i="33"/>
  <c r="E38" i="33"/>
  <c r="D38" i="32"/>
  <c r="E38" i="32" s="1"/>
  <c r="P41" i="48"/>
  <c r="E41" i="33"/>
  <c r="E45" i="33"/>
  <c r="D39" i="32"/>
  <c r="E39" i="32" s="1"/>
  <c r="E43" i="33"/>
  <c r="E47" i="33"/>
  <c r="E44" i="33"/>
  <c r="C52" i="33"/>
  <c r="C53" i="33" s="1"/>
  <c r="E50" i="33"/>
  <c r="D50" i="32"/>
  <c r="E40" i="33"/>
  <c r="D48" i="32"/>
  <c r="E48" i="32" s="1"/>
  <c r="D52" i="33"/>
  <c r="D53" i="33" s="1"/>
  <c r="D42" i="32"/>
  <c r="D46" i="32"/>
  <c r="E51" i="33"/>
  <c r="A11" i="2"/>
  <c r="M20" i="11"/>
  <c r="M20" i="10" s="1"/>
  <c r="M20" i="9" s="1"/>
  <c r="M20" i="8" s="1"/>
  <c r="M20" i="7" s="1"/>
  <c r="M20" i="6" s="1"/>
  <c r="M20" i="37" s="1"/>
  <c r="M20" i="4" s="1"/>
  <c r="M20" i="43" s="1"/>
  <c r="E10" i="48"/>
  <c r="E11" i="48"/>
  <c r="E14" i="48"/>
  <c r="E19" i="48"/>
  <c r="E26" i="48"/>
  <c r="E34" i="48"/>
  <c r="E37" i="48"/>
  <c r="E38" i="48"/>
  <c r="E31" i="48"/>
  <c r="F35" i="48"/>
  <c r="G36" i="48"/>
  <c r="AB29" i="48"/>
  <c r="J32" i="25"/>
  <c r="J32" i="24"/>
  <c r="J32" i="23" s="1"/>
  <c r="F28" i="48"/>
  <c r="H35" i="48"/>
  <c r="H33" i="48"/>
  <c r="H23" i="48"/>
  <c r="G26" i="48"/>
  <c r="H11" i="48"/>
  <c r="Q10" i="48"/>
  <c r="AC9" i="48"/>
  <c r="H36" i="48"/>
  <c r="H32" i="48"/>
  <c r="H12" i="48"/>
  <c r="H17" i="48"/>
  <c r="G24" i="48"/>
  <c r="H24" i="48"/>
  <c r="AB16" i="48"/>
  <c r="H16" i="48"/>
  <c r="H26" i="48"/>
  <c r="X6" i="57" l="1"/>
  <c r="AA6" i="57"/>
  <c r="AB6" i="57" s="1"/>
  <c r="D20" i="2"/>
  <c r="J29" i="25"/>
  <c r="J29" i="24"/>
  <c r="J26" i="25"/>
  <c r="J26" i="24"/>
  <c r="J30" i="30"/>
  <c r="J30" i="29" s="1"/>
  <c r="J30" i="27" s="1"/>
  <c r="J30" i="28" s="1"/>
  <c r="J30" i="26" s="1"/>
  <c r="J31" i="30"/>
  <c r="J31" i="29" s="1"/>
  <c r="J31" i="27" s="1"/>
  <c r="J31" i="28" s="1"/>
  <c r="J31" i="26" s="1"/>
  <c r="J27" i="30"/>
  <c r="J27" i="29" s="1"/>
  <c r="J27" i="27" s="1"/>
  <c r="J27" i="28" s="1"/>
  <c r="J27" i="26" s="1"/>
  <c r="J28" i="30"/>
  <c r="J28" i="29" s="1"/>
  <c r="J28" i="27" s="1"/>
  <c r="J28" i="28" s="1"/>
  <c r="J28" i="26" s="1"/>
  <c r="J28" i="25" s="1"/>
  <c r="J25" i="30"/>
  <c r="J25" i="29" s="1"/>
  <c r="J25" i="27" s="1"/>
  <c r="J25" i="28" s="1"/>
  <c r="J25" i="26" s="1"/>
  <c r="D16" i="2"/>
  <c r="J24" i="24"/>
  <c r="D35" i="4"/>
  <c r="D11" i="2"/>
  <c r="D14" i="2"/>
  <c r="D27" i="2"/>
  <c r="D21" i="2"/>
  <c r="D29" i="2"/>
  <c r="A12" i="48"/>
  <c r="A10" i="45"/>
  <c r="D24" i="2"/>
  <c r="D33" i="2"/>
  <c r="D31" i="2"/>
  <c r="D32" i="2"/>
  <c r="D38" i="2"/>
  <c r="D35" i="2"/>
  <c r="E45" i="32"/>
  <c r="D19" i="2"/>
  <c r="D10" i="2"/>
  <c r="K7" i="33"/>
  <c r="M7" i="33" s="1"/>
  <c r="M34" i="33" s="1"/>
  <c r="J40" i="33" s="1"/>
  <c r="W6" i="46"/>
  <c r="X6" i="46" s="1"/>
  <c r="J15" i="25"/>
  <c r="J15" i="24" s="1"/>
  <c r="J15" i="23" s="1"/>
  <c r="J15" i="21" s="1"/>
  <c r="J15" i="22" s="1"/>
  <c r="J15" i="20" s="1"/>
  <c r="D17" i="2"/>
  <c r="D30" i="2"/>
  <c r="D36" i="2"/>
  <c r="D41" i="1"/>
  <c r="C23" i="45"/>
  <c r="E24" i="1"/>
  <c r="D37" i="2"/>
  <c r="J16" i="25"/>
  <c r="J16" i="24" s="1"/>
  <c r="J16" i="23" s="1"/>
  <c r="J16" i="21" s="1"/>
  <c r="J16" i="22" s="1"/>
  <c r="J16" i="20" s="1"/>
  <c r="D18" i="2"/>
  <c r="D15" i="2"/>
  <c r="D40" i="2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JB21" i="1"/>
  <c r="IA21" i="1"/>
  <c r="GZ21" i="1"/>
  <c r="FJ21" i="1"/>
  <c r="EI21" i="1"/>
  <c r="DH21" i="1"/>
  <c r="BR21" i="1"/>
  <c r="AQ21" i="1"/>
  <c r="P21" i="1"/>
  <c r="IM21" i="1"/>
  <c r="HL21" i="1"/>
  <c r="FV21" i="1"/>
  <c r="EU21" i="1"/>
  <c r="DT21" i="1"/>
  <c r="CD21" i="1"/>
  <c r="BC21" i="1"/>
  <c r="AB21" i="1"/>
  <c r="IY21" i="1"/>
  <c r="HX21" i="1"/>
  <c r="GH21" i="1"/>
  <c r="FG21" i="1"/>
  <c r="EF21" i="1"/>
  <c r="CP21" i="1"/>
  <c r="BO21" i="1"/>
  <c r="AN21" i="1"/>
  <c r="IJ21" i="1"/>
  <c r="GT21" i="1"/>
  <c r="FS21" i="1"/>
  <c r="ER21" i="1"/>
  <c r="DB21" i="1"/>
  <c r="CA21" i="1"/>
  <c r="AZ21" i="1"/>
  <c r="J21" i="1"/>
  <c r="IV21" i="1"/>
  <c r="HF21" i="1"/>
  <c r="GE21" i="1"/>
  <c r="FD21" i="1"/>
  <c r="DN21" i="1"/>
  <c r="CM21" i="1"/>
  <c r="BL21" i="1"/>
  <c r="V21" i="1"/>
  <c r="ID21" i="1"/>
  <c r="HC21" i="1"/>
  <c r="GB21" i="1"/>
  <c r="EL21" i="1"/>
  <c r="DK21" i="1"/>
  <c r="CJ21" i="1"/>
  <c r="AT21" i="1"/>
  <c r="S21" i="1"/>
  <c r="FP21" i="1"/>
  <c r="DZ21" i="1"/>
  <c r="AE21" i="1"/>
  <c r="IP21" i="1"/>
  <c r="G21" i="1"/>
  <c r="JH21" i="1"/>
  <c r="HR21" i="1"/>
  <c r="DW21" i="1"/>
  <c r="CY21" i="1"/>
  <c r="HO21" i="1"/>
  <c r="BX21" i="1"/>
  <c r="AH21" i="1"/>
  <c r="GQ21" i="1"/>
  <c r="EX21" i="1"/>
  <c r="GN21" i="1"/>
  <c r="BF21" i="1"/>
  <c r="CV21" i="1"/>
  <c r="C31" i="45"/>
  <c r="D34" i="2" s="1"/>
  <c r="E32" i="1"/>
  <c r="K34" i="37"/>
  <c r="I40" i="37" s="1"/>
  <c r="J57" i="21"/>
  <c r="J57" i="22" s="1"/>
  <c r="J57" i="20" s="1"/>
  <c r="J57" i="19" s="1"/>
  <c r="J57" i="18" s="1"/>
  <c r="I40" i="8"/>
  <c r="K34" i="7"/>
  <c r="K34" i="9"/>
  <c r="I45" i="22"/>
  <c r="K34" i="12"/>
  <c r="K34" i="11"/>
  <c r="J57" i="32"/>
  <c r="J57" i="31" s="1"/>
  <c r="C35" i="13"/>
  <c r="K34" i="16"/>
  <c r="K34" i="13"/>
  <c r="K34" i="14"/>
  <c r="I40" i="17"/>
  <c r="K34" i="15"/>
  <c r="K34" i="19"/>
  <c r="C35" i="4"/>
  <c r="J21" i="23"/>
  <c r="J21" i="21" s="1"/>
  <c r="J21" i="22" s="1"/>
  <c r="J21" i="20" s="1"/>
  <c r="J9" i="23"/>
  <c r="J9" i="21" s="1"/>
  <c r="J9" i="22" s="1"/>
  <c r="J9" i="20" s="1"/>
  <c r="J11" i="21"/>
  <c r="J11" i="22" s="1"/>
  <c r="J11" i="20" s="1"/>
  <c r="J19" i="23"/>
  <c r="J19" i="21" s="1"/>
  <c r="J19" i="22" s="1"/>
  <c r="J19" i="20" s="1"/>
  <c r="J20" i="23"/>
  <c r="J20" i="21" s="1"/>
  <c r="J20" i="22" s="1"/>
  <c r="J20" i="20" s="1"/>
  <c r="J14" i="23"/>
  <c r="J14" i="21" s="1"/>
  <c r="J14" i="22" s="1"/>
  <c r="J14" i="20" s="1"/>
  <c r="J23" i="23"/>
  <c r="J23" i="21" s="1"/>
  <c r="J23" i="22" s="1"/>
  <c r="J23" i="20" s="1"/>
  <c r="J22" i="23"/>
  <c r="J22" i="21" s="1"/>
  <c r="J22" i="22" s="1"/>
  <c r="J22" i="20" s="1"/>
  <c r="J24" i="23"/>
  <c r="J24" i="21" s="1"/>
  <c r="J24" i="22" s="1"/>
  <c r="J24" i="20" s="1"/>
  <c r="M9" i="25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J26" i="23"/>
  <c r="J26" i="21" s="1"/>
  <c r="J26" i="22" s="1"/>
  <c r="J26" i="20" s="1"/>
  <c r="J12" i="23"/>
  <c r="J12" i="21" s="1"/>
  <c r="J12" i="22" s="1"/>
  <c r="J12" i="20" s="1"/>
  <c r="J29" i="23"/>
  <c r="J29" i="21" s="1"/>
  <c r="J29" i="22" s="1"/>
  <c r="J29" i="20" s="1"/>
  <c r="J10" i="23"/>
  <c r="J10" i="21" s="1"/>
  <c r="J10" i="22" s="1"/>
  <c r="J10" i="20" s="1"/>
  <c r="J17" i="23"/>
  <c r="J17" i="21" s="1"/>
  <c r="J17" i="22" s="1"/>
  <c r="J17" i="20" s="1"/>
  <c r="I40" i="21"/>
  <c r="R20" i="48" s="1"/>
  <c r="E20" i="1" s="1"/>
  <c r="J13" i="23"/>
  <c r="J13" i="21" s="1"/>
  <c r="J13" i="22" s="1"/>
  <c r="J13" i="20" s="1"/>
  <c r="K34" i="23"/>
  <c r="J18" i="23"/>
  <c r="J18" i="21" s="1"/>
  <c r="J18" i="22" s="1"/>
  <c r="J18" i="20" s="1"/>
  <c r="J8" i="23"/>
  <c r="J8" i="21" s="1"/>
  <c r="J8" i="22" s="1"/>
  <c r="J8" i="20" s="1"/>
  <c r="BC21" i="48"/>
  <c r="C20" i="45"/>
  <c r="K34" i="24"/>
  <c r="E35" i="4"/>
  <c r="K34" i="25"/>
  <c r="K34" i="26"/>
  <c r="C35" i="25"/>
  <c r="K34" i="28"/>
  <c r="D40" i="31"/>
  <c r="D40" i="30" s="1"/>
  <c r="K34" i="29"/>
  <c r="K34" i="30"/>
  <c r="E35" i="37"/>
  <c r="BC24" i="48"/>
  <c r="BC32" i="48"/>
  <c r="C35" i="37"/>
  <c r="D35" i="37"/>
  <c r="I51" i="43"/>
  <c r="R39" i="48"/>
  <c r="I45" i="43"/>
  <c r="I32" i="48"/>
  <c r="K7" i="32"/>
  <c r="W12" i="57" s="1"/>
  <c r="I51" i="6"/>
  <c r="I45" i="6"/>
  <c r="R36" i="48"/>
  <c r="E36" i="1" s="1"/>
  <c r="B40" i="45"/>
  <c r="J32" i="48"/>
  <c r="AD32" i="48"/>
  <c r="J56" i="33"/>
  <c r="J56" i="32" s="1"/>
  <c r="J56" i="31" s="1"/>
  <c r="E35" i="33"/>
  <c r="D35" i="13"/>
  <c r="C35" i="32"/>
  <c r="E35" i="28"/>
  <c r="M10" i="2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J24" i="48"/>
  <c r="F33" i="48"/>
  <c r="F27" i="48"/>
  <c r="I45" i="18"/>
  <c r="AD24" i="48"/>
  <c r="I24" i="48"/>
  <c r="AD21" i="48"/>
  <c r="D35" i="25"/>
  <c r="E35" i="25"/>
  <c r="E35" i="32"/>
  <c r="J38" i="30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D47" i="31"/>
  <c r="D47" i="30" s="1"/>
  <c r="D47" i="29" s="1"/>
  <c r="D45" i="31"/>
  <c r="D45" i="30" s="1"/>
  <c r="E45" i="30" s="1"/>
  <c r="E49" i="32"/>
  <c r="D35" i="32"/>
  <c r="M8" i="32"/>
  <c r="C35" i="33"/>
  <c r="E51" i="32"/>
  <c r="D39" i="31"/>
  <c r="D39" i="30" s="1"/>
  <c r="E39" i="30" s="1"/>
  <c r="E40" i="32"/>
  <c r="D41" i="31"/>
  <c r="E41" i="31" s="1"/>
  <c r="D44" i="31"/>
  <c r="D44" i="30" s="1"/>
  <c r="D44" i="29" s="1"/>
  <c r="D49" i="30"/>
  <c r="D49" i="29" s="1"/>
  <c r="AB41" i="48"/>
  <c r="E43" i="32"/>
  <c r="D35" i="33"/>
  <c r="E43" i="31"/>
  <c r="D43" i="30"/>
  <c r="D43" i="29" s="1"/>
  <c r="E43" i="29" s="1"/>
  <c r="F24" i="48"/>
  <c r="F22" i="48"/>
  <c r="F21" i="48"/>
  <c r="R22" i="48"/>
  <c r="E22" i="1" s="1"/>
  <c r="D35" i="28"/>
  <c r="C35" i="29"/>
  <c r="D35" i="29"/>
  <c r="I45" i="20"/>
  <c r="F39" i="48"/>
  <c r="C35" i="28"/>
  <c r="I21" i="48"/>
  <c r="J21" i="48"/>
  <c r="E35" i="29"/>
  <c r="F20" i="48"/>
  <c r="D35" i="43"/>
  <c r="C35" i="43"/>
  <c r="I51" i="4"/>
  <c r="R38" i="48"/>
  <c r="E38" i="1" s="1"/>
  <c r="E35" i="43"/>
  <c r="E35" i="13"/>
  <c r="I45" i="4"/>
  <c r="J44" i="32"/>
  <c r="J43" i="31"/>
  <c r="F16" i="48"/>
  <c r="D48" i="31"/>
  <c r="E48" i="31" s="1"/>
  <c r="D52" i="32"/>
  <c r="D38" i="31"/>
  <c r="D38" i="30" s="1"/>
  <c r="E50" i="32"/>
  <c r="D50" i="31"/>
  <c r="E52" i="33"/>
  <c r="E53" i="33" s="1"/>
  <c r="D42" i="31"/>
  <c r="E42" i="32"/>
  <c r="D46" i="31"/>
  <c r="E46" i="32"/>
  <c r="E51" i="31"/>
  <c r="D51" i="30"/>
  <c r="A12" i="2"/>
  <c r="F38" i="48"/>
  <c r="F34" i="48"/>
  <c r="F19" i="48"/>
  <c r="F14" i="48"/>
  <c r="F10" i="48"/>
  <c r="J39" i="33"/>
  <c r="J37" i="32"/>
  <c r="F31" i="48"/>
  <c r="F37" i="48"/>
  <c r="F26" i="48"/>
  <c r="F11" i="48"/>
  <c r="F9" i="48"/>
  <c r="Q11" i="48"/>
  <c r="AC10" i="48"/>
  <c r="X12" i="57" l="1"/>
  <c r="AA12" i="57"/>
  <c r="AB12" i="57" s="1"/>
  <c r="J28" i="24"/>
  <c r="J28" i="23" s="1"/>
  <c r="J28" i="21" s="1"/>
  <c r="J28" i="22" s="1"/>
  <c r="J28" i="20" s="1"/>
  <c r="J31" i="25"/>
  <c r="J31" i="24"/>
  <c r="J31" i="23" s="1"/>
  <c r="J31" i="21" s="1"/>
  <c r="J31" i="22" s="1"/>
  <c r="J31" i="20" s="1"/>
  <c r="J30" i="24"/>
  <c r="J30" i="23" s="1"/>
  <c r="J30" i="21" s="1"/>
  <c r="J30" i="22" s="1"/>
  <c r="J30" i="20" s="1"/>
  <c r="J30" i="25"/>
  <c r="J27" i="25"/>
  <c r="J27" i="24"/>
  <c r="J27" i="23" s="1"/>
  <c r="J27" i="21" s="1"/>
  <c r="J27" i="22" s="1"/>
  <c r="J27" i="20" s="1"/>
  <c r="J25" i="24"/>
  <c r="J25" i="23" s="1"/>
  <c r="J25" i="21" s="1"/>
  <c r="J25" i="22" s="1"/>
  <c r="J25" i="20" s="1"/>
  <c r="J25" i="19" s="1"/>
  <c r="J25" i="18" s="1"/>
  <c r="J25" i="17" s="1"/>
  <c r="J25" i="25"/>
  <c r="W12" i="46"/>
  <c r="X12" i="46" s="1"/>
  <c r="A13" i="48"/>
  <c r="A11" i="45"/>
  <c r="K34" i="33"/>
  <c r="I40" i="33" s="1"/>
  <c r="R9" i="48" s="1"/>
  <c r="I45" i="37"/>
  <c r="R37" i="48"/>
  <c r="E37" i="1" s="1"/>
  <c r="HX32" i="1"/>
  <c r="DN32" i="1"/>
  <c r="CV32" i="1"/>
  <c r="CD32" i="1"/>
  <c r="ID32" i="1"/>
  <c r="HL32" i="1"/>
  <c r="GT32" i="1"/>
  <c r="AT32" i="1"/>
  <c r="AB32" i="1"/>
  <c r="J32" i="1"/>
  <c r="FJ32" i="1"/>
  <c r="ER32" i="1"/>
  <c r="DZ32" i="1"/>
  <c r="IP32" i="1"/>
  <c r="CP32" i="1"/>
  <c r="BX32" i="1"/>
  <c r="BF32" i="1"/>
  <c r="IS32" i="1"/>
  <c r="HF32" i="1"/>
  <c r="GN32" i="1"/>
  <c r="FV32" i="1"/>
  <c r="V32" i="1"/>
  <c r="JB32" i="1"/>
  <c r="IJ32" i="1"/>
  <c r="HR32" i="1"/>
  <c r="BR32" i="1"/>
  <c r="AZ32" i="1"/>
  <c r="AH32" i="1"/>
  <c r="DT32" i="1"/>
  <c r="EL32" i="1"/>
  <c r="EX32" i="1"/>
  <c r="FP32" i="1"/>
  <c r="DB32" i="1"/>
  <c r="GH32" i="1"/>
  <c r="DH32" i="1"/>
  <c r="FD32" i="1"/>
  <c r="GZ32" i="1"/>
  <c r="AW32" i="1"/>
  <c r="EO32" i="1"/>
  <c r="IG32" i="1"/>
  <c r="BC32" i="1"/>
  <c r="EU32" i="1"/>
  <c r="IM32" i="1"/>
  <c r="IV32" i="1"/>
  <c r="AN32" i="1"/>
  <c r="CJ32" i="1"/>
  <c r="P32" i="1"/>
  <c r="GB32" i="1"/>
  <c r="BU32" i="1"/>
  <c r="FY32" i="1"/>
  <c r="JE32" i="1"/>
  <c r="AQ32" i="1"/>
  <c r="FG32" i="1"/>
  <c r="CG32" i="1"/>
  <c r="GK32" i="1"/>
  <c r="BO32" i="1"/>
  <c r="FS32" i="1"/>
  <c r="CS32" i="1"/>
  <c r="GW32" i="1"/>
  <c r="CA32" i="1"/>
  <c r="GE32" i="1"/>
  <c r="DE32" i="1"/>
  <c r="HI32" i="1"/>
  <c r="CM32" i="1"/>
  <c r="GQ32" i="1"/>
  <c r="EF32" i="1"/>
  <c r="M32" i="1"/>
  <c r="DQ32" i="1"/>
  <c r="HU32" i="1"/>
  <c r="CY32" i="1"/>
  <c r="HC32" i="1"/>
  <c r="BI32" i="1"/>
  <c r="S32" i="1"/>
  <c r="EC32" i="1"/>
  <c r="AE32" i="1"/>
  <c r="FA32" i="1"/>
  <c r="DK32" i="1"/>
  <c r="FM32" i="1"/>
  <c r="DW32" i="1"/>
  <c r="EI32" i="1"/>
  <c r="BL32" i="1"/>
  <c r="Y32" i="1"/>
  <c r="JH32" i="1"/>
  <c r="IA32" i="1"/>
  <c r="AK32" i="1"/>
  <c r="G32" i="1"/>
  <c r="IY32" i="1"/>
  <c r="HO32" i="1"/>
  <c r="HU24" i="1"/>
  <c r="GT24" i="1"/>
  <c r="FS24" i="1"/>
  <c r="EC24" i="1"/>
  <c r="DB24" i="1"/>
  <c r="CA24" i="1"/>
  <c r="IG24" i="1"/>
  <c r="HF24" i="1"/>
  <c r="GE24" i="1"/>
  <c r="EO24" i="1"/>
  <c r="DN24" i="1"/>
  <c r="CM24" i="1"/>
  <c r="AW24" i="1"/>
  <c r="AK24" i="1"/>
  <c r="Y24" i="1"/>
  <c r="M24" i="1"/>
  <c r="IS24" i="1"/>
  <c r="HR24" i="1"/>
  <c r="GQ24" i="1"/>
  <c r="FA24" i="1"/>
  <c r="DZ24" i="1"/>
  <c r="CY24" i="1"/>
  <c r="BI24" i="1"/>
  <c r="JE24" i="1"/>
  <c r="ID24" i="1"/>
  <c r="HC24" i="1"/>
  <c r="FM24" i="1"/>
  <c r="EL24" i="1"/>
  <c r="DK24" i="1"/>
  <c r="BU24" i="1"/>
  <c r="AT24" i="1"/>
  <c r="AH24" i="1"/>
  <c r="V24" i="1"/>
  <c r="J24" i="1"/>
  <c r="IP24" i="1"/>
  <c r="HO24" i="1"/>
  <c r="FY24" i="1"/>
  <c r="EX24" i="1"/>
  <c r="DW24" i="1"/>
  <c r="CG24" i="1"/>
  <c r="BF24" i="1"/>
  <c r="JB24" i="1"/>
  <c r="IA24" i="1"/>
  <c r="GK24" i="1"/>
  <c r="FJ24" i="1"/>
  <c r="EI24" i="1"/>
  <c r="CS24" i="1"/>
  <c r="BR24" i="1"/>
  <c r="AQ24" i="1"/>
  <c r="AE24" i="1"/>
  <c r="S24" i="1"/>
  <c r="G24" i="1"/>
  <c r="BO24" i="1"/>
  <c r="AB24" i="1"/>
  <c r="IM24" i="1"/>
  <c r="GW24" i="1"/>
  <c r="JH24" i="1"/>
  <c r="FG24" i="1"/>
  <c r="DQ24" i="1"/>
  <c r="CD24" i="1"/>
  <c r="AN24" i="1"/>
  <c r="IY24" i="1"/>
  <c r="HI24" i="1"/>
  <c r="FV24" i="1"/>
  <c r="EU24" i="1"/>
  <c r="P24" i="1"/>
  <c r="GH24" i="1"/>
  <c r="BC24" i="1"/>
  <c r="DE24" i="1"/>
  <c r="CP24" i="1"/>
  <c r="AZ24" i="1"/>
  <c r="ER24" i="1"/>
  <c r="IJ24" i="1"/>
  <c r="BL24" i="1"/>
  <c r="FD24" i="1"/>
  <c r="IV24" i="1"/>
  <c r="CJ24" i="1"/>
  <c r="GB24" i="1"/>
  <c r="CV24" i="1"/>
  <c r="HX24" i="1"/>
  <c r="DH24" i="1"/>
  <c r="DT24" i="1"/>
  <c r="EF24" i="1"/>
  <c r="FP24" i="1"/>
  <c r="GZ24" i="1"/>
  <c r="BX24" i="1"/>
  <c r="HL24" i="1"/>
  <c r="GN24" i="1"/>
  <c r="I51" i="37"/>
  <c r="G38" i="1"/>
  <c r="JB38" i="1"/>
  <c r="AW38" i="1"/>
  <c r="EO38" i="1"/>
  <c r="IG38" i="1"/>
  <c r="CJ38" i="1"/>
  <c r="GB38" i="1"/>
  <c r="CM38" i="1"/>
  <c r="GE38" i="1"/>
  <c r="BR38" i="1"/>
  <c r="FJ38" i="1"/>
  <c r="BU38" i="1"/>
  <c r="FM38" i="1"/>
  <c r="JE38" i="1"/>
  <c r="CG38" i="1"/>
  <c r="FY38" i="1"/>
  <c r="AB38" i="1"/>
  <c r="DT38" i="1"/>
  <c r="HL38" i="1"/>
  <c r="AK38" i="1"/>
  <c r="GW38" i="1"/>
  <c r="CV38" i="1"/>
  <c r="HX38" i="1"/>
  <c r="DK38" i="1"/>
  <c r="HO38" i="1"/>
  <c r="AT38" i="1"/>
  <c r="EX38" i="1"/>
  <c r="BI38" i="1"/>
  <c r="HI38" i="1"/>
  <c r="DH38" i="1"/>
  <c r="IJ38" i="1"/>
  <c r="S38" i="1"/>
  <c r="DW38" i="1"/>
  <c r="IA38" i="1"/>
  <c r="BF38" i="1"/>
  <c r="FV38" i="1"/>
  <c r="GH38" i="1"/>
  <c r="CS38" i="1"/>
  <c r="HU38" i="1"/>
  <c r="EF38" i="1"/>
  <c r="IV38" i="1"/>
  <c r="AE38" i="1"/>
  <c r="EI38" i="1"/>
  <c r="IM38" i="1"/>
  <c r="CD38" i="1"/>
  <c r="DE38" i="1"/>
  <c r="IS38" i="1"/>
  <c r="P38" i="1"/>
  <c r="ER38" i="1"/>
  <c r="EU38" i="1"/>
  <c r="CP38" i="1"/>
  <c r="GT38" i="1"/>
  <c r="JH38" i="1"/>
  <c r="AQ38" i="1"/>
  <c r="IY38" i="1"/>
  <c r="DQ38" i="1"/>
  <c r="AN38" i="1"/>
  <c r="FD38" i="1"/>
  <c r="BC38" i="1"/>
  <c r="FG38" i="1"/>
  <c r="DB38" i="1"/>
  <c r="HF38" i="1"/>
  <c r="M38" i="1"/>
  <c r="FA38" i="1"/>
  <c r="BL38" i="1"/>
  <c r="GN38" i="1"/>
  <c r="CA38" i="1"/>
  <c r="GQ38" i="1"/>
  <c r="V38" i="1"/>
  <c r="DZ38" i="1"/>
  <c r="ID38" i="1"/>
  <c r="Y38" i="1"/>
  <c r="GK38" i="1"/>
  <c r="BX38" i="1"/>
  <c r="GZ38" i="1"/>
  <c r="CY38" i="1"/>
  <c r="HC38" i="1"/>
  <c r="FP38" i="1"/>
  <c r="FS38" i="1"/>
  <c r="HR38" i="1"/>
  <c r="IP38" i="1"/>
  <c r="EC38" i="1"/>
  <c r="BO38" i="1"/>
  <c r="AZ38" i="1"/>
  <c r="J38" i="1"/>
  <c r="AH38" i="1"/>
  <c r="EL38" i="1"/>
  <c r="DN38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FS22" i="1"/>
  <c r="CA22" i="1"/>
  <c r="HC22" i="1"/>
  <c r="DK22" i="1"/>
  <c r="S22" i="1"/>
  <c r="IM22" i="1"/>
  <c r="EU22" i="1"/>
  <c r="BC22" i="1"/>
  <c r="GE22" i="1"/>
  <c r="CM22" i="1"/>
  <c r="HO22" i="1"/>
  <c r="DW22" i="1"/>
  <c r="AE22" i="1"/>
  <c r="GQ22" i="1"/>
  <c r="CY22" i="1"/>
  <c r="G22" i="1"/>
  <c r="IY22" i="1"/>
  <c r="IA22" i="1"/>
  <c r="FG22" i="1"/>
  <c r="BO22" i="1"/>
  <c r="EI22" i="1"/>
  <c r="AQ22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ID20" i="1"/>
  <c r="EL20" i="1"/>
  <c r="BX20" i="1"/>
  <c r="AW20" i="1"/>
  <c r="V20" i="1"/>
  <c r="FV20" i="1"/>
  <c r="CJ20" i="1"/>
  <c r="BI20" i="1"/>
  <c r="AH20" i="1"/>
  <c r="HF20" i="1"/>
  <c r="DN20" i="1"/>
  <c r="CV20" i="1"/>
  <c r="BU20" i="1"/>
  <c r="AT20" i="1"/>
  <c r="IP20" i="1"/>
  <c r="EX20" i="1"/>
  <c r="CG20" i="1"/>
  <c r="BF20" i="1"/>
  <c r="P20" i="1"/>
  <c r="GH20" i="1"/>
  <c r="CS20" i="1"/>
  <c r="BR20" i="1"/>
  <c r="AB20" i="1"/>
  <c r="JB20" i="1"/>
  <c r="FJ20" i="1"/>
  <c r="CP20" i="1"/>
  <c r="AZ20" i="1"/>
  <c r="Y20" i="1"/>
  <c r="DZ20" i="1"/>
  <c r="DB20" i="1"/>
  <c r="BL20" i="1"/>
  <c r="CD20" i="1"/>
  <c r="AN20" i="1"/>
  <c r="AK20" i="1"/>
  <c r="HR20" i="1"/>
  <c r="GT20" i="1"/>
  <c r="M20" i="1"/>
  <c r="J20" i="1"/>
  <c r="GT36" i="1"/>
  <c r="AT36" i="1"/>
  <c r="AE36" i="1"/>
  <c r="HR36" i="1"/>
  <c r="FJ36" i="1"/>
  <c r="EL36" i="1"/>
  <c r="CD36" i="1"/>
  <c r="AQ36" i="1"/>
  <c r="JB36" i="1"/>
  <c r="Y36" i="1"/>
  <c r="J36" i="1"/>
  <c r="ID36" i="1"/>
  <c r="FV36" i="1"/>
  <c r="DN36" i="1"/>
  <c r="HF36" i="1"/>
  <c r="CP36" i="1"/>
  <c r="BR36" i="1"/>
  <c r="IY36" i="1"/>
  <c r="DZ36" i="1"/>
  <c r="V36" i="1"/>
  <c r="GH36" i="1"/>
  <c r="AK36" i="1"/>
  <c r="S36" i="1"/>
  <c r="BF36" i="1"/>
  <c r="G36" i="1"/>
  <c r="EX36" i="1"/>
  <c r="AH36" i="1"/>
  <c r="IP36" i="1"/>
  <c r="DB36" i="1"/>
  <c r="DE36" i="1"/>
  <c r="GW36" i="1"/>
  <c r="CV36" i="1"/>
  <c r="GN36" i="1"/>
  <c r="M36" i="1"/>
  <c r="DQ36" i="1"/>
  <c r="HI36" i="1"/>
  <c r="P36" i="1"/>
  <c r="DH36" i="1"/>
  <c r="GZ36" i="1"/>
  <c r="BO36" i="1"/>
  <c r="FG36" i="1"/>
  <c r="EC36" i="1"/>
  <c r="HU36" i="1"/>
  <c r="DT36" i="1"/>
  <c r="HL36" i="1"/>
  <c r="AW36" i="1"/>
  <c r="EO36" i="1"/>
  <c r="IG36" i="1"/>
  <c r="AN36" i="1"/>
  <c r="EF36" i="1"/>
  <c r="HX36" i="1"/>
  <c r="CM36" i="1"/>
  <c r="GE36" i="1"/>
  <c r="BI36" i="1"/>
  <c r="FA36" i="1"/>
  <c r="IS36" i="1"/>
  <c r="AZ36" i="1"/>
  <c r="ER36" i="1"/>
  <c r="IJ36" i="1"/>
  <c r="CY36" i="1"/>
  <c r="GQ36" i="1"/>
  <c r="BU36" i="1"/>
  <c r="IV36" i="1"/>
  <c r="FS36" i="1"/>
  <c r="CG36" i="1"/>
  <c r="AB36" i="1"/>
  <c r="JH36" i="1"/>
  <c r="HC36" i="1"/>
  <c r="CS36" i="1"/>
  <c r="BL36" i="1"/>
  <c r="BC36" i="1"/>
  <c r="HO36" i="1"/>
  <c r="FM36" i="1"/>
  <c r="BX36" i="1"/>
  <c r="CA36" i="1"/>
  <c r="IA36" i="1"/>
  <c r="FY36" i="1"/>
  <c r="CJ36" i="1"/>
  <c r="DK36" i="1"/>
  <c r="IM36" i="1"/>
  <c r="JE36" i="1"/>
  <c r="FP36" i="1"/>
  <c r="EI36" i="1"/>
  <c r="GB36" i="1"/>
  <c r="EU36" i="1"/>
  <c r="FD36" i="1"/>
  <c r="GK36" i="1"/>
  <c r="DW36" i="1"/>
  <c r="BC39" i="48"/>
  <c r="E39" i="1"/>
  <c r="BC9" i="48"/>
  <c r="E9" i="1"/>
  <c r="I40" i="9"/>
  <c r="R34" i="48"/>
  <c r="E34" i="1" s="1"/>
  <c r="I45" i="8"/>
  <c r="I40" i="7"/>
  <c r="BC36" i="48"/>
  <c r="C35" i="45"/>
  <c r="E40" i="31"/>
  <c r="I45" i="17"/>
  <c r="R25" i="48"/>
  <c r="AD25" i="48" s="1"/>
  <c r="I45" i="21"/>
  <c r="I40" i="13"/>
  <c r="I40" i="12"/>
  <c r="I63" i="47" s="1"/>
  <c r="I40" i="11"/>
  <c r="I40" i="19"/>
  <c r="I40" i="16"/>
  <c r="I40" i="15"/>
  <c r="I40" i="14"/>
  <c r="J15" i="19"/>
  <c r="J15" i="18" s="1"/>
  <c r="J15" i="17" s="1"/>
  <c r="J17" i="19"/>
  <c r="J17" i="18" s="1"/>
  <c r="J17" i="17" s="1"/>
  <c r="J29" i="19"/>
  <c r="J29" i="18" s="1"/>
  <c r="J29" i="17" s="1"/>
  <c r="J30" i="19"/>
  <c r="J30" i="18" s="1"/>
  <c r="J30" i="17" s="1"/>
  <c r="J18" i="19"/>
  <c r="J18" i="18" s="1"/>
  <c r="J18" i="17" s="1"/>
  <c r="J14" i="19"/>
  <c r="J14" i="18" s="1"/>
  <c r="J14" i="17" s="1"/>
  <c r="J28" i="19"/>
  <c r="J28" i="18" s="1"/>
  <c r="J28" i="17" s="1"/>
  <c r="J27" i="19"/>
  <c r="J27" i="18" s="1"/>
  <c r="J27" i="17" s="1"/>
  <c r="J20" i="19"/>
  <c r="J20" i="18" s="1"/>
  <c r="J20" i="17" s="1"/>
  <c r="J9" i="19"/>
  <c r="J9" i="18" s="1"/>
  <c r="J9" i="17" s="1"/>
  <c r="J26" i="19"/>
  <c r="J26" i="18" s="1"/>
  <c r="J26" i="17" s="1"/>
  <c r="J19" i="19"/>
  <c r="J19" i="18" s="1"/>
  <c r="J19" i="17" s="1"/>
  <c r="J21" i="19"/>
  <c r="J21" i="18" s="1"/>
  <c r="J21" i="17" s="1"/>
  <c r="J23" i="19"/>
  <c r="J23" i="18" s="1"/>
  <c r="J23" i="17" s="1"/>
  <c r="J10" i="19"/>
  <c r="J10" i="18" s="1"/>
  <c r="J10" i="17" s="1"/>
  <c r="J11" i="19"/>
  <c r="J11" i="18" s="1"/>
  <c r="J11" i="17" s="1"/>
  <c r="J16" i="19"/>
  <c r="J16" i="18" s="1"/>
  <c r="J16" i="17" s="1"/>
  <c r="K57" i="33"/>
  <c r="J45" i="33"/>
  <c r="J13" i="19"/>
  <c r="J13" i="18" s="1"/>
  <c r="J24" i="19"/>
  <c r="J24" i="18" s="1"/>
  <c r="J24" i="17" s="1"/>
  <c r="J8" i="19"/>
  <c r="J8" i="18" s="1"/>
  <c r="J8" i="17" s="1"/>
  <c r="J31" i="19"/>
  <c r="J31" i="18" s="1"/>
  <c r="J31" i="17" s="1"/>
  <c r="J12" i="19"/>
  <c r="J12" i="17" s="1"/>
  <c r="J41" i="33"/>
  <c r="J22" i="19"/>
  <c r="J22" i="18" s="1"/>
  <c r="J22" i="17" s="1"/>
  <c r="I40" i="24"/>
  <c r="R18" i="48" s="1"/>
  <c r="C17" i="45" s="1"/>
  <c r="I40" i="23"/>
  <c r="I40" i="25"/>
  <c r="K56" i="33"/>
  <c r="BC20" i="48"/>
  <c r="C19" i="45"/>
  <c r="BC22" i="48"/>
  <c r="C21" i="45"/>
  <c r="AD20" i="48"/>
  <c r="I40" i="26"/>
  <c r="K34" i="27"/>
  <c r="I40" i="28"/>
  <c r="I40" i="29"/>
  <c r="I40" i="30"/>
  <c r="W167" i="57"/>
  <c r="K34" i="31"/>
  <c r="AA6" i="46"/>
  <c r="AB6" i="46" s="1"/>
  <c r="E25" i="2"/>
  <c r="BM25" i="2" s="1"/>
  <c r="AD9" i="48"/>
  <c r="E33" i="2"/>
  <c r="BM33" i="2" s="1"/>
  <c r="BC38" i="48"/>
  <c r="I39" i="48"/>
  <c r="AD39" i="48"/>
  <c r="C38" i="45"/>
  <c r="X39" i="48"/>
  <c r="J39" i="48"/>
  <c r="C8" i="45"/>
  <c r="I9" i="48"/>
  <c r="I45" i="33"/>
  <c r="S9" i="48"/>
  <c r="BD9" i="48" s="1"/>
  <c r="M7" i="32"/>
  <c r="M7" i="31" s="1"/>
  <c r="M7" i="30" s="1"/>
  <c r="M7" i="29" s="1"/>
  <c r="M7" i="27" s="1"/>
  <c r="D53" i="32"/>
  <c r="K34" i="32"/>
  <c r="I36" i="48"/>
  <c r="AD36" i="48"/>
  <c r="J36" i="48"/>
  <c r="X36" i="48"/>
  <c r="C37" i="45"/>
  <c r="E22" i="2"/>
  <c r="BM22" i="2" s="1"/>
  <c r="I49" i="33"/>
  <c r="J20" i="48"/>
  <c r="I20" i="48"/>
  <c r="E45" i="31"/>
  <c r="D45" i="29"/>
  <c r="D45" i="27" s="1"/>
  <c r="E45" i="27" s="1"/>
  <c r="E47" i="31"/>
  <c r="E47" i="30"/>
  <c r="D39" i="29"/>
  <c r="D39" i="27" s="1"/>
  <c r="E39" i="27" s="1"/>
  <c r="M8" i="31"/>
  <c r="E39" i="31"/>
  <c r="E44" i="31"/>
  <c r="D43" i="27"/>
  <c r="E43" i="27" s="1"/>
  <c r="E43" i="30"/>
  <c r="D41" i="30"/>
  <c r="E41" i="30" s="1"/>
  <c r="E44" i="30"/>
  <c r="E49" i="30"/>
  <c r="D48" i="30"/>
  <c r="E48" i="30" s="1"/>
  <c r="J56" i="30"/>
  <c r="I38" i="48"/>
  <c r="J38" i="48"/>
  <c r="X38" i="48"/>
  <c r="AD38" i="48"/>
  <c r="J43" i="30"/>
  <c r="J44" i="31"/>
  <c r="I22" i="48"/>
  <c r="J22" i="48"/>
  <c r="AD22" i="48"/>
  <c r="L41" i="48"/>
  <c r="H41" i="48" s="1"/>
  <c r="E38" i="31"/>
  <c r="E38" i="30"/>
  <c r="D38" i="29"/>
  <c r="E50" i="31"/>
  <c r="D50" i="30"/>
  <c r="D47" i="27"/>
  <c r="E47" i="29"/>
  <c r="D42" i="30"/>
  <c r="E42" i="31"/>
  <c r="D52" i="31"/>
  <c r="D53" i="31" s="1"/>
  <c r="E46" i="31"/>
  <c r="D46" i="30"/>
  <c r="E52" i="32"/>
  <c r="E53" i="32" s="1"/>
  <c r="D44" i="27"/>
  <c r="E44" i="29"/>
  <c r="D40" i="29"/>
  <c r="E40" i="30"/>
  <c r="D51" i="29"/>
  <c r="E51" i="30"/>
  <c r="A13" i="2" s="1"/>
  <c r="J57" i="30"/>
  <c r="J37" i="31"/>
  <c r="J39" i="32"/>
  <c r="D49" i="27"/>
  <c r="E49" i="29"/>
  <c r="J57" i="17"/>
  <c r="AC11" i="48"/>
  <c r="Q12" i="48"/>
  <c r="BC37" i="48" l="1"/>
  <c r="AA12" i="46"/>
  <c r="AB12" i="46" s="1"/>
  <c r="A14" i="48"/>
  <c r="A12" i="45"/>
  <c r="J37" i="48"/>
  <c r="X37" i="48"/>
  <c r="AD37" i="48"/>
  <c r="I37" i="48"/>
  <c r="I45" i="9"/>
  <c r="C36" i="45"/>
  <c r="J25" i="48"/>
  <c r="I25" i="48"/>
  <c r="R33" i="48"/>
  <c r="E33" i="1" s="1"/>
  <c r="CP33" i="1" s="1"/>
  <c r="C24" i="45"/>
  <c r="E25" i="1"/>
  <c r="E26" i="2" s="1"/>
  <c r="BM26" i="2" s="1"/>
  <c r="JB9" i="1"/>
  <c r="HF9" i="1"/>
  <c r="FJ9" i="1"/>
  <c r="DN9" i="1"/>
  <c r="CV9" i="1"/>
  <c r="AZ9" i="1"/>
  <c r="IJ9" i="1"/>
  <c r="FV9" i="1"/>
  <c r="FD9" i="1"/>
  <c r="BF9" i="1"/>
  <c r="AN9" i="1"/>
  <c r="HR9" i="1"/>
  <c r="GZ9" i="1"/>
  <c r="EL9" i="1"/>
  <c r="DB9" i="1"/>
  <c r="CJ9" i="1"/>
  <c r="V9" i="1"/>
  <c r="IY9" i="1"/>
  <c r="IP9" i="1"/>
  <c r="GB9" i="1"/>
  <c r="GN9" i="1"/>
  <c r="IV9" i="1"/>
  <c r="GH9" i="1"/>
  <c r="DT9" i="1"/>
  <c r="BR9" i="1"/>
  <c r="ID9" i="1"/>
  <c r="FP9" i="1"/>
  <c r="EX9" i="1"/>
  <c r="AH9" i="1"/>
  <c r="BL9" i="1"/>
  <c r="DZ9" i="1"/>
  <c r="BX9" i="1"/>
  <c r="J9" i="1"/>
  <c r="HL9" i="1"/>
  <c r="GT9" i="1"/>
  <c r="EF9" i="1"/>
  <c r="CD9" i="1"/>
  <c r="P9" i="1"/>
  <c r="JH9" i="1"/>
  <c r="AT9" i="1"/>
  <c r="HX9" i="1"/>
  <c r="ER9" i="1"/>
  <c r="DH9" i="1"/>
  <c r="CP9" i="1"/>
  <c r="AB9" i="1"/>
  <c r="BU9" i="1"/>
  <c r="FM9" i="1"/>
  <c r="JE9" i="1"/>
  <c r="AE9" i="1"/>
  <c r="DW9" i="1"/>
  <c r="HO9" i="1"/>
  <c r="CG9" i="1"/>
  <c r="FY9" i="1"/>
  <c r="AQ9" i="1"/>
  <c r="EI9" i="1"/>
  <c r="IA9" i="1"/>
  <c r="CS9" i="1"/>
  <c r="GK9" i="1"/>
  <c r="BC9" i="1"/>
  <c r="EU9" i="1"/>
  <c r="IM9" i="1"/>
  <c r="M9" i="1"/>
  <c r="DE9" i="1"/>
  <c r="GW9" i="1"/>
  <c r="BO9" i="1"/>
  <c r="FG9" i="1"/>
  <c r="Y9" i="1"/>
  <c r="DQ9" i="1"/>
  <c r="HI9" i="1"/>
  <c r="CA9" i="1"/>
  <c r="FS9" i="1"/>
  <c r="AW9" i="1"/>
  <c r="EO9" i="1"/>
  <c r="IG9" i="1"/>
  <c r="G9" i="1"/>
  <c r="CY9" i="1"/>
  <c r="GQ9" i="1"/>
  <c r="HU9" i="1"/>
  <c r="DK9" i="1"/>
  <c r="IS9" i="1"/>
  <c r="GE9" i="1"/>
  <c r="HC9" i="1"/>
  <c r="AK9" i="1"/>
  <c r="EC9" i="1"/>
  <c r="S9" i="1"/>
  <c r="CM9" i="1"/>
  <c r="BI9" i="1"/>
  <c r="FA9" i="1"/>
  <c r="BC18" i="48"/>
  <c r="E18" i="1"/>
  <c r="JB39" i="1"/>
  <c r="BU39" i="1"/>
  <c r="FM39" i="1"/>
  <c r="JE39" i="1"/>
  <c r="P39" i="1"/>
  <c r="DH39" i="1"/>
  <c r="GZ39" i="1"/>
  <c r="S39" i="1"/>
  <c r="DK39" i="1"/>
  <c r="HC39" i="1"/>
  <c r="J39" i="1"/>
  <c r="DB39" i="1"/>
  <c r="GT39" i="1"/>
  <c r="CS39" i="1"/>
  <c r="GK39" i="1"/>
  <c r="M39" i="1"/>
  <c r="DE39" i="1"/>
  <c r="GW39" i="1"/>
  <c r="AZ39" i="1"/>
  <c r="ER39" i="1"/>
  <c r="CG39" i="1"/>
  <c r="IG39" i="1"/>
  <c r="CJ39" i="1"/>
  <c r="HL39" i="1"/>
  <c r="BO39" i="1"/>
  <c r="FS39" i="1"/>
  <c r="V39" i="1"/>
  <c r="DZ39" i="1"/>
  <c r="ID39" i="1"/>
  <c r="DQ39" i="1"/>
  <c r="IS39" i="1"/>
  <c r="CV39" i="1"/>
  <c r="HX39" i="1"/>
  <c r="CA39" i="1"/>
  <c r="GE39" i="1"/>
  <c r="AH39" i="1"/>
  <c r="EL39" i="1"/>
  <c r="IP39" i="1"/>
  <c r="CY39" i="1"/>
  <c r="EC39" i="1"/>
  <c r="DT39" i="1"/>
  <c r="IJ39" i="1"/>
  <c r="CM39" i="1"/>
  <c r="GQ39" i="1"/>
  <c r="AT39" i="1"/>
  <c r="EX39" i="1"/>
  <c r="EF39" i="1"/>
  <c r="IV39" i="1"/>
  <c r="HO39" i="1"/>
  <c r="FJ39" i="1"/>
  <c r="EO39" i="1"/>
  <c r="BF39" i="1"/>
  <c r="Y39" i="1"/>
  <c r="FA39" i="1"/>
  <c r="AB39" i="1"/>
  <c r="FD39" i="1"/>
  <c r="JH39" i="1"/>
  <c r="G39" i="1"/>
  <c r="DW39" i="1"/>
  <c r="IA39" i="1"/>
  <c r="BR39" i="1"/>
  <c r="FV39" i="1"/>
  <c r="AW39" i="1"/>
  <c r="HI39" i="1"/>
  <c r="BL39" i="1"/>
  <c r="GB39" i="1"/>
  <c r="AQ39" i="1"/>
  <c r="EU39" i="1"/>
  <c r="IY39" i="1"/>
  <c r="CP39" i="1"/>
  <c r="HF39" i="1"/>
  <c r="BI39" i="1"/>
  <c r="HU39" i="1"/>
  <c r="BX39" i="1"/>
  <c r="GN39" i="1"/>
  <c r="AN39" i="1"/>
  <c r="AE39" i="1"/>
  <c r="BC39" i="1"/>
  <c r="CD39" i="1"/>
  <c r="IM39" i="1"/>
  <c r="FP39" i="1"/>
  <c r="EI39" i="1"/>
  <c r="DN39" i="1"/>
  <c r="FY39" i="1"/>
  <c r="HR39" i="1"/>
  <c r="AK39" i="1"/>
  <c r="FG39" i="1"/>
  <c r="GH39" i="1"/>
  <c r="IP34" i="1"/>
  <c r="HR34" i="1"/>
  <c r="GE34" i="1"/>
  <c r="EX34" i="1"/>
  <c r="EI34" i="1"/>
  <c r="DB34" i="1"/>
  <c r="CM34" i="1"/>
  <c r="BF34" i="1"/>
  <c r="AQ34" i="1"/>
  <c r="J34" i="1"/>
  <c r="JB34" i="1"/>
  <c r="FJ34" i="1"/>
  <c r="EU34" i="1"/>
  <c r="DN34" i="1"/>
  <c r="CY34" i="1"/>
  <c r="BR34" i="1"/>
  <c r="BC34" i="1"/>
  <c r="V34" i="1"/>
  <c r="G34" i="1"/>
  <c r="ID34" i="1"/>
  <c r="IY34" i="1"/>
  <c r="HF34" i="1"/>
  <c r="DW34" i="1"/>
  <c r="AE34" i="1"/>
  <c r="FG34" i="1"/>
  <c r="EL34" i="1"/>
  <c r="BO34" i="1"/>
  <c r="AT34" i="1"/>
  <c r="FV34" i="1"/>
  <c r="CD34" i="1"/>
  <c r="FS34" i="1"/>
  <c r="CA34" i="1"/>
  <c r="GH34" i="1"/>
  <c r="DK34" i="1"/>
  <c r="CP34" i="1"/>
  <c r="S34" i="1"/>
  <c r="DZ34" i="1"/>
  <c r="AH34" i="1"/>
  <c r="GT34" i="1"/>
  <c r="CS34" i="1"/>
  <c r="GK34" i="1"/>
  <c r="AZ34" i="1"/>
  <c r="ER34" i="1"/>
  <c r="IJ34" i="1"/>
  <c r="M34" i="1"/>
  <c r="DE34" i="1"/>
  <c r="GW34" i="1"/>
  <c r="BL34" i="1"/>
  <c r="FD34" i="1"/>
  <c r="IV34" i="1"/>
  <c r="GQ34" i="1"/>
  <c r="Y34" i="1"/>
  <c r="DQ34" i="1"/>
  <c r="HI34" i="1"/>
  <c r="BX34" i="1"/>
  <c r="FP34" i="1"/>
  <c r="JH34" i="1"/>
  <c r="AK34" i="1"/>
  <c r="EC34" i="1"/>
  <c r="HU34" i="1"/>
  <c r="CJ34" i="1"/>
  <c r="GB34" i="1"/>
  <c r="HO34" i="1"/>
  <c r="AW34" i="1"/>
  <c r="EO34" i="1"/>
  <c r="IG34" i="1"/>
  <c r="CV34" i="1"/>
  <c r="GN34" i="1"/>
  <c r="IA34" i="1"/>
  <c r="JE34" i="1"/>
  <c r="AB34" i="1"/>
  <c r="BI34" i="1"/>
  <c r="AN34" i="1"/>
  <c r="HC34" i="1"/>
  <c r="BU34" i="1"/>
  <c r="DH34" i="1"/>
  <c r="IM34" i="1"/>
  <c r="DT34" i="1"/>
  <c r="CG34" i="1"/>
  <c r="FA34" i="1"/>
  <c r="EF34" i="1"/>
  <c r="FY34" i="1"/>
  <c r="HL34" i="1"/>
  <c r="IS34" i="1"/>
  <c r="P34" i="1"/>
  <c r="HX34" i="1"/>
  <c r="FM34" i="1"/>
  <c r="GZ34" i="1"/>
  <c r="GH33" i="1"/>
  <c r="FS33" i="1"/>
  <c r="DW33" i="1"/>
  <c r="IP33" i="1"/>
  <c r="IA33" i="1"/>
  <c r="GE33" i="1"/>
  <c r="BF33" i="1"/>
  <c r="AQ33" i="1"/>
  <c r="HC33" i="1"/>
  <c r="EU33" i="1"/>
  <c r="DZ33" i="1"/>
  <c r="AH33" i="1"/>
  <c r="FG33" i="1"/>
  <c r="BO33" i="1"/>
  <c r="FV33" i="1"/>
  <c r="HF33" i="1"/>
  <c r="DN33" i="1"/>
  <c r="BU33" i="1"/>
  <c r="GZ33" i="1"/>
  <c r="CG33" i="1"/>
  <c r="AB33" i="1"/>
  <c r="AN33" i="1"/>
  <c r="EF33" i="1"/>
  <c r="DE33" i="1"/>
  <c r="M33" i="1"/>
  <c r="DQ33" i="1"/>
  <c r="BL33" i="1"/>
  <c r="CV33" i="1"/>
  <c r="AW33" i="1"/>
  <c r="BI33" i="1"/>
  <c r="HU33" i="1"/>
  <c r="GN33" i="1"/>
  <c r="FA33" i="1"/>
  <c r="FJ37" i="1"/>
  <c r="DB37" i="1"/>
  <c r="AT37" i="1"/>
  <c r="HF37" i="1"/>
  <c r="BI37" i="1"/>
  <c r="V37" i="1"/>
  <c r="EI37" i="1"/>
  <c r="BX37" i="1"/>
  <c r="EX37" i="1"/>
  <c r="CM37" i="1"/>
  <c r="AK37" i="1"/>
  <c r="M37" i="1"/>
  <c r="BR37" i="1"/>
  <c r="J37" i="1"/>
  <c r="AH37" i="1"/>
  <c r="Y37" i="1"/>
  <c r="AW37" i="1"/>
  <c r="CY37" i="1"/>
  <c r="AB37" i="1"/>
  <c r="IY37" i="1"/>
  <c r="FG37" i="1"/>
  <c r="GB37" i="1"/>
  <c r="CJ37" i="1"/>
  <c r="FY37" i="1"/>
  <c r="CG37" i="1"/>
  <c r="DN37" i="1"/>
  <c r="AN37" i="1"/>
  <c r="IM37" i="1"/>
  <c r="JH37" i="1"/>
  <c r="FP37" i="1"/>
  <c r="JE37" i="1"/>
  <c r="FM37" i="1"/>
  <c r="BU37" i="1"/>
  <c r="G37" i="1"/>
  <c r="BF37" i="1"/>
  <c r="EU37" i="1"/>
  <c r="AZ37" i="1"/>
  <c r="IA37" i="1"/>
  <c r="IV37" i="1"/>
  <c r="FD37" i="1"/>
  <c r="IS37" i="1"/>
  <c r="FA37" i="1"/>
  <c r="CA37" i="1"/>
  <c r="BL37" i="1"/>
  <c r="HO37" i="1"/>
  <c r="IJ37" i="1"/>
  <c r="ER37" i="1"/>
  <c r="IG37" i="1"/>
  <c r="EO37" i="1"/>
  <c r="CP37" i="1"/>
  <c r="AE37" i="1"/>
  <c r="JB37" i="1"/>
  <c r="HC37" i="1"/>
  <c r="HX37" i="1"/>
  <c r="EF37" i="1"/>
  <c r="HU37" i="1"/>
  <c r="EC37" i="1"/>
  <c r="DW37" i="1"/>
  <c r="AQ37" i="1"/>
  <c r="CD37" i="1"/>
  <c r="FS37" i="1"/>
  <c r="GW37" i="1"/>
  <c r="IP37" i="1"/>
  <c r="HL37" i="1"/>
  <c r="GK37" i="1"/>
  <c r="P37" i="1"/>
  <c r="GZ37" i="1"/>
  <c r="DQ37" i="1"/>
  <c r="GN37" i="1"/>
  <c r="DE37" i="1"/>
  <c r="ID37" i="1"/>
  <c r="DT37" i="1"/>
  <c r="CS37" i="1"/>
  <c r="GQ37" i="1"/>
  <c r="CV37" i="1"/>
  <c r="FV37" i="1"/>
  <c r="BC37" i="1"/>
  <c r="DZ37" i="1"/>
  <c r="GH37" i="1"/>
  <c r="GE37" i="1"/>
  <c r="HI37" i="1"/>
  <c r="BO37" i="1"/>
  <c r="GT37" i="1"/>
  <c r="S37" i="1"/>
  <c r="HR37" i="1"/>
  <c r="DH37" i="1"/>
  <c r="EL37" i="1"/>
  <c r="DK37" i="1"/>
  <c r="BC25" i="48"/>
  <c r="C33" i="45"/>
  <c r="I34" i="48"/>
  <c r="J34" i="48"/>
  <c r="BC34" i="48"/>
  <c r="AD34" i="48"/>
  <c r="R35" i="48"/>
  <c r="E35" i="1" s="1"/>
  <c r="I45" i="7"/>
  <c r="BC33" i="48"/>
  <c r="J33" i="48"/>
  <c r="I45" i="11"/>
  <c r="R31" i="48"/>
  <c r="E31" i="1" s="1"/>
  <c r="I45" i="13"/>
  <c r="R29" i="48"/>
  <c r="E29" i="1" s="1"/>
  <c r="I45" i="12"/>
  <c r="R30" i="48"/>
  <c r="E30" i="1" s="1"/>
  <c r="W189" i="46"/>
  <c r="X189" i="46" s="1"/>
  <c r="F42" i="55" s="1"/>
  <c r="G42" i="55" s="1"/>
  <c r="H42" i="55" s="1"/>
  <c r="J10" i="16"/>
  <c r="J10" i="15" s="1"/>
  <c r="J10" i="14" s="1"/>
  <c r="J10" i="13" s="1"/>
  <c r="J10" i="12" s="1"/>
  <c r="J25" i="16"/>
  <c r="J25" i="15" s="1"/>
  <c r="J25" i="14" s="1"/>
  <c r="J25" i="13" s="1"/>
  <c r="J25" i="12" s="1"/>
  <c r="J25" i="11" s="1"/>
  <c r="J25" i="10" s="1"/>
  <c r="J23" i="16"/>
  <c r="J23" i="15" s="1"/>
  <c r="J23" i="14" s="1"/>
  <c r="J23" i="13" s="1"/>
  <c r="J23" i="12" s="1"/>
  <c r="J23" i="11" s="1"/>
  <c r="J23" i="10" s="1"/>
  <c r="J14" i="16"/>
  <c r="J14" i="15" s="1"/>
  <c r="J14" i="14" s="1"/>
  <c r="J14" i="13" s="1"/>
  <c r="J14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4" i="16"/>
  <c r="J24" i="15" s="1"/>
  <c r="J24" i="14" s="1"/>
  <c r="J24" i="13" s="1"/>
  <c r="J24" i="12" s="1"/>
  <c r="J24" i="11" s="1"/>
  <c r="J24" i="10" s="1"/>
  <c r="J21" i="16"/>
  <c r="J21" i="15" s="1"/>
  <c r="J21" i="14" s="1"/>
  <c r="J21" i="13" s="1"/>
  <c r="J21" i="12" s="1"/>
  <c r="J21" i="11" s="1"/>
  <c r="J21" i="10" s="1"/>
  <c r="J18" i="16"/>
  <c r="J18" i="15" s="1"/>
  <c r="J18" i="14" s="1"/>
  <c r="J18" i="13" s="1"/>
  <c r="J18" i="12" s="1"/>
  <c r="I45" i="16"/>
  <c r="R26" i="48"/>
  <c r="E26" i="1" s="1"/>
  <c r="J31" i="16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13" i="16"/>
  <c r="J13" i="15" s="1"/>
  <c r="J13" i="14" s="1"/>
  <c r="J13" i="13" s="1"/>
  <c r="J13" i="12" s="1"/>
  <c r="J19" i="16"/>
  <c r="J19" i="15" s="1"/>
  <c r="J19" i="14" s="1"/>
  <c r="J19" i="13" s="1"/>
  <c r="J19" i="12" s="1"/>
  <c r="J30" i="16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22" i="16"/>
  <c r="J22" i="15" s="1"/>
  <c r="J22" i="14" s="1"/>
  <c r="J22" i="13" s="1"/>
  <c r="J22" i="12" s="1"/>
  <c r="J22" i="11" s="1"/>
  <c r="J22" i="10" s="1"/>
  <c r="J26" i="16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8" i="16"/>
  <c r="J8" i="15" s="1"/>
  <c r="J8" i="14" s="1"/>
  <c r="J8" i="13" s="1"/>
  <c r="J8" i="12" s="1"/>
  <c r="J8" i="11" s="1"/>
  <c r="J8" i="10" s="1"/>
  <c r="J9" i="16"/>
  <c r="J9" i="15" s="1"/>
  <c r="J9" i="14" s="1"/>
  <c r="J9" i="13" s="1"/>
  <c r="J9" i="12" s="1"/>
  <c r="J9" i="11" s="1"/>
  <c r="J9" i="10" s="1"/>
  <c r="J17" i="16"/>
  <c r="J17" i="15" s="1"/>
  <c r="J17" i="14" s="1"/>
  <c r="J17" i="13" s="1"/>
  <c r="J17" i="12" s="1"/>
  <c r="R23" i="48"/>
  <c r="E23" i="1" s="1"/>
  <c r="I45" i="19"/>
  <c r="J16" i="16"/>
  <c r="J16" i="15" s="1"/>
  <c r="J16" i="14" s="1"/>
  <c r="J16" i="13" s="1"/>
  <c r="J16" i="12" s="1"/>
  <c r="J20" i="16"/>
  <c r="J20" i="15" s="1"/>
  <c r="J20" i="14" s="1"/>
  <c r="J20" i="13" s="1"/>
  <c r="J20" i="12" s="1"/>
  <c r="J20" i="11" s="1"/>
  <c r="J20" i="10" s="1"/>
  <c r="J15" i="16"/>
  <c r="J15" i="15" s="1"/>
  <c r="J15" i="14" s="1"/>
  <c r="J15" i="13" s="1"/>
  <c r="J15" i="12" s="1"/>
  <c r="I45" i="15"/>
  <c r="R27" i="48"/>
  <c r="E27" i="1" s="1"/>
  <c r="J12" i="16"/>
  <c r="J12" i="15" s="1"/>
  <c r="J12" i="14" s="1"/>
  <c r="J12" i="13" s="1"/>
  <c r="J12" i="12" s="1"/>
  <c r="J11" i="16"/>
  <c r="J11" i="15" s="1"/>
  <c r="J11" i="14" s="1"/>
  <c r="J11" i="13" s="1"/>
  <c r="J11" i="12" s="1"/>
  <c r="J27" i="16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R28" i="48"/>
  <c r="E28" i="1" s="1"/>
  <c r="I45" i="14"/>
  <c r="I45" i="24"/>
  <c r="R17" i="48"/>
  <c r="E17" i="1" s="1"/>
  <c r="I45" i="25"/>
  <c r="AD18" i="48"/>
  <c r="J18" i="48"/>
  <c r="I18" i="48"/>
  <c r="R19" i="48"/>
  <c r="E19" i="1" s="1"/>
  <c r="I45" i="23"/>
  <c r="E21" i="2"/>
  <c r="BM21" i="2" s="1"/>
  <c r="R16" i="48"/>
  <c r="E16" i="1" s="1"/>
  <c r="I45" i="26"/>
  <c r="R15" i="48"/>
  <c r="I45" i="28"/>
  <c r="I40" i="27"/>
  <c r="I40" i="32"/>
  <c r="I45" i="32" s="1"/>
  <c r="I40" i="31"/>
  <c r="R11" i="48" s="1"/>
  <c r="I45" i="29"/>
  <c r="R13" i="48"/>
  <c r="R12" i="48"/>
  <c r="I45" i="30"/>
  <c r="M34" i="32"/>
  <c r="X170" i="57"/>
  <c r="X167" i="57"/>
  <c r="O42" i="55" s="1"/>
  <c r="P42" i="55" s="1"/>
  <c r="Q42" i="55" s="1"/>
  <c r="AE9" i="48"/>
  <c r="E10" i="2"/>
  <c r="F10" i="2" s="1"/>
  <c r="BN10" i="2" s="1"/>
  <c r="E23" i="2"/>
  <c r="BM23" i="2" s="1"/>
  <c r="E40" i="2"/>
  <c r="BM40" i="2" s="1"/>
  <c r="E39" i="2"/>
  <c r="BM39" i="2" s="1"/>
  <c r="E37" i="2"/>
  <c r="BM37" i="2" s="1"/>
  <c r="E38" i="2"/>
  <c r="BM38" i="2" s="1"/>
  <c r="H9" i="48"/>
  <c r="I50" i="33"/>
  <c r="J49" i="33"/>
  <c r="I51" i="33"/>
  <c r="U9" i="48"/>
  <c r="U10" i="48" s="1"/>
  <c r="V9" i="48"/>
  <c r="X9" i="48"/>
  <c r="I49" i="31"/>
  <c r="E45" i="29"/>
  <c r="M9" i="48"/>
  <c r="K9" i="48" s="1"/>
  <c r="J9" i="48"/>
  <c r="J5" i="56"/>
  <c r="I49" i="8"/>
  <c r="I49" i="17"/>
  <c r="I49" i="18"/>
  <c r="I49" i="28"/>
  <c r="I49" i="29"/>
  <c r="D45" i="28"/>
  <c r="D45" i="26" s="1"/>
  <c r="I49" i="30"/>
  <c r="E39" i="29"/>
  <c r="D39" i="28"/>
  <c r="E39" i="28" s="1"/>
  <c r="D43" i="28"/>
  <c r="E43" i="28" s="1"/>
  <c r="M8" i="30"/>
  <c r="M34" i="31"/>
  <c r="D48" i="29"/>
  <c r="E48" i="29" s="1"/>
  <c r="D41" i="29"/>
  <c r="J43" i="29"/>
  <c r="J44" i="30"/>
  <c r="J56" i="29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G9" i="48"/>
  <c r="N41" i="48"/>
  <c r="G41" i="48" s="1"/>
  <c r="E52" i="31"/>
  <c r="E53" i="31" s="1"/>
  <c r="D38" i="27"/>
  <c r="E38" i="29"/>
  <c r="D50" i="29"/>
  <c r="E50" i="30"/>
  <c r="D42" i="29"/>
  <c r="E42" i="30"/>
  <c r="D47" i="28"/>
  <c r="E47" i="27"/>
  <c r="D52" i="30"/>
  <c r="D53" i="30" s="1"/>
  <c r="D46" i="29"/>
  <c r="E46" i="30"/>
  <c r="D51" i="27"/>
  <c r="E51" i="29"/>
  <c r="D40" i="27"/>
  <c r="E40" i="29"/>
  <c r="E44" i="27"/>
  <c r="D44" i="28"/>
  <c r="A14" i="2" s="1"/>
  <c r="J39" i="31"/>
  <c r="J37" i="30"/>
  <c r="J57" i="29"/>
  <c r="D49" i="28"/>
  <c r="E49" i="27"/>
  <c r="J57" i="16"/>
  <c r="M7" i="28"/>
  <c r="AC12" i="48"/>
  <c r="Q13" i="48"/>
  <c r="IG33" i="1" l="1"/>
  <c r="BX33" i="1"/>
  <c r="HI33" i="1"/>
  <c r="HX33" i="1"/>
  <c r="FY33" i="1"/>
  <c r="AK33" i="1"/>
  <c r="GQ33" i="1"/>
  <c r="BC33" i="1"/>
  <c r="J33" i="1"/>
  <c r="GT33" i="1"/>
  <c r="EL33" i="1"/>
  <c r="I33" i="48"/>
  <c r="FP33" i="1"/>
  <c r="IS33" i="1"/>
  <c r="IJ33" i="1"/>
  <c r="GK33" i="1"/>
  <c r="DH33" i="1"/>
  <c r="V33" i="1"/>
  <c r="IY33" i="1"/>
  <c r="HR33" i="1"/>
  <c r="CM33" i="1"/>
  <c r="AE33" i="1"/>
  <c r="HO33" i="1"/>
  <c r="AD33" i="48"/>
  <c r="EO33" i="1"/>
  <c r="Y33" i="1"/>
  <c r="ER33" i="1"/>
  <c r="CS33" i="1"/>
  <c r="P33" i="1"/>
  <c r="G33" i="1"/>
  <c r="BR33" i="1"/>
  <c r="IM33" i="1"/>
  <c r="DB33" i="1"/>
  <c r="AT33" i="1"/>
  <c r="ID33" i="1"/>
  <c r="EC33" i="1"/>
  <c r="IV33" i="1"/>
  <c r="AZ33" i="1"/>
  <c r="HL33" i="1"/>
  <c r="JE33" i="1"/>
  <c r="CD33" i="1"/>
  <c r="FJ33" i="1"/>
  <c r="S33" i="1"/>
  <c r="EI33" i="1"/>
  <c r="CA33" i="1"/>
  <c r="JH33" i="1"/>
  <c r="C32" i="45"/>
  <c r="GB33" i="1"/>
  <c r="CJ33" i="1"/>
  <c r="FD33" i="1"/>
  <c r="GW33" i="1"/>
  <c r="DT33" i="1"/>
  <c r="FM33" i="1"/>
  <c r="CY33" i="1"/>
  <c r="JB33" i="1"/>
  <c r="DK33" i="1"/>
  <c r="EX33" i="1"/>
  <c r="A15" i="48"/>
  <c r="A13" i="45"/>
  <c r="E13" i="1"/>
  <c r="GB13" i="1" s="1"/>
  <c r="C12" i="45"/>
  <c r="E12" i="1"/>
  <c r="CP12" i="1" s="1"/>
  <c r="C11" i="45"/>
  <c r="E11" i="1"/>
  <c r="CY11" i="1" s="1"/>
  <c r="C10" i="45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GN16" i="1"/>
  <c r="CV16" i="1"/>
  <c r="HX16" i="1"/>
  <c r="EF16" i="1"/>
  <c r="AN16" i="1"/>
  <c r="JH16" i="1"/>
  <c r="FP16" i="1"/>
  <c r="BX16" i="1"/>
  <c r="GZ16" i="1"/>
  <c r="DH16" i="1"/>
  <c r="P16" i="1"/>
  <c r="IJ16" i="1"/>
  <c r="ER16" i="1"/>
  <c r="AZ16" i="1"/>
  <c r="HL16" i="1"/>
  <c r="DT16" i="1"/>
  <c r="AB16" i="1"/>
  <c r="GB16" i="1"/>
  <c r="FD16" i="1"/>
  <c r="CJ16" i="1"/>
  <c r="BL16" i="1"/>
  <c r="IV16" i="1"/>
  <c r="JB23" i="1"/>
  <c r="IA23" i="1"/>
  <c r="GK23" i="1"/>
  <c r="FJ23" i="1"/>
  <c r="IM23" i="1"/>
  <c r="GW23" i="1"/>
  <c r="FV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IY23" i="1"/>
  <c r="HI23" i="1"/>
  <c r="GH23" i="1"/>
  <c r="FG23" i="1"/>
  <c r="HU23" i="1"/>
  <c r="GT23" i="1"/>
  <c r="FS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IG23" i="1"/>
  <c r="HF23" i="1"/>
  <c r="GE23" i="1"/>
  <c r="IS23" i="1"/>
  <c r="HR23" i="1"/>
  <c r="GQ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BR23" i="1"/>
  <c r="JE23" i="1"/>
  <c r="DB23" i="1"/>
  <c r="J23" i="1"/>
  <c r="HO23" i="1"/>
  <c r="FY23" i="1"/>
  <c r="EL23" i="1"/>
  <c r="AT23" i="1"/>
  <c r="CD23" i="1"/>
  <c r="JH23" i="1"/>
  <c r="ID23" i="1"/>
  <c r="DN23" i="1"/>
  <c r="V23" i="1"/>
  <c r="CP23" i="1"/>
  <c r="IP23" i="1"/>
  <c r="EX23" i="1"/>
  <c r="FM23" i="1"/>
  <c r="BF23" i="1"/>
  <c r="DZ23" i="1"/>
  <c r="AH23" i="1"/>
  <c r="HC23" i="1"/>
  <c r="FD23" i="1"/>
  <c r="IV23" i="1"/>
  <c r="FP23" i="1"/>
  <c r="GB23" i="1"/>
  <c r="GZ23" i="1"/>
  <c r="GN23" i="1"/>
  <c r="HL23" i="1"/>
  <c r="IJ23" i="1"/>
  <c r="HX23" i="1"/>
  <c r="JB30" i="1"/>
  <c r="DN30" i="1"/>
  <c r="HL30" i="1"/>
  <c r="AB30" i="1"/>
  <c r="BR30" i="1"/>
  <c r="GN30" i="1"/>
  <c r="HF30" i="1"/>
  <c r="V30" i="1"/>
  <c r="FJ30" i="1"/>
  <c r="DT30" i="1"/>
  <c r="CV30" i="1"/>
  <c r="GW30" i="1"/>
  <c r="DE30" i="1"/>
  <c r="M30" i="1"/>
  <c r="FS30" i="1"/>
  <c r="CA30" i="1"/>
  <c r="GB30" i="1"/>
  <c r="AH30" i="1"/>
  <c r="GT30" i="1"/>
  <c r="GK30" i="1"/>
  <c r="CS30" i="1"/>
  <c r="IY30" i="1"/>
  <c r="FG30" i="1"/>
  <c r="BO30" i="1"/>
  <c r="EF30" i="1"/>
  <c r="IV30" i="1"/>
  <c r="EX30" i="1"/>
  <c r="FY30" i="1"/>
  <c r="CG30" i="1"/>
  <c r="IM30" i="1"/>
  <c r="EU30" i="1"/>
  <c r="BC30" i="1"/>
  <c r="CJ30" i="1"/>
  <c r="GZ30" i="1"/>
  <c r="DB30" i="1"/>
  <c r="FP30" i="1"/>
  <c r="IS30" i="1"/>
  <c r="FA30" i="1"/>
  <c r="BI30" i="1"/>
  <c r="HO30" i="1"/>
  <c r="DW30" i="1"/>
  <c r="AE30" i="1"/>
  <c r="HR30" i="1"/>
  <c r="DH30" i="1"/>
  <c r="J30" i="1"/>
  <c r="AZ30" i="1"/>
  <c r="HU30" i="1"/>
  <c r="EC30" i="1"/>
  <c r="AK30" i="1"/>
  <c r="GQ30" i="1"/>
  <c r="CY30" i="1"/>
  <c r="G30" i="1"/>
  <c r="DZ30" i="1"/>
  <c r="P30" i="1"/>
  <c r="EL30" i="1"/>
  <c r="IG30" i="1"/>
  <c r="IA30" i="1"/>
  <c r="HX30" i="1"/>
  <c r="AT30" i="1"/>
  <c r="ER30" i="1"/>
  <c r="HI30" i="1"/>
  <c r="HC30" i="1"/>
  <c r="AN30" i="1"/>
  <c r="ID30" i="1"/>
  <c r="IJ30" i="1"/>
  <c r="FM30" i="1"/>
  <c r="GE30" i="1"/>
  <c r="FV30" i="1"/>
  <c r="BX30" i="1"/>
  <c r="EO30" i="1"/>
  <c r="EI30" i="1"/>
  <c r="CD30" i="1"/>
  <c r="JH30" i="1"/>
  <c r="DQ30" i="1"/>
  <c r="DK30" i="1"/>
  <c r="FD30" i="1"/>
  <c r="AW30" i="1"/>
  <c r="AQ30" i="1"/>
  <c r="IP30" i="1"/>
  <c r="GH30" i="1"/>
  <c r="JE30" i="1"/>
  <c r="BU30" i="1"/>
  <c r="Y30" i="1"/>
  <c r="CM30" i="1"/>
  <c r="S30" i="1"/>
  <c r="BF30" i="1"/>
  <c r="CP30" i="1"/>
  <c r="BL30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IY17" i="1"/>
  <c r="HI17" i="1"/>
  <c r="GH17" i="1"/>
  <c r="FG17" i="1"/>
  <c r="DQ17" i="1"/>
  <c r="CP17" i="1"/>
  <c r="BO17" i="1"/>
  <c r="Y17" i="1"/>
  <c r="HU17" i="1"/>
  <c r="GT17" i="1"/>
  <c r="FS17" i="1"/>
  <c r="EC17" i="1"/>
  <c r="DB17" i="1"/>
  <c r="CA17" i="1"/>
  <c r="AK17" i="1"/>
  <c r="J17" i="1"/>
  <c r="IG17" i="1"/>
  <c r="HF17" i="1"/>
  <c r="GE17" i="1"/>
  <c r="EO17" i="1"/>
  <c r="DN17" i="1"/>
  <c r="CM17" i="1"/>
  <c r="AW17" i="1"/>
  <c r="V17" i="1"/>
  <c r="IS17" i="1"/>
  <c r="HR17" i="1"/>
  <c r="GQ17" i="1"/>
  <c r="FA17" i="1"/>
  <c r="DZ17" i="1"/>
  <c r="CY17" i="1"/>
  <c r="BI17" i="1"/>
  <c r="AH17" i="1"/>
  <c r="G17" i="1"/>
  <c r="JE17" i="1"/>
  <c r="ID17" i="1"/>
  <c r="HC17" i="1"/>
  <c r="FM17" i="1"/>
  <c r="EL17" i="1"/>
  <c r="DK17" i="1"/>
  <c r="BU17" i="1"/>
  <c r="AT17" i="1"/>
  <c r="S17" i="1"/>
  <c r="JB17" i="1"/>
  <c r="IA17" i="1"/>
  <c r="GK17" i="1"/>
  <c r="FJ17" i="1"/>
  <c r="EI17" i="1"/>
  <c r="CS17" i="1"/>
  <c r="BR17" i="1"/>
  <c r="AQ17" i="1"/>
  <c r="BF17" i="1"/>
  <c r="FV17" i="1"/>
  <c r="EX17" i="1"/>
  <c r="BC17" i="1"/>
  <c r="M17" i="1"/>
  <c r="DW17" i="1"/>
  <c r="AE17" i="1"/>
  <c r="IP17" i="1"/>
  <c r="EU17" i="1"/>
  <c r="DE17" i="1"/>
  <c r="CG17" i="1"/>
  <c r="IM17" i="1"/>
  <c r="GW17" i="1"/>
  <c r="HO17" i="1"/>
  <c r="FY17" i="1"/>
  <c r="CD17" i="1"/>
  <c r="C14" i="45"/>
  <c r="E15" i="1"/>
  <c r="CM27" i="1"/>
  <c r="V27" i="1"/>
  <c r="IG27" i="1"/>
  <c r="HO27" i="1"/>
  <c r="EO27" i="1"/>
  <c r="DW27" i="1"/>
  <c r="BR27" i="1"/>
  <c r="GQ27" i="1"/>
  <c r="FY27" i="1"/>
  <c r="CY27" i="1"/>
  <c r="AH27" i="1"/>
  <c r="CG27" i="1"/>
  <c r="AW27" i="1"/>
  <c r="HU27" i="1"/>
  <c r="EU27" i="1"/>
  <c r="EC27" i="1"/>
  <c r="AQ27" i="1"/>
  <c r="G27" i="1"/>
  <c r="AE27" i="1"/>
  <c r="FS27" i="1"/>
  <c r="BI27" i="1"/>
  <c r="GK27" i="1"/>
  <c r="BF27" i="1"/>
  <c r="CS27" i="1"/>
  <c r="IV27" i="1"/>
  <c r="FD27" i="1"/>
  <c r="BL27" i="1"/>
  <c r="HR27" i="1"/>
  <c r="DZ27" i="1"/>
  <c r="IY27" i="1"/>
  <c r="J27" i="1"/>
  <c r="IJ27" i="1"/>
  <c r="ER27" i="1"/>
  <c r="AZ27" i="1"/>
  <c r="HF27" i="1"/>
  <c r="DN27" i="1"/>
  <c r="AK27" i="1"/>
  <c r="HX27" i="1"/>
  <c r="EF27" i="1"/>
  <c r="AN27" i="1"/>
  <c r="GT27" i="1"/>
  <c r="S27" i="1"/>
  <c r="CA27" i="1"/>
  <c r="EI27" i="1"/>
  <c r="DE27" i="1"/>
  <c r="GZ27" i="1"/>
  <c r="DH27" i="1"/>
  <c r="P27" i="1"/>
  <c r="FV27" i="1"/>
  <c r="BU27" i="1"/>
  <c r="DQ27" i="1"/>
  <c r="GB27" i="1"/>
  <c r="CJ27" i="1"/>
  <c r="IP27" i="1"/>
  <c r="EX27" i="1"/>
  <c r="FG27" i="1"/>
  <c r="IM27" i="1"/>
  <c r="HI27" i="1"/>
  <c r="DT27" i="1"/>
  <c r="EL27" i="1"/>
  <c r="DB27" i="1"/>
  <c r="Y27" i="1"/>
  <c r="IS27" i="1"/>
  <c r="CV27" i="1"/>
  <c r="AT27" i="1"/>
  <c r="FM27" i="1"/>
  <c r="BO27" i="1"/>
  <c r="BX27" i="1"/>
  <c r="DK27" i="1"/>
  <c r="JE27" i="1"/>
  <c r="CP27" i="1"/>
  <c r="M27" i="1"/>
  <c r="AB27" i="1"/>
  <c r="HC27" i="1"/>
  <c r="GE27" i="1"/>
  <c r="BC27" i="1"/>
  <c r="JH27" i="1"/>
  <c r="JB27" i="1"/>
  <c r="IA27" i="1"/>
  <c r="CD27" i="1"/>
  <c r="GN27" i="1"/>
  <c r="GH27" i="1"/>
  <c r="GW27" i="1"/>
  <c r="HL27" i="1"/>
  <c r="FP27" i="1"/>
  <c r="FJ27" i="1"/>
  <c r="FA27" i="1"/>
  <c r="ID27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H31" i="1"/>
  <c r="GT31" i="1"/>
  <c r="GB31" i="1"/>
  <c r="FJ31" i="1"/>
  <c r="J31" i="1"/>
  <c r="DZ31" i="1"/>
  <c r="DH31" i="1"/>
  <c r="CP31" i="1"/>
  <c r="IP31" i="1"/>
  <c r="HX31" i="1"/>
  <c r="HF31" i="1"/>
  <c r="BF31" i="1"/>
  <c r="AN31" i="1"/>
  <c r="V31" i="1"/>
  <c r="JE31" i="1"/>
  <c r="FV31" i="1"/>
  <c r="FD31" i="1"/>
  <c r="EL31" i="1"/>
  <c r="JB31" i="1"/>
  <c r="DB31" i="1"/>
  <c r="CJ31" i="1"/>
  <c r="BR31" i="1"/>
  <c r="EX31" i="1"/>
  <c r="EF31" i="1"/>
  <c r="DN31" i="1"/>
  <c r="AT31" i="1"/>
  <c r="BL31" i="1"/>
  <c r="ID31" i="1"/>
  <c r="CD31" i="1"/>
  <c r="IV31" i="1"/>
  <c r="P31" i="1"/>
  <c r="GH31" i="1"/>
  <c r="AH31" i="1"/>
  <c r="GZ31" i="1"/>
  <c r="HR31" i="1"/>
  <c r="DT31" i="1"/>
  <c r="AZ31" i="1"/>
  <c r="FP31" i="1"/>
  <c r="CV31" i="1"/>
  <c r="HL31" i="1"/>
  <c r="S31" i="1"/>
  <c r="DK31" i="1"/>
  <c r="HC31" i="1"/>
  <c r="Y31" i="1"/>
  <c r="DQ31" i="1"/>
  <c r="HI31" i="1"/>
  <c r="ER31" i="1"/>
  <c r="GN31" i="1"/>
  <c r="AB31" i="1"/>
  <c r="CY31" i="1"/>
  <c r="HO31" i="1"/>
  <c r="CG31" i="1"/>
  <c r="GK31" i="1"/>
  <c r="G31" i="1"/>
  <c r="DW31" i="1"/>
  <c r="IA31" i="1"/>
  <c r="CS31" i="1"/>
  <c r="GW31" i="1"/>
  <c r="AE31" i="1"/>
  <c r="EI31" i="1"/>
  <c r="IM31" i="1"/>
  <c r="DE31" i="1"/>
  <c r="HU31" i="1"/>
  <c r="BX31" i="1"/>
  <c r="AQ31" i="1"/>
  <c r="EU31" i="1"/>
  <c r="IY31" i="1"/>
  <c r="M31" i="1"/>
  <c r="EC31" i="1"/>
  <c r="IG31" i="1"/>
  <c r="BC31" i="1"/>
  <c r="FG31" i="1"/>
  <c r="AK31" i="1"/>
  <c r="EO31" i="1"/>
  <c r="IS31" i="1"/>
  <c r="IJ31" i="1"/>
  <c r="BO31" i="1"/>
  <c r="BU31" i="1"/>
  <c r="CA31" i="1"/>
  <c r="AW31" i="1"/>
  <c r="CM31" i="1"/>
  <c r="BI31" i="1"/>
  <c r="FS31" i="1"/>
  <c r="GE31" i="1"/>
  <c r="FA31" i="1"/>
  <c r="FY31" i="1"/>
  <c r="FM31" i="1"/>
  <c r="GQ31" i="1"/>
  <c r="EI28" i="1"/>
  <c r="IM28" i="1"/>
  <c r="G28" i="1"/>
  <c r="GQ28" i="1"/>
  <c r="CM28" i="1"/>
  <c r="EU28" i="1"/>
  <c r="AQ28" i="1"/>
  <c r="CY28" i="1"/>
  <c r="BC28" i="1"/>
  <c r="IV28" i="1"/>
  <c r="FD28" i="1"/>
  <c r="BL28" i="1"/>
  <c r="HR28" i="1"/>
  <c r="DZ28" i="1"/>
  <c r="AH28" i="1"/>
  <c r="GE28" i="1"/>
  <c r="BI28" i="1"/>
  <c r="AE28" i="1"/>
  <c r="IJ28" i="1"/>
  <c r="ER28" i="1"/>
  <c r="AZ28" i="1"/>
  <c r="HF28" i="1"/>
  <c r="DN28" i="1"/>
  <c r="V28" i="1"/>
  <c r="Y28" i="1"/>
  <c r="IA28" i="1"/>
  <c r="DE28" i="1"/>
  <c r="CA28" i="1"/>
  <c r="HX28" i="1"/>
  <c r="EF28" i="1"/>
  <c r="AN28" i="1"/>
  <c r="GT28" i="1"/>
  <c r="DB28" i="1"/>
  <c r="J28" i="1"/>
  <c r="BU28" i="1"/>
  <c r="FA28" i="1"/>
  <c r="DW28" i="1"/>
  <c r="FG28" i="1"/>
  <c r="HL28" i="1"/>
  <c r="DT28" i="1"/>
  <c r="AB28" i="1"/>
  <c r="GH28" i="1"/>
  <c r="CP28" i="1"/>
  <c r="AK28" i="1"/>
  <c r="GZ28" i="1"/>
  <c r="DH28" i="1"/>
  <c r="P28" i="1"/>
  <c r="FV28" i="1"/>
  <c r="CD28" i="1"/>
  <c r="CG28" i="1"/>
  <c r="FM28" i="1"/>
  <c r="IS28" i="1"/>
  <c r="HO28" i="1"/>
  <c r="GB28" i="1"/>
  <c r="CJ28" i="1"/>
  <c r="IP28" i="1"/>
  <c r="EX28" i="1"/>
  <c r="BF28" i="1"/>
  <c r="FY28" i="1"/>
  <c r="JE28" i="1"/>
  <c r="FP28" i="1"/>
  <c r="AT28" i="1"/>
  <c r="GK28" i="1"/>
  <c r="CV28" i="1"/>
  <c r="EC28" i="1"/>
  <c r="IG28" i="1"/>
  <c r="S28" i="1"/>
  <c r="BX28" i="1"/>
  <c r="HU28" i="1"/>
  <c r="BO28" i="1"/>
  <c r="JB28" i="1"/>
  <c r="FS28" i="1"/>
  <c r="DK28" i="1"/>
  <c r="ID28" i="1"/>
  <c r="DQ28" i="1"/>
  <c r="M28" i="1"/>
  <c r="HC28" i="1"/>
  <c r="JH28" i="1"/>
  <c r="EL28" i="1"/>
  <c r="CS28" i="1"/>
  <c r="GN28" i="1"/>
  <c r="FJ28" i="1"/>
  <c r="IY28" i="1"/>
  <c r="BR28" i="1"/>
  <c r="EO28" i="1"/>
  <c r="HI28" i="1"/>
  <c r="GW28" i="1"/>
  <c r="AW28" i="1"/>
  <c r="IY26" i="1"/>
  <c r="IG26" i="1"/>
  <c r="DN26" i="1"/>
  <c r="AK26" i="1"/>
  <c r="V26" i="1"/>
  <c r="G26" i="1"/>
  <c r="GE26" i="1"/>
  <c r="FJ26" i="1"/>
  <c r="BO26" i="1"/>
  <c r="IP26" i="1"/>
  <c r="HI26" i="1"/>
  <c r="GQ26" i="1"/>
  <c r="DZ26" i="1"/>
  <c r="CS26" i="1"/>
  <c r="CD26" i="1"/>
  <c r="AW26" i="1"/>
  <c r="AH26" i="1"/>
  <c r="DQ26" i="1"/>
  <c r="CY26" i="1"/>
  <c r="J26" i="1"/>
  <c r="FA26" i="1"/>
  <c r="EI26" i="1"/>
  <c r="Y26" i="1"/>
  <c r="HF26" i="1"/>
  <c r="GK26" i="1"/>
  <c r="BI26" i="1"/>
  <c r="AQ26" i="1"/>
  <c r="IS26" i="1"/>
  <c r="GH26" i="1"/>
  <c r="CP26" i="1"/>
  <c r="BC26" i="1"/>
  <c r="HR26" i="1"/>
  <c r="CM26" i="1"/>
  <c r="BR26" i="1"/>
  <c r="DE26" i="1"/>
  <c r="EO26" i="1"/>
  <c r="FG26" i="1"/>
  <c r="M26" i="1"/>
  <c r="CA26" i="1"/>
  <c r="DB26" i="1"/>
  <c r="EC26" i="1"/>
  <c r="EU26" i="1"/>
  <c r="CG26" i="1"/>
  <c r="IJ26" i="1"/>
  <c r="ER26" i="1"/>
  <c r="AZ26" i="1"/>
  <c r="EL26" i="1"/>
  <c r="FS26" i="1"/>
  <c r="GW26" i="1"/>
  <c r="HU26" i="1"/>
  <c r="IA26" i="1"/>
  <c r="IV26" i="1"/>
  <c r="EF26" i="1"/>
  <c r="AB26" i="1"/>
  <c r="ID26" i="1"/>
  <c r="HX26" i="1"/>
  <c r="DT26" i="1"/>
  <c r="P26" i="1"/>
  <c r="JE26" i="1"/>
  <c r="FV26" i="1"/>
  <c r="AE26" i="1"/>
  <c r="HL26" i="1"/>
  <c r="DH26" i="1"/>
  <c r="S26" i="1"/>
  <c r="GT26" i="1"/>
  <c r="IM26" i="1"/>
  <c r="BF26" i="1"/>
  <c r="GZ26" i="1"/>
  <c r="CV26" i="1"/>
  <c r="AT26" i="1"/>
  <c r="DW26" i="1"/>
  <c r="GN26" i="1"/>
  <c r="CJ26" i="1"/>
  <c r="BU26" i="1"/>
  <c r="FY26" i="1"/>
  <c r="FP26" i="1"/>
  <c r="BL26" i="1"/>
  <c r="FM26" i="1"/>
  <c r="JH26" i="1"/>
  <c r="JB26" i="1"/>
  <c r="GB26" i="1"/>
  <c r="FD26" i="1"/>
  <c r="EX26" i="1"/>
  <c r="BX26" i="1"/>
  <c r="HO26" i="1"/>
  <c r="AN26" i="1"/>
  <c r="HC26" i="1"/>
  <c r="DK26" i="1"/>
  <c r="JH29" i="1"/>
  <c r="M29" i="1"/>
  <c r="BO29" i="1"/>
  <c r="AW29" i="1"/>
  <c r="GN29" i="1"/>
  <c r="DZ29" i="1"/>
  <c r="FP29" i="1"/>
  <c r="FV29" i="1"/>
  <c r="BI29" i="1"/>
  <c r="AQ29" i="1"/>
  <c r="S29" i="1"/>
  <c r="HR29" i="1"/>
  <c r="CV29" i="1"/>
  <c r="CA29" i="1"/>
  <c r="HU29" i="1"/>
  <c r="EC29" i="1"/>
  <c r="HC29" i="1"/>
  <c r="DK29" i="1"/>
  <c r="GB29" i="1"/>
  <c r="P29" i="1"/>
  <c r="DH29" i="1"/>
  <c r="AK29" i="1"/>
  <c r="EX29" i="1"/>
  <c r="HI29" i="1"/>
  <c r="DQ29" i="1"/>
  <c r="GQ29" i="1"/>
  <c r="CY29" i="1"/>
  <c r="EF29" i="1"/>
  <c r="JB29" i="1"/>
  <c r="CD29" i="1"/>
  <c r="CG29" i="1"/>
  <c r="IP29" i="1"/>
  <c r="GW29" i="1"/>
  <c r="DE29" i="1"/>
  <c r="GE29" i="1"/>
  <c r="CM29" i="1"/>
  <c r="CJ29" i="1"/>
  <c r="HF29" i="1"/>
  <c r="BR29" i="1"/>
  <c r="DT29" i="1"/>
  <c r="G29" i="1"/>
  <c r="FY29" i="1"/>
  <c r="IY29" i="1"/>
  <c r="FG29" i="1"/>
  <c r="GH29" i="1"/>
  <c r="BL29" i="1"/>
  <c r="DN29" i="1"/>
  <c r="AT29" i="1"/>
  <c r="IS29" i="1"/>
  <c r="FA29" i="1"/>
  <c r="IA29" i="1"/>
  <c r="EI29" i="1"/>
  <c r="EO29" i="1"/>
  <c r="EL29" i="1"/>
  <c r="IV29" i="1"/>
  <c r="ER29" i="1"/>
  <c r="CS29" i="1"/>
  <c r="CP29" i="1"/>
  <c r="GZ29" i="1"/>
  <c r="IJ29" i="1"/>
  <c r="IM29" i="1"/>
  <c r="HX29" i="1"/>
  <c r="FD29" i="1"/>
  <c r="BC29" i="1"/>
  <c r="HO29" i="1"/>
  <c r="BX29" i="1"/>
  <c r="BF29" i="1"/>
  <c r="DB29" i="1"/>
  <c r="JE29" i="1"/>
  <c r="FS29" i="1"/>
  <c r="AZ29" i="1"/>
  <c r="AH29" i="1"/>
  <c r="GT29" i="1"/>
  <c r="AE29" i="1"/>
  <c r="GK29" i="1"/>
  <c r="DW29" i="1"/>
  <c r="AB29" i="1"/>
  <c r="J29" i="1"/>
  <c r="V29" i="1"/>
  <c r="HL29" i="1"/>
  <c r="IG29" i="1"/>
  <c r="Y29" i="1"/>
  <c r="FM29" i="1"/>
  <c r="BU29" i="1"/>
  <c r="EU29" i="1"/>
  <c r="AN29" i="1"/>
  <c r="FJ29" i="1"/>
  <c r="ID29" i="1"/>
  <c r="IS25" i="1"/>
  <c r="HR25" i="1"/>
  <c r="GQ25" i="1"/>
  <c r="FA25" i="1"/>
  <c r="DZ25" i="1"/>
  <c r="CY25" i="1"/>
  <c r="JE25" i="1"/>
  <c r="ID25" i="1"/>
  <c r="HC25" i="1"/>
  <c r="FM25" i="1"/>
  <c r="EL25" i="1"/>
  <c r="DK25" i="1"/>
  <c r="BU25" i="1"/>
  <c r="AT25" i="1"/>
  <c r="S25" i="1"/>
  <c r="GW25" i="1"/>
  <c r="GH25" i="1"/>
  <c r="EO25" i="1"/>
  <c r="CS25" i="1"/>
  <c r="BC25" i="1"/>
  <c r="Y25" i="1"/>
  <c r="J25" i="1"/>
  <c r="IP25" i="1"/>
  <c r="IA25" i="1"/>
  <c r="FS25" i="1"/>
  <c r="DW25" i="1"/>
  <c r="CD25" i="1"/>
  <c r="BO25" i="1"/>
  <c r="AK25" i="1"/>
  <c r="HI25" i="1"/>
  <c r="GT25" i="1"/>
  <c r="GE25" i="1"/>
  <c r="DE25" i="1"/>
  <c r="CP25" i="1"/>
  <c r="V25" i="1"/>
  <c r="G25" i="1"/>
  <c r="JB25" i="1"/>
  <c r="IM25" i="1"/>
  <c r="EX25" i="1"/>
  <c r="EI25" i="1"/>
  <c r="CA25" i="1"/>
  <c r="AW25" i="1"/>
  <c r="AH25" i="1"/>
  <c r="JH25" i="1"/>
  <c r="HU25" i="1"/>
  <c r="HF25" i="1"/>
  <c r="DQ25" i="1"/>
  <c r="DB25" i="1"/>
  <c r="CM25" i="1"/>
  <c r="BI25" i="1"/>
  <c r="IY25" i="1"/>
  <c r="FY25" i="1"/>
  <c r="FJ25" i="1"/>
  <c r="EU25" i="1"/>
  <c r="AE25" i="1"/>
  <c r="HO25" i="1"/>
  <c r="DN25" i="1"/>
  <c r="M25" i="1"/>
  <c r="IG25" i="1"/>
  <c r="FV25" i="1"/>
  <c r="EC25" i="1"/>
  <c r="BR25" i="1"/>
  <c r="GK25" i="1"/>
  <c r="CG25" i="1"/>
  <c r="FG25" i="1"/>
  <c r="AQ25" i="1"/>
  <c r="BF25" i="1"/>
  <c r="CJ25" i="1"/>
  <c r="CV25" i="1"/>
  <c r="GN25" i="1"/>
  <c r="AB25" i="1"/>
  <c r="EF25" i="1"/>
  <c r="IJ25" i="1"/>
  <c r="P25" i="1"/>
  <c r="ER25" i="1"/>
  <c r="IV25" i="1"/>
  <c r="AN25" i="1"/>
  <c r="FD25" i="1"/>
  <c r="AZ25" i="1"/>
  <c r="FP25" i="1"/>
  <c r="BL25" i="1"/>
  <c r="GB25" i="1"/>
  <c r="DH25" i="1"/>
  <c r="HL25" i="1"/>
  <c r="DT25" i="1"/>
  <c r="GZ25" i="1"/>
  <c r="HX25" i="1"/>
  <c r="BX25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D19" i="1"/>
  <c r="HC19" i="1"/>
  <c r="GB19" i="1"/>
  <c r="EL19" i="1"/>
  <c r="DK19" i="1"/>
  <c r="CJ19" i="1"/>
  <c r="AT19" i="1"/>
  <c r="S19" i="1"/>
  <c r="IP19" i="1"/>
  <c r="HO19" i="1"/>
  <c r="GN19" i="1"/>
  <c r="EX19" i="1"/>
  <c r="DW19" i="1"/>
  <c r="CV19" i="1"/>
  <c r="BF19" i="1"/>
  <c r="AE19" i="1"/>
  <c r="JB19" i="1"/>
  <c r="IA19" i="1"/>
  <c r="GZ19" i="1"/>
  <c r="FJ19" i="1"/>
  <c r="EI19" i="1"/>
  <c r="DH19" i="1"/>
  <c r="BR19" i="1"/>
  <c r="AQ19" i="1"/>
  <c r="P19" i="1"/>
  <c r="IM19" i="1"/>
  <c r="HL19" i="1"/>
  <c r="FV19" i="1"/>
  <c r="EU19" i="1"/>
  <c r="DT19" i="1"/>
  <c r="CD19" i="1"/>
  <c r="BC19" i="1"/>
  <c r="AB19" i="1"/>
  <c r="IY19" i="1"/>
  <c r="HX19" i="1"/>
  <c r="GH19" i="1"/>
  <c r="FG19" i="1"/>
  <c r="EF19" i="1"/>
  <c r="CP19" i="1"/>
  <c r="BO19" i="1"/>
  <c r="AN19" i="1"/>
  <c r="IV19" i="1"/>
  <c r="HF19" i="1"/>
  <c r="GE19" i="1"/>
  <c r="FD19" i="1"/>
  <c r="DN19" i="1"/>
  <c r="CM19" i="1"/>
  <c r="BL19" i="1"/>
  <c r="V19" i="1"/>
  <c r="AZ19" i="1"/>
  <c r="J19" i="1"/>
  <c r="FP19" i="1"/>
  <c r="DZ19" i="1"/>
  <c r="ER19" i="1"/>
  <c r="DB19" i="1"/>
  <c r="G19" i="1"/>
  <c r="JH19" i="1"/>
  <c r="HR19" i="1"/>
  <c r="IJ19" i="1"/>
  <c r="GT19" i="1"/>
  <c r="CY19" i="1"/>
  <c r="CA19" i="1"/>
  <c r="GQ19" i="1"/>
  <c r="FS19" i="1"/>
  <c r="BX19" i="1"/>
  <c r="AH19" i="1"/>
  <c r="GH35" i="1"/>
  <c r="DN35" i="1"/>
  <c r="CY35" i="1"/>
  <c r="BR35" i="1"/>
  <c r="BC35" i="1"/>
  <c r="HF35" i="1"/>
  <c r="EX35" i="1"/>
  <c r="G35" i="1"/>
  <c r="DZ35" i="1"/>
  <c r="DK35" i="1"/>
  <c r="CD35" i="1"/>
  <c r="BO35" i="1"/>
  <c r="AH35" i="1"/>
  <c r="S35" i="1"/>
  <c r="IY35" i="1"/>
  <c r="IP35" i="1"/>
  <c r="HR35" i="1"/>
  <c r="FJ35" i="1"/>
  <c r="DW35" i="1"/>
  <c r="CP35" i="1"/>
  <c r="CA35" i="1"/>
  <c r="AT35" i="1"/>
  <c r="AE35" i="1"/>
  <c r="JB35" i="1"/>
  <c r="GT35" i="1"/>
  <c r="DB35" i="1"/>
  <c r="CM35" i="1"/>
  <c r="BF35" i="1"/>
  <c r="AQ35" i="1"/>
  <c r="FV35" i="1"/>
  <c r="M35" i="1"/>
  <c r="J35" i="1"/>
  <c r="Y35" i="1"/>
  <c r="ID35" i="1"/>
  <c r="EL35" i="1"/>
  <c r="AW35" i="1"/>
  <c r="EO35" i="1"/>
  <c r="IG35" i="1"/>
  <c r="BX35" i="1"/>
  <c r="FP35" i="1"/>
  <c r="JH35" i="1"/>
  <c r="BI35" i="1"/>
  <c r="FA35" i="1"/>
  <c r="IS35" i="1"/>
  <c r="CJ35" i="1"/>
  <c r="GB35" i="1"/>
  <c r="FS35" i="1"/>
  <c r="BU35" i="1"/>
  <c r="FM35" i="1"/>
  <c r="JE35" i="1"/>
  <c r="CV35" i="1"/>
  <c r="GN35" i="1"/>
  <c r="CG35" i="1"/>
  <c r="FY35" i="1"/>
  <c r="P35" i="1"/>
  <c r="DH35" i="1"/>
  <c r="GZ35" i="1"/>
  <c r="GQ35" i="1"/>
  <c r="CS35" i="1"/>
  <c r="GK35" i="1"/>
  <c r="AB35" i="1"/>
  <c r="DT35" i="1"/>
  <c r="HL35" i="1"/>
  <c r="HC35" i="1"/>
  <c r="AN35" i="1"/>
  <c r="IV35" i="1"/>
  <c r="IA35" i="1"/>
  <c r="EI35" i="1"/>
  <c r="AK35" i="1"/>
  <c r="AZ35" i="1"/>
  <c r="IM35" i="1"/>
  <c r="DE35" i="1"/>
  <c r="BL35" i="1"/>
  <c r="DQ35" i="1"/>
  <c r="EF35" i="1"/>
  <c r="EC35" i="1"/>
  <c r="ER35" i="1"/>
  <c r="EU35" i="1"/>
  <c r="HI35" i="1"/>
  <c r="HX35" i="1"/>
  <c r="GE35" i="1"/>
  <c r="V35" i="1"/>
  <c r="HU35" i="1"/>
  <c r="IJ35" i="1"/>
  <c r="HO35" i="1"/>
  <c r="FG35" i="1"/>
  <c r="GW35" i="1"/>
  <c r="FD35" i="1"/>
  <c r="BC35" i="48"/>
  <c r="I35" i="48"/>
  <c r="AD35" i="48"/>
  <c r="C34" i="45"/>
  <c r="J35" i="48"/>
  <c r="E35" i="2"/>
  <c r="BM35" i="2" s="1"/>
  <c r="E34" i="2"/>
  <c r="BM34" i="2" s="1"/>
  <c r="J20" i="9"/>
  <c r="J20" i="8" s="1"/>
  <c r="J9" i="9"/>
  <c r="J9" i="8" s="1"/>
  <c r="J23" i="9"/>
  <c r="J23" i="8" s="1"/>
  <c r="J23" i="7" s="1"/>
  <c r="J23" i="6" s="1"/>
  <c r="J23" i="37" s="1"/>
  <c r="J23" i="4" s="1"/>
  <c r="J23" i="43" s="1"/>
  <c r="R10" i="48"/>
  <c r="X10" i="48" s="1"/>
  <c r="J8" i="9"/>
  <c r="J8" i="8" s="1"/>
  <c r="J22" i="9"/>
  <c r="J22" i="8" s="1"/>
  <c r="J22" i="7" s="1"/>
  <c r="J22" i="6" s="1"/>
  <c r="J22" i="37" s="1"/>
  <c r="J22" i="4" s="1"/>
  <c r="J22" i="43" s="1"/>
  <c r="J25" i="9"/>
  <c r="J25" i="8" s="1"/>
  <c r="J25" i="7" s="1"/>
  <c r="J25" i="6" s="1"/>
  <c r="J25" i="37" s="1"/>
  <c r="J25" i="4" s="1"/>
  <c r="J25" i="43" s="1"/>
  <c r="J40" i="32"/>
  <c r="K57" i="32" s="1"/>
  <c r="J21" i="9"/>
  <c r="J21" i="8" s="1"/>
  <c r="J24" i="9"/>
  <c r="J24" i="8" s="1"/>
  <c r="J24" i="7" s="1"/>
  <c r="J24" i="6" s="1"/>
  <c r="J24" i="37" s="1"/>
  <c r="J24" i="4" s="1"/>
  <c r="J24" i="43" s="1"/>
  <c r="X192" i="46"/>
  <c r="I29" i="48"/>
  <c r="BC29" i="48"/>
  <c r="AD29" i="48"/>
  <c r="C28" i="45"/>
  <c r="J29" i="48"/>
  <c r="J30" i="48"/>
  <c r="I30" i="48"/>
  <c r="AD30" i="48"/>
  <c r="BC30" i="48"/>
  <c r="C29" i="45"/>
  <c r="I31" i="48"/>
  <c r="AD31" i="48"/>
  <c r="J31" i="48"/>
  <c r="C30" i="45"/>
  <c r="BC31" i="48"/>
  <c r="J19" i="11"/>
  <c r="J19" i="10" s="1"/>
  <c r="J18" i="11"/>
  <c r="J18" i="10" s="1"/>
  <c r="J15" i="11"/>
  <c r="J15" i="10" s="1"/>
  <c r="J17" i="11"/>
  <c r="J17" i="10" s="1"/>
  <c r="J14" i="11"/>
  <c r="J14" i="10" s="1"/>
  <c r="J11" i="11"/>
  <c r="J11" i="10" s="1"/>
  <c r="J12" i="11"/>
  <c r="J12" i="10" s="1"/>
  <c r="J16" i="11"/>
  <c r="J16" i="10" s="1"/>
  <c r="J10" i="11"/>
  <c r="J10" i="10" s="1"/>
  <c r="I27" i="48"/>
  <c r="C26" i="45"/>
  <c r="BC27" i="48"/>
  <c r="J27" i="48"/>
  <c r="AD27" i="48"/>
  <c r="C22" i="45"/>
  <c r="AD23" i="48"/>
  <c r="BC23" i="48"/>
  <c r="I23" i="48"/>
  <c r="J23" i="48"/>
  <c r="C25" i="45"/>
  <c r="J26" i="48"/>
  <c r="I26" i="48"/>
  <c r="BC26" i="48"/>
  <c r="AD26" i="48"/>
  <c r="J13" i="11"/>
  <c r="J13" i="10" s="1"/>
  <c r="BC28" i="48"/>
  <c r="C27" i="45"/>
  <c r="J28" i="48"/>
  <c r="I28" i="48"/>
  <c r="AD28" i="48"/>
  <c r="E19" i="2"/>
  <c r="BM19" i="2" s="1"/>
  <c r="C18" i="45"/>
  <c r="I19" i="48"/>
  <c r="AD19" i="48"/>
  <c r="J19" i="48"/>
  <c r="BC19" i="48"/>
  <c r="C16" i="45"/>
  <c r="BC17" i="48"/>
  <c r="AD17" i="48"/>
  <c r="J17" i="48"/>
  <c r="I17" i="48"/>
  <c r="BC16" i="48"/>
  <c r="C15" i="45"/>
  <c r="I16" i="48"/>
  <c r="AD16" i="48"/>
  <c r="J16" i="48"/>
  <c r="I45" i="31"/>
  <c r="I45" i="27"/>
  <c r="R14" i="48"/>
  <c r="C13" i="45" s="1"/>
  <c r="BC15" i="48"/>
  <c r="I15" i="48"/>
  <c r="J15" i="48"/>
  <c r="AD15" i="48"/>
  <c r="BC13" i="48"/>
  <c r="J13" i="48"/>
  <c r="I13" i="48"/>
  <c r="AD13" i="48"/>
  <c r="I12" i="48"/>
  <c r="J12" i="48"/>
  <c r="BC12" i="48"/>
  <c r="AD12" i="48"/>
  <c r="BC11" i="48"/>
  <c r="AD11" i="48"/>
  <c r="I11" i="48"/>
  <c r="J11" i="48"/>
  <c r="BM10" i="2"/>
  <c r="M10" i="48"/>
  <c r="I50" i="18"/>
  <c r="I51" i="18"/>
  <c r="I50" i="28"/>
  <c r="I51" i="28"/>
  <c r="I50" i="17"/>
  <c r="I51" i="17"/>
  <c r="I50" i="8"/>
  <c r="I51" i="8"/>
  <c r="I50" i="29"/>
  <c r="I51" i="29"/>
  <c r="I50" i="30"/>
  <c r="I51" i="30"/>
  <c r="J50" i="33"/>
  <c r="J51" i="33"/>
  <c r="I50" i="31"/>
  <c r="I51" i="31"/>
  <c r="W9" i="48"/>
  <c r="Y9" i="48"/>
  <c r="I49" i="32"/>
  <c r="I51" i="32" s="1"/>
  <c r="V11" i="48"/>
  <c r="X11" i="48"/>
  <c r="I49" i="7"/>
  <c r="I11" i="56"/>
  <c r="F12" i="55" s="1"/>
  <c r="G12" i="55" s="1"/>
  <c r="V34" i="48"/>
  <c r="X34" i="48"/>
  <c r="V25" i="48"/>
  <c r="X25" i="48"/>
  <c r="X24" i="48"/>
  <c r="V24" i="48"/>
  <c r="I49" i="22"/>
  <c r="X15" i="48"/>
  <c r="V15" i="48"/>
  <c r="V13" i="48"/>
  <c r="X13" i="48"/>
  <c r="D43" i="26"/>
  <c r="D43" i="25" s="1"/>
  <c r="E45" i="28"/>
  <c r="V12" i="48"/>
  <c r="X12" i="48"/>
  <c r="D39" i="26"/>
  <c r="D39" i="25" s="1"/>
  <c r="D48" i="27"/>
  <c r="E48" i="27" s="1"/>
  <c r="M8" i="29"/>
  <c r="M34" i="30"/>
  <c r="E41" i="29"/>
  <c r="D41" i="27"/>
  <c r="J43" i="27"/>
  <c r="J44" i="29"/>
  <c r="J56" i="27"/>
  <c r="D38" i="28"/>
  <c r="E38" i="27"/>
  <c r="D52" i="29"/>
  <c r="D53" i="29" s="1"/>
  <c r="E50" i="29"/>
  <c r="D50" i="27"/>
  <c r="E52" i="30"/>
  <c r="E53" i="30" s="1"/>
  <c r="E46" i="29"/>
  <c r="D46" i="27"/>
  <c r="D47" i="26"/>
  <c r="E47" i="28"/>
  <c r="E42" i="29"/>
  <c r="D42" i="27"/>
  <c r="E45" i="26"/>
  <c r="D45" i="25"/>
  <c r="D51" i="28"/>
  <c r="E51" i="27"/>
  <c r="E44" i="28"/>
  <c r="D44" i="26"/>
  <c r="E40" i="27"/>
  <c r="D40" i="28"/>
  <c r="A15" i="2" s="1"/>
  <c r="E49" i="28"/>
  <c r="D49" i="26"/>
  <c r="J57" i="27"/>
  <c r="J37" i="29"/>
  <c r="J39" i="30"/>
  <c r="AC13" i="48"/>
  <c r="Q14" i="48"/>
  <c r="M7" i="26"/>
  <c r="J57" i="15"/>
  <c r="P12" i="1" l="1"/>
  <c r="DZ12" i="1"/>
  <c r="ID11" i="1"/>
  <c r="CS11" i="1"/>
  <c r="CJ11" i="1"/>
  <c r="GK11" i="1"/>
  <c r="DQ11" i="1"/>
  <c r="ER11" i="1"/>
  <c r="EI11" i="1"/>
  <c r="EL11" i="1"/>
  <c r="GW11" i="1"/>
  <c r="EX11" i="1"/>
  <c r="GN11" i="1"/>
  <c r="IA11" i="1"/>
  <c r="IG11" i="1"/>
  <c r="HR11" i="1"/>
  <c r="HI11" i="1"/>
  <c r="GZ11" i="1"/>
  <c r="G11" i="1"/>
  <c r="DW11" i="1"/>
  <c r="BF11" i="1"/>
  <c r="AT11" i="1"/>
  <c r="IJ11" i="1"/>
  <c r="BC11" i="1"/>
  <c r="FJ11" i="1"/>
  <c r="M11" i="1"/>
  <c r="AN11" i="1"/>
  <c r="BO11" i="1"/>
  <c r="DE11" i="1"/>
  <c r="JB11" i="1"/>
  <c r="AW11" i="1"/>
  <c r="AZ11" i="1"/>
  <c r="AB12" i="1"/>
  <c r="IS12" i="1"/>
  <c r="AQ12" i="1"/>
  <c r="AK12" i="1"/>
  <c r="CA12" i="1"/>
  <c r="HU12" i="1"/>
  <c r="CV12" i="1"/>
  <c r="HR12" i="1"/>
  <c r="IJ12" i="1"/>
  <c r="FG12" i="1"/>
  <c r="V12" i="1"/>
  <c r="HI12" i="1"/>
  <c r="GE12" i="1"/>
  <c r="DB12" i="1"/>
  <c r="GZ12" i="1"/>
  <c r="HF12" i="1"/>
  <c r="HL12" i="1"/>
  <c r="IM12" i="1"/>
  <c r="FS11" i="1"/>
  <c r="HO11" i="1"/>
  <c r="P13" i="1"/>
  <c r="HO13" i="1"/>
  <c r="BR13" i="1"/>
  <c r="AK13" i="1"/>
  <c r="S13" i="1"/>
  <c r="CP13" i="1"/>
  <c r="BO13" i="1"/>
  <c r="EL13" i="1"/>
  <c r="DB13" i="1"/>
  <c r="DT13" i="1"/>
  <c r="CP11" i="1"/>
  <c r="DN11" i="1"/>
  <c r="P11" i="1"/>
  <c r="FM11" i="1"/>
  <c r="Y11" i="1"/>
  <c r="DT11" i="1"/>
  <c r="HL11" i="1"/>
  <c r="BL11" i="1"/>
  <c r="EU11" i="1"/>
  <c r="IM11" i="1"/>
  <c r="CA11" i="1"/>
  <c r="IA13" i="1"/>
  <c r="CS13" i="1"/>
  <c r="CV13" i="1"/>
  <c r="FJ13" i="1"/>
  <c r="FM13" i="1"/>
  <c r="EF13" i="1"/>
  <c r="FA11" i="1"/>
  <c r="EC11" i="1"/>
  <c r="EO11" i="1"/>
  <c r="GT11" i="1"/>
  <c r="AK11" i="1"/>
  <c r="EF11" i="1"/>
  <c r="HX11" i="1"/>
  <c r="BX11" i="1"/>
  <c r="FG11" i="1"/>
  <c r="IY11" i="1"/>
  <c r="GK13" i="1"/>
  <c r="DW13" i="1"/>
  <c r="ID13" i="1"/>
  <c r="GW13" i="1"/>
  <c r="HL13" i="1"/>
  <c r="DB11" i="1"/>
  <c r="IS11" i="1"/>
  <c r="FY11" i="1"/>
  <c r="V11" i="1"/>
  <c r="IP11" i="1"/>
  <c r="BI11" i="1"/>
  <c r="FD11" i="1"/>
  <c r="IV11" i="1"/>
  <c r="CV11" i="1"/>
  <c r="GE11" i="1"/>
  <c r="S11" i="1"/>
  <c r="FV13" i="1"/>
  <c r="GN13" i="1"/>
  <c r="AQ13" i="1"/>
  <c r="EI13" i="1"/>
  <c r="JB13" i="1"/>
  <c r="JE13" i="1"/>
  <c r="HX13" i="1"/>
  <c r="GH11" i="1"/>
  <c r="AH11" i="1"/>
  <c r="HF11" i="1"/>
  <c r="FV11" i="1"/>
  <c r="JE11" i="1"/>
  <c r="BU11" i="1"/>
  <c r="FP11" i="1"/>
  <c r="JH11" i="1"/>
  <c r="DH11" i="1"/>
  <c r="GQ11" i="1"/>
  <c r="AE11" i="1"/>
  <c r="CY13" i="1"/>
  <c r="CM13" i="1"/>
  <c r="GQ13" i="1"/>
  <c r="J13" i="1"/>
  <c r="Y13" i="1"/>
  <c r="BR11" i="1"/>
  <c r="DZ11" i="1"/>
  <c r="HU11" i="1"/>
  <c r="CD11" i="1"/>
  <c r="J11" i="1"/>
  <c r="CG11" i="1"/>
  <c r="GB11" i="1"/>
  <c r="AB11" i="1"/>
  <c r="DK11" i="1"/>
  <c r="HC11" i="1"/>
  <c r="AQ11" i="1"/>
  <c r="C9" i="45"/>
  <c r="BX13" i="1"/>
  <c r="AZ13" i="1"/>
  <c r="DK13" i="1"/>
  <c r="HC13" i="1"/>
  <c r="EX13" i="1"/>
  <c r="IP13" i="1"/>
  <c r="CD13" i="1"/>
  <c r="FY13" i="1"/>
  <c r="M13" i="1"/>
  <c r="DE13" i="1"/>
  <c r="GZ13" i="1"/>
  <c r="AE13" i="1"/>
  <c r="G13" i="1"/>
  <c r="EU13" i="1"/>
  <c r="IM13" i="1"/>
  <c r="GH13" i="1"/>
  <c r="V13" i="1"/>
  <c r="DQ13" i="1"/>
  <c r="HI13" i="1"/>
  <c r="AW13" i="1"/>
  <c r="ER13" i="1"/>
  <c r="IJ13" i="1"/>
  <c r="BL13" i="1"/>
  <c r="AN13" i="1"/>
  <c r="FG13" i="1"/>
  <c r="IY13" i="1"/>
  <c r="GT13" i="1"/>
  <c r="AH13" i="1"/>
  <c r="EC13" i="1"/>
  <c r="HU13" i="1"/>
  <c r="BI13" i="1"/>
  <c r="FD13" i="1"/>
  <c r="IV13" i="1"/>
  <c r="CA13" i="1"/>
  <c r="BC13" i="1"/>
  <c r="FS13" i="1"/>
  <c r="DN13" i="1"/>
  <c r="HF13" i="1"/>
  <c r="AT13" i="1"/>
  <c r="EO13" i="1"/>
  <c r="IG13" i="1"/>
  <c r="BU13" i="1"/>
  <c r="FP13" i="1"/>
  <c r="JH13" i="1"/>
  <c r="A16" i="48"/>
  <c r="A14" i="45"/>
  <c r="AB13" i="1"/>
  <c r="DH13" i="1"/>
  <c r="CJ13" i="1"/>
  <c r="GE13" i="1"/>
  <c r="DZ13" i="1"/>
  <c r="HR13" i="1"/>
  <c r="BF13" i="1"/>
  <c r="FA13" i="1"/>
  <c r="IS13" i="1"/>
  <c r="CG13" i="1"/>
  <c r="CM11" i="1"/>
  <c r="EO12" i="1"/>
  <c r="DQ12" i="1"/>
  <c r="M12" i="1"/>
  <c r="BL12" i="1"/>
  <c r="GQ12" i="1"/>
  <c r="CM12" i="1"/>
  <c r="ID12" i="1"/>
  <c r="GK12" i="1"/>
  <c r="GB12" i="1"/>
  <c r="Y12" i="1"/>
  <c r="BX12" i="1"/>
  <c r="HC12" i="1"/>
  <c r="DN12" i="1"/>
  <c r="J12" i="1"/>
  <c r="IG12" i="1"/>
  <c r="JE12" i="1"/>
  <c r="BU12" i="1"/>
  <c r="DH12" i="1"/>
  <c r="IY12" i="1"/>
  <c r="EL12" i="1"/>
  <c r="AT12" i="1"/>
  <c r="ER12" i="1"/>
  <c r="DT12" i="1"/>
  <c r="CG12" i="1"/>
  <c r="DK12" i="1"/>
  <c r="S12" i="1"/>
  <c r="FV12" i="1"/>
  <c r="BF12" i="1"/>
  <c r="FY12" i="1"/>
  <c r="FA12" i="1"/>
  <c r="DE12" i="1"/>
  <c r="EU12" i="1"/>
  <c r="AE12" i="1"/>
  <c r="GH12" i="1"/>
  <c r="BR12" i="1"/>
  <c r="FD12" i="1"/>
  <c r="GN12" i="1"/>
  <c r="HX12" i="1"/>
  <c r="JH12" i="1"/>
  <c r="CS12" i="1"/>
  <c r="CJ12" i="1"/>
  <c r="FS12" i="1"/>
  <c r="G12" i="1"/>
  <c r="CY12" i="1"/>
  <c r="GT12" i="1"/>
  <c r="AH12" i="1"/>
  <c r="IV12" i="1"/>
  <c r="EF12" i="1"/>
  <c r="FP12" i="1"/>
  <c r="AW12" i="1"/>
  <c r="AN12" i="1"/>
  <c r="DW12" i="1"/>
  <c r="HO12" i="1"/>
  <c r="BC12" i="1"/>
  <c r="EX12" i="1"/>
  <c r="IP12" i="1"/>
  <c r="CD12" i="1"/>
  <c r="EC12" i="1"/>
  <c r="FM12" i="1"/>
  <c r="GW12" i="1"/>
  <c r="BI12" i="1"/>
  <c r="AZ12" i="1"/>
  <c r="EI12" i="1"/>
  <c r="IA12" i="1"/>
  <c r="BO12" i="1"/>
  <c r="FJ12" i="1"/>
  <c r="JB12" i="1"/>
  <c r="R41" i="48"/>
  <c r="BC41" i="48" s="1"/>
  <c r="E14" i="1"/>
  <c r="E15" i="2" s="1"/>
  <c r="BM15" i="2" s="1"/>
  <c r="F5" i="55"/>
  <c r="G5" i="55" s="1"/>
  <c r="F4" i="55"/>
  <c r="F33" i="55"/>
  <c r="F19" i="55"/>
  <c r="G19" i="55" s="1"/>
  <c r="F28" i="55"/>
  <c r="F30" i="55"/>
  <c r="F7" i="55"/>
  <c r="G7" i="55" s="1"/>
  <c r="F24" i="55"/>
  <c r="F17" i="55"/>
  <c r="F40" i="55"/>
  <c r="F25" i="55"/>
  <c r="F37" i="55"/>
  <c r="F21" i="55"/>
  <c r="F39" i="55"/>
  <c r="F9" i="55"/>
  <c r="G9" i="55" s="1"/>
  <c r="F29" i="55"/>
  <c r="F22" i="55"/>
  <c r="F10" i="55"/>
  <c r="G10" i="55" s="1"/>
  <c r="F18" i="55"/>
  <c r="F6" i="55"/>
  <c r="G6" i="55" s="1"/>
  <c r="F26" i="55"/>
  <c r="F20" i="55"/>
  <c r="F32" i="55"/>
  <c r="F31" i="55"/>
  <c r="F36" i="55"/>
  <c r="F35" i="55"/>
  <c r="F38" i="55"/>
  <c r="F8" i="55"/>
  <c r="G8" i="55" s="1"/>
  <c r="F11" i="55"/>
  <c r="G11" i="55" s="1"/>
  <c r="F27" i="55"/>
  <c r="F34" i="55"/>
  <c r="F23" i="55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IP15" i="1"/>
  <c r="GZ15" i="1"/>
  <c r="FY15" i="1"/>
  <c r="EX15" i="1"/>
  <c r="DH15" i="1"/>
  <c r="JB15" i="1"/>
  <c r="HL15" i="1"/>
  <c r="GK15" i="1"/>
  <c r="FJ15" i="1"/>
  <c r="DT15" i="1"/>
  <c r="CS15" i="1"/>
  <c r="CG15" i="1"/>
  <c r="BU15" i="1"/>
  <c r="BI15" i="1"/>
  <c r="AW15" i="1"/>
  <c r="AK15" i="1"/>
  <c r="Y15" i="1"/>
  <c r="M15" i="1"/>
  <c r="HX15" i="1"/>
  <c r="GW15" i="1"/>
  <c r="FV15" i="1"/>
  <c r="EF15" i="1"/>
  <c r="DE15" i="1"/>
  <c r="IJ15" i="1"/>
  <c r="HI15" i="1"/>
  <c r="GH15" i="1"/>
  <c r="ER15" i="1"/>
  <c r="DQ15" i="1"/>
  <c r="CP15" i="1"/>
  <c r="CD15" i="1"/>
  <c r="BR15" i="1"/>
  <c r="BF15" i="1"/>
  <c r="AT15" i="1"/>
  <c r="AH15" i="1"/>
  <c r="V15" i="1"/>
  <c r="J15" i="1"/>
  <c r="IV15" i="1"/>
  <c r="HU15" i="1"/>
  <c r="GT15" i="1"/>
  <c r="FD15" i="1"/>
  <c r="EC15" i="1"/>
  <c r="DB15" i="1"/>
  <c r="IS15" i="1"/>
  <c r="HR15" i="1"/>
  <c r="GB15" i="1"/>
  <c r="FA15" i="1"/>
  <c r="DZ15" i="1"/>
  <c r="IG15" i="1"/>
  <c r="EL15" i="1"/>
  <c r="CV15" i="1"/>
  <c r="BO15" i="1"/>
  <c r="AZ15" i="1"/>
  <c r="S15" i="1"/>
  <c r="DN15" i="1"/>
  <c r="FM15" i="1"/>
  <c r="JE15" i="1"/>
  <c r="ID15" i="1"/>
  <c r="GN15" i="1"/>
  <c r="CA15" i="1"/>
  <c r="BL15" i="1"/>
  <c r="AE15" i="1"/>
  <c r="P15" i="1"/>
  <c r="JH15" i="1"/>
  <c r="HF15" i="1"/>
  <c r="FP15" i="1"/>
  <c r="CM15" i="1"/>
  <c r="BX15" i="1"/>
  <c r="AQ15" i="1"/>
  <c r="AB15" i="1"/>
  <c r="EO15" i="1"/>
  <c r="CJ15" i="1"/>
  <c r="BC15" i="1"/>
  <c r="AN15" i="1"/>
  <c r="G15" i="1"/>
  <c r="I10" i="48"/>
  <c r="E10" i="1"/>
  <c r="E11" i="2" s="1"/>
  <c r="BM11" i="2" s="1"/>
  <c r="E36" i="2"/>
  <c r="BM36" i="2" s="1"/>
  <c r="J20" i="7"/>
  <c r="J20" i="6" s="1"/>
  <c r="J20" i="37" s="1"/>
  <c r="J20" i="4" s="1"/>
  <c r="J20" i="43" s="1"/>
  <c r="K56" i="32"/>
  <c r="J8" i="7"/>
  <c r="J8" i="6" s="1"/>
  <c r="J8" i="37" s="1"/>
  <c r="J8" i="4" s="1"/>
  <c r="J8" i="43" s="1"/>
  <c r="J41" i="32"/>
  <c r="J21" i="7"/>
  <c r="J21" i="6" s="1"/>
  <c r="J21" i="37" s="1"/>
  <c r="J21" i="4" s="1"/>
  <c r="J21" i="43" s="1"/>
  <c r="J9" i="7"/>
  <c r="J9" i="6" s="1"/>
  <c r="J9" i="37" s="1"/>
  <c r="J9" i="4" s="1"/>
  <c r="J9" i="43" s="1"/>
  <c r="J18" i="9"/>
  <c r="J18" i="8" s="1"/>
  <c r="J18" i="7" s="1"/>
  <c r="J18" i="6" s="1"/>
  <c r="J18" i="37" s="1"/>
  <c r="J18" i="4" s="1"/>
  <c r="J18" i="43" s="1"/>
  <c r="J16" i="9"/>
  <c r="J16" i="8" s="1"/>
  <c r="J16" i="7" s="1"/>
  <c r="J16" i="6" s="1"/>
  <c r="J16" i="37" s="1"/>
  <c r="J16" i="4" s="1"/>
  <c r="J16" i="43" s="1"/>
  <c r="J12" i="9"/>
  <c r="J12" i="8" s="1"/>
  <c r="J12" i="7" s="1"/>
  <c r="J12" i="6" s="1"/>
  <c r="J12" i="37" s="1"/>
  <c r="J12" i="4" s="1"/>
  <c r="J12" i="43" s="1"/>
  <c r="J40" i="31"/>
  <c r="J40" i="30" s="1"/>
  <c r="J45" i="30" s="1"/>
  <c r="BC10" i="48"/>
  <c r="J11" i="9"/>
  <c r="J11" i="8" s="1"/>
  <c r="J11" i="7" s="1"/>
  <c r="J11" i="6" s="1"/>
  <c r="J11" i="37" s="1"/>
  <c r="J11" i="4" s="1"/>
  <c r="J11" i="43" s="1"/>
  <c r="J19" i="9"/>
  <c r="J19" i="8" s="1"/>
  <c r="J19" i="7" s="1"/>
  <c r="J19" i="6" s="1"/>
  <c r="J19" i="37" s="1"/>
  <c r="J19" i="4" s="1"/>
  <c r="J19" i="43" s="1"/>
  <c r="AD10" i="48"/>
  <c r="J14" i="9"/>
  <c r="J14" i="8" s="1"/>
  <c r="J14" i="6" s="1"/>
  <c r="J14" i="37" s="1"/>
  <c r="J14" i="4" s="1"/>
  <c r="J14" i="43" s="1"/>
  <c r="J17" i="9"/>
  <c r="J17" i="8" s="1"/>
  <c r="J17" i="7" s="1"/>
  <c r="J17" i="6" s="1"/>
  <c r="J17" i="37" s="1"/>
  <c r="J17" i="4" s="1"/>
  <c r="J17" i="43" s="1"/>
  <c r="S10" i="48"/>
  <c r="J15" i="9"/>
  <c r="J15" i="8" s="1"/>
  <c r="J15" i="7" s="1"/>
  <c r="J15" i="6" s="1"/>
  <c r="J15" i="37" s="1"/>
  <c r="J15" i="4" s="1"/>
  <c r="J15" i="43" s="1"/>
  <c r="J45" i="32"/>
  <c r="J10" i="48"/>
  <c r="J13" i="9"/>
  <c r="J13" i="8" s="1"/>
  <c r="J13" i="7" s="1"/>
  <c r="J13" i="6" s="1"/>
  <c r="J13" i="37" s="1"/>
  <c r="J13" i="4" s="1"/>
  <c r="J13" i="43" s="1"/>
  <c r="J10" i="9"/>
  <c r="J10" i="8" s="1"/>
  <c r="J10" i="7" s="1"/>
  <c r="J10" i="6" s="1"/>
  <c r="J10" i="37" s="1"/>
  <c r="J10" i="4" s="1"/>
  <c r="J10" i="43" s="1"/>
  <c r="E30" i="2"/>
  <c r="BM30" i="2" s="1"/>
  <c r="E32" i="2"/>
  <c r="BM32" i="2" s="1"/>
  <c r="E31" i="2"/>
  <c r="BM31" i="2" s="1"/>
  <c r="E24" i="2"/>
  <c r="BM24" i="2" s="1"/>
  <c r="E28" i="2"/>
  <c r="BM28" i="2" s="1"/>
  <c r="E27" i="2"/>
  <c r="BM27" i="2" s="1"/>
  <c r="E29" i="2"/>
  <c r="BM29" i="2" s="1"/>
  <c r="E20" i="2"/>
  <c r="BM20" i="2" s="1"/>
  <c r="E18" i="2"/>
  <c r="BM18" i="2" s="1"/>
  <c r="E17" i="2"/>
  <c r="BM17" i="2" s="1"/>
  <c r="E16" i="2"/>
  <c r="BM16" i="2" s="1"/>
  <c r="C40" i="45"/>
  <c r="BC14" i="48"/>
  <c r="J14" i="48"/>
  <c r="AD14" i="48"/>
  <c r="I14" i="48"/>
  <c r="E14" i="2"/>
  <c r="BM14" i="2" s="1"/>
  <c r="E13" i="2"/>
  <c r="BM13" i="2" s="1"/>
  <c r="E12" i="2"/>
  <c r="BM12" i="2" s="1"/>
  <c r="M11" i="48"/>
  <c r="M12" i="48" s="1"/>
  <c r="J49" i="32"/>
  <c r="J50" i="32" s="1"/>
  <c r="I50" i="22"/>
  <c r="I51" i="22"/>
  <c r="I50" i="7"/>
  <c r="I51" i="7"/>
  <c r="W10" i="48"/>
  <c r="V35" i="48"/>
  <c r="X35" i="48"/>
  <c r="V21" i="48"/>
  <c r="X21" i="48"/>
  <c r="E43" i="26"/>
  <c r="E39" i="26"/>
  <c r="D48" i="28"/>
  <c r="E48" i="28" s="1"/>
  <c r="M8" i="27"/>
  <c r="M8" i="28" s="1"/>
  <c r="M34" i="29"/>
  <c r="D41" i="28"/>
  <c r="E41" i="28" s="1"/>
  <c r="E41" i="27"/>
  <c r="J56" i="28"/>
  <c r="J56" i="26" s="1"/>
  <c r="J43" i="28"/>
  <c r="J44" i="28" s="1"/>
  <c r="J44" i="27"/>
  <c r="D38" i="26"/>
  <c r="D38" i="25" s="1"/>
  <c r="E38" i="28"/>
  <c r="E52" i="29"/>
  <c r="E53" i="29" s="1"/>
  <c r="E50" i="27"/>
  <c r="D50" i="28"/>
  <c r="E50" i="28" s="1"/>
  <c r="D43" i="24"/>
  <c r="E43" i="24" s="1"/>
  <c r="E43" i="25"/>
  <c r="E42" i="27"/>
  <c r="D42" i="28"/>
  <c r="D42" i="26" s="1"/>
  <c r="D52" i="27"/>
  <c r="D53" i="27" s="1"/>
  <c r="D47" i="25"/>
  <c r="D47" i="24" s="1"/>
  <c r="E47" i="26"/>
  <c r="E46" i="27"/>
  <c r="D46" i="28"/>
  <c r="E46" i="28" s="1"/>
  <c r="D51" i="26"/>
  <c r="E51" i="26" s="1"/>
  <c r="E51" i="28"/>
  <c r="D40" i="26"/>
  <c r="D40" i="25" s="1"/>
  <c r="E40" i="28"/>
  <c r="D44" i="25"/>
  <c r="E44" i="25" s="1"/>
  <c r="E44" i="26"/>
  <c r="D45" i="24"/>
  <c r="D45" i="23" s="1"/>
  <c r="E45" i="25"/>
  <c r="A16" i="2" s="1"/>
  <c r="J37" i="27"/>
  <c r="J39" i="27" s="1"/>
  <c r="J39" i="29"/>
  <c r="J57" i="28"/>
  <c r="J57" i="26" s="1"/>
  <c r="D49" i="25"/>
  <c r="E49" i="25" s="1"/>
  <c r="E49" i="26"/>
  <c r="D39" i="24"/>
  <c r="E39" i="24" s="1"/>
  <c r="E39" i="25"/>
  <c r="M7" i="25"/>
  <c r="M7" i="24" s="1"/>
  <c r="J57" i="14"/>
  <c r="J57" i="13" s="1"/>
  <c r="AC14" i="48"/>
  <c r="Q15" i="48"/>
  <c r="AC15" i="48" s="1"/>
  <c r="J41" i="31" l="1"/>
  <c r="BD10" i="48"/>
  <c r="A17" i="48"/>
  <c r="A15" i="45"/>
  <c r="J43" i="26"/>
  <c r="J44" i="26" s="1"/>
  <c r="D48" i="26"/>
  <c r="D48" i="25" s="1"/>
  <c r="E48" i="25" s="1"/>
  <c r="J37" i="28"/>
  <c r="J37" i="26" s="1"/>
  <c r="J37" i="25" s="1"/>
  <c r="AE10" i="48"/>
  <c r="I41" i="48"/>
  <c r="AD41" i="48"/>
  <c r="J41" i="48"/>
  <c r="J41" i="30"/>
  <c r="K56" i="31"/>
  <c r="J45" i="31"/>
  <c r="K57" i="30"/>
  <c r="D43" i="23"/>
  <c r="E43" i="23" s="1"/>
  <c r="J40" i="29"/>
  <c r="J41" i="29" s="1"/>
  <c r="K57" i="31"/>
  <c r="K56" i="30"/>
  <c r="D46" i="26"/>
  <c r="E46" i="26" s="1"/>
  <c r="D51" i="25"/>
  <c r="E51" i="25" s="1"/>
  <c r="S11" i="48"/>
  <c r="K10" i="48"/>
  <c r="Y10" i="48"/>
  <c r="G34" i="55"/>
  <c r="G39" i="55"/>
  <c r="H39" i="55" s="1"/>
  <c r="G37" i="55"/>
  <c r="G32" i="55"/>
  <c r="U11" i="48"/>
  <c r="W11" i="48" s="1"/>
  <c r="E47" i="25"/>
  <c r="E38" i="26"/>
  <c r="D49" i="24"/>
  <c r="E49" i="24" s="1"/>
  <c r="G20" i="55"/>
  <c r="D44" i="24"/>
  <c r="A17" i="2" s="1"/>
  <c r="G25" i="55"/>
  <c r="J49" i="31"/>
  <c r="J51" i="31" s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DE10" i="1"/>
  <c r="CS10" i="1"/>
  <c r="CG10" i="1"/>
  <c r="BU10" i="1"/>
  <c r="BI10" i="1"/>
  <c r="AW10" i="1"/>
  <c r="AK10" i="1"/>
  <c r="Y10" i="1"/>
  <c r="JE10" i="1"/>
  <c r="IS10" i="1"/>
  <c r="IG10" i="1"/>
  <c r="HU10" i="1"/>
  <c r="HR10" i="1"/>
  <c r="GB10" i="1"/>
  <c r="FA10" i="1"/>
  <c r="DZ10" i="1"/>
  <c r="CV10" i="1"/>
  <c r="BF10" i="1"/>
  <c r="AE10" i="1"/>
  <c r="DN10" i="1"/>
  <c r="AT10" i="1"/>
  <c r="G10" i="1"/>
  <c r="IV10" i="1"/>
  <c r="GN10" i="1"/>
  <c r="FM10" i="1"/>
  <c r="EL10" i="1"/>
  <c r="DH10" i="1"/>
  <c r="BR10" i="1"/>
  <c r="AQ10" i="1"/>
  <c r="P10" i="1"/>
  <c r="HX10" i="1"/>
  <c r="J10" i="1"/>
  <c r="FP10" i="1"/>
  <c r="ID10" i="1"/>
  <c r="GZ10" i="1"/>
  <c r="FY10" i="1"/>
  <c r="EX10" i="1"/>
  <c r="CD10" i="1"/>
  <c r="BC10" i="1"/>
  <c r="AB10" i="1"/>
  <c r="HI10" i="1"/>
  <c r="ER10" i="1"/>
  <c r="CM10" i="1"/>
  <c r="V10" i="1"/>
  <c r="JH10" i="1"/>
  <c r="HL10" i="1"/>
  <c r="GK10" i="1"/>
  <c r="FJ10" i="1"/>
  <c r="DT10" i="1"/>
  <c r="CP10" i="1"/>
  <c r="BO10" i="1"/>
  <c r="AN10" i="1"/>
  <c r="M10" i="1"/>
  <c r="BL10" i="1"/>
  <c r="IP10" i="1"/>
  <c r="GW10" i="1"/>
  <c r="FV10" i="1"/>
  <c r="EF10" i="1"/>
  <c r="DB10" i="1"/>
  <c r="CA10" i="1"/>
  <c r="AZ10" i="1"/>
  <c r="GH10" i="1"/>
  <c r="DQ10" i="1"/>
  <c r="IJ10" i="1"/>
  <c r="HF10" i="1"/>
  <c r="CJ10" i="1"/>
  <c r="S10" i="1"/>
  <c r="JB10" i="1"/>
  <c r="GT10" i="1"/>
  <c r="FD10" i="1"/>
  <c r="EC10" i="1"/>
  <c r="CY10" i="1"/>
  <c r="BX10" i="1"/>
  <c r="AH10" i="1"/>
  <c r="EO10" i="1"/>
  <c r="G4" i="55"/>
  <c r="H4" i="55" s="1"/>
  <c r="Q16" i="48"/>
  <c r="Q17" i="48" s="1"/>
  <c r="E45" i="24"/>
  <c r="D41" i="26"/>
  <c r="D41" i="25" s="1"/>
  <c r="J51" i="32"/>
  <c r="E52" i="27"/>
  <c r="E53" i="27" s="1"/>
  <c r="G17" i="55"/>
  <c r="D39" i="23"/>
  <c r="D39" i="21" s="1"/>
  <c r="E39" i="21" s="1"/>
  <c r="D50" i="26"/>
  <c r="D50" i="25" s="1"/>
  <c r="E50" i="25" s="1"/>
  <c r="M34" i="27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IY14" i="1"/>
  <c r="HC14" i="1"/>
  <c r="FG14" i="1"/>
  <c r="DK14" i="1"/>
  <c r="CY14" i="1"/>
  <c r="CM14" i="1"/>
  <c r="CA14" i="1"/>
  <c r="BO14" i="1"/>
  <c r="BC14" i="1"/>
  <c r="AQ14" i="1"/>
  <c r="AE14" i="1"/>
  <c r="S14" i="1"/>
  <c r="G14" i="1"/>
  <c r="IG14" i="1"/>
  <c r="GK14" i="1"/>
  <c r="EO14" i="1"/>
  <c r="HO14" i="1"/>
  <c r="FS14" i="1"/>
  <c r="DW14" i="1"/>
  <c r="DH14" i="1"/>
  <c r="CV14" i="1"/>
  <c r="CJ14" i="1"/>
  <c r="BX14" i="1"/>
  <c r="BL14" i="1"/>
  <c r="AZ14" i="1"/>
  <c r="AN14" i="1"/>
  <c r="AB14" i="1"/>
  <c r="P14" i="1"/>
  <c r="IS14" i="1"/>
  <c r="GW14" i="1"/>
  <c r="FA14" i="1"/>
  <c r="IA14" i="1"/>
  <c r="GE14" i="1"/>
  <c r="EI14" i="1"/>
  <c r="DE14" i="1"/>
  <c r="CS14" i="1"/>
  <c r="CG14" i="1"/>
  <c r="BU14" i="1"/>
  <c r="BI14" i="1"/>
  <c r="AW14" i="1"/>
  <c r="AK14" i="1"/>
  <c r="Y14" i="1"/>
  <c r="M14" i="1"/>
  <c r="IM14" i="1"/>
  <c r="GQ14" i="1"/>
  <c r="EU14" i="1"/>
  <c r="DB14" i="1"/>
  <c r="CP14" i="1"/>
  <c r="CD14" i="1"/>
  <c r="BR14" i="1"/>
  <c r="BF14" i="1"/>
  <c r="AT14" i="1"/>
  <c r="AH14" i="1"/>
  <c r="V14" i="1"/>
  <c r="J14" i="1"/>
  <c r="HI14" i="1"/>
  <c r="FY14" i="1"/>
  <c r="FM14" i="1"/>
  <c r="HU14" i="1"/>
  <c r="EC14" i="1"/>
  <c r="DQ14" i="1"/>
  <c r="JE14" i="1"/>
  <c r="E40" i="26"/>
  <c r="E42" i="28"/>
  <c r="E52" i="28" s="1"/>
  <c r="E53" i="28" s="1"/>
  <c r="D52" i="28"/>
  <c r="D53" i="28" s="1"/>
  <c r="F11" i="2"/>
  <c r="BN11" i="2" s="1"/>
  <c r="E42" i="2"/>
  <c r="BM42" i="2" s="1"/>
  <c r="M13" i="48"/>
  <c r="E48" i="26"/>
  <c r="M8" i="26"/>
  <c r="M8" i="25" s="1"/>
  <c r="M34" i="28"/>
  <c r="J56" i="25"/>
  <c r="J56" i="24" s="1"/>
  <c r="D38" i="24"/>
  <c r="E38" i="24" s="1"/>
  <c r="E38" i="25"/>
  <c r="E42" i="26"/>
  <c r="D42" i="25"/>
  <c r="D42" i="24" s="1"/>
  <c r="D47" i="23"/>
  <c r="E47" i="23" s="1"/>
  <c r="E47" i="24"/>
  <c r="D40" i="24"/>
  <c r="E40" i="24" s="1"/>
  <c r="E40" i="25"/>
  <c r="E45" i="23"/>
  <c r="D45" i="21"/>
  <c r="A18" i="2" s="1"/>
  <c r="J57" i="25"/>
  <c r="M7" i="23"/>
  <c r="M7" i="21" s="1"/>
  <c r="J57" i="12"/>
  <c r="J57" i="11" s="1"/>
  <c r="J43" i="25" l="1"/>
  <c r="J43" i="24" s="1"/>
  <c r="J44" i="24" s="1"/>
  <c r="D48" i="24"/>
  <c r="D48" i="23" s="1"/>
  <c r="D48" i="21" s="1"/>
  <c r="K11" i="48"/>
  <c r="A18" i="48"/>
  <c r="A16" i="45"/>
  <c r="J39" i="28"/>
  <c r="D44" i="23"/>
  <c r="D44" i="21" s="1"/>
  <c r="D44" i="22" s="1"/>
  <c r="E44" i="24"/>
  <c r="D51" i="24"/>
  <c r="E51" i="24" s="1"/>
  <c r="D43" i="21"/>
  <c r="D43" i="22" s="1"/>
  <c r="E43" i="22" s="1"/>
  <c r="K56" i="29"/>
  <c r="K57" i="29"/>
  <c r="J40" i="27"/>
  <c r="J45" i="27" s="1"/>
  <c r="J45" i="29"/>
  <c r="M34" i="26"/>
  <c r="D46" i="25"/>
  <c r="E46" i="25" s="1"/>
  <c r="BD11" i="48"/>
  <c r="S12" i="48"/>
  <c r="AE11" i="48"/>
  <c r="Y11" i="48"/>
  <c r="E39" i="23"/>
  <c r="D49" i="23"/>
  <c r="E49" i="23" s="1"/>
  <c r="F12" i="2"/>
  <c r="BN12" i="2" s="1"/>
  <c r="J49" i="30"/>
  <c r="J51" i="30" s="1"/>
  <c r="U12" i="48"/>
  <c r="J50" i="31"/>
  <c r="H25" i="55"/>
  <c r="D45" i="22"/>
  <c r="E45" i="22" s="1"/>
  <c r="E41" i="26"/>
  <c r="D47" i="21"/>
  <c r="D47" i="22" s="1"/>
  <c r="E42" i="25"/>
  <c r="Q18" i="48"/>
  <c r="AC18" i="48" s="1"/>
  <c r="AC17" i="48"/>
  <c r="AC16" i="48"/>
  <c r="G145" i="56" s="1"/>
  <c r="J39" i="26"/>
  <c r="D52" i="26"/>
  <c r="D53" i="26" s="1"/>
  <c r="E50" i="26"/>
  <c r="E41" i="25"/>
  <c r="D41" i="24"/>
  <c r="D41" i="23" s="1"/>
  <c r="D50" i="24"/>
  <c r="E50" i="24" s="1"/>
  <c r="D38" i="23"/>
  <c r="E38" i="23" s="1"/>
  <c r="M14" i="48"/>
  <c r="M15" i="48" s="1"/>
  <c r="E45" i="21"/>
  <c r="D40" i="23"/>
  <c r="D40" i="21" s="1"/>
  <c r="D39" i="22"/>
  <c r="D39" i="20" s="1"/>
  <c r="M8" i="24"/>
  <c r="M34" i="25"/>
  <c r="J56" i="23"/>
  <c r="E42" i="24"/>
  <c r="D42" i="23"/>
  <c r="E48" i="23"/>
  <c r="J37" i="24"/>
  <c r="J39" i="25"/>
  <c r="M7" i="22"/>
  <c r="J57" i="10"/>
  <c r="J44" i="25" l="1"/>
  <c r="J43" i="23"/>
  <c r="E48" i="24"/>
  <c r="A19" i="48"/>
  <c r="A17" i="45"/>
  <c r="E44" i="21"/>
  <c r="A20" i="2" s="1"/>
  <c r="E44" i="23"/>
  <c r="A19" i="2" s="1"/>
  <c r="D51" i="23"/>
  <c r="E51" i="23" s="1"/>
  <c r="Q19" i="48"/>
  <c r="AC19" i="48" s="1"/>
  <c r="D43" i="20"/>
  <c r="D43" i="19" s="1"/>
  <c r="E43" i="21"/>
  <c r="D52" i="25"/>
  <c r="D53" i="25" s="1"/>
  <c r="D49" i="21"/>
  <c r="D49" i="22" s="1"/>
  <c r="E49" i="22" s="1"/>
  <c r="D46" i="24"/>
  <c r="D46" i="23" s="1"/>
  <c r="E46" i="23" s="1"/>
  <c r="Y12" i="48"/>
  <c r="K56" i="27"/>
  <c r="J41" i="27"/>
  <c r="J40" i="28"/>
  <c r="J45" i="28" s="1"/>
  <c r="K57" i="27"/>
  <c r="E52" i="25"/>
  <c r="E53" i="25" s="1"/>
  <c r="F13" i="2"/>
  <c r="F14" i="2" s="1"/>
  <c r="BN14" i="2" s="1"/>
  <c r="BD12" i="48"/>
  <c r="AE12" i="48"/>
  <c r="S13" i="48"/>
  <c r="K12" i="48"/>
  <c r="D50" i="23"/>
  <c r="D45" i="20"/>
  <c r="E45" i="20" s="1"/>
  <c r="E52" i="26"/>
  <c r="E53" i="26" s="1"/>
  <c r="E47" i="21"/>
  <c r="D38" i="21"/>
  <c r="D38" i="22" s="1"/>
  <c r="J49" i="29"/>
  <c r="J51" i="29" s="1"/>
  <c r="J50" i="30"/>
  <c r="U13" i="48"/>
  <c r="W12" i="48"/>
  <c r="E39" i="22"/>
  <c r="E41" i="24"/>
  <c r="E40" i="23"/>
  <c r="M16" i="48"/>
  <c r="M8" i="23"/>
  <c r="M34" i="24"/>
  <c r="E41" i="23"/>
  <c r="D41" i="21"/>
  <c r="J44" i="23"/>
  <c r="J43" i="21"/>
  <c r="J56" i="21"/>
  <c r="D47" i="20"/>
  <c r="E47" i="22"/>
  <c r="E48" i="21"/>
  <c r="D48" i="22"/>
  <c r="D42" i="21"/>
  <c r="E42" i="23"/>
  <c r="D44" i="20"/>
  <c r="E44" i="22"/>
  <c r="D40" i="22"/>
  <c r="E40" i="21"/>
  <c r="A21" i="2" s="1"/>
  <c r="J39" i="24"/>
  <c r="J37" i="23"/>
  <c r="E39" i="20"/>
  <c r="D39" i="19"/>
  <c r="J57" i="9"/>
  <c r="M7" i="20"/>
  <c r="Q20" i="48" l="1"/>
  <c r="D51" i="21"/>
  <c r="D51" i="22" s="1"/>
  <c r="A20" i="48"/>
  <c r="A18" i="45"/>
  <c r="E43" i="20"/>
  <c r="D49" i="20"/>
  <c r="D49" i="19" s="1"/>
  <c r="E49" i="21"/>
  <c r="D46" i="21"/>
  <c r="D46" i="22" s="1"/>
  <c r="D52" i="24"/>
  <c r="D53" i="24" s="1"/>
  <c r="E46" i="24"/>
  <c r="E52" i="24" s="1"/>
  <c r="E53" i="24" s="1"/>
  <c r="D52" i="23"/>
  <c r="D53" i="23" s="1"/>
  <c r="K56" i="28"/>
  <c r="J41" i="28"/>
  <c r="J40" i="26"/>
  <c r="J40" i="25" s="1"/>
  <c r="K57" i="28"/>
  <c r="F15" i="2"/>
  <c r="F16" i="2" s="1"/>
  <c r="BN13" i="2"/>
  <c r="Y13" i="48"/>
  <c r="E50" i="23"/>
  <c r="E52" i="23" s="1"/>
  <c r="E53" i="23" s="1"/>
  <c r="D50" i="21"/>
  <c r="D50" i="22" s="1"/>
  <c r="D45" i="19"/>
  <c r="E45" i="19" s="1"/>
  <c r="W13" i="48"/>
  <c r="BD13" i="48"/>
  <c r="AE13" i="48"/>
  <c r="S14" i="48"/>
  <c r="K13" i="48"/>
  <c r="J50" i="29"/>
  <c r="E38" i="21"/>
  <c r="E51" i="21"/>
  <c r="M17" i="48"/>
  <c r="M18" i="48" s="1"/>
  <c r="M19" i="48" s="1"/>
  <c r="M8" i="21"/>
  <c r="M34" i="23"/>
  <c r="D41" i="22"/>
  <c r="E41" i="21"/>
  <c r="J56" i="22"/>
  <c r="J43" i="22"/>
  <c r="J44" i="21"/>
  <c r="E38" i="22"/>
  <c r="D38" i="20"/>
  <c r="E43" i="19"/>
  <c r="D43" i="18"/>
  <c r="E48" i="22"/>
  <c r="D48" i="20"/>
  <c r="D47" i="19"/>
  <c r="E47" i="20"/>
  <c r="E42" i="21"/>
  <c r="D42" i="22"/>
  <c r="E40" i="22"/>
  <c r="D40" i="20"/>
  <c r="D44" i="19"/>
  <c r="E44" i="20"/>
  <c r="D51" i="20"/>
  <c r="E51" i="22"/>
  <c r="A22" i="2" s="1"/>
  <c r="J37" i="21"/>
  <c r="J39" i="23"/>
  <c r="M7" i="19"/>
  <c r="J57" i="8"/>
  <c r="Q21" i="48"/>
  <c r="AC20" i="48"/>
  <c r="D39" i="18"/>
  <c r="E39" i="19"/>
  <c r="E49" i="20" l="1"/>
  <c r="A21" i="48"/>
  <c r="A19" i="45"/>
  <c r="E50" i="21"/>
  <c r="E46" i="21"/>
  <c r="BN15" i="2"/>
  <c r="D45" i="18"/>
  <c r="E45" i="18" s="1"/>
  <c r="K57" i="26"/>
  <c r="J45" i="26"/>
  <c r="K57" i="25"/>
  <c r="J41" i="25"/>
  <c r="J45" i="25"/>
  <c r="J40" i="24"/>
  <c r="J41" i="24" s="1"/>
  <c r="K56" i="25"/>
  <c r="K56" i="26"/>
  <c r="J41" i="26"/>
  <c r="D52" i="21"/>
  <c r="D53" i="21" s="1"/>
  <c r="BD14" i="48"/>
  <c r="S15" i="48"/>
  <c r="AE14" i="48"/>
  <c r="K14" i="48"/>
  <c r="BN16" i="2"/>
  <c r="F17" i="2"/>
  <c r="M8" i="22"/>
  <c r="M34" i="21"/>
  <c r="E41" i="22"/>
  <c r="D41" i="20"/>
  <c r="J43" i="20"/>
  <c r="J44" i="22"/>
  <c r="J56" i="20"/>
  <c r="E38" i="20"/>
  <c r="D38" i="19"/>
  <c r="E50" i="22"/>
  <c r="D50" i="20"/>
  <c r="D43" i="17"/>
  <c r="E43" i="18"/>
  <c r="E42" i="22"/>
  <c r="D42" i="20"/>
  <c r="E46" i="22"/>
  <c r="D46" i="20"/>
  <c r="E47" i="19"/>
  <c r="D47" i="18"/>
  <c r="D52" i="22"/>
  <c r="D53" i="22" s="1"/>
  <c r="D48" i="19"/>
  <c r="E48" i="20"/>
  <c r="D44" i="18"/>
  <c r="E44" i="19"/>
  <c r="D40" i="19"/>
  <c r="E40" i="20"/>
  <c r="E51" i="20"/>
  <c r="D51" i="19"/>
  <c r="D49" i="18"/>
  <c r="E49" i="19"/>
  <c r="J39" i="21"/>
  <c r="J37" i="22"/>
  <c r="D39" i="17"/>
  <c r="E39" i="18"/>
  <c r="Q22" i="48"/>
  <c r="AC21" i="48"/>
  <c r="M20" i="48"/>
  <c r="M7" i="18"/>
  <c r="J57" i="7"/>
  <c r="A22" i="48" l="1"/>
  <c r="A20" i="45"/>
  <c r="E52" i="21"/>
  <c r="E53" i="21" s="1"/>
  <c r="K56" i="24"/>
  <c r="K57" i="24"/>
  <c r="J45" i="24"/>
  <c r="J40" i="23"/>
  <c r="J45" i="23" s="1"/>
  <c r="D45" i="17"/>
  <c r="A23" i="2" s="1"/>
  <c r="K15" i="48"/>
  <c r="BD15" i="48"/>
  <c r="S16" i="48"/>
  <c r="AE15" i="48"/>
  <c r="BN17" i="2"/>
  <c r="F18" i="2"/>
  <c r="D52" i="20"/>
  <c r="D53" i="20" s="1"/>
  <c r="M8" i="20"/>
  <c r="M34" i="22"/>
  <c r="D41" i="19"/>
  <c r="E41" i="20"/>
  <c r="J56" i="19"/>
  <c r="J43" i="19"/>
  <c r="J44" i="20"/>
  <c r="E38" i="19"/>
  <c r="D38" i="18"/>
  <c r="E52" i="22"/>
  <c r="E53" i="22" s="1"/>
  <c r="E50" i="20"/>
  <c r="D50" i="19"/>
  <c r="D43" i="16"/>
  <c r="E43" i="17"/>
  <c r="D48" i="18"/>
  <c r="E48" i="19"/>
  <c r="D47" i="17"/>
  <c r="E47" i="18"/>
  <c r="D46" i="19"/>
  <c r="E46" i="20"/>
  <c r="D42" i="19"/>
  <c r="E42" i="20"/>
  <c r="D51" i="18"/>
  <c r="E51" i="19"/>
  <c r="D40" i="18"/>
  <c r="E40" i="19"/>
  <c r="D44" i="17"/>
  <c r="E44" i="18"/>
  <c r="A24" i="2" s="1"/>
  <c r="J39" i="22"/>
  <c r="J37" i="20"/>
  <c r="D49" i="17"/>
  <c r="E49" i="18"/>
  <c r="Q23" i="48"/>
  <c r="AC22" i="48"/>
  <c r="J57" i="6"/>
  <c r="M7" i="17"/>
  <c r="M21" i="48"/>
  <c r="D39" i="16"/>
  <c r="E39" i="17"/>
  <c r="A23" i="48" l="1"/>
  <c r="A21" i="45"/>
  <c r="J40" i="21"/>
  <c r="K56" i="23"/>
  <c r="K57" i="23"/>
  <c r="D45" i="16"/>
  <c r="D45" i="15" s="1"/>
  <c r="J41" i="23"/>
  <c r="E45" i="17"/>
  <c r="BD16" i="48"/>
  <c r="K16" i="48"/>
  <c r="S17" i="48"/>
  <c r="AE16" i="48"/>
  <c r="F19" i="2"/>
  <c r="BN18" i="2"/>
  <c r="M8" i="19"/>
  <c r="M34" i="20"/>
  <c r="D41" i="18"/>
  <c r="E41" i="19"/>
  <c r="J44" i="19"/>
  <c r="J43" i="18"/>
  <c r="J56" i="18"/>
  <c r="E38" i="18"/>
  <c r="D38" i="17"/>
  <c r="D52" i="19"/>
  <c r="D53" i="19" s="1"/>
  <c r="E52" i="20"/>
  <c r="E53" i="20" s="1"/>
  <c r="D50" i="18"/>
  <c r="E50" i="19"/>
  <c r="E43" i="16"/>
  <c r="D43" i="15"/>
  <c r="E42" i="19"/>
  <c r="D42" i="18"/>
  <c r="D46" i="18"/>
  <c r="E46" i="19"/>
  <c r="D47" i="16"/>
  <c r="E47" i="17"/>
  <c r="D48" i="17"/>
  <c r="E48" i="18"/>
  <c r="D40" i="17"/>
  <c r="E40" i="18"/>
  <c r="D51" i="17"/>
  <c r="E51" i="18"/>
  <c r="D44" i="16"/>
  <c r="E44" i="17"/>
  <c r="A25" i="2" s="1"/>
  <c r="J37" i="19"/>
  <c r="J39" i="20"/>
  <c r="E49" i="17"/>
  <c r="D49" i="16"/>
  <c r="J57" i="37"/>
  <c r="D39" i="15"/>
  <c r="E39" i="16"/>
  <c r="M22" i="48"/>
  <c r="M7" i="16"/>
  <c r="Q24" i="48"/>
  <c r="AC23" i="48"/>
  <c r="K56" i="21" l="1"/>
  <c r="J41" i="21"/>
  <c r="K57" i="21"/>
  <c r="J40" i="22"/>
  <c r="J41" i="22" s="1"/>
  <c r="J45" i="21"/>
  <c r="A24" i="48"/>
  <c r="A22" i="45"/>
  <c r="E45" i="16"/>
  <c r="K17" i="48"/>
  <c r="BD17" i="48"/>
  <c r="S18" i="48"/>
  <c r="AE17" i="48"/>
  <c r="BN19" i="2"/>
  <c r="F20" i="2"/>
  <c r="M8" i="18"/>
  <c r="M34" i="19"/>
  <c r="D41" i="17"/>
  <c r="E41" i="18"/>
  <c r="J56" i="17"/>
  <c r="J43" i="17"/>
  <c r="J44" i="18"/>
  <c r="E52" i="19"/>
  <c r="E53" i="19" s="1"/>
  <c r="E38" i="17"/>
  <c r="D38" i="16"/>
  <c r="E50" i="18"/>
  <c r="D50" i="17"/>
  <c r="D43" i="14"/>
  <c r="E43" i="15"/>
  <c r="D48" i="16"/>
  <c r="E48" i="17"/>
  <c r="E47" i="16"/>
  <c r="D47" i="15"/>
  <c r="E46" i="18"/>
  <c r="D46" i="17"/>
  <c r="D52" i="18"/>
  <c r="D53" i="18" s="1"/>
  <c r="E42" i="18"/>
  <c r="D42" i="17"/>
  <c r="D45" i="14"/>
  <c r="E45" i="15"/>
  <c r="E40" i="17"/>
  <c r="D40" i="16"/>
  <c r="E44" i="16"/>
  <c r="D44" i="15"/>
  <c r="D51" i="16"/>
  <c r="E51" i="17"/>
  <c r="A26" i="2" s="1"/>
  <c r="D49" i="15"/>
  <c r="E49" i="16"/>
  <c r="J37" i="18"/>
  <c r="J39" i="19"/>
  <c r="Q25" i="48"/>
  <c r="AC24" i="48"/>
  <c r="M7" i="15"/>
  <c r="E39" i="15"/>
  <c r="D39" i="14"/>
  <c r="J57" i="4"/>
  <c r="M23" i="48"/>
  <c r="Z121" i="57" l="1"/>
  <c r="AA121" i="57" s="1"/>
  <c r="AB121" i="57" s="1"/>
  <c r="Y121" i="57"/>
  <c r="Z121" i="46"/>
  <c r="Y121" i="46"/>
  <c r="J45" i="22"/>
  <c r="J40" i="20"/>
  <c r="K56" i="20" s="1"/>
  <c r="K56" i="22"/>
  <c r="K57" i="22"/>
  <c r="A25" i="48"/>
  <c r="A23" i="45"/>
  <c r="S19" i="48"/>
  <c r="BD18" i="48"/>
  <c r="AE18" i="48"/>
  <c r="K18" i="48"/>
  <c r="J45" i="20"/>
  <c r="K57" i="20"/>
  <c r="F21" i="2"/>
  <c r="BN20" i="2"/>
  <c r="M8" i="17"/>
  <c r="M34" i="18"/>
  <c r="E41" i="17"/>
  <c r="D41" i="16"/>
  <c r="J43" i="16"/>
  <c r="J44" i="17"/>
  <c r="J56" i="16"/>
  <c r="D38" i="15"/>
  <c r="E38" i="16"/>
  <c r="E50" i="17"/>
  <c r="D50" i="16"/>
  <c r="E52" i="18"/>
  <c r="E53" i="18" s="1"/>
  <c r="E43" i="14"/>
  <c r="D43" i="13"/>
  <c r="E42" i="17"/>
  <c r="D42" i="16"/>
  <c r="D48" i="15"/>
  <c r="E48" i="16"/>
  <c r="D52" i="17"/>
  <c r="D53" i="17" s="1"/>
  <c r="E46" i="17"/>
  <c r="D46" i="16"/>
  <c r="E47" i="15"/>
  <c r="D47" i="14"/>
  <c r="E44" i="15"/>
  <c r="D44" i="14"/>
  <c r="D45" i="13"/>
  <c r="E45" i="14"/>
  <c r="E51" i="16"/>
  <c r="D51" i="15"/>
  <c r="D40" i="15"/>
  <c r="E40" i="16"/>
  <c r="A27" i="2" s="1"/>
  <c r="J37" i="17"/>
  <c r="J39" i="18"/>
  <c r="D49" i="14"/>
  <c r="E49" i="15"/>
  <c r="J57" i="43"/>
  <c r="E39" i="14"/>
  <c r="D39" i="13"/>
  <c r="Q26" i="48"/>
  <c r="AC25" i="48"/>
  <c r="M24" i="48"/>
  <c r="M7" i="14"/>
  <c r="AA121" i="46" l="1"/>
  <c r="AB121" i="46" s="1"/>
  <c r="J41" i="20"/>
  <c r="J40" i="19"/>
  <c r="A26" i="48"/>
  <c r="A24" i="45"/>
  <c r="K19" i="48"/>
  <c r="S20" i="48"/>
  <c r="BD19" i="48"/>
  <c r="AE19" i="48"/>
  <c r="BN21" i="2"/>
  <c r="F22" i="2"/>
  <c r="K56" i="19"/>
  <c r="J41" i="19"/>
  <c r="J40" i="18"/>
  <c r="K57" i="19"/>
  <c r="J45" i="19"/>
  <c r="M8" i="16"/>
  <c r="M34" i="17"/>
  <c r="D41" i="15"/>
  <c r="E41" i="16"/>
  <c r="J56" i="15"/>
  <c r="J43" i="15"/>
  <c r="J44" i="16"/>
  <c r="E38" i="15"/>
  <c r="D38" i="14"/>
  <c r="D52" i="16"/>
  <c r="D53" i="16" s="1"/>
  <c r="E52" i="17"/>
  <c r="E53" i="17" s="1"/>
  <c r="D50" i="15"/>
  <c r="E50" i="16"/>
  <c r="D43" i="12"/>
  <c r="E43" i="13"/>
  <c r="E47" i="14"/>
  <c r="D47" i="13"/>
  <c r="D46" i="15"/>
  <c r="E46" i="16"/>
  <c r="E48" i="15"/>
  <c r="D48" i="14"/>
  <c r="E42" i="16"/>
  <c r="D42" i="15"/>
  <c r="E51" i="15"/>
  <c r="D51" i="14"/>
  <c r="E40" i="15"/>
  <c r="D40" i="14"/>
  <c r="D45" i="12"/>
  <c r="E45" i="13"/>
  <c r="E44" i="14"/>
  <c r="D44" i="13"/>
  <c r="A28" i="2" s="1"/>
  <c r="J39" i="17"/>
  <c r="J37" i="16"/>
  <c r="E49" i="14"/>
  <c r="D49" i="13"/>
  <c r="M7" i="13"/>
  <c r="M25" i="48"/>
  <c r="D39" i="12"/>
  <c r="E39" i="13"/>
  <c r="AC26" i="48"/>
  <c r="Q27" i="48"/>
  <c r="Y116" i="57" l="1"/>
  <c r="Z116" i="57"/>
  <c r="AA116" i="57" s="1"/>
  <c r="AB116" i="57" s="1"/>
  <c r="Y167" i="57"/>
  <c r="Y116" i="46"/>
  <c r="Y189" i="46" s="1"/>
  <c r="Z116" i="46"/>
  <c r="A27" i="48"/>
  <c r="A25" i="45"/>
  <c r="BD20" i="48"/>
  <c r="AE20" i="48"/>
  <c r="K20" i="48"/>
  <c r="S21" i="48"/>
  <c r="J41" i="18"/>
  <c r="K56" i="18"/>
  <c r="J45" i="18"/>
  <c r="K57" i="18"/>
  <c r="J40" i="17"/>
  <c r="F23" i="2"/>
  <c r="BN22" i="2"/>
  <c r="M8" i="15"/>
  <c r="M34" i="16"/>
  <c r="D41" i="14"/>
  <c r="E41" i="15"/>
  <c r="J43" i="14"/>
  <c r="J44" i="15"/>
  <c r="J56" i="14"/>
  <c r="D52" i="15"/>
  <c r="D53" i="15" s="1"/>
  <c r="E38" i="14"/>
  <c r="D38" i="13"/>
  <c r="E52" i="16"/>
  <c r="E53" i="16" s="1"/>
  <c r="D50" i="14"/>
  <c r="E50" i="15"/>
  <c r="E43" i="12"/>
  <c r="D43" i="11"/>
  <c r="E42" i="15"/>
  <c r="D42" i="14"/>
  <c r="E46" i="15"/>
  <c r="D46" i="14"/>
  <c r="E48" i="14"/>
  <c r="D48" i="13"/>
  <c r="D47" i="12"/>
  <c r="E47" i="13"/>
  <c r="D45" i="11"/>
  <c r="E45" i="12"/>
  <c r="D40" i="13"/>
  <c r="E40" i="14"/>
  <c r="D51" i="13"/>
  <c r="E51" i="14"/>
  <c r="E44" i="13"/>
  <c r="D44" i="12"/>
  <c r="A29" i="2" s="1"/>
  <c r="D49" i="12"/>
  <c r="E49" i="13"/>
  <c r="J37" i="15"/>
  <c r="J39" i="16"/>
  <c r="D39" i="11"/>
  <c r="E39" i="12"/>
  <c r="M26" i="48"/>
  <c r="AC27" i="48"/>
  <c r="Q28" i="48"/>
  <c r="M7" i="12"/>
  <c r="Z167" i="57" l="1"/>
  <c r="AA116" i="46"/>
  <c r="Z189" i="46"/>
  <c r="Y191" i="46"/>
  <c r="Y190" i="46"/>
  <c r="X197" i="46" s="1"/>
  <c r="X194" i="46"/>
  <c r="Y169" i="57"/>
  <c r="Y168" i="57"/>
  <c r="X175" i="57" s="1"/>
  <c r="X172" i="57"/>
  <c r="A28" i="48"/>
  <c r="A26" i="45"/>
  <c r="BD21" i="48"/>
  <c r="K21" i="48"/>
  <c r="AE21" i="48"/>
  <c r="S22" i="48"/>
  <c r="J45" i="17"/>
  <c r="J41" i="17"/>
  <c r="K57" i="17"/>
  <c r="J40" i="16"/>
  <c r="K56" i="17"/>
  <c r="BN23" i="2"/>
  <c r="F24" i="2"/>
  <c r="M8" i="14"/>
  <c r="M34" i="15"/>
  <c r="D41" i="13"/>
  <c r="E41" i="14"/>
  <c r="J56" i="13"/>
  <c r="J43" i="13"/>
  <c r="J44" i="14"/>
  <c r="E38" i="13"/>
  <c r="D38" i="12"/>
  <c r="E52" i="15"/>
  <c r="E53" i="15" s="1"/>
  <c r="E50" i="14"/>
  <c r="D50" i="13"/>
  <c r="D43" i="10"/>
  <c r="E43" i="11"/>
  <c r="E48" i="13"/>
  <c r="D48" i="12"/>
  <c r="E46" i="14"/>
  <c r="D46" i="13"/>
  <c r="D42" i="13"/>
  <c r="E42" i="14"/>
  <c r="D52" i="14"/>
  <c r="D53" i="14" s="1"/>
  <c r="D47" i="11"/>
  <c r="E47" i="12"/>
  <c r="E51" i="13"/>
  <c r="D51" i="12"/>
  <c r="E44" i="12"/>
  <c r="D44" i="11"/>
  <c r="D40" i="12"/>
  <c r="E40" i="13"/>
  <c r="D45" i="10"/>
  <c r="E45" i="11"/>
  <c r="A30" i="2" s="1"/>
  <c r="J39" i="15"/>
  <c r="J37" i="14"/>
  <c r="D49" i="11"/>
  <c r="E49" i="12"/>
  <c r="M7" i="11"/>
  <c r="AC28" i="48"/>
  <c r="Q29" i="48"/>
  <c r="M27" i="48"/>
  <c r="E39" i="11"/>
  <c r="D39" i="10"/>
  <c r="Z190" i="46" l="1"/>
  <c r="X198" i="46" s="1"/>
  <c r="I2" i="56"/>
  <c r="AB116" i="46"/>
  <c r="AB189" i="46" s="1"/>
  <c r="AA189" i="46"/>
  <c r="T2" i="56"/>
  <c r="Z168" i="57"/>
  <c r="X176" i="57" s="1"/>
  <c r="AB167" i="57"/>
  <c r="AA167" i="57"/>
  <c r="A29" i="48"/>
  <c r="A27" i="45"/>
  <c r="S23" i="48"/>
  <c r="K22" i="48"/>
  <c r="BD22" i="48"/>
  <c r="AE22" i="48"/>
  <c r="BN24" i="2"/>
  <c r="F25" i="2"/>
  <c r="K56" i="16"/>
  <c r="K57" i="16"/>
  <c r="J45" i="16"/>
  <c r="J41" i="16"/>
  <c r="J40" i="15"/>
  <c r="M8" i="13"/>
  <c r="M34" i="14"/>
  <c r="E41" i="13"/>
  <c r="D41" i="12"/>
  <c r="J56" i="12"/>
  <c r="J44" i="13"/>
  <c r="J43" i="12"/>
  <c r="E38" i="12"/>
  <c r="D38" i="11"/>
  <c r="E50" i="13"/>
  <c r="D50" i="12"/>
  <c r="D52" i="13"/>
  <c r="D53" i="13" s="1"/>
  <c r="E43" i="10"/>
  <c r="D43" i="9"/>
  <c r="E52" i="14"/>
  <c r="E53" i="14" s="1"/>
  <c r="D47" i="10"/>
  <c r="E47" i="11"/>
  <c r="D46" i="12"/>
  <c r="E46" i="13"/>
  <c r="E48" i="12"/>
  <c r="D48" i="11"/>
  <c r="E42" i="13"/>
  <c r="D42" i="12"/>
  <c r="E45" i="10"/>
  <c r="D45" i="9"/>
  <c r="E44" i="11"/>
  <c r="D44" i="10"/>
  <c r="D51" i="11"/>
  <c r="E51" i="12"/>
  <c r="D40" i="11"/>
  <c r="E40" i="12"/>
  <c r="A31" i="2" s="1"/>
  <c r="D49" i="10"/>
  <c r="E49" i="11"/>
  <c r="J37" i="13"/>
  <c r="J39" i="14"/>
  <c r="M28" i="48"/>
  <c r="D39" i="9"/>
  <c r="E39" i="10"/>
  <c r="AC29" i="48"/>
  <c r="Q30" i="48"/>
  <c r="M7" i="10"/>
  <c r="N13" i="55" l="1"/>
  <c r="U2" i="56"/>
  <c r="O13" i="55" s="1"/>
  <c r="AB168" i="57"/>
  <c r="X179" i="57" s="1"/>
  <c r="T4" i="56"/>
  <c r="AA190" i="46"/>
  <c r="X200" i="46" s="1"/>
  <c r="I3" i="56"/>
  <c r="I4" i="56"/>
  <c r="AB190" i="46"/>
  <c r="X201" i="46" s="1"/>
  <c r="E13" i="55"/>
  <c r="J2" i="56"/>
  <c r="T3" i="56"/>
  <c r="AA168" i="57"/>
  <c r="X178" i="57" s="1"/>
  <c r="A30" i="48"/>
  <c r="A28" i="45"/>
  <c r="BD23" i="48"/>
  <c r="S24" i="48"/>
  <c r="AE23" i="48"/>
  <c r="K23" i="48"/>
  <c r="BN25" i="2"/>
  <c r="F26" i="2"/>
  <c r="J45" i="15"/>
  <c r="J40" i="14"/>
  <c r="J41" i="15"/>
  <c r="K57" i="15"/>
  <c r="K56" i="15"/>
  <c r="M8" i="12"/>
  <c r="M34" i="13"/>
  <c r="E41" i="12"/>
  <c r="D41" i="11"/>
  <c r="J44" i="12"/>
  <c r="J43" i="11"/>
  <c r="J56" i="11"/>
  <c r="D38" i="10"/>
  <c r="E38" i="11"/>
  <c r="E52" i="13"/>
  <c r="E53" i="13" s="1"/>
  <c r="E50" i="12"/>
  <c r="D50" i="11"/>
  <c r="D43" i="8"/>
  <c r="E43" i="9"/>
  <c r="E42" i="12"/>
  <c r="D42" i="11"/>
  <c r="E46" i="12"/>
  <c r="D46" i="11"/>
  <c r="D47" i="9"/>
  <c r="E47" i="10"/>
  <c r="D52" i="12"/>
  <c r="D53" i="12" s="1"/>
  <c r="E48" i="11"/>
  <c r="D48" i="10"/>
  <c r="D44" i="9"/>
  <c r="E44" i="10"/>
  <c r="E45" i="9"/>
  <c r="D45" i="8"/>
  <c r="D40" i="10"/>
  <c r="E40" i="11"/>
  <c r="D51" i="10"/>
  <c r="E51" i="11"/>
  <c r="A32" i="2" s="1"/>
  <c r="J39" i="13"/>
  <c r="J37" i="12"/>
  <c r="E49" i="10"/>
  <c r="D49" i="9"/>
  <c r="Q31" i="48"/>
  <c r="AC30" i="48"/>
  <c r="D39" i="8"/>
  <c r="E39" i="9"/>
  <c r="M29" i="48"/>
  <c r="M7" i="9"/>
  <c r="X198" i="57" l="1"/>
  <c r="X201" i="57" s="1"/>
  <c r="E14" i="55"/>
  <c r="F14" i="55" s="1"/>
  <c r="G14" i="55" s="1"/>
  <c r="J3" i="56"/>
  <c r="R144" i="56" s="1"/>
  <c r="N15" i="55"/>
  <c r="U4" i="56"/>
  <c r="O15" i="55" s="1"/>
  <c r="P15" i="55" s="1"/>
  <c r="Q15" i="55" s="1"/>
  <c r="N14" i="55"/>
  <c r="U3" i="56"/>
  <c r="O14" i="55" s="1"/>
  <c r="P14" i="55" s="1"/>
  <c r="E15" i="55"/>
  <c r="F15" i="55" s="1"/>
  <c r="G15" i="55" s="1"/>
  <c r="H15" i="55" s="1"/>
  <c r="J4" i="56"/>
  <c r="P13" i="55"/>
  <c r="F13" i="55"/>
  <c r="X220" i="46"/>
  <c r="X223" i="46" s="1"/>
  <c r="A31" i="48"/>
  <c r="A29" i="45"/>
  <c r="S25" i="48"/>
  <c r="K24" i="48"/>
  <c r="BD24" i="48"/>
  <c r="AE24" i="48"/>
  <c r="F27" i="2"/>
  <c r="BN26" i="2"/>
  <c r="J41" i="14"/>
  <c r="K56" i="14"/>
  <c r="J45" i="14"/>
  <c r="K57" i="14"/>
  <c r="J40" i="13"/>
  <c r="M8" i="11"/>
  <c r="M34" i="12"/>
  <c r="D41" i="10"/>
  <c r="E41" i="11"/>
  <c r="J44" i="11"/>
  <c r="J43" i="10"/>
  <c r="J56" i="10"/>
  <c r="M57" i="10" s="1"/>
  <c r="D38" i="9"/>
  <c r="E38" i="10"/>
  <c r="E52" i="12"/>
  <c r="E53" i="12" s="1"/>
  <c r="D52" i="11"/>
  <c r="D53" i="11" s="1"/>
  <c r="E50" i="11"/>
  <c r="D50" i="10"/>
  <c r="E43" i="8"/>
  <c r="D43" i="7"/>
  <c r="E46" i="11"/>
  <c r="D46" i="10"/>
  <c r="D42" i="10"/>
  <c r="E42" i="11"/>
  <c r="E48" i="10"/>
  <c r="D48" i="9"/>
  <c r="D47" i="8"/>
  <c r="E47" i="9"/>
  <c r="D40" i="9"/>
  <c r="E40" i="10"/>
  <c r="D44" i="8"/>
  <c r="E44" i="9"/>
  <c r="E51" i="10"/>
  <c r="D51" i="9"/>
  <c r="D45" i="7"/>
  <c r="E45" i="8"/>
  <c r="A33" i="2" s="1"/>
  <c r="D49" i="8"/>
  <c r="E49" i="9"/>
  <c r="J37" i="11"/>
  <c r="J39" i="12"/>
  <c r="M30" i="48"/>
  <c r="M7" i="8"/>
  <c r="D39" i="7"/>
  <c r="E39" i="8"/>
  <c r="Q32" i="48"/>
  <c r="AC31" i="48"/>
  <c r="N41" i="55" l="1"/>
  <c r="E41" i="55"/>
  <c r="G13" i="55"/>
  <c r="F41" i="55"/>
  <c r="F43" i="55" s="1"/>
  <c r="O41" i="55"/>
  <c r="O43" i="55" s="1"/>
  <c r="Q13" i="55"/>
  <c r="Q41" i="55" s="1"/>
  <c r="Q43" i="55" s="1"/>
  <c r="R15" i="56" s="1"/>
  <c r="P41" i="55"/>
  <c r="P43" i="55" s="1"/>
  <c r="A32" i="48"/>
  <c r="A30" i="45"/>
  <c r="AE25" i="48"/>
  <c r="S26" i="48"/>
  <c r="K25" i="48"/>
  <c r="BD25" i="48"/>
  <c r="BN27" i="2"/>
  <c r="F28" i="2"/>
  <c r="K56" i="13"/>
  <c r="K57" i="13"/>
  <c r="J40" i="12"/>
  <c r="J41" i="13"/>
  <c r="J45" i="13"/>
  <c r="M8" i="10"/>
  <c r="M34" i="11"/>
  <c r="E41" i="10"/>
  <c r="D41" i="9"/>
  <c r="J56" i="9"/>
  <c r="J43" i="9"/>
  <c r="J44" i="10"/>
  <c r="E38" i="9"/>
  <c r="D38" i="8"/>
  <c r="D52" i="10"/>
  <c r="D53" i="10" s="1"/>
  <c r="E50" i="10"/>
  <c r="D50" i="9"/>
  <c r="D43" i="6"/>
  <c r="E43" i="7"/>
  <c r="E52" i="11"/>
  <c r="E53" i="11" s="1"/>
  <c r="E47" i="8"/>
  <c r="D47" i="7"/>
  <c r="E42" i="10"/>
  <c r="D42" i="9"/>
  <c r="D48" i="8"/>
  <c r="E48" i="9"/>
  <c r="D46" i="9"/>
  <c r="E46" i="10"/>
  <c r="D45" i="6"/>
  <c r="E45" i="7"/>
  <c r="E51" i="9"/>
  <c r="D51" i="8"/>
  <c r="D40" i="8"/>
  <c r="E40" i="9"/>
  <c r="D44" i="7"/>
  <c r="E44" i="8"/>
  <c r="A34" i="2" s="1"/>
  <c r="J39" i="11"/>
  <c r="J37" i="10"/>
  <c r="E49" i="8"/>
  <c r="D49" i="7"/>
  <c r="D39" i="6"/>
  <c r="E39" i="7"/>
  <c r="M7" i="7"/>
  <c r="Q33" i="48"/>
  <c r="AC32" i="48"/>
  <c r="M31" i="48"/>
  <c r="H13" i="55" l="1"/>
  <c r="H41" i="55" s="1"/>
  <c r="H43" i="55" s="1"/>
  <c r="G15" i="56" s="1"/>
  <c r="G41" i="55"/>
  <c r="G43" i="55" s="1"/>
  <c r="A33" i="48"/>
  <c r="A31" i="45"/>
  <c r="BD26" i="48"/>
  <c r="S27" i="48"/>
  <c r="K26" i="48"/>
  <c r="AE26" i="48"/>
  <c r="F29" i="2"/>
  <c r="BN28" i="2"/>
  <c r="J41" i="12"/>
  <c r="J40" i="11"/>
  <c r="K56" i="12"/>
  <c r="J45" i="12"/>
  <c r="K57" i="12"/>
  <c r="M8" i="9"/>
  <c r="M34" i="10"/>
  <c r="D41" i="8"/>
  <c r="E41" i="9"/>
  <c r="J56" i="8"/>
  <c r="J43" i="8"/>
  <c r="J44" i="9"/>
  <c r="D52" i="9"/>
  <c r="D53" i="9" s="1"/>
  <c r="D38" i="7"/>
  <c r="E38" i="8"/>
  <c r="E52" i="10"/>
  <c r="E53" i="10" s="1"/>
  <c r="E50" i="9"/>
  <c r="D50" i="8"/>
  <c r="D43" i="37"/>
  <c r="E43" i="6"/>
  <c r="D46" i="8"/>
  <c r="E46" i="9"/>
  <c r="D48" i="7"/>
  <c r="E48" i="8"/>
  <c r="E42" i="9"/>
  <c r="D42" i="8"/>
  <c r="E47" i="7"/>
  <c r="D47" i="6"/>
  <c r="D40" i="7"/>
  <c r="E40" i="8"/>
  <c r="E45" i="6"/>
  <c r="D45" i="37"/>
  <c r="E44" i="7"/>
  <c r="D44" i="6"/>
  <c r="E51" i="8"/>
  <c r="D51" i="7"/>
  <c r="A35" i="2" s="1"/>
  <c r="D49" i="6"/>
  <c r="E49" i="7"/>
  <c r="J37" i="9"/>
  <c r="J39" i="10"/>
  <c r="M32" i="48"/>
  <c r="Q34" i="48"/>
  <c r="AC33" i="48"/>
  <c r="D39" i="37"/>
  <c r="E39" i="6"/>
  <c r="M7" i="6"/>
  <c r="A34" i="48" l="1"/>
  <c r="A32" i="45"/>
  <c r="S28" i="48"/>
  <c r="K27" i="48"/>
  <c r="BD27" i="48"/>
  <c r="AE27" i="48"/>
  <c r="BN29" i="2"/>
  <c r="F30" i="2"/>
  <c r="K56" i="11"/>
  <c r="J40" i="10"/>
  <c r="K57" i="11"/>
  <c r="J41" i="11"/>
  <c r="J45" i="11"/>
  <c r="M8" i="8"/>
  <c r="M34" i="9"/>
  <c r="D41" i="7"/>
  <c r="E41" i="8"/>
  <c r="J56" i="7"/>
  <c r="J43" i="7"/>
  <c r="J44" i="8"/>
  <c r="D52" i="8"/>
  <c r="D53" i="8" s="1"/>
  <c r="D38" i="6"/>
  <c r="E38" i="7"/>
  <c r="E52" i="9"/>
  <c r="E53" i="9" s="1"/>
  <c r="D50" i="7"/>
  <c r="E50" i="8"/>
  <c r="D43" i="4"/>
  <c r="E43" i="37"/>
  <c r="D48" i="6"/>
  <c r="E48" i="7"/>
  <c r="D46" i="7"/>
  <c r="E46" i="8"/>
  <c r="E47" i="6"/>
  <c r="D47" i="37"/>
  <c r="E42" i="8"/>
  <c r="D42" i="7"/>
  <c r="D51" i="6"/>
  <c r="E51" i="7"/>
  <c r="D44" i="37"/>
  <c r="E44" i="6"/>
  <c r="D45" i="4"/>
  <c r="E45" i="37"/>
  <c r="D40" i="6"/>
  <c r="E40" i="7"/>
  <c r="A36" i="2" s="1"/>
  <c r="J39" i="9"/>
  <c r="J37" i="8"/>
  <c r="D49" i="37"/>
  <c r="E49" i="6"/>
  <c r="AC34" i="48"/>
  <c r="Q35" i="48"/>
  <c r="M7" i="37"/>
  <c r="E39" i="37"/>
  <c r="D39" i="4"/>
  <c r="M33" i="48"/>
  <c r="A35" i="48" l="1"/>
  <c r="A33" i="45"/>
  <c r="AE28" i="48"/>
  <c r="S29" i="48"/>
  <c r="K28" i="48"/>
  <c r="BD28" i="48"/>
  <c r="BN30" i="2"/>
  <c r="F31" i="2"/>
  <c r="J40" i="9"/>
  <c r="K57" i="10"/>
  <c r="J41" i="10"/>
  <c r="J45" i="10"/>
  <c r="K56" i="10"/>
  <c r="M8" i="7"/>
  <c r="M34" i="8"/>
  <c r="E41" i="7"/>
  <c r="D41" i="6"/>
  <c r="J56" i="6"/>
  <c r="J61" i="6" s="1"/>
  <c r="J43" i="6"/>
  <c r="J44" i="7"/>
  <c r="D38" i="37"/>
  <c r="E38" i="6"/>
  <c r="E52" i="8"/>
  <c r="E53" i="8" s="1"/>
  <c r="E50" i="7"/>
  <c r="D50" i="6"/>
  <c r="E43" i="4"/>
  <c r="D43" i="43"/>
  <c r="E43" i="43" s="1"/>
  <c r="E42" i="7"/>
  <c r="D42" i="6"/>
  <c r="E47" i="37"/>
  <c r="D47" i="4"/>
  <c r="E46" i="7"/>
  <c r="D46" i="6"/>
  <c r="D48" i="37"/>
  <c r="E48" i="6"/>
  <c r="D52" i="7"/>
  <c r="D53" i="7" s="1"/>
  <c r="E51" i="6"/>
  <c r="D51" i="37"/>
  <c r="D40" i="37"/>
  <c r="E40" i="6"/>
  <c r="E45" i="4"/>
  <c r="D45" i="43"/>
  <c r="E45" i="43" s="1"/>
  <c r="D44" i="4"/>
  <c r="E44" i="37"/>
  <c r="A37" i="2" s="1"/>
  <c r="E49" i="37"/>
  <c r="D49" i="4"/>
  <c r="J39" i="8"/>
  <c r="J37" i="7"/>
  <c r="M34" i="48"/>
  <c r="D39" i="43"/>
  <c r="E39" i="43" s="1"/>
  <c r="E39" i="4"/>
  <c r="M7" i="4"/>
  <c r="Q36" i="48"/>
  <c r="AC35" i="48"/>
  <c r="A36" i="48" l="1"/>
  <c r="A34" i="45"/>
  <c r="AE29" i="48"/>
  <c r="BD29" i="48"/>
  <c r="K29" i="48"/>
  <c r="S30" i="48"/>
  <c r="BN31" i="2"/>
  <c r="F32" i="2"/>
  <c r="K57" i="9"/>
  <c r="J45" i="9"/>
  <c r="J40" i="8"/>
  <c r="K56" i="9"/>
  <c r="J41" i="9"/>
  <c r="D52" i="6"/>
  <c r="D53" i="6" s="1"/>
  <c r="M8" i="6"/>
  <c r="M34" i="7"/>
  <c r="D41" i="37"/>
  <c r="E41" i="6"/>
  <c r="J44" i="6"/>
  <c r="J43" i="37"/>
  <c r="J56" i="37"/>
  <c r="E38" i="37"/>
  <c r="D38" i="4"/>
  <c r="D50" i="37"/>
  <c r="E50" i="6"/>
  <c r="E52" i="7"/>
  <c r="E53" i="7" s="1"/>
  <c r="D46" i="37"/>
  <c r="E46" i="6"/>
  <c r="E47" i="4"/>
  <c r="D47" i="43"/>
  <c r="E47" i="43" s="1"/>
  <c r="E42" i="6"/>
  <c r="D42" i="37"/>
  <c r="E48" i="37"/>
  <c r="D48" i="4"/>
  <c r="D40" i="4"/>
  <c r="E40" i="37"/>
  <c r="D44" i="43"/>
  <c r="E44" i="43" s="1"/>
  <c r="E44" i="4"/>
  <c r="E51" i="37"/>
  <c r="D51" i="4"/>
  <c r="A38" i="2" s="1"/>
  <c r="J39" i="7"/>
  <c r="J37" i="6"/>
  <c r="D49" i="43"/>
  <c r="E49" i="43" s="1"/>
  <c r="E49" i="4"/>
  <c r="M7" i="43"/>
  <c r="M35" i="48"/>
  <c r="AC36" i="48"/>
  <c r="Q37" i="48"/>
  <c r="A37" i="48" l="1"/>
  <c r="A35" i="45"/>
  <c r="BD30" i="48"/>
  <c r="K30" i="48"/>
  <c r="S31" i="48"/>
  <c r="AE30" i="48"/>
  <c r="K57" i="8"/>
  <c r="J41" i="8"/>
  <c r="J40" i="7"/>
  <c r="K56" i="8"/>
  <c r="J45" i="8"/>
  <c r="BN32" i="2"/>
  <c r="F33" i="2"/>
  <c r="M8" i="37"/>
  <c r="M34" i="6"/>
  <c r="E41" i="37"/>
  <c r="D41" i="4"/>
  <c r="J43" i="4"/>
  <c r="J44" i="37"/>
  <c r="J56" i="4"/>
  <c r="E38" i="4"/>
  <c r="D38" i="43"/>
  <c r="E38" i="43" s="1"/>
  <c r="D52" i="37"/>
  <c r="D53" i="37" s="1"/>
  <c r="E50" i="37"/>
  <c r="D50" i="4"/>
  <c r="E52" i="6"/>
  <c r="E53" i="6" s="1"/>
  <c r="D46" i="4"/>
  <c r="E46" i="37"/>
  <c r="D48" i="43"/>
  <c r="E48" i="43" s="1"/>
  <c r="E48" i="4"/>
  <c r="E42" i="37"/>
  <c r="D42" i="4"/>
  <c r="E40" i="4"/>
  <c r="D40" i="43"/>
  <c r="D51" i="43"/>
  <c r="E51" i="43" s="1"/>
  <c r="E51" i="4"/>
  <c r="A39" i="2" s="1"/>
  <c r="J39" i="6"/>
  <c r="J37" i="37"/>
  <c r="M36" i="48"/>
  <c r="AC37" i="48"/>
  <c r="Q38" i="48"/>
  <c r="A38" i="48" l="1"/>
  <c r="A36" i="45"/>
  <c r="AE31" i="48"/>
  <c r="K31" i="48"/>
  <c r="S32" i="48"/>
  <c r="BD31" i="48"/>
  <c r="K56" i="7"/>
  <c r="J41" i="7"/>
  <c r="J40" i="6"/>
  <c r="J45" i="7"/>
  <c r="K57" i="7"/>
  <c r="BN33" i="2"/>
  <c r="F34" i="2"/>
  <c r="M8" i="4"/>
  <c r="M34" i="37"/>
  <c r="D41" i="43"/>
  <c r="E41" i="43" s="1"/>
  <c r="E41" i="4"/>
  <c r="J56" i="43"/>
  <c r="J43" i="43"/>
  <c r="J44" i="4"/>
  <c r="D52" i="4"/>
  <c r="D53" i="4" s="1"/>
  <c r="E52" i="37"/>
  <c r="E53" i="37" s="1"/>
  <c r="E50" i="4"/>
  <c r="D50" i="43"/>
  <c r="E50" i="43" s="1"/>
  <c r="D46" i="43"/>
  <c r="E46" i="43" s="1"/>
  <c r="E46" i="4"/>
  <c r="D42" i="43"/>
  <c r="E42" i="43" s="1"/>
  <c r="E42" i="4"/>
  <c r="E40" i="43"/>
  <c r="A40" i="2" s="1"/>
  <c r="J37" i="4"/>
  <c r="J39" i="37"/>
  <c r="Q39" i="48"/>
  <c r="AC38" i="48"/>
  <c r="M37" i="48"/>
  <c r="A39" i="48" l="1"/>
  <c r="A38" i="45" s="1"/>
  <c r="A37" i="45"/>
  <c r="K32" i="48"/>
  <c r="S33" i="48"/>
  <c r="BD32" i="48"/>
  <c r="AE32" i="48"/>
  <c r="J41" i="6"/>
  <c r="K57" i="6"/>
  <c r="K56" i="6"/>
  <c r="J45" i="6"/>
  <c r="J40" i="37"/>
  <c r="BN34" i="2"/>
  <c r="F35" i="2"/>
  <c r="M8" i="43"/>
  <c r="M34" i="43" s="1"/>
  <c r="M34" i="4"/>
  <c r="J44" i="43"/>
  <c r="E52" i="43"/>
  <c r="E53" i="43" s="1"/>
  <c r="E52" i="4"/>
  <c r="E53" i="4" s="1"/>
  <c r="D52" i="43"/>
  <c r="J37" i="43"/>
  <c r="J39" i="43" s="1"/>
  <c r="J39" i="4"/>
  <c r="M38" i="48"/>
  <c r="AC39" i="48"/>
  <c r="K33" i="48" l="1"/>
  <c r="BD33" i="48"/>
  <c r="S34" i="48"/>
  <c r="AE33" i="48"/>
  <c r="D53" i="43"/>
  <c r="F36" i="2"/>
  <c r="BN35" i="2"/>
  <c r="K57" i="37"/>
  <c r="J40" i="4"/>
  <c r="K56" i="37"/>
  <c r="J41" i="37"/>
  <c r="J45" i="37"/>
  <c r="M39" i="48"/>
  <c r="BD34" i="48" l="1"/>
  <c r="AE34" i="48"/>
  <c r="S35" i="48"/>
  <c r="K34" i="48"/>
  <c r="K57" i="4"/>
  <c r="J41" i="4"/>
  <c r="J40" i="43"/>
  <c r="K56" i="4"/>
  <c r="J45" i="4"/>
  <c r="BN36" i="2"/>
  <c r="F37" i="2"/>
  <c r="AE35" i="48" l="1"/>
  <c r="S36" i="48"/>
  <c r="K35" i="48"/>
  <c r="BD35" i="48"/>
  <c r="BN37" i="2"/>
  <c r="F38" i="2"/>
  <c r="J45" i="43"/>
  <c r="J41" i="43"/>
  <c r="K56" i="43"/>
  <c r="K57" i="43"/>
  <c r="I49" i="27"/>
  <c r="S37" i="48" l="1"/>
  <c r="K36" i="48"/>
  <c r="BD36" i="48"/>
  <c r="AE36" i="48"/>
  <c r="BN38" i="2"/>
  <c r="F39" i="2"/>
  <c r="I50" i="27"/>
  <c r="I51" i="27"/>
  <c r="J49" i="27"/>
  <c r="X14" i="48"/>
  <c r="V14" i="48"/>
  <c r="U14" i="48"/>
  <c r="S38" i="48" l="1"/>
  <c r="K37" i="48"/>
  <c r="BD37" i="48"/>
  <c r="AE37" i="48"/>
  <c r="BN39" i="2"/>
  <c r="F40" i="2"/>
  <c r="BN40" i="2" s="1"/>
  <c r="J50" i="27"/>
  <c r="J49" i="28"/>
  <c r="J51" i="27"/>
  <c r="Y14" i="48"/>
  <c r="W14" i="48"/>
  <c r="U15" i="48"/>
  <c r="K38" i="48" l="1"/>
  <c r="AE38" i="48"/>
  <c r="BD38" i="48"/>
  <c r="S39" i="48"/>
  <c r="J50" i="28"/>
  <c r="J51" i="28"/>
  <c r="Y15" i="48"/>
  <c r="W15" i="48"/>
  <c r="K39" i="48" l="1"/>
  <c r="AE39" i="48"/>
  <c r="BD39" i="48"/>
  <c r="I49" i="26"/>
  <c r="I50" i="26" l="1"/>
  <c r="I51" i="26"/>
  <c r="J49" i="26"/>
  <c r="X16" i="48"/>
  <c r="V16" i="48"/>
  <c r="U16" i="48"/>
  <c r="J50" i="26" l="1"/>
  <c r="J51" i="26"/>
  <c r="Y16" i="48"/>
  <c r="W16" i="48"/>
  <c r="I49" i="24" l="1"/>
  <c r="I49" i="25"/>
  <c r="I50" i="25" l="1"/>
  <c r="I51" i="25"/>
  <c r="J49" i="25"/>
  <c r="J49" i="24" s="1"/>
  <c r="I50" i="24"/>
  <c r="I51" i="24"/>
  <c r="X18" i="48"/>
  <c r="V18" i="48"/>
  <c r="X17" i="48"/>
  <c r="V17" i="48"/>
  <c r="U17" i="48"/>
  <c r="J50" i="25" l="1"/>
  <c r="J51" i="25"/>
  <c r="J50" i="24"/>
  <c r="J51" i="24"/>
  <c r="W17" i="48"/>
  <c r="U18" i="48"/>
  <c r="Y17" i="48"/>
  <c r="W18" i="48" l="1"/>
  <c r="Y18" i="48"/>
  <c r="I49" i="23" l="1"/>
  <c r="I50" i="23" l="1"/>
  <c r="I51" i="23"/>
  <c r="J49" i="23"/>
  <c r="X19" i="48"/>
  <c r="V19" i="48"/>
  <c r="U19" i="48"/>
  <c r="J50" i="23" l="1"/>
  <c r="J51" i="23"/>
  <c r="W19" i="48"/>
  <c r="Y19" i="48"/>
  <c r="I49" i="21" l="1"/>
  <c r="I50" i="21" l="1"/>
  <c r="I51" i="21"/>
  <c r="J49" i="21"/>
  <c r="X20" i="48"/>
  <c r="V20" i="48"/>
  <c r="U20" i="48"/>
  <c r="J49" i="22" l="1"/>
  <c r="J50" i="21"/>
  <c r="J51" i="21"/>
  <c r="W20" i="48"/>
  <c r="Y20" i="48"/>
  <c r="U21" i="48"/>
  <c r="J50" i="22" l="1"/>
  <c r="J51" i="22"/>
  <c r="W21" i="48"/>
  <c r="Y21" i="48"/>
  <c r="I49" i="20" l="1"/>
  <c r="I50" i="20" l="1"/>
  <c r="I51" i="20"/>
  <c r="J49" i="20"/>
  <c r="X22" i="48"/>
  <c r="V22" i="48"/>
  <c r="U22" i="48"/>
  <c r="J50" i="20" l="1"/>
  <c r="J51" i="20"/>
  <c r="W22" i="48"/>
  <c r="Y22" i="48"/>
  <c r="I49" i="19" l="1"/>
  <c r="I50" i="19" l="1"/>
  <c r="I51" i="19"/>
  <c r="J49" i="19"/>
  <c r="X23" i="48"/>
  <c r="V23" i="48"/>
  <c r="U23" i="48"/>
  <c r="J50" i="19" l="1"/>
  <c r="J49" i="18"/>
  <c r="J51" i="19"/>
  <c r="W23" i="48"/>
  <c r="Y23" i="48"/>
  <c r="U24" i="48"/>
  <c r="J49" i="17" l="1"/>
  <c r="J50" i="18"/>
  <c r="J51" i="18"/>
  <c r="U25" i="48"/>
  <c r="W24" i="48"/>
  <c r="Y24" i="48"/>
  <c r="J50" i="17" l="1"/>
  <c r="J51" i="17"/>
  <c r="W25" i="48"/>
  <c r="Y25" i="48"/>
  <c r="I49" i="16" l="1"/>
  <c r="I50" i="16" l="1"/>
  <c r="I51" i="16"/>
  <c r="J49" i="16"/>
  <c r="V26" i="48"/>
  <c r="X26" i="48"/>
  <c r="U26" i="48"/>
  <c r="J50" i="16" l="1"/>
  <c r="J51" i="16"/>
  <c r="W26" i="48"/>
  <c r="Y26" i="48"/>
  <c r="I49" i="15" l="1"/>
  <c r="I50" i="15" l="1"/>
  <c r="I51" i="15"/>
  <c r="J49" i="15"/>
  <c r="V27" i="48"/>
  <c r="X27" i="48"/>
  <c r="U27" i="48"/>
  <c r="J50" i="15" l="1"/>
  <c r="J51" i="15"/>
  <c r="W27" i="48"/>
  <c r="Y27" i="48"/>
  <c r="I49" i="14" l="1"/>
  <c r="I50" i="14" l="1"/>
  <c r="I51" i="14"/>
  <c r="J49" i="14"/>
  <c r="X28" i="48"/>
  <c r="V28" i="48"/>
  <c r="U28" i="48"/>
  <c r="J50" i="14" l="1"/>
  <c r="J51" i="14"/>
  <c r="Y28" i="48"/>
  <c r="W28" i="48"/>
  <c r="I49" i="13" l="1"/>
  <c r="I50" i="13" l="1"/>
  <c r="I51" i="13"/>
  <c r="J49" i="13"/>
  <c r="V29" i="48"/>
  <c r="X29" i="48"/>
  <c r="U29" i="48"/>
  <c r="J50" i="13" l="1"/>
  <c r="J51" i="13"/>
  <c r="W29" i="48"/>
  <c r="Y29" i="48"/>
  <c r="I49" i="12" l="1"/>
  <c r="I50" i="12" l="1"/>
  <c r="I51" i="12"/>
  <c r="J49" i="12"/>
  <c r="V30" i="48"/>
  <c r="X30" i="48"/>
  <c r="U30" i="48"/>
  <c r="J50" i="12" l="1"/>
  <c r="J51" i="12"/>
  <c r="W30" i="48"/>
  <c r="Y30" i="48"/>
  <c r="I49" i="10" l="1"/>
  <c r="I50" i="10" l="1"/>
  <c r="I51" i="10"/>
  <c r="V32" i="48"/>
  <c r="X32" i="48"/>
  <c r="I49" i="11"/>
  <c r="I50" i="11" l="1"/>
  <c r="I51" i="11"/>
  <c r="J49" i="11"/>
  <c r="X31" i="48"/>
  <c r="V31" i="48"/>
  <c r="U31" i="48"/>
  <c r="J50" i="11" l="1"/>
  <c r="J51" i="11"/>
  <c r="J49" i="10"/>
  <c r="W31" i="48"/>
  <c r="U32" i="48"/>
  <c r="Y31" i="48"/>
  <c r="J50" i="10" l="1"/>
  <c r="J51" i="10"/>
  <c r="W32" i="48"/>
  <c r="Y32" i="48"/>
  <c r="I49" i="9" l="1"/>
  <c r="I50" i="9" l="1"/>
  <c r="I51" i="9"/>
  <c r="J49" i="9"/>
  <c r="V33" i="48"/>
  <c r="X33" i="48"/>
  <c r="T41" i="48"/>
  <c r="U33" i="48"/>
  <c r="J49" i="8" l="1"/>
  <c r="J50" i="9"/>
  <c r="J51" i="9"/>
  <c r="U34" i="48"/>
  <c r="Y33" i="48"/>
  <c r="W33" i="48"/>
  <c r="X41" i="48"/>
  <c r="V41" i="48"/>
  <c r="J50" i="8" l="1"/>
  <c r="J49" i="7"/>
  <c r="J51" i="8"/>
  <c r="W34" i="48"/>
  <c r="Y34" i="48"/>
  <c r="U35" i="48"/>
  <c r="J50" i="7" l="1"/>
  <c r="J49" i="6"/>
  <c r="J51" i="7"/>
  <c r="Y35" i="48"/>
  <c r="U36" i="48"/>
  <c r="W35" i="48"/>
  <c r="J49" i="37" l="1"/>
  <c r="J50" i="6"/>
  <c r="J51" i="6"/>
  <c r="U37" i="48"/>
  <c r="Y36" i="48"/>
  <c r="W36" i="48"/>
  <c r="J49" i="4" l="1"/>
  <c r="J50" i="37"/>
  <c r="J51" i="37"/>
  <c r="U38" i="48"/>
  <c r="Y37" i="48"/>
  <c r="W37" i="48"/>
  <c r="J49" i="43" l="1"/>
  <c r="J50" i="4"/>
  <c r="J51" i="4"/>
  <c r="U39" i="48"/>
  <c r="Y38" i="48"/>
  <c r="W38" i="48"/>
  <c r="J50" i="43" l="1"/>
  <c r="J51" i="43"/>
  <c r="W39" i="48"/>
  <c r="Y39" i="48"/>
  <c r="I38" i="45" l="1"/>
  <c r="M38" i="45"/>
  <c r="N38" i="45" l="1"/>
  <c r="O38" i="45"/>
  <c r="E38" i="45"/>
  <c r="J38" i="45"/>
  <c r="K38" i="45"/>
  <c r="P38" i="45" l="1"/>
  <c r="F38" i="45"/>
  <c r="G38" i="45"/>
  <c r="I46" i="43" l="1"/>
  <c r="Q38" i="45"/>
  <c r="R38" i="45"/>
  <c r="I47" i="43" l="1"/>
  <c r="AF39" i="48"/>
  <c r="I48" i="43"/>
  <c r="AH39" i="48" l="1"/>
  <c r="AJ39" i="48"/>
  <c r="M37" i="45" l="1"/>
  <c r="I37" i="45"/>
  <c r="E37" i="45"/>
  <c r="I36" i="45"/>
  <c r="I35" i="45"/>
  <c r="E35" i="45"/>
  <c r="I34" i="45"/>
  <c r="I33" i="45"/>
  <c r="E33" i="45"/>
  <c r="I32" i="45"/>
  <c r="E32" i="45"/>
  <c r="I31" i="45"/>
  <c r="E31" i="45"/>
  <c r="I30" i="45"/>
  <c r="E30" i="45"/>
  <c r="I29" i="45"/>
  <c r="I28" i="45"/>
  <c r="E28" i="45"/>
  <c r="E27" i="45"/>
  <c r="I26" i="45"/>
  <c r="I25" i="45"/>
  <c r="E25" i="45"/>
  <c r="I24" i="45"/>
  <c r="E24" i="45"/>
  <c r="I23" i="45"/>
  <c r="E23" i="45"/>
  <c r="I22" i="45"/>
  <c r="M21" i="45"/>
  <c r="I21" i="45"/>
  <c r="E21" i="45"/>
  <c r="M20" i="45"/>
  <c r="I20" i="45"/>
  <c r="E20" i="45"/>
  <c r="I19" i="45"/>
  <c r="I18" i="45"/>
  <c r="E18" i="45"/>
  <c r="I17" i="45"/>
  <c r="E17" i="45"/>
  <c r="I16" i="45"/>
  <c r="E16" i="45"/>
  <c r="I15" i="45"/>
  <c r="I14" i="45"/>
  <c r="E14" i="45"/>
  <c r="M13" i="45"/>
  <c r="I13" i="45"/>
  <c r="E13" i="45"/>
  <c r="M12" i="45"/>
  <c r="I12" i="45"/>
  <c r="E12" i="45"/>
  <c r="M11" i="45"/>
  <c r="I11" i="45"/>
  <c r="E11" i="45"/>
  <c r="I10" i="45"/>
  <c r="E10" i="45"/>
  <c r="I9" i="45"/>
  <c r="E9" i="45"/>
  <c r="P13" i="45" l="1"/>
  <c r="F13" i="45"/>
  <c r="G13" i="45"/>
  <c r="J17" i="45"/>
  <c r="K17" i="45"/>
  <c r="N20" i="45"/>
  <c r="O20" i="45"/>
  <c r="J29" i="45"/>
  <c r="K29" i="45"/>
  <c r="N37" i="45"/>
  <c r="O37" i="45"/>
  <c r="P12" i="45"/>
  <c r="F12" i="45"/>
  <c r="G12" i="45"/>
  <c r="J13" i="45"/>
  <c r="K13" i="45"/>
  <c r="F16" i="45"/>
  <c r="G16" i="45"/>
  <c r="F23" i="45"/>
  <c r="G23" i="45"/>
  <c r="J26" i="45"/>
  <c r="K26" i="45"/>
  <c r="F31" i="45"/>
  <c r="G31" i="45"/>
  <c r="J34" i="45"/>
  <c r="K34" i="45"/>
  <c r="P11" i="45"/>
  <c r="F11" i="45"/>
  <c r="G11" i="45"/>
  <c r="J12" i="45"/>
  <c r="K12" i="45"/>
  <c r="N13" i="45"/>
  <c r="O13" i="45"/>
  <c r="J16" i="45"/>
  <c r="K16" i="45"/>
  <c r="J19" i="45"/>
  <c r="K19" i="45"/>
  <c r="J23" i="45"/>
  <c r="K23" i="45"/>
  <c r="F28" i="45"/>
  <c r="G28" i="45"/>
  <c r="J31" i="45"/>
  <c r="K31" i="45"/>
  <c r="F25" i="45"/>
  <c r="G25" i="45"/>
  <c r="J28" i="45"/>
  <c r="K28" i="45"/>
  <c r="F33" i="45"/>
  <c r="G33" i="45"/>
  <c r="J9" i="45"/>
  <c r="K9" i="45"/>
  <c r="J10" i="45"/>
  <c r="K10" i="45"/>
  <c r="N11" i="45"/>
  <c r="O11" i="45"/>
  <c r="J15" i="45"/>
  <c r="K15" i="45"/>
  <c r="F18" i="45"/>
  <c r="G18" i="45"/>
  <c r="P21" i="45"/>
  <c r="F21" i="45"/>
  <c r="G21" i="45"/>
  <c r="J22" i="45"/>
  <c r="K22" i="45"/>
  <c r="J25" i="45"/>
  <c r="K25" i="45"/>
  <c r="F30" i="45"/>
  <c r="G30" i="45"/>
  <c r="J33" i="45"/>
  <c r="K33" i="45"/>
  <c r="J36" i="45"/>
  <c r="K36" i="45"/>
  <c r="F10" i="45"/>
  <c r="G10" i="45"/>
  <c r="J18" i="45"/>
  <c r="K18" i="45"/>
  <c r="J21" i="45"/>
  <c r="K21" i="45"/>
  <c r="F27" i="45"/>
  <c r="G27" i="45"/>
  <c r="J30" i="45"/>
  <c r="K30" i="45"/>
  <c r="F9" i="45"/>
  <c r="G9" i="45"/>
  <c r="F14" i="45"/>
  <c r="G14" i="45"/>
  <c r="P20" i="45"/>
  <c r="F20" i="45"/>
  <c r="G20" i="45"/>
  <c r="N21" i="45"/>
  <c r="O21" i="45"/>
  <c r="F24" i="45"/>
  <c r="G24" i="45"/>
  <c r="F32" i="45"/>
  <c r="G32" i="45"/>
  <c r="F35" i="45"/>
  <c r="G35" i="45"/>
  <c r="P37" i="45"/>
  <c r="F37" i="45"/>
  <c r="G37" i="45"/>
  <c r="J11" i="45"/>
  <c r="K11" i="45"/>
  <c r="N12" i="45"/>
  <c r="O12" i="45"/>
  <c r="J14" i="45"/>
  <c r="K14" i="45"/>
  <c r="F17" i="45"/>
  <c r="G17" i="45"/>
  <c r="J20" i="45"/>
  <c r="K20" i="45"/>
  <c r="J24" i="45"/>
  <c r="K24" i="45"/>
  <c r="J32" i="45"/>
  <c r="K32" i="45"/>
  <c r="J35" i="45"/>
  <c r="K35" i="45"/>
  <c r="J37" i="45"/>
  <c r="K37" i="45"/>
  <c r="E19" i="45"/>
  <c r="E22" i="45"/>
  <c r="E15" i="45"/>
  <c r="E26" i="45"/>
  <c r="E8" i="45"/>
  <c r="I8" i="45"/>
  <c r="M26" i="45"/>
  <c r="M36" i="45"/>
  <c r="M29" i="45"/>
  <c r="M34" i="45"/>
  <c r="M22" i="45"/>
  <c r="E36" i="45"/>
  <c r="M15" i="45"/>
  <c r="M19" i="45"/>
  <c r="I27" i="45"/>
  <c r="E34" i="45"/>
  <c r="M27" i="45"/>
  <c r="E29" i="45"/>
  <c r="P27" i="45" l="1"/>
  <c r="Q27" i="45" s="1"/>
  <c r="N36" i="45"/>
  <c r="O36" i="45"/>
  <c r="M31" i="45"/>
  <c r="M23" i="45"/>
  <c r="N27" i="45"/>
  <c r="O27" i="45"/>
  <c r="N19" i="45"/>
  <c r="O19" i="45"/>
  <c r="P36" i="45"/>
  <c r="F36" i="45"/>
  <c r="G36" i="45"/>
  <c r="M14" i="45"/>
  <c r="N26" i="45"/>
  <c r="O26" i="45"/>
  <c r="P15" i="45"/>
  <c r="F15" i="45"/>
  <c r="G15" i="45"/>
  <c r="M9" i="45"/>
  <c r="I46" i="30"/>
  <c r="Q11" i="45"/>
  <c r="R11" i="45"/>
  <c r="M33" i="45"/>
  <c r="I40" i="45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J8" i="45"/>
  <c r="D39" i="2" s="1"/>
  <c r="D42" i="2" s="1"/>
  <c r="K8" i="45"/>
  <c r="P22" i="45"/>
  <c r="F22" i="45"/>
  <c r="G22" i="45"/>
  <c r="M35" i="45"/>
  <c r="I46" i="29"/>
  <c r="Q12" i="45"/>
  <c r="R12" i="45"/>
  <c r="P29" i="45"/>
  <c r="F29" i="45"/>
  <c r="G29" i="45"/>
  <c r="P34" i="45"/>
  <c r="F34" i="45"/>
  <c r="G34" i="45"/>
  <c r="N15" i="45"/>
  <c r="O15" i="45"/>
  <c r="M30" i="45"/>
  <c r="E40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F8" i="45"/>
  <c r="G8" i="45"/>
  <c r="P26" i="45"/>
  <c r="F26" i="45"/>
  <c r="G26" i="45"/>
  <c r="I46" i="22"/>
  <c r="Q20" i="45"/>
  <c r="R20" i="45"/>
  <c r="I46" i="20"/>
  <c r="Q21" i="45"/>
  <c r="R21" i="45"/>
  <c r="J27" i="45"/>
  <c r="K27" i="45"/>
  <c r="M24" i="45"/>
  <c r="N22" i="45"/>
  <c r="O22" i="45"/>
  <c r="N34" i="45"/>
  <c r="O34" i="45"/>
  <c r="M25" i="45"/>
  <c r="M18" i="45"/>
  <c r="N29" i="45"/>
  <c r="O29" i="45"/>
  <c r="P19" i="45"/>
  <c r="F19" i="45"/>
  <c r="G19" i="45"/>
  <c r="I46" i="4"/>
  <c r="Q37" i="45"/>
  <c r="R37" i="45"/>
  <c r="I46" i="27"/>
  <c r="Q13" i="45"/>
  <c r="R13" i="45"/>
  <c r="I46" i="14" l="1"/>
  <c r="AF28" i="48" s="1"/>
  <c r="R27" i="45"/>
  <c r="I47" i="20"/>
  <c r="AF22" i="48"/>
  <c r="I48" i="20"/>
  <c r="I47" i="29"/>
  <c r="AF13" i="48"/>
  <c r="I48" i="29"/>
  <c r="I47" i="27"/>
  <c r="AF14" i="48"/>
  <c r="I48" i="27"/>
  <c r="N35" i="45"/>
  <c r="O35" i="45"/>
  <c r="P35" i="45"/>
  <c r="J40" i="45"/>
  <c r="K40" i="45"/>
  <c r="N31" i="45"/>
  <c r="O31" i="45"/>
  <c r="P31" i="45"/>
  <c r="M32" i="45"/>
  <c r="N18" i="45"/>
  <c r="O18" i="45"/>
  <c r="P18" i="45"/>
  <c r="N24" i="45"/>
  <c r="O24" i="45"/>
  <c r="P24" i="45"/>
  <c r="I46" i="7"/>
  <c r="Q34" i="45"/>
  <c r="R34" i="45"/>
  <c r="N33" i="45"/>
  <c r="O33" i="45"/>
  <c r="P33" i="45"/>
  <c r="I46" i="37"/>
  <c r="Q36" i="45"/>
  <c r="R36" i="45"/>
  <c r="M16" i="45"/>
  <c r="AF21" i="48"/>
  <c r="I47" i="22"/>
  <c r="I48" i="22"/>
  <c r="F40" i="45"/>
  <c r="G40" i="45"/>
  <c r="I46" i="26"/>
  <c r="Q15" i="45"/>
  <c r="R15" i="45"/>
  <c r="I47" i="4"/>
  <c r="AF38" i="48"/>
  <c r="I48" i="4"/>
  <c r="N25" i="45"/>
  <c r="O25" i="45"/>
  <c r="P25" i="45"/>
  <c r="N30" i="45"/>
  <c r="O30" i="45"/>
  <c r="P30" i="45"/>
  <c r="M10" i="45"/>
  <c r="I46" i="12"/>
  <c r="Q29" i="45"/>
  <c r="R29" i="45"/>
  <c r="I46" i="19"/>
  <c r="Q22" i="45"/>
  <c r="R22" i="45"/>
  <c r="M17" i="45"/>
  <c r="M8" i="45"/>
  <c r="I46" i="15"/>
  <c r="Q26" i="45"/>
  <c r="R26" i="45"/>
  <c r="I47" i="30"/>
  <c r="AF12" i="48"/>
  <c r="I48" i="30"/>
  <c r="N14" i="45"/>
  <c r="O14" i="45"/>
  <c r="P14" i="45"/>
  <c r="M28" i="45"/>
  <c r="I46" i="21"/>
  <c r="Q19" i="45"/>
  <c r="R19" i="45"/>
  <c r="N9" i="45"/>
  <c r="O9" i="45"/>
  <c r="P9" i="45"/>
  <c r="N23" i="45"/>
  <c r="O23" i="45"/>
  <c r="P23" i="45"/>
  <c r="I47" i="14" l="1"/>
  <c r="I48" i="14"/>
  <c r="I46" i="32"/>
  <c r="Q9" i="45"/>
  <c r="R9" i="45"/>
  <c r="I46" i="28"/>
  <c r="Q14" i="45"/>
  <c r="R14" i="45"/>
  <c r="I47" i="19"/>
  <c r="AF23" i="48"/>
  <c r="I48" i="19"/>
  <c r="I46" i="23"/>
  <c r="Q18" i="45"/>
  <c r="R18" i="45"/>
  <c r="I47" i="15"/>
  <c r="AF27" i="48"/>
  <c r="I48" i="15"/>
  <c r="I46" i="16"/>
  <c r="Q25" i="45"/>
  <c r="R25" i="45"/>
  <c r="AH21" i="48"/>
  <c r="AJ21" i="48"/>
  <c r="M40" i="45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N8" i="45"/>
  <c r="O8" i="45"/>
  <c r="P8" i="45"/>
  <c r="AF16" i="48"/>
  <c r="I47" i="26"/>
  <c r="I48" i="26"/>
  <c r="N16" i="45"/>
  <c r="O16" i="45"/>
  <c r="P16" i="45"/>
  <c r="I46" i="6"/>
  <c r="Q35" i="45"/>
  <c r="R35" i="45"/>
  <c r="AH13" i="48"/>
  <c r="AJ13" i="48"/>
  <c r="AH28" i="48"/>
  <c r="AJ28" i="48"/>
  <c r="AF30" i="48"/>
  <c r="I47" i="12"/>
  <c r="I48" i="12"/>
  <c r="N32" i="45"/>
  <c r="O32" i="45"/>
  <c r="P32" i="45"/>
  <c r="N17" i="45"/>
  <c r="O17" i="45"/>
  <c r="P17" i="45"/>
  <c r="N10" i="45"/>
  <c r="O10" i="45"/>
  <c r="P10" i="45"/>
  <c r="I47" i="7"/>
  <c r="AF35" i="48"/>
  <c r="I48" i="7"/>
  <c r="I46" i="18"/>
  <c r="Q23" i="45"/>
  <c r="R23" i="45"/>
  <c r="I47" i="21"/>
  <c r="AF20" i="48"/>
  <c r="I48" i="21"/>
  <c r="AH12" i="48"/>
  <c r="AJ12" i="48"/>
  <c r="I46" i="17"/>
  <c r="Q24" i="45"/>
  <c r="R24" i="45"/>
  <c r="I46" i="10"/>
  <c r="Q31" i="45"/>
  <c r="R31" i="45"/>
  <c r="N28" i="45"/>
  <c r="O28" i="45"/>
  <c r="P28" i="45"/>
  <c r="I46" i="11"/>
  <c r="Q30" i="45"/>
  <c r="R30" i="45"/>
  <c r="AH38" i="48"/>
  <c r="AJ38" i="48"/>
  <c r="I47" i="37"/>
  <c r="AF37" i="48"/>
  <c r="I48" i="37"/>
  <c r="AH22" i="48"/>
  <c r="AJ22" i="48"/>
  <c r="I46" i="8"/>
  <c r="Q33" i="45"/>
  <c r="R33" i="45"/>
  <c r="AH14" i="48"/>
  <c r="AJ14" i="48"/>
  <c r="AH23" i="48" l="1"/>
  <c r="AJ23" i="48"/>
  <c r="AF34" i="48"/>
  <c r="I47" i="8"/>
  <c r="I48" i="8"/>
  <c r="AF32" i="48"/>
  <c r="I48" i="10"/>
  <c r="I47" i="10"/>
  <c r="AH20" i="48"/>
  <c r="AJ20" i="48"/>
  <c r="N40" i="45"/>
  <c r="O40" i="45"/>
  <c r="P40" i="45"/>
  <c r="AH27" i="48"/>
  <c r="AJ27" i="48"/>
  <c r="I46" i="31"/>
  <c r="Q10" i="45"/>
  <c r="R10" i="45"/>
  <c r="AH35" i="48"/>
  <c r="AJ35" i="48"/>
  <c r="AF31" i="48"/>
  <c r="I47" i="11"/>
  <c r="I48" i="11"/>
  <c r="I46" i="13"/>
  <c r="Q28" i="45"/>
  <c r="R28" i="45"/>
  <c r="I47" i="17"/>
  <c r="AF25" i="48"/>
  <c r="I48" i="17"/>
  <c r="AH16" i="48"/>
  <c r="AJ16" i="48"/>
  <c r="AF15" i="48"/>
  <c r="I47" i="28"/>
  <c r="I48" i="28"/>
  <c r="I46" i="9"/>
  <c r="Q32" i="45"/>
  <c r="R32" i="45"/>
  <c r="AH37" i="48"/>
  <c r="AJ37" i="48"/>
  <c r="AF24" i="48"/>
  <c r="I47" i="18"/>
  <c r="I48" i="18"/>
  <c r="I46" i="24"/>
  <c r="Q17" i="45"/>
  <c r="R17" i="45"/>
  <c r="AF36" i="48"/>
  <c r="I47" i="6"/>
  <c r="I48" i="6"/>
  <c r="I46" i="33"/>
  <c r="Q8" i="45"/>
  <c r="R8" i="45"/>
  <c r="AF19" i="48"/>
  <c r="I47" i="23"/>
  <c r="I48" i="23"/>
  <c r="AH30" i="48"/>
  <c r="AJ30" i="48"/>
  <c r="I46" i="25"/>
  <c r="Q16" i="45"/>
  <c r="R16" i="45"/>
  <c r="I47" i="16"/>
  <c r="AF26" i="48"/>
  <c r="I48" i="16"/>
  <c r="I47" i="32"/>
  <c r="AF10" i="48"/>
  <c r="I48" i="32"/>
  <c r="AF33" i="48" l="1"/>
  <c r="I47" i="9"/>
  <c r="I48" i="9"/>
  <c r="AH25" i="48"/>
  <c r="AJ25" i="48"/>
  <c r="AH31" i="48"/>
  <c r="AJ31" i="48"/>
  <c r="Q40" i="45"/>
  <c r="R40" i="45"/>
  <c r="AJ32" i="48"/>
  <c r="AH32" i="48"/>
  <c r="AH24" i="48"/>
  <c r="AJ24" i="48"/>
  <c r="AH36" i="48"/>
  <c r="AJ36" i="48"/>
  <c r="AH15" i="48"/>
  <c r="AJ15" i="48"/>
  <c r="AH10" i="48"/>
  <c r="AJ10" i="48"/>
  <c r="AH19" i="48"/>
  <c r="AJ19" i="48"/>
  <c r="AF29" i="48"/>
  <c r="I47" i="13"/>
  <c r="I48" i="13"/>
  <c r="AH34" i="48"/>
  <c r="AJ34" i="48"/>
  <c r="AF11" i="48"/>
  <c r="I47" i="31"/>
  <c r="I48" i="31"/>
  <c r="J46" i="33"/>
  <c r="AF9" i="48"/>
  <c r="I47" i="33"/>
  <c r="I48" i="33"/>
  <c r="AH26" i="48"/>
  <c r="AJ26" i="48"/>
  <c r="AF17" i="48"/>
  <c r="I47" i="25"/>
  <c r="I48" i="25"/>
  <c r="AF18" i="48"/>
  <c r="I47" i="24"/>
  <c r="I48" i="24"/>
  <c r="AH29" i="48" l="1"/>
  <c r="AJ29" i="48"/>
  <c r="AH11" i="48"/>
  <c r="AJ11" i="48"/>
  <c r="AH18" i="48"/>
  <c r="AJ18" i="48"/>
  <c r="AH17" i="48"/>
  <c r="AJ17" i="48"/>
  <c r="J47" i="33"/>
  <c r="J48" i="33"/>
  <c r="J46" i="32"/>
  <c r="AG9" i="48"/>
  <c r="AF41" i="48"/>
  <c r="AJ9" i="48"/>
  <c r="AH9" i="48"/>
  <c r="AH33" i="48"/>
  <c r="AJ33" i="48"/>
  <c r="AH41" i="48" l="1"/>
  <c r="AJ41" i="48"/>
  <c r="AK9" i="48"/>
  <c r="AI9" i="48"/>
  <c r="AG10" i="48"/>
  <c r="J47" i="32"/>
  <c r="J48" i="32"/>
  <c r="J46" i="31"/>
  <c r="J47" i="31" l="1"/>
  <c r="J48" i="31"/>
  <c r="J46" i="30"/>
  <c r="AG11" i="48"/>
  <c r="AI10" i="48"/>
  <c r="AK10" i="48"/>
  <c r="AG12" i="48" l="1"/>
  <c r="AI11" i="48"/>
  <c r="AK11" i="48"/>
  <c r="J46" i="29"/>
  <c r="J47" i="30"/>
  <c r="J48" i="30"/>
  <c r="J47" i="29" l="1"/>
  <c r="J48" i="29"/>
  <c r="J46" i="27"/>
  <c r="AG13" i="48"/>
  <c r="AI12" i="48"/>
  <c r="AK12" i="48"/>
  <c r="AG14" i="48" l="1"/>
  <c r="AI13" i="48"/>
  <c r="AK13" i="48"/>
  <c r="J47" i="27"/>
  <c r="J48" i="27"/>
  <c r="J46" i="28"/>
  <c r="J47" i="28" l="1"/>
  <c r="J48" i="28"/>
  <c r="J46" i="26"/>
  <c r="AG15" i="48"/>
  <c r="AI14" i="48"/>
  <c r="AK14" i="48"/>
  <c r="AG16" i="48" l="1"/>
  <c r="AI15" i="48"/>
  <c r="AK15" i="48"/>
  <c r="J47" i="26"/>
  <c r="J48" i="26"/>
  <c r="J46" i="25"/>
  <c r="J46" i="24" l="1"/>
  <c r="J47" i="25"/>
  <c r="J48" i="25"/>
  <c r="AG17" i="48"/>
  <c r="AI16" i="48"/>
  <c r="AK16" i="48"/>
  <c r="AG18" i="48" l="1"/>
  <c r="AI17" i="48"/>
  <c r="AK17" i="48"/>
  <c r="J47" i="24"/>
  <c r="J48" i="24"/>
  <c r="J46" i="23"/>
  <c r="J47" i="23" l="1"/>
  <c r="J48" i="23"/>
  <c r="J46" i="21"/>
  <c r="AG19" i="48"/>
  <c r="AI18" i="48"/>
  <c r="AK18" i="48"/>
  <c r="AG20" i="48" l="1"/>
  <c r="AI19" i="48"/>
  <c r="AK19" i="48"/>
  <c r="J47" i="21"/>
  <c r="J48" i="21"/>
  <c r="J46" i="22"/>
  <c r="J47" i="22" l="1"/>
  <c r="J48" i="22"/>
  <c r="J46" i="20"/>
  <c r="AG21" i="48"/>
  <c r="AI20" i="48"/>
  <c r="AK20" i="48"/>
  <c r="AG22" i="48" l="1"/>
  <c r="AI21" i="48"/>
  <c r="AK21" i="48"/>
  <c r="J47" i="20"/>
  <c r="J48" i="20"/>
  <c r="J46" i="19"/>
  <c r="J47" i="19" l="1"/>
  <c r="J48" i="19"/>
  <c r="J46" i="18"/>
  <c r="AG23" i="48"/>
  <c r="AI22" i="48"/>
  <c r="AK22" i="48"/>
  <c r="AG24" i="48" l="1"/>
  <c r="AI23" i="48"/>
  <c r="AK23" i="48"/>
  <c r="J47" i="18"/>
  <c r="J48" i="18"/>
  <c r="J46" i="17"/>
  <c r="J46" i="16" l="1"/>
  <c r="J47" i="17"/>
  <c r="J48" i="17"/>
  <c r="AG25" i="48"/>
  <c r="AI24" i="48"/>
  <c r="AK24" i="48"/>
  <c r="AG26" i="48" l="1"/>
  <c r="AI25" i="48"/>
  <c r="AK25" i="48"/>
  <c r="J47" i="16"/>
  <c r="J48" i="16"/>
  <c r="J46" i="15"/>
  <c r="J47" i="15" l="1"/>
  <c r="J48" i="15"/>
  <c r="J46" i="14"/>
  <c r="AG27" i="48"/>
  <c r="AI26" i="48"/>
  <c r="AK26" i="48"/>
  <c r="AG28" i="48" l="1"/>
  <c r="AI27" i="48"/>
  <c r="AK27" i="48"/>
  <c r="J47" i="14"/>
  <c r="J48" i="14"/>
  <c r="J46" i="13"/>
  <c r="J47" i="13" l="1"/>
  <c r="J48" i="13"/>
  <c r="J46" i="12"/>
  <c r="AG29" i="48"/>
  <c r="AI28" i="48"/>
  <c r="AK28" i="48"/>
  <c r="AG30" i="48" l="1"/>
  <c r="AI29" i="48"/>
  <c r="AK29" i="48"/>
  <c r="J47" i="12"/>
  <c r="J48" i="12"/>
  <c r="J46" i="11"/>
  <c r="J47" i="11" l="1"/>
  <c r="J48" i="11"/>
  <c r="J46" i="10"/>
  <c r="AG31" i="48"/>
  <c r="AI30" i="48"/>
  <c r="AK30" i="48"/>
  <c r="J47" i="10" l="1"/>
  <c r="J48" i="10"/>
  <c r="J46" i="9"/>
  <c r="AG32" i="48"/>
  <c r="AI31" i="48"/>
  <c r="AK31" i="48"/>
  <c r="AG33" i="48" l="1"/>
  <c r="AI32" i="48"/>
  <c r="AK32" i="48"/>
  <c r="J47" i="9"/>
  <c r="J48" i="9"/>
  <c r="J46" i="8"/>
  <c r="J47" i="8" l="1"/>
  <c r="J48" i="8"/>
  <c r="J46" i="7"/>
  <c r="AG34" i="48"/>
  <c r="AI33" i="48"/>
  <c r="AK33" i="48"/>
  <c r="AG35" i="48" l="1"/>
  <c r="AI34" i="48"/>
  <c r="AK34" i="48"/>
  <c r="J47" i="7"/>
  <c r="J48" i="7"/>
  <c r="J46" i="6"/>
  <c r="J47" i="6" l="1"/>
  <c r="J48" i="6"/>
  <c r="J46" i="37"/>
  <c r="AG36" i="48"/>
  <c r="AI35" i="48"/>
  <c r="AK35" i="48"/>
  <c r="AG37" i="48" l="1"/>
  <c r="AI36" i="48"/>
  <c r="AK36" i="48"/>
  <c r="J47" i="37"/>
  <c r="J48" i="37"/>
  <c r="J46" i="4"/>
  <c r="J47" i="4" l="1"/>
  <c r="J48" i="4"/>
  <c r="J46" i="43"/>
  <c r="AG38" i="48"/>
  <c r="AI37" i="48"/>
  <c r="AK37" i="48"/>
  <c r="J47" i="43" l="1"/>
  <c r="J48" i="43"/>
  <c r="AG39" i="48"/>
  <c r="AI38" i="48"/>
  <c r="AK38" i="48"/>
  <c r="AI39" i="48" l="1"/>
  <c r="AK39" i="48"/>
</calcChain>
</file>

<file path=xl/comments1.xml><?xml version="1.0" encoding="utf-8"?>
<comments xmlns="http://schemas.openxmlformats.org/spreadsheetml/2006/main">
  <authors>
    <author>win10</author>
  </authors>
  <commentList>
    <comment ref="H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H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Korea
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U1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trail rewinder suzhou 3ply</t>
        </r>
      </text>
    </comment>
    <comment ref="X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comments4.xml><?xml version="1.0" encoding="utf-8"?>
<comments xmlns="http://schemas.openxmlformats.org/spreadsheetml/2006/main">
  <authors>
    <author>win10</author>
  </authors>
  <commentList>
    <comment ref="J8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sharedStrings.xml><?xml version="1.0" encoding="utf-8"?>
<sst xmlns="http://schemas.openxmlformats.org/spreadsheetml/2006/main" count="5783" uniqueCount="678">
  <si>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</si>
  <si>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</si>
  <si>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</si>
  <si>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</si>
  <si>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</si>
  <si>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</si>
  <si>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</si>
  <si>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</si>
  <si>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</si>
  <si>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</si>
  <si>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</si>
  <si>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</si>
  <si>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</si>
  <si>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</si>
  <si>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</si>
  <si>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</si>
  <si>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</si>
  <si>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</si>
  <si>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</si>
  <si>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</si>
  <si>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</si>
  <si>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</si>
  <si>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</si>
  <si>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</si>
  <si>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</si>
  <si>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</si>
  <si>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</si>
  <si>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</si>
  <si>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</si>
  <si>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</si>
  <si>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</si>
  <si>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</si>
  <si>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</si>
  <si>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</si>
  <si>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</si>
  <si>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</si>
  <si>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</si>
  <si>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</si>
  <si>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</si>
  <si>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</si>
  <si>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</si>
  <si>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</si>
  <si>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Albacell</t>
  </si>
  <si>
    <t>TOTAL NBKP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</si>
  <si>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</si>
  <si>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</si>
  <si>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</si>
  <si>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</si>
  <si>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</si>
  <si>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</si>
  <si>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</si>
  <si>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</si>
  <si>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</si>
  <si>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</si>
  <si>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</si>
  <si>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</si>
  <si>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</si>
  <si>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</si>
  <si>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</si>
  <si>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</si>
  <si>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</si>
  <si>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</si>
  <si>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</si>
  <si>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</si>
  <si>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</si>
  <si>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</si>
  <si>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</si>
  <si>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</si>
  <si>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</si>
  <si>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</si>
  <si>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</si>
  <si>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</si>
  <si>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</si>
  <si>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</si>
  <si>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</si>
  <si>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</si>
  <si>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</si>
  <si>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</si>
  <si>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</si>
  <si>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</si>
  <si>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</si>
  <si>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</si>
  <si>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</si>
  <si>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</si>
  <si>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</si>
  <si>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</si>
  <si>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</si>
  <si>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</si>
  <si>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</si>
  <si>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</si>
  <si>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</si>
  <si>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</si>
  <si>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</si>
  <si>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</si>
  <si>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</si>
  <si>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</si>
  <si>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</si>
  <si>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</si>
  <si>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</si>
  <si>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</si>
  <si>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</si>
  <si>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</si>
  <si>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</si>
  <si>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</si>
  <si>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</si>
  <si>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</si>
  <si>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</si>
  <si>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</si>
  <si>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</si>
  <si>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</si>
  <si>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</si>
  <si>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</si>
  <si>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</si>
  <si>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</si>
  <si>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</si>
  <si>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</si>
  <si>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</si>
  <si>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</si>
  <si>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</si>
  <si>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</si>
  <si>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</si>
  <si>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</si>
  <si>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</si>
  <si>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</si>
  <si>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</si>
  <si>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</si>
  <si>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</si>
  <si>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</si>
  <si>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</si>
  <si>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</si>
  <si>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</si>
  <si>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</si>
  <si>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</si>
  <si>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</si>
  <si>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</si>
  <si>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Selisih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</si>
  <si>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</si>
  <si>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</si>
  <si>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</si>
  <si>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</si>
  <si>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</si>
  <si>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</si>
  <si>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</si>
  <si>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</si>
  <si>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</si>
  <si>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</si>
  <si>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NBKP BOTNIA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</si>
  <si>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</si>
  <si>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</si>
  <si>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</si>
  <si>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</si>
  <si>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</si>
  <si>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</si>
  <si>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</si>
  <si>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</si>
  <si>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</si>
  <si>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</si>
  <si>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</si>
  <si>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</si>
  <si>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</si>
  <si>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</si>
  <si>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</si>
  <si>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</si>
  <si>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</si>
  <si>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</si>
  <si>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</si>
  <si>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</si>
  <si>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</si>
  <si>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</si>
  <si>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</si>
  <si>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</si>
  <si>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Off Reel</t>
  </si>
  <si>
    <t>Off Rewinder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</si>
  <si>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</si>
  <si>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</si>
  <si>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</si>
  <si>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</si>
  <si>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</si>
  <si>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</si>
  <si>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</si>
  <si>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</si>
  <si>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</si>
  <si>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</si>
  <si>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</si>
  <si>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TISSUE MACHINE 14</t>
  </si>
  <si>
    <t>PAPER MACHINE 14 DAILY REPORT 1</t>
  </si>
  <si>
    <t>Total PM14</t>
  </si>
  <si>
    <t>PM 14</t>
  </si>
  <si>
    <t xml:space="preserve">PM14 Efficiency Report </t>
  </si>
  <si>
    <t>trim</t>
  </si>
  <si>
    <t>Eff</t>
  </si>
  <si>
    <t>yankee</t>
  </si>
  <si>
    <t>reel</t>
  </si>
  <si>
    <t>creeping</t>
  </si>
  <si>
    <t>time</t>
  </si>
  <si>
    <t>Teori</t>
  </si>
  <si>
    <t>Accept</t>
  </si>
  <si>
    <t>Baklog</t>
  </si>
  <si>
    <t>Sisa spool popereel</t>
  </si>
  <si>
    <t xml:space="preserve">Sisa Spool seset </t>
  </si>
  <si>
    <t>Pending</t>
  </si>
  <si>
    <t>Ngelokor</t>
  </si>
  <si>
    <t>Keriput</t>
  </si>
  <si>
    <t>Start up</t>
  </si>
  <si>
    <t>Potongan jelek</t>
  </si>
  <si>
    <t>Hole</t>
  </si>
  <si>
    <t>Trim</t>
  </si>
  <si>
    <t>Kertas sobek pinggir</t>
  </si>
  <si>
    <t>Joint</t>
  </si>
  <si>
    <t>Formasi jelek</t>
  </si>
  <si>
    <t>Lembab</t>
  </si>
  <si>
    <t>Diameter &lt; std</t>
  </si>
  <si>
    <t>Gelembung</t>
  </si>
  <si>
    <t>soping</t>
  </si>
  <si>
    <t>Bw &lt; std</t>
  </si>
  <si>
    <t>crushing</t>
  </si>
  <si>
    <t>White spot</t>
  </si>
  <si>
    <t>Thickness &lt; std</t>
  </si>
  <si>
    <t>Bulky &lt; std</t>
  </si>
  <si>
    <t>Bw &gt; std</t>
  </si>
  <si>
    <t>Kertas melipat</t>
  </si>
  <si>
    <t>Sisa Spool rewinder</t>
  </si>
  <si>
    <t>Change Grade</t>
  </si>
  <si>
    <t>Loss time sheet break</t>
  </si>
  <si>
    <t>Loss time change blade</t>
  </si>
  <si>
    <t>Loss time change grade</t>
  </si>
  <si>
    <t>NGR 900</t>
  </si>
  <si>
    <t>total</t>
  </si>
  <si>
    <t>LBKP CAKRAWALA</t>
  </si>
  <si>
    <t>-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</si>
  <si>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</si>
  <si>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</si>
  <si>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</si>
  <si>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</si>
  <si>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</si>
  <si>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</si>
  <si>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</si>
  <si>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</si>
  <si>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</si>
  <si>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</si>
  <si>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</si>
  <si>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</si>
  <si>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</si>
  <si>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</si>
  <si>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</si>
  <si>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</si>
  <si>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</si>
  <si>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</si>
  <si>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</si>
  <si>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</si>
  <si>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</si>
  <si>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</si>
  <si>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</si>
  <si>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</si>
  <si>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</si>
  <si>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</si>
  <si>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</si>
  <si>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</si>
  <si>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</si>
  <si>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</si>
  <si>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</si>
  <si>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</si>
  <si>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</si>
  <si>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</si>
  <si>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</si>
  <si>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</si>
  <si>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</si>
  <si>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</si>
  <si>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</si>
  <si>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PM 14 Summary</t>
  </si>
  <si>
    <t>Gas ConsumptionHood PM 14</t>
  </si>
  <si>
    <t>Gas ConsumptionHood PM14</t>
  </si>
  <si>
    <t>Gas based on report DCS</t>
  </si>
  <si>
    <t>Flowmeter</t>
  </si>
  <si>
    <t>% pengali</t>
  </si>
  <si>
    <t>Adjust</t>
  </si>
  <si>
    <t>PGN</t>
  </si>
  <si>
    <t>Total Prosentase</t>
  </si>
  <si>
    <t>creeping mark</t>
  </si>
  <si>
    <t>Warisan</t>
  </si>
  <si>
    <t>Dirt</t>
  </si>
  <si>
    <t>kertas lembab</t>
  </si>
  <si>
    <t>Seset Change Grade</t>
  </si>
  <si>
    <t>potongan lari lari</t>
  </si>
  <si>
    <t>Potongan serabut</t>
  </si>
  <si>
    <t>UNKNOWN</t>
  </si>
  <si>
    <t>- Change Blade (0x)</t>
  </si>
  <si>
    <t>Sinergy</t>
  </si>
  <si>
    <t>MDT rendah</t>
  </si>
  <si>
    <t>PEMAKAIAN GAS</t>
  </si>
  <si>
    <t>PULP AND BROKE DAILY REPORT PM 14</t>
  </si>
  <si>
    <t>CHEMICAL DAILY REPORT PM 14</t>
  </si>
  <si>
    <t>Marketing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</si>
  <si>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</si>
  <si>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</si>
  <si>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</si>
  <si>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</si>
  <si>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</si>
  <si>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</si>
  <si>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</si>
  <si>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</si>
  <si>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</si>
  <si>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</si>
  <si>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</si>
  <si>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VP OW</t>
  </si>
  <si>
    <t>Trafo (2500 A)</t>
  </si>
  <si>
    <t>Trafo (2500 B)</t>
  </si>
  <si>
    <t>Kehilangan Effisiensi PM 14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</si>
  <si>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</si>
  <si>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</si>
  <si>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</si>
  <si>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</si>
  <si>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</si>
  <si>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</si>
  <si>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</si>
  <si>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</si>
  <si>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</si>
  <si>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</si>
  <si>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</si>
  <si>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</si>
  <si>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</si>
  <si>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</si>
  <si>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</si>
  <si>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</si>
  <si>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</si>
  <si>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</si>
  <si>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</si>
  <si>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</si>
  <si>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</si>
  <si>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</si>
  <si>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</si>
  <si>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</si>
  <si>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</si>
  <si>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</si>
  <si>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</si>
  <si>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</si>
  <si>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</si>
  <si>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</si>
  <si>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</si>
  <si>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</si>
  <si>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</si>
  <si>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</si>
  <si>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</si>
  <si>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</si>
  <si>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</si>
  <si>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</si>
  <si>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</si>
  <si>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</si>
  <si>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</si>
  <si>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</si>
  <si>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</si>
  <si>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</si>
  <si>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</si>
  <si>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</si>
  <si>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</si>
  <si>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</si>
  <si>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</si>
  <si>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</si>
  <si>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</si>
  <si>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</si>
  <si>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</si>
  <si>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</si>
  <si>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</si>
  <si>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</si>
  <si>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</si>
  <si>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</si>
  <si>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</si>
  <si>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</si>
  <si>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</si>
  <si>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</si>
  <si>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</si>
  <si>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</si>
  <si>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</si>
  <si>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</si>
  <si>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Running</t>
  </si>
  <si>
    <t>PM 14 Running Time</t>
  </si>
  <si>
    <t>Down Time PLN</t>
  </si>
  <si>
    <t xml:space="preserve">Kapasitas Running (ton) </t>
  </si>
  <si>
    <t>Eff FG vs Target  Running(%)</t>
  </si>
  <si>
    <t>SCA</t>
  </si>
  <si>
    <t>Sample QC</t>
  </si>
  <si>
    <t>Change Grade/Cleaning</t>
  </si>
  <si>
    <t>TEL PELITA</t>
  </si>
  <si>
    <t>EPOSTRONG</t>
  </si>
  <si>
    <t>DFR 810S</t>
  </si>
  <si>
    <t>0</t>
  </si>
  <si>
    <t>- Sheet Breaks (0x)</t>
  </si>
  <si>
    <t>12</t>
  </si>
  <si>
    <t>- Change Blade (5x)</t>
  </si>
  <si>
    <t>F 12</t>
  </si>
  <si>
    <t>F 12 VP OW</t>
  </si>
  <si>
    <t>SUZANO</t>
  </si>
  <si>
    <t>SS</t>
  </si>
  <si>
    <t>PHP PM</t>
  </si>
  <si>
    <t xml:space="preserve">PM14 Efficiency Running Report </t>
  </si>
  <si>
    <t>Steam, &amp; gangguan sinergy (X)</t>
  </si>
  <si>
    <t>Freq, Trip PLN (X)</t>
  </si>
  <si>
    <t>Cleaning Holes (X)</t>
  </si>
  <si>
    <t>Per hari</t>
  </si>
  <si>
    <t>STOP</t>
  </si>
  <si>
    <t>- Change Spool (0x)</t>
  </si>
  <si>
    <t>- Awal shift pm stop</t>
  </si>
  <si>
    <t>OKTOBER</t>
  </si>
  <si>
    <t>.10.25</t>
  </si>
  <si>
    <t>- Awal shift PM Prod F12
Speed 1230mpm/-23% 
Actuall speed 1000mpm (lost speed 230mpm) 19%</t>
  </si>
  <si>
    <t>Awal shift rewind gulung jumbo backlog hole dan dirt, ambil 1 bag
# 01.00Kertas ada hole acak. Nyalakan amiclean 
Pm naik speed perlahan, kertas bag fs lembab 6:30 pm speed 1200
6:58 dry Hood trip, cek eid speed turun 1060 mpm</t>
  </si>
  <si>
    <t>Awal shift pm stop
- cek valve drain dan sealing motor all dump
- proses masak buburan 
- dump chest dan machine chest sudah ke isi buburan
- proses tesnsion felt dan wire
- run speed 200 mpm. Proses nyalakan burner dan turbo vacum
- eid ganti proximity spr bagian ds dan cek burner dry hood belum bisa nyala
- 18:37 proximity spr oke, pm startup pakai burner wet saja
- 19:00 on reel F12 speed 900mpm
- 19:27kertas putus putus, pm turun speed 200mpm
- 20:15 geser wire ke Fs
- 20:30 hood dry on. Pm naik speed perlahan
- 21:05 kertas muncul dirt, karcer wire
- 21.10pompa coting trip 21.20 ok
- 22:00 pm trip, bacaan pressure compressor fliker
- 22:45 pm start up
-22:57 pm on reel F12 speed 1000mpm/-23%
Bag fs temp lebih kertas dingin</t>
  </si>
  <si>
    <t>- siram felt 2 jam sekali
- tutup valve drin all dump dan proses flushing jalur buburan dan crawl felt wire
- cleaning pulper
- flushing selesai , buka valve drin all dump dan cleaning all dump , silo dan couchpit tank
13:10 proses heating yankee 
- tutup valve drain silo tank , couchpit tank dan isi silo tank</t>
  </si>
  <si>
    <t>734,426/565,508</t>
  </si>
  <si>
    <t>1229,29/946,555</t>
  </si>
  <si>
    <t>1092,7/841,38</t>
  </si>
  <si>
    <t>- Change Spool (5x)</t>
  </si>
  <si>
    <t>- Change Spool (8x)</t>
  </si>
  <si>
    <t>- Sheet Breaks (4x)</t>
  </si>
  <si>
    <t>- Change Spool (13x)</t>
  </si>
  <si>
    <t>- STOP, No order</t>
  </si>
  <si>
    <t>- 22:00 pm trip, bacaan pressure compressor fliker</t>
  </si>
  <si>
    <t>133*2</t>
  </si>
  <si>
    <t>EBKP CAKRAWALA/GHN</t>
  </si>
  <si>
    <t>SODIUM HYPOCHLORID</t>
  </si>
  <si>
    <t>CHEMZYME CL</t>
  </si>
  <si>
    <t>- Awal shift PM Prod F12
Speed aktual 1200mpm/-23%
Speed target 1230mpm/-23%
Lost Speed 30mpm(2,4%)</t>
  </si>
  <si>
    <t>07:00 awal shift Burner hood dry trip 4x , cek EID
- kertas lembab , kriput dan gelombang , speed down sampai 1000mpm
07:30 Burner hood dry oke , sementara  manual local , speed up perlahan sampai 1170mpm
11:10 Speed up 1200mpm
12:19 amisoft on 2kg
12:55 Speed up 1230mpm</t>
  </si>
  <si>
    <t>- Awal shift PM Prod  F12
Speed: 1230 mpm/23%</t>
  </si>
  <si>
    <t>19.53 Amisoft off</t>
  </si>
  <si>
    <t>05.20 loss speed 1200 mpm, kertas mulai keriput</t>
  </si>
  <si>
    <t>1194,06/919,43</t>
  </si>
  <si>
    <t>1230/947,1</t>
  </si>
  <si>
    <t>1223,75/942,29</t>
  </si>
  <si>
    <t>- Change Spool (9x)</t>
  </si>
  <si>
    <t>- Change Blade (1x)</t>
  </si>
  <si>
    <t>- Change Blade (4x)</t>
  </si>
  <si>
    <t>- Change Spool (27x)</t>
  </si>
  <si>
    <t>180+20*4</t>
  </si>
  <si>
    <t>- Awal shift PM Prod  F12
Speed aktual 1200mpm/-23%
Speed target 1230mpm/-23%</t>
  </si>
  <si>
    <t>-08:40 Speed up 1210 mpm</t>
  </si>
  <si>
    <t>- Awal shift PM Prod   F12
Speed: 1230 mpm/23%</t>
  </si>
  <si>
    <t>-01.38  amisoft on</t>
  </si>
  <si>
    <t>- Awal shift PM Prod  F12 
Speed: 1230 mpm/23%</t>
  </si>
  <si>
    <t>16.47 Amisoft on 2 kg
19.10 amisoft off</t>
  </si>
  <si>
    <t>1207,92/930,096</t>
  </si>
  <si>
    <t>1222,64/941,43</t>
  </si>
  <si>
    <t>- Change Blade (2x)</t>
  </si>
  <si>
    <t>- Change Blade (3x)</t>
  </si>
  <si>
    <t>- Change Blade (9x)</t>
  </si>
  <si>
    <t>- Change Spool (26x)</t>
  </si>
  <si>
    <t>Detac DC779F</t>
  </si>
  <si>
    <t>- Awal shift PM Prod  T 13
Speed 1230/23%
Speed aktual 1160/23%</t>
  </si>
  <si>
    <t>- 15.15 change grade T13</t>
  </si>
  <si>
    <t>- Awal shift PM Prod   F12
Speed 1230mpm/-23% 
Actuall speed 1200mpm (lost speed 30mpm) 3%</t>
  </si>
  <si>
    <t>- 8:16 Change grade F12,5
10:12 muncul hole blade bag ds, blade aus rata setting temp&amp;coating release. 
11.18 pm turun speed 20mpm, kertas masih hole blade bagian Ds, blade aus rata, setiap jumbo ganti blade</t>
  </si>
  <si>
    <t>- Awal shift PM Prod T 13
Speed 1180 /23%</t>
  </si>
  <si>
    <t xml:space="preserve">- Awal shift PM Prod   T13
Speed 1160mpm/-23% </t>
  </si>
  <si>
    <t>11:35 pressure compressor drop cek eid, kertas keriput
11:46 pressure compressor oke</t>
  </si>
  <si>
    <t>T 13</t>
  </si>
  <si>
    <t>1160/893,2</t>
  </si>
  <si>
    <t>1180/908,6</t>
  </si>
  <si>
    <t>1166,67/898,33</t>
  </si>
  <si>
    <t>- Sheet Breaks (3x)</t>
  </si>
  <si>
    <t>- Change Spool (11x)</t>
  </si>
  <si>
    <t>- Change Blade (7x)</t>
  </si>
  <si>
    <t>- Change Spool (10x)</t>
  </si>
  <si>
    <t>- Awal shift PM Prod F12,5/3ply
Speed: 1230 mpm/23%
Speed aktual 1160 /23%</t>
  </si>
  <si>
    <t>F 12,5</t>
  </si>
  <si>
    <t>1190,75/916,878</t>
  </si>
  <si>
    <t>1227,81/945,416</t>
  </si>
  <si>
    <t>1216,19/936,46</t>
  </si>
  <si>
    <t>Facial/Toilet</t>
  </si>
  <si>
    <t>12/12,5/13</t>
  </si>
  <si>
    <t>Toilet</t>
  </si>
  <si>
    <t>13</t>
  </si>
  <si>
    <t>- Change Blade (8x)</t>
  </si>
  <si>
    <t>- Change Spool (29x)</t>
  </si>
  <si>
    <t>No Order</t>
  </si>
  <si>
    <t>Pm Trip, bacaan kompressor flicker</t>
  </si>
  <si>
    <t>126*2</t>
  </si>
  <si>
    <t>140+120</t>
  </si>
  <si>
    <t>129*2</t>
  </si>
  <si>
    <t>F 12,5 VP OW</t>
  </si>
  <si>
    <t>T 13 VP OW</t>
  </si>
  <si>
    <t>- Awal shift PM Prod T13
Speed aktual 1180mpm/-23%
Speed target 1230mpm/-23%
Lost Speed 50mpm(4%)</t>
  </si>
  <si>
    <t>Nb: ganti blade 1 jumbo 1x</t>
  </si>
  <si>
    <t>- Awal shift PM Prod  T13
Speed aktual 1180mpm/-23%
Speed target 1230mpm/-23%
Lost Speed 50mpm(4%)</t>
  </si>
  <si>
    <t>*Pm*ganti Blade 1 Jr sekali</t>
  </si>
  <si>
    <t>- Awal shift PM Prod  T13
Speed 1180mpm/-23% (lost speed 50mpm) 6%</t>
  </si>
  <si>
    <t>- Sheet Breaks (9x)</t>
  </si>
  <si>
    <t xml:space="preserve">- Awal shift PM Prod  T13
Speed 1180mpm/-23% </t>
  </si>
  <si>
    <t xml:space="preserve"> -8:45 change grade T 12,5 speed 1220/-23%</t>
  </si>
  <si>
    <t>- Awal shift PM Prod  T12,5
Speed aktual 1220mpm/-23%
Speed target 1230mpm/-23%
Lost Speed 10mpm(0,8%)</t>
  </si>
  <si>
    <t>- Awal shift PM Prod T12,5
Speed aktual 1220mpm/-23%
Speed target 1230mpm/-23%
Lost Speed 10mpm(0,8%)</t>
  </si>
  <si>
    <t>00:23 muncul garis marking bagian center , indikasi kertas lembab , speed down 1200mpm
02:13 marking hilang , 
06.50 speed up 1220 mpm
Nb: ganti blade 1 jumbo 1x</t>
  </si>
  <si>
    <t>T 12,5</t>
  </si>
  <si>
    <t>1220/939,4</t>
  </si>
  <si>
    <t>1203,88/926,984</t>
  </si>
  <si>
    <t>1211,71/933,02</t>
  </si>
  <si>
    <t>13/12,5</t>
  </si>
  <si>
    <t>- Change Spool (28x)</t>
  </si>
  <si>
    <t>257*1</t>
  </si>
  <si>
    <t>T 12,5 VP OW</t>
  </si>
  <si>
    <t>12,5</t>
  </si>
  <si>
    <t>- Sheet Breaks (2x)</t>
  </si>
  <si>
    <t>- Sheet Breaks (8x)</t>
  </si>
  <si>
    <t>EBKP SUZANO</t>
  </si>
  <si>
    <t>03:24 kertas putus-putus, soping dan gripis bagian Ts, blade bagian Ts aus 
- Speed down 1200mpm
- Hpp felt up 7bar
- felt bagian Ts , di kucuri air
- wire geser ke Ds 0,5cm
- setting pressure load Spr bagian Ts
05:05 Kertas mulai membaik , gripis jarang muncul dan lancar</t>
  </si>
  <si>
    <t>- Awal shift PM Prod  T12,5
Speed: 1220 mpm/23%</t>
  </si>
  <si>
    <t>1213,54/934,427</t>
  </si>
  <si>
    <t>1215,69/936,08</t>
  </si>
  <si>
    <t>- Sheet Breaks (5x)</t>
  </si>
  <si>
    <t>- Change Blade (13x)</t>
  </si>
  <si>
    <t xml:space="preserve">- Awal shift PM Prod  T12,5
Speed 1200mpm/-23% </t>
  </si>
  <si>
    <t>3:03 kertas muncul marking lagi, pm turun speed 30mpm, naikan coating.
Turunkan temperatur hood dan Yankee
3:54 Kertas masih tetap marking tiap length ±22000, 1 jumbo ganti blade 2x 
6:30 marking hilang kertas oke</t>
  </si>
  <si>
    <t xml:space="preserve">- Awal shift PM Prod T12,5
Speed 1220mpm/-23% </t>
  </si>
  <si>
    <t>20:50 kertas muncul marking bagian center
Ganti blade length 20000 kertas marking lagi
Coba seting temperatur hood dan naikan hpp felt masih ada marking lengh 20 rban,
21:40 pm turun speed 20mpm.
22:35 marking mulai berkurang</t>
  </si>
  <si>
    <t>- Awal shift PM Prod : T12,5
Speed: 1220 mpm/23%</t>
  </si>
  <si>
    <t>1205,19/927,994</t>
  </si>
  <si>
    <t>1215,06/935,6</t>
  </si>
  <si>
    <t>- Sheet Breaks (6x)</t>
  </si>
  <si>
    <t>18:16 muncul marking bagian Ts dan center ganti blade, turun speed 10mpm
18:12 marking mulai hilang
19:11 marking muncul lagi bagian Center, ganti blade. Pm turun speed 10mpm</t>
  </si>
  <si>
    <t>- Awal shift PM Prod T12
Speed aktual 1200mpm/-23%
Speed target 1230mpm/-23%
Lost Speed 30mpm(2,4%)</t>
  </si>
  <si>
    <t>09:26 Change grade T12,5 
           Speed 1180mpm/-21%</t>
  </si>
  <si>
    <t xml:space="preserve">- Awal shift PM Prod   T12,5
Speed 1220mpm/-23%
Act speed 1170/23% </t>
  </si>
  <si>
    <t>1:17  kertas muncul marking speed turun 10 mpm
4:10 Chage grade T 12 speed 1200/23%</t>
  </si>
  <si>
    <t>- Awal shift PM Prod  T12,5
Target Speed 1220mpm/-23% 
Act speed 1180 mpm/23%</t>
  </si>
  <si>
    <t>20:30 kertas muncul marking
21:05 pm turun speed 20 mpm</t>
  </si>
  <si>
    <t>- Awal shift PM Prod T 12,5
Speed 1200 /23%</t>
  </si>
  <si>
    <t>T 12</t>
  </si>
  <si>
    <t>12,5/12</t>
  </si>
  <si>
    <t>12/12,5</t>
  </si>
  <si>
    <t>1192,9/918,53</t>
  </si>
  <si>
    <t>1200/924</t>
  </si>
  <si>
    <t>1195,21/920,31</t>
  </si>
  <si>
    <t>1183,48/911,279</t>
  </si>
  <si>
    <t>1186,08/929,71</t>
  </si>
  <si>
    <t>1159,31/915,86</t>
  </si>
  <si>
    <t>1170/924,3</t>
  </si>
  <si>
    <t>1171,8/923,29</t>
  </si>
  <si>
    <t>1:06 kertas muncul marking, ganti blade marking hilang
3:31 kertas muncul marking lagi, ganti blade marking hilang</t>
  </si>
  <si>
    <t>- Change Blade (6x)</t>
  </si>
  <si>
    <t>- Change Spool (25x)</t>
  </si>
  <si>
    <t>268*1</t>
  </si>
  <si>
    <t>T 12 VP OW</t>
  </si>
  <si>
    <t>- Awal shift PM Prod  T12,5
Speed 1220mpm/-23% 
Act speed 1170 mpm/21%</t>
  </si>
  <si>
    <t>- Awal shift PM Prod  T12,5
Speed 1220mpm/-23% 
Act 1170/21%</t>
  </si>
  <si>
    <t>- Awal shift PM Prod T12,5
Speed 1190mpm/-21%</t>
  </si>
  <si>
    <t>0:50 kertas muncul marking, ganti blade marking hilang
1:32 kertas muncul marking 
2:11 kertas muncul marking,
6:28 kertas muncul marking lagi</t>
  </si>
  <si>
    <t xml:space="preserve">- Awal shift PM Prod  T12,5
Speed 1180mpm/-21% </t>
  </si>
  <si>
    <t>Nb : speed 1180 krn kertas rawan marking</t>
  </si>
  <si>
    <t>- Awal shift PM Prod  T12,5
Speed aktual 1200mpm/-23%
Speed target 1230mpm/-23%
Lost Speed 30mpm(2,4%)</t>
  </si>
  <si>
    <t>07:00 awal shift kertas marking bagian center dan hole blade bagian Ts
- speed down 1180mpm
- Wire siram soda cair
- cek dan setting flow coating release
- setting temperatur hood
- ganti blade no.2
08:39 marking hilang , kertas mulai membaik dan lancar</t>
  </si>
  <si>
    <t>1184,125/911,7763</t>
  </si>
  <si>
    <t>1190/940,1</t>
  </si>
  <si>
    <t>1180/932,2</t>
  </si>
  <si>
    <t>1184,71/928,03</t>
  </si>
  <si>
    <t>- Sheet Breaks (11x)</t>
  </si>
  <si>
    <t>- Awal shift PM Prod  T 12,5
Speed 1200/21%</t>
  </si>
  <si>
    <t>23:30 muncul gripis bagian TS 
- seting temperatur hud + steam 
- seting presure SPR
23:45 gripis hilang 
01:04 kertas sering putus bagian DS 
- kurangi bukaan demper DS 
- cek sower coting sering buntu bagian DS 
- seting temperatur hud
03:02 pm mulai lancar kertas jarang putus
05:37 kertas sering putus bagian DS 
- sower coting kumat sering buntu</t>
  </si>
  <si>
    <t>- Awal shift PM Prod T 12,5
Speed 1180/23%</t>
  </si>
  <si>
    <t>19:12 speed up 1180/20%
20:04 speed up 1190/20%
23:00 speed up 1200/20%</t>
  </si>
  <si>
    <t>- Awal shift PM Prod  T12,5
Speed aktual 1180mpm/-21%
Speed target 1230mpm/-21%
Lost Speed 50mpm(4%)</t>
  </si>
  <si>
    <t>07:46 muncul marking dan hole blade bagian Ts , kertas putus-putus
- wire siram soda cair
- Speed down 1170mpm
- cek dan setting flow coating release
- setting temperatur hood
08:38 marking hilang , pm mulai lancar</t>
  </si>
  <si>
    <t>1186,46/934,21</t>
  </si>
  <si>
    <t>1170,96/903,9</t>
  </si>
  <si>
    <t>1188,42/950,73</t>
  </si>
  <si>
    <t>1200/948</t>
  </si>
  <si>
    <t>- Awal shift PM Prod  F 12,5
Speed 1220/23%</t>
  </si>
  <si>
    <t>23:55 speed up 1220</t>
  </si>
  <si>
    <t>18:40 pm tidak lancar kertas sering putus 
- seting temperatur hud + steam 
19:20 kertas mulai lancar jarang putus 
20:17 pm trip ( info EID )
- pompa sealing water trip / hpp trip
- motor exhaust trip
- burner wet trip 
- pompa couch pit trip
21:44 pm on reel 
- speed up bertahap 
- akhir shift speed 1200/23%</t>
  </si>
  <si>
    <t>- Awal shift PM Prod  T12,5
Speed aktual 1200mpm/-21%
Speed target 1230mpm/-21%
Lost Speed 30mpm(2,4%)</t>
  </si>
  <si>
    <t>07:15 kertas putus-putus , hole blade bagian Ts , sprai coating release banyak yang bubtu
- Speed down 1180mpm
- cek dan setting flow coating release
- setting temperatur hood
07:48 hole blade hilang, pm mulai lancar
13:40 Change grade F12,5
           Speed 1180mpm/-24%</t>
  </si>
  <si>
    <t>- Awal shift PM Prod  F 12,5
Speed 1200/23%</t>
  </si>
  <si>
    <t>1180,63/907,86</t>
  </si>
  <si>
    <t>1183,87/911,58</t>
  </si>
  <si>
    <t>1217,71/937,64</t>
  </si>
  <si>
    <t>1194,72/919,5</t>
  </si>
  <si>
    <t>Toilet/Facial</t>
  </si>
  <si>
    <t>12,5/12,5</t>
  </si>
  <si>
    <t>- 20:17 pm trip ( info EID )</t>
  </si>
  <si>
    <t>267*1</t>
  </si>
  <si>
    <t>140*2</t>
  </si>
  <si>
    <t>122,5*2</t>
  </si>
  <si>
    <t xml:space="preserve">- Awal shift PM Prod   F13
Speed 1230mpm/-23% </t>
  </si>
  <si>
    <t>- Awal shift PM Prod F 12,5
Speed 1230/23%</t>
  </si>
  <si>
    <t>19:30 kertas brosot bagian TS 
- seting temperatur hud 
20:35 kertas brosot bagian TS 
- seting bukaan demper 
21:40 kertas aman tidak brosot</t>
  </si>
  <si>
    <t xml:space="preserve">- Awal shift PM Prod  F12,5
Speed 1220mpm/-23% </t>
  </si>
  <si>
    <t>- 13.15 peed up 10 mpm</t>
  </si>
  <si>
    <t>- Change Grade F 13 pukul 21:00</t>
  </si>
  <si>
    <t>F 13</t>
  </si>
  <si>
    <t>1222,19/941,084</t>
  </si>
  <si>
    <t>1227,4/945,09</t>
  </si>
  <si>
    <t>12,5/13</t>
  </si>
  <si>
    <t>F 13 VP OW</t>
  </si>
  <si>
    <t>- Awal shift PM Prod  F12 Hb
Speed aktual 1220mpm/-23%
Speed target 1230mpm/-23%
Lost Speed 10mpm(0,8%)</t>
  </si>
  <si>
    <t>*Pm*awal shift kertas putus2 mdt tiba2 drop ( naikkan kWh tikling rifiner)</t>
  </si>
  <si>
    <t>- Awal shift PM Prod  F 11
Speed 1200/23%</t>
  </si>
  <si>
    <t xml:space="preserve">17:34 change gride F 12 speed 1200/23%
17:59 kertas sering putus bagian DS 
- seting temperatur + speed up 1220 ( indikasi kepanasan )
19:02 pm lancar </t>
  </si>
  <si>
    <t>- Awal shift PM Prod  F13 hb
Speed 1230mpm/-24% 
Kap PM : 13483 kg</t>
  </si>
  <si>
    <t>9:10 change grade F 11, speed 1230/-23%
Kertas sering hole blade bagian tengah, coba naikan temperatur hood dan yankee, naikan flow coating
12:40 hole blade masih muncul, lengt 25 rb an, pm turun speed 30mpm , kertas aman</t>
  </si>
  <si>
    <t>F 11</t>
  </si>
  <si>
    <t>1230/943,769</t>
  </si>
  <si>
    <t>1216,15/940,275</t>
  </si>
  <si>
    <t>1222,53/941,359</t>
  </si>
  <si>
    <t>1222,89/941,8</t>
  </si>
  <si>
    <t>13/11/12</t>
  </si>
  <si>
    <t>- Change Blade (15x)</t>
  </si>
  <si>
    <t>- Change Spool (31x)</t>
  </si>
  <si>
    <t>150+90+18</t>
  </si>
  <si>
    <t>F 11 VP OW</t>
  </si>
  <si>
    <t>- cleaning area Ds pm
- drain dan cleaning bak coating release
- cleaning couch pit tank
- drain dan cleaning machine chest
- drain dan cleaning dump chest
- drain dan cleaning cw dan ww tank</t>
  </si>
  <si>
    <t>- lanjut cleaning samping yankee dengan karcer 
- cleaning frame + atap hood 
- tutup dokter Blade + spr + blind rill dengan felt bekas 
- flusing jalur pipa coating release dengan soda 
- lepas wire + gulung lagi
- cleaning broke dump 
- cleaning tank cw</t>
  </si>
  <si>
    <t xml:space="preserve">- Awal shift PM Prod F12
Speed 1220mpm/-23% </t>
  </si>
  <si>
    <t>* 7:26 pm stop persiapan grinding yankee
* med bongkar wet hood
* cleaning area ds pm
* cleaning area motor yankee
* drain dan cleaning couch pit
* drain dan cleaning reject tank
* drain dan cleaning pulper
* flushing chest, dari pulper sampai machine chest
* cleaning crofta
* buka breast roll
* drain machine chest
* drain Broke dump
* potong felt
* karcer tepi yankee</t>
  </si>
  <si>
    <t>290+</t>
  </si>
  <si>
    <t>- Awal shift PM Prod F12
Speed aktual 1220mpm/-23%
Speed target 1230mpm/-23%
Lost Speed 10mpm(0,8%)</t>
  </si>
  <si>
    <t>Nb:awal shift bagian Ts muncul hole blade
Habiskan.bubur persiapan stop metalizing yankee</t>
  </si>
  <si>
    <t>- Awal shift PM Prod  F12
Speed aktual 1220mpm/-23%
Speed target 1230mpm/-23%
Lost Speed 10mpm(0,8%)</t>
  </si>
  <si>
    <t xml:space="preserve">- Awal shift PM Prod  F12
Speed 1230mpm/-23% </t>
  </si>
  <si>
    <t>1223,33/941,97</t>
  </si>
  <si>
    <t>12300/947,1</t>
  </si>
  <si>
    <t xml:space="preserve"> 7:26 pm stop persiapan grinding yankee</t>
  </si>
  <si>
    <t>130*2</t>
  </si>
  <si>
    <t>140+122,5</t>
  </si>
  <si>
    <t>Grinding yankee</t>
  </si>
  <si>
    <t>PM Trip</t>
  </si>
  <si>
    <t>Awal sift pm 14 stop (metalizing yankee)
Pekerjaan pm + rewinder +stok prape
- Seset sisa spool pm 14
- cleaning refiner ( buka refiner 1 dan 2 ) 
- cleaning pipa2 area stok prape
- cleaning tangki fenopol 
- cleaning area bawah pulper 
- cleaning area rewind A</t>
  </si>
  <si>
    <t>awal shift pm stop ( metalizing yankee ) 
-cleaning broke dump + tutup main hole 
-cleaning water tray area luar dan dalam 
-cleaning dump chest 
-cleaning CW + isi air</t>
  </si>
  <si>
    <t>- PM stop persiapan grinding yankee</t>
  </si>
  <si>
    <t>Awal shift pm 14 stop metalizing yankee
- cleaning area rewinder A,B ,C
- cleaning hood wet ( pake gerinda )
- bantu pm 15 ( opr ada yg gak masuk)</t>
  </si>
  <si>
    <t>Awal shift pm stop ( metalizing yankee)
-bongkar + cleaning nozzel shower hpp felt + sower 10 bar 
-bongkar + cleaning nozzel hpp wire + shower 10 bar 
-cleaning area hood lantai 2 belum selsai dikarnakan ada pekerja mekanik repair ducting sirkulasi hood yang bocor</t>
  </si>
  <si>
    <t>* Cleaning area aproach
* Lanjut cleaning cover hpp wire
* Cleaning area rewind 
* pm 14 proses metalizing yankee
* bantu pm 15</t>
  </si>
  <si>
    <t>Awal shift pm 14 stop (metalizing yankee)
Pekerjaan pm + rewinder +stok prep
- cleaning rewinder
- lanjut cleaning cover hood wet
- cleaning frame cover hpp wire</t>
  </si>
  <si>
    <t>Awal shift pm stop ( metalizing yankee )
-cleaning area hod lantai 2
-bantu pasang terpal area yankee 
-NiP SPR 
-cleaning HAE</t>
  </si>
  <si>
    <t>Awal shift pm 14 stop (metalizing yankee)
Pekerjaan pm + rewinder +stok prep
- cleaning rewinder
- lanjut cleaning frame cover hpp wire
- cleaning shower uhlebox + shower floading</t>
  </si>
  <si>
    <t>awal shift pm stop ( metalizing yankee )
-cleaning silo
-lanjut bersihkan cover hud</t>
  </si>
  <si>
    <t>Down Time Management</t>
  </si>
  <si>
    <t>* Flushing dari pulper, crofta, brooke dump, dump chest, machine chest sampai silo
* Drain dan Cleaning crofta, dump chest, machine chest 
* Cat conveyor pulper 
* Cleaning area motor agitator Utm</t>
  </si>
  <si>
    <t>-cleaning HE
-cleaning area potong core
-tutup main hole machin chest</t>
  </si>
  <si>
    <t>-cleaning mc chest
-cleaning couch pit yang sudah di coating
-cleaning lantai area vaccum</t>
  </si>
  <si>
    <t>* Lanjutkan pasang felt 
* Cleaning area atas hood
* Cleaning work way area hood sampai wire
* Cleaning area motor yankee 
* Cleaning yankee, siram dengan minyak goreng dan lap dengan tisu 
* Isi silo tank
* 4:37 mulai masak
* Flushing jalur coating release dan cleaning bak coating release 
* 5:00 mulai heating yankee persiapan spray map
* Cleaning couch pit
* Cleaning area pm</t>
  </si>
  <si>
    <t>- 20.40 grinding yankee selesai
- team shanten ukur diameter/ keliling yankee per segment speed 20 mpm
- 21 25 tutup header steam yankee.
- speed 20 mpm team shanten ukur dia/ keliling yankee lagi.
Kegiatan.
- cleaning area rewinder
- cleaning pagar walk way area wire Ds.
- cleaning pagar walk way Deket hood wet
- cleaning ulang krofta.</t>
  </si>
  <si>
    <t>-cleaning dump chest
-bantu pm 15</t>
  </si>
  <si>
    <t>15:00 Awal shift pm stop, nunggu burner hood dry belum bisa on
15:21 Burner hood dry oke , on local manual , pm persiapan start up
15:30 pm start up
*15:48 onreel, produksi F14
Speed aktual 860mpm/-23%
Speed target 1230mpm/-23%
Lost Speed 370mpm(30%)(felt baru)</t>
  </si>
  <si>
    <t>- cleaning rewinder
- pasang shower coating / release
- karcer wire
- cleaning felt dengan sabun 
- spray yankee dengan MAP
- 10.30 PM mulai BLANK RUN 
- 12.00 PM selesai BLANK RUN
- cleaning UTM 
- 14.50 mekanik selesai pasang flexsibel 
- tunggu eid perbaikan regulator burner</t>
  </si>
  <si>
    <t xml:space="preserve">- Awal shift PM Prod F14
Speed 910mpm/-20% felt baru </t>
  </si>
  <si>
    <t>* 0:45 pm coba naik speed 40mpm
* 1:20 kertas muncul hole Blade bagian Ds pm turun speed 40mpm
* 4:36 kertas muncul hole Blade lagi, naikan temperatur hood dan yankee
# {balde aus}
#6.30 ganti balde kertas brosot
Backplate no 2 bag tengah lebih tinggi (modot)dr tepi ts&amp;ds</t>
  </si>
  <si>
    <t>16:12 jumbo roll turun ada ws , pinhole dan berpendar
- ganti air ww dengan air fresh water
- Drain broke dumb
- drain cake krofta
- habis kan buburan dump chest dan machine chest , level buat seminim mungkin dan ganti dengan buburan baru
- kacer wire
- amiclean on
17:30 jumbo roll turun berpendar sudah mulai hilang , tinggal ws , dan kertas bagian Ds gelombang
- utm dan machine chest diberi dekatogen 
- setting dumper hood wet
18:00 jumbo roll turun ws hilang dan kertas mulai membaik , acc
20:13  speed up 880mpm
22,35  speed up 9100mpm</t>
  </si>
  <si>
    <t>F 14</t>
  </si>
  <si>
    <t>910/728</t>
  </si>
  <si>
    <t>863,33/664,77</t>
  </si>
  <si>
    <t>887,89/698,05</t>
  </si>
  <si>
    <t>14</t>
  </si>
  <si>
    <t>- Sheet Breaks (7x)</t>
  </si>
  <si>
    <t>- Change Spool (17x)</t>
  </si>
  <si>
    <t>F 14 VP OW</t>
  </si>
  <si>
    <t>- Awal shift PM Prod F 12 LB
Speed target 1230/20%
Speed aktual 700/20%</t>
  </si>
  <si>
    <t>awal shift ada hole bagian DS dari tepi +- 49cm 
- ukuran hole kebanyakan +-3-5mm
- speed pm 700 mpm speed belum bisa up dikarnakan permukaan yankee ada yang cacat bagian yang hole 
- blade pakai ceramik kalau pakai blade biasa hole nya besar2
Akhir shift speed 700 hole masih muncul bagain DS dari tepi 49 cm ukuran hole masih sama +- 3-5mm</t>
  </si>
  <si>
    <t>- Awal shift PM Prod  F12 LB
Speed aktual 750mpm/-20%
Speed target 1230mpm/-20%
Lost Speed 480mpm(39%)(yankee habis metalizing dan felr baru)</t>
  </si>
  <si>
    <t>15:55 muncul hole blade 53cm dari Ds, speed down 700mpm dan ganti blade no.2
16:36 jumbo roll turun masih ada hole blade 53cm dari Ds , permukaan yankee ada yang kasar bagian pas hole
- Bw dibuat tinggi
- Ganti blade no.2
- setting temperatur hood
18:19 pm stop , hole blade masih ada , MED persiapan amplas bagian permukaan yankee yang kasar dan cek seluruh permukaan yankee
20:11 amplas yankee selesai , proses nglapisi yankee dengan release di speed 200mpm
20:47 pm start up dan nunggu Burner hood dry on
21:22 Burner on manual local , pm start up
21:35 onreel , produksi F12
                          Speed 700mpm/-20%
21:40 jumbo roll turun ada hole blade 53cm dari Ds
22:11 coba pakai ceramic blade
22:29 jumbo roll turun masih ada tapi mulai mengecil</t>
  </si>
  <si>
    <t>- Awal shift PM Prod F14
Speed 910mpm</t>
  </si>
  <si>
    <t>Awal sift pm 14 hole bagian ds  seting temperatur hood.yanke,dan spr . Hole masih ada 
Change Blade,setting temperatur dan speed .. hole masih ada 
Pm stop 08.35 mekanik chek dan setting back plate no 2
12.00 mekanik selesai setting back plate no 2 
14.20 pm 14 onreel</t>
  </si>
  <si>
    <t>700/560</t>
  </si>
  <si>
    <t>709,68/567,75</t>
  </si>
  <si>
    <t>734,59/587,68</t>
  </si>
  <si>
    <t>- Change Spool (3x)</t>
  </si>
  <si>
    <t>- Change Spool (7x)</t>
  </si>
  <si>
    <t>14/12</t>
  </si>
  <si>
    <t>- Pm stop 08.35 mekanik chek dan setting back plate no 2</t>
  </si>
  <si>
    <t>- awal shift pm amplas yankee
-yankee stop 1 jam sekali bersihkan amplas 
00:43 stop amplas yankee 
-cleaning area utm dari serbuk besi 
-cleaning area pm 
-setiap 1jam basahi felt
03:57 mulai heating yankee secara perlahan 
-persiapan spray yankee</t>
  </si>
  <si>
    <t>15:00 awal shift pm 14 stop , persiapan amplas yankee
- 15.30 mulai amplas yankee
- amplas yankee , setiap 1 jam sekali amplas di bersihkan
- sumbat jalur air dari amplas yankee ke utm dengan tisu
- drain utm dan cleaning area motor agitator utm
- cleaning area potong core
20:48 ngecek permukaan yankee  yg retak ( 53 cm dr Ds) perubahan sedikit sekali</t>
  </si>
  <si>
    <t>- Awal shift PM Prod F12 LB
Speed aktual 700mpm/-20%
Speed target 1230mpm/-20%</t>
  </si>
  <si>
    <t>07.00 Awal shift jumbo turun masih hole bagian (ds)
13.25 pm stop (amplas yankee)</t>
  </si>
  <si>
    <t>700/500</t>
  </si>
  <si>
    <t>Awal shift pm stop
Pasang selang untuk transfer buburan dari machine chest pm 14 ke Nbkp storage pm 15
Drain dan Cleaning crofta
18:38 Mulai transfer buburan dari machine chest pm 14 ke Nbkp storage pm 15
Drain dan Cleaning pulper
Drain flas tank</t>
  </si>
  <si>
    <t>Awal shift pm 14 stop 
Pekerjaan pm + rewinder +stockprep
- cleaning rewinder
- cleaning UTM 
- siram felt 1jam sekali</t>
  </si>
  <si>
    <t>-lanjut tranfer buburan machine chest ke NBKP storage pn 15
-cleaning broke dump + buka mainhole
-drain couch pit + cleaning
-drain cw + ww</t>
  </si>
  <si>
    <t>MED Check dan setting back plate</t>
  </si>
  <si>
    <t>- tutup bagian atas UTM denga felt, persiapan grinding yankee
- lepas felt dr stecher rool, spr &amp; blendrill dan lipat felt ( alasi &amp;tutup dg felt bekas) 
- tutup spr dan blindril dengan felt bekas
- transfer buburan dari machine chest pm 14 ke Nbkp storage pm 15,habis
- heating yankee utk profile mesin grinding</t>
  </si>
  <si>
    <t>Awal sift pm 14 stop 
Pekerjaan pm + rewinder +stok prape
- cleaning riwender
- mekanik lepas doctor Blade no 1 dan 2
- mekanik mulai pasang support mesin grinding 
- siram felt dgn soda 
- bilas felt 
- kendori felt dan wire</t>
  </si>
  <si>
    <t>- Lanjut grinding yankee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</si>
</sst>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[$-409]mmm\-yy;@"/>
    <numFmt numFmtId="180" formatCode="_(* #,##0.000_);_(* \(#,##0.000\);_(* &quot;-&quot;_);_(@_)"/>
    <numFmt numFmtId="181" formatCode="_(* #,##0.0_);_(* \(#,##0.0\);_(* &quot;-&quot;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sz val="10"/>
      <color indexed="12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C3441"/>
        <bgColor indexed="64"/>
      </patternFill>
    </fill>
    <fill>
      <patternFill patternType="solid">
        <fgColor rgb="FFC41F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</cellStyleXfs>
  <cellXfs count="783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28" fillId="24" borderId="11" xfId="0" quotePrefix="1" applyFont="1" applyFill="1" applyBorder="1"/>
    <xf numFmtId="0" fontId="28" fillId="24" borderId="13" xfId="0" quotePrefix="1" applyFont="1" applyFill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1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1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3" fontId="40" fillId="0" borderId="11" xfId="45" applyNumberFormat="1" applyFont="1" applyBorder="1" applyAlignment="1">
      <alignment horizontal="center"/>
    </xf>
    <xf numFmtId="0" fontId="40" fillId="0" borderId="11" xfId="45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1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7" applyNumberFormat="1" applyFont="1" applyBorder="1"/>
    <xf numFmtId="178" fontId="44" fillId="0" borderId="11" xfId="29" applyNumberFormat="1" applyFont="1" applyFill="1" applyBorder="1" applyAlignment="1">
      <alignment vertical="center"/>
    </xf>
    <xf numFmtId="0" fontId="43" fillId="0" borderId="11" xfId="0" applyFont="1" applyBorder="1" applyAlignment="1">
      <alignment horizontal="center" wrapText="1"/>
    </xf>
    <xf numFmtId="9" fontId="43" fillId="0" borderId="11" xfId="0" applyNumberFormat="1" applyFont="1" applyBorder="1" applyAlignment="1">
      <alignment horizontal="center" wrapText="1"/>
    </xf>
    <xf numFmtId="0" fontId="24" fillId="24" borderId="11" xfId="44" applyFont="1" applyFill="1" applyBorder="1"/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3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8" applyFont="1" applyBorder="1"/>
    <xf numFmtId="10" fontId="44" fillId="25" borderId="11" xfId="51" applyNumberFormat="1" applyFont="1" applyFill="1" applyBorder="1" applyAlignment="1">
      <alignment vertical="center"/>
    </xf>
    <xf numFmtId="166" fontId="44" fillId="25" borderId="11" xfId="51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3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1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1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1" applyNumberFormat="1" applyFont="1" applyFill="1" applyBorder="1" applyAlignment="1" applyProtection="1">
      <alignment horizontal="center" vertical="center"/>
    </xf>
    <xf numFmtId="166" fontId="28" fillId="24" borderId="29" xfId="51" applyNumberFormat="1" applyFont="1" applyFill="1" applyBorder="1" applyAlignment="1" applyProtection="1">
      <alignment horizontal="center" vertical="center"/>
    </xf>
    <xf numFmtId="166" fontId="28" fillId="24" borderId="37" xfId="51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1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1" applyNumberFormat="1" applyFont="1" applyFill="1" applyBorder="1" applyAlignment="1" applyProtection="1">
      <alignment horizontal="center" vertical="center"/>
    </xf>
    <xf numFmtId="166" fontId="28" fillId="24" borderId="15" xfId="51" applyNumberFormat="1" applyFont="1" applyFill="1" applyBorder="1" applyAlignment="1" applyProtection="1">
      <alignment horizontal="center" vertical="center"/>
    </xf>
    <xf numFmtId="166" fontId="28" fillId="24" borderId="34" xfId="51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5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1" applyNumberFormat="1" applyFont="1" applyFill="1" applyBorder="1" applyProtection="1"/>
    <xf numFmtId="166" fontId="28" fillId="24" borderId="24" xfId="51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29" xfId="0" applyFont="1" applyFill="1" applyBorder="1" applyAlignment="1">
      <alignment horizontal="left" vertical="center"/>
    </xf>
    <xf numFmtId="0" fontId="28" fillId="24" borderId="40" xfId="0" applyFont="1" applyFill="1" applyBorder="1" applyAlignment="1">
      <alignment vertical="center" wrapText="1"/>
    </xf>
    <xf numFmtId="0" fontId="28" fillId="24" borderId="54" xfId="0" applyFont="1" applyFill="1" applyBorder="1" applyAlignment="1">
      <alignment horizontal="left" vertical="center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1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1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0" fontId="28" fillId="24" borderId="63" xfId="0" applyFont="1" applyFill="1" applyBorder="1" applyAlignment="1" applyProtection="1">
      <alignment horizontal="left" vertical="center"/>
      <protection locked="0"/>
    </xf>
    <xf numFmtId="165" fontId="28" fillId="24" borderId="55" xfId="51" applyNumberFormat="1" applyFont="1" applyFill="1" applyBorder="1" applyAlignment="1" applyProtection="1">
      <alignment horizontal="center" vertical="center"/>
      <protection locked="0"/>
    </xf>
    <xf numFmtId="165" fontId="28" fillId="24" borderId="54" xfId="51" applyNumberFormat="1" applyFont="1" applyFill="1" applyBorder="1" applyAlignment="1" applyProtection="1">
      <alignment horizontal="center" vertical="center"/>
      <protection locked="0"/>
    </xf>
    <xf numFmtId="165" fontId="28" fillId="24" borderId="64" xfId="51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68" fontId="40" fillId="0" borderId="11" xfId="0" applyNumberFormat="1" applyFont="1" applyBorder="1" applyAlignment="1">
      <alignment horizontal="center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1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1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9" fillId="0" borderId="66" xfId="0" applyNumberFormat="1" applyFont="1" applyBorder="1"/>
    <xf numFmtId="4" fontId="29" fillId="0" borderId="66" xfId="0" applyNumberFormat="1" applyFont="1" applyBorder="1" applyAlignment="1">
      <alignment vertical="justify"/>
    </xf>
    <xf numFmtId="171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2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4" fontId="29" fillId="0" borderId="17" xfId="28" applyNumberFormat="1" applyFont="1" applyBorder="1" applyProtection="1"/>
    <xf numFmtId="0" fontId="29" fillId="0" borderId="11" xfId="0" applyFont="1" applyBorder="1"/>
    <xf numFmtId="172" fontId="29" fillId="0" borderId="11" xfId="28" applyNumberFormat="1" applyFont="1" applyBorder="1" applyProtection="1"/>
    <xf numFmtId="174" fontId="32" fillId="0" borderId="0" xfId="28" applyNumberFormat="1" applyFont="1" applyBorder="1" applyProtection="1"/>
    <xf numFmtId="174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79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3" fontId="48" fillId="0" borderId="11" xfId="45" applyNumberFormat="1" applyFont="1" applyBorder="1" applyAlignment="1">
      <alignment horizontal="center"/>
    </xf>
    <xf numFmtId="16" fontId="24" fillId="24" borderId="0" xfId="28" applyNumberFormat="1" applyFont="1" applyFill="1" applyBorder="1" applyProtection="1">
      <protection locked="0"/>
    </xf>
    <xf numFmtId="173" fontId="49" fillId="0" borderId="67" xfId="0" applyNumberFormat="1" applyFont="1" applyBorder="1"/>
    <xf numFmtId="0" fontId="0" fillId="0" borderId="45" xfId="0" applyBorder="1"/>
    <xf numFmtId="164" fontId="43" fillId="0" borderId="11" xfId="29" applyFont="1" applyFill="1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1" applyNumberFormat="1" applyFont="1" applyFill="1" applyBorder="1"/>
    <xf numFmtId="10" fontId="44" fillId="0" borderId="11" xfId="51" applyNumberFormat="1" applyFont="1" applyFill="1" applyBorder="1"/>
    <xf numFmtId="10" fontId="43" fillId="0" borderId="0" xfId="51" applyNumberFormat="1" applyFont="1" applyFill="1" applyBorder="1" applyAlignment="1">
      <alignment vertical="center"/>
    </xf>
    <xf numFmtId="10" fontId="44" fillId="27" borderId="0" xfId="51" applyNumberFormat="1" applyFont="1" applyFill="1" applyBorder="1"/>
    <xf numFmtId="10" fontId="44" fillId="0" borderId="11" xfId="51" applyNumberFormat="1" applyFont="1" applyFill="1" applyBorder="1" applyAlignment="1">
      <alignment vertical="center"/>
    </xf>
    <xf numFmtId="0" fontId="43" fillId="28" borderId="0" xfId="0" applyFont="1" applyFill="1"/>
    <xf numFmtId="0" fontId="51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65" fontId="44" fillId="28" borderId="0" xfId="0" applyNumberFormat="1" applyFont="1" applyFill="1" applyAlignment="1">
      <alignment horizontal="right"/>
    </xf>
    <xf numFmtId="166" fontId="44" fillId="28" borderId="0" xfId="51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1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8" fontId="44" fillId="4" borderId="11" xfId="29" applyNumberFormat="1" applyFont="1" applyFill="1" applyBorder="1" applyAlignment="1">
      <alignment horizontal="center"/>
    </xf>
    <xf numFmtId="0" fontId="46" fillId="0" borderId="0" xfId="0" applyFont="1"/>
    <xf numFmtId="0" fontId="46" fillId="0" borderId="45" xfId="0" applyFont="1" applyBorder="1"/>
    <xf numFmtId="0" fontId="0" fillId="0" borderId="55" xfId="0" applyBorder="1" applyAlignment="1">
      <alignment horizontal="center" vertical="center"/>
    </xf>
    <xf numFmtId="167" fontId="0" fillId="0" borderId="55" xfId="28" applyNumberFormat="1" applyFont="1" applyBorder="1" applyAlignment="1">
      <alignment horizontal="center" vertical="center" wrapText="1"/>
    </xf>
    <xf numFmtId="1" fontId="49" fillId="0" borderId="67" xfId="0" applyNumberFormat="1" applyFont="1" applyBorder="1" applyAlignment="1">
      <alignment horizontal="center" vertical="center"/>
    </xf>
    <xf numFmtId="0" fontId="0" fillId="0" borderId="68" xfId="0" applyBorder="1"/>
    <xf numFmtId="0" fontId="0" fillId="0" borderId="26" xfId="0" applyBorder="1"/>
    <xf numFmtId="0" fontId="46" fillId="0" borderId="26" xfId="0" applyFont="1" applyBorder="1"/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173" fontId="46" fillId="0" borderId="55" xfId="0" applyNumberFormat="1" applyFont="1" applyBorder="1" applyAlignment="1">
      <alignment horizontal="center" vertical="center"/>
    </xf>
    <xf numFmtId="0" fontId="29" fillId="0" borderId="11" xfId="28" applyNumberFormat="1" applyFont="1" applyBorder="1" applyProtection="1"/>
    <xf numFmtId="178" fontId="53" fillId="0" borderId="0" xfId="29" applyNumberFormat="1" applyFont="1" applyProtection="1"/>
    <xf numFmtId="0" fontId="46" fillId="0" borderId="55" xfId="0" applyFont="1" applyBorder="1"/>
    <xf numFmtId="0" fontId="46" fillId="0" borderId="36" xfId="0" applyFont="1" applyBorder="1"/>
    <xf numFmtId="2" fontId="0" fillId="0" borderId="64" xfId="0" applyNumberFormat="1" applyBorder="1" applyAlignment="1">
      <alignment vertical="center"/>
    </xf>
    <xf numFmtId="2" fontId="0" fillId="0" borderId="40" xfId="0" applyNumberFormat="1" applyBorder="1" applyAlignment="1">
      <alignment vertical="center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1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1" applyFont="1" applyBorder="1" applyAlignment="1" applyProtection="1">
      <alignment horizontal="center" vertical="center"/>
      <protection locked="0"/>
    </xf>
    <xf numFmtId="9" fontId="0" fillId="0" borderId="62" xfId="51" applyFont="1" applyBorder="1" applyAlignment="1" applyProtection="1">
      <alignment horizontal="center" vertical="center"/>
    </xf>
    <xf numFmtId="9" fontId="29" fillId="0" borderId="66" xfId="51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10" fontId="46" fillId="0" borderId="11" xfId="51" applyNumberFormat="1" applyFont="1" applyFill="1" applyBorder="1" applyAlignment="1" applyProtection="1">
      <alignment horizontal="center" vertical="center"/>
      <protection locked="0"/>
    </xf>
    <xf numFmtId="10" fontId="46" fillId="27" borderId="11" xfId="51" applyNumberFormat="1" applyFont="1" applyFill="1" applyBorder="1" applyAlignment="1" applyProtection="1">
      <alignment horizontal="center" vertical="center"/>
      <protection locked="0"/>
    </xf>
    <xf numFmtId="2" fontId="40" fillId="0" borderId="11" xfId="45" applyNumberFormat="1" applyFont="1" applyBorder="1" applyAlignment="1">
      <alignment horizontal="center"/>
    </xf>
    <xf numFmtId="165" fontId="44" fillId="31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173" fontId="46" fillId="0" borderId="0" xfId="0" applyNumberFormat="1" applyFont="1" applyAlignment="1">
      <alignment vertical="center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1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54" fillId="0" borderId="0" xfId="0" applyFont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6" xfId="0" applyFont="1" applyFill="1" applyBorder="1"/>
    <xf numFmtId="9" fontId="24" fillId="0" borderId="21" xfId="51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3" xfId="51" applyNumberFormat="1" applyFont="1" applyFill="1" applyBorder="1" applyAlignment="1">
      <alignment vertical="center"/>
    </xf>
    <xf numFmtId="10" fontId="43" fillId="0" borderId="30" xfId="51" applyNumberFormat="1" applyFont="1" applyFill="1" applyBorder="1" applyAlignment="1">
      <alignment vertical="center"/>
    </xf>
    <xf numFmtId="0" fontId="24" fillId="24" borderId="69" xfId="0" applyFont="1" applyFill="1" applyBorder="1"/>
    <xf numFmtId="0" fontId="24" fillId="24" borderId="36" xfId="0" applyFont="1" applyFill="1" applyBorder="1"/>
    <xf numFmtId="0" fontId="24" fillId="24" borderId="26" xfId="0" applyFont="1" applyFill="1" applyBorder="1"/>
    <xf numFmtId="0" fontId="24" fillId="24" borderId="25" xfId="0" applyFont="1" applyFill="1" applyBorder="1"/>
    <xf numFmtId="0" fontId="24" fillId="24" borderId="17" xfId="0" applyFont="1" applyFill="1" applyBorder="1"/>
    <xf numFmtId="0" fontId="24" fillId="24" borderId="55" xfId="0" applyFont="1" applyFill="1" applyBorder="1"/>
    <xf numFmtId="0" fontId="24" fillId="24" borderId="45" xfId="0" applyFont="1" applyFill="1" applyBorder="1"/>
    <xf numFmtId="0" fontId="40" fillId="0" borderId="11" xfId="57" applyFont="1" applyBorder="1" applyAlignment="1">
      <alignment horizontal="left"/>
    </xf>
    <xf numFmtId="0" fontId="46" fillId="0" borderId="11" xfId="0" applyFont="1" applyBorder="1"/>
    <xf numFmtId="0" fontId="40" fillId="0" borderId="19" xfId="57" applyFont="1" applyBorder="1" applyAlignment="1">
      <alignment horizontal="left"/>
    </xf>
    <xf numFmtId="0" fontId="32" fillId="0" borderId="11" xfId="57" applyFont="1" applyBorder="1" applyAlignment="1">
      <alignment horizontal="left"/>
    </xf>
    <xf numFmtId="178" fontId="44" fillId="0" borderId="17" xfId="29" applyNumberFormat="1" applyFont="1" applyFill="1" applyBorder="1" applyAlignment="1">
      <alignment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0" fontId="55" fillId="34" borderId="0" xfId="0" applyFont="1" applyFill="1"/>
    <xf numFmtId="180" fontId="44" fillId="25" borderId="11" xfId="29" applyNumberFormat="1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27" borderId="0" xfId="0" applyFill="1"/>
    <xf numFmtId="0" fontId="0" fillId="27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9" fontId="54" fillId="27" borderId="11" xfId="51" applyFont="1" applyFill="1" applyBorder="1" applyAlignment="1">
      <alignment horizontal="center" vertical="center" wrapText="1"/>
    </xf>
    <xf numFmtId="10" fontId="0" fillId="0" borderId="11" xfId="51" applyNumberFormat="1" applyFont="1" applyBorder="1" applyAlignment="1">
      <alignment horizontal="center"/>
    </xf>
    <xf numFmtId="2" fontId="54" fillId="33" borderId="11" xfId="0" applyNumberFormat="1" applyFont="1" applyFill="1" applyBorder="1" applyAlignment="1">
      <alignment horizontal="center"/>
    </xf>
    <xf numFmtId="10" fontId="54" fillId="33" borderId="11" xfId="51" applyNumberFormat="1" applyFont="1" applyFill="1" applyBorder="1" applyAlignment="1">
      <alignment horizontal="center"/>
    </xf>
    <xf numFmtId="10" fontId="0" fillId="0" borderId="11" xfId="51" applyNumberFormat="1" applyFont="1" applyBorder="1"/>
    <xf numFmtId="10" fontId="29" fillId="0" borderId="11" xfId="0" applyNumberFormat="1" applyFont="1" applyBorder="1"/>
    <xf numFmtId="0" fontId="54" fillId="27" borderId="11" xfId="0" applyFont="1" applyFill="1" applyBorder="1" applyAlignment="1">
      <alignment horizontal="center" vertical="center"/>
    </xf>
    <xf numFmtId="14" fontId="54" fillId="27" borderId="0" xfId="0" applyNumberFormat="1" applyFont="1" applyFill="1" applyAlignment="1">
      <alignment horizontal="center" vertical="center"/>
    </xf>
    <xf numFmtId="2" fontId="54" fillId="27" borderId="0" xfId="0" applyNumberFormat="1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51" applyNumberFormat="1" applyFont="1" applyBorder="1" applyAlignment="1">
      <alignment horizontal="center"/>
    </xf>
    <xf numFmtId="0" fontId="0" fillId="27" borderId="11" xfId="0" applyFill="1" applyBorder="1"/>
    <xf numFmtId="0" fontId="0" fillId="0" borderId="0" xfId="0" quotePrefix="1"/>
    <xf numFmtId="14" fontId="0" fillId="0" borderId="0" xfId="0" applyNumberFormat="1" applyAlignment="1">
      <alignment horizontal="center"/>
    </xf>
    <xf numFmtId="10" fontId="0" fillId="0" borderId="11" xfId="0" applyNumberFormat="1" applyBorder="1" applyAlignment="1">
      <alignment horizontal="right"/>
    </xf>
    <xf numFmtId="0" fontId="0" fillId="0" borderId="62" xfId="0" applyBorder="1"/>
    <xf numFmtId="10" fontId="0" fillId="0" borderId="11" xfId="0" applyNumberFormat="1" applyBorder="1" applyAlignment="1">
      <alignment horizontal="center"/>
    </xf>
    <xf numFmtId="0" fontId="0" fillId="35" borderId="0" xfId="0" applyFill="1"/>
    <xf numFmtId="0" fontId="46" fillId="27" borderId="0" xfId="0" applyFont="1" applyFill="1"/>
    <xf numFmtId="0" fontId="46" fillId="35" borderId="0" xfId="0" applyFont="1" applyFill="1"/>
    <xf numFmtId="0" fontId="46" fillId="27" borderId="0" xfId="0" applyFont="1" applyFill="1" applyAlignment="1">
      <alignment horizontal="center"/>
    </xf>
    <xf numFmtId="0" fontId="46" fillId="35" borderId="0" xfId="0" applyFont="1" applyFill="1" applyAlignment="1">
      <alignment horizontal="center"/>
    </xf>
    <xf numFmtId="4" fontId="0" fillId="34" borderId="0" xfId="0" applyNumberFormat="1" applyFill="1" applyAlignment="1">
      <alignment horizontal="center" vertical="center"/>
    </xf>
    <xf numFmtId="4" fontId="0" fillId="34" borderId="0" xfId="0" applyNumberFormat="1" applyFill="1" applyAlignment="1">
      <alignment vertical="center"/>
    </xf>
    <xf numFmtId="4" fontId="0" fillId="35" borderId="0" xfId="0" applyNumberFormat="1" applyFill="1" applyAlignment="1">
      <alignment vertical="center"/>
    </xf>
    <xf numFmtId="0" fontId="0" fillId="35" borderId="0" xfId="0" applyFill="1" applyAlignment="1">
      <alignment vertical="center"/>
    </xf>
    <xf numFmtId="4" fontId="46" fillId="0" borderId="0" xfId="0" applyNumberFormat="1" applyFont="1" applyAlignment="1">
      <alignment horizontal="center" vertical="center"/>
    </xf>
    <xf numFmtId="4" fontId="46" fillId="0" borderId="0" xfId="0" applyNumberFormat="1" applyFont="1" applyAlignment="1">
      <alignment vertical="center"/>
    </xf>
    <xf numFmtId="0" fontId="29" fillId="33" borderId="11" xfId="0" applyFont="1" applyFill="1" applyBorder="1"/>
    <xf numFmtId="0" fontId="40" fillId="38" borderId="11" xfId="57" applyFont="1" applyFill="1" applyBorder="1" applyAlignment="1">
      <alignment horizontal="left"/>
    </xf>
    <xf numFmtId="0" fontId="0" fillId="39" borderId="11" xfId="0" applyFill="1" applyBorder="1"/>
    <xf numFmtId="0" fontId="46" fillId="39" borderId="11" xfId="0" applyFont="1" applyFill="1" applyBorder="1"/>
    <xf numFmtId="10" fontId="0" fillId="38" borderId="17" xfId="51" applyNumberFormat="1" applyFont="1" applyFill="1" applyBorder="1"/>
    <xf numFmtId="10" fontId="0" fillId="0" borderId="17" xfId="51" applyNumberFormat="1" applyFont="1" applyBorder="1"/>
    <xf numFmtId="0" fontId="59" fillId="0" borderId="11" xfId="57" applyFont="1" applyBorder="1" applyAlignment="1">
      <alignment horizontal="left"/>
    </xf>
    <xf numFmtId="10" fontId="58" fillId="27" borderId="11" xfId="51" applyNumberFormat="1" applyFont="1" applyFill="1" applyBorder="1"/>
    <xf numFmtId="0" fontId="23" fillId="0" borderId="0" xfId="41" applyFont="1"/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0" fontId="44" fillId="29" borderId="11" xfId="51" applyNumberFormat="1" applyFont="1" applyFill="1" applyBorder="1" applyAlignment="1">
      <alignment vertical="center"/>
    </xf>
    <xf numFmtId="10" fontId="44" fillId="4" borderId="11" xfId="51" applyNumberFormat="1" applyFont="1" applyFill="1" applyBorder="1" applyAlignment="1">
      <alignment vertical="center"/>
    </xf>
    <xf numFmtId="10" fontId="44" fillId="25" borderId="11" xfId="51" applyNumberFormat="1" applyFont="1" applyFill="1" applyBorder="1"/>
    <xf numFmtId="166" fontId="44" fillId="0" borderId="0" xfId="52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2" fontId="40" fillId="0" borderId="11" xfId="46" applyNumberFormat="1" applyFont="1" applyBorder="1" applyAlignment="1">
      <alignment horizontal="center"/>
    </xf>
    <xf numFmtId="10" fontId="43" fillId="0" borderId="11" xfId="51" applyNumberFormat="1" applyFont="1" applyFill="1" applyBorder="1" applyAlignment="1">
      <alignment vertical="center"/>
    </xf>
    <xf numFmtId="178" fontId="43" fillId="0" borderId="19" xfId="29" applyNumberFormat="1" applyFont="1" applyFill="1" applyBorder="1" applyAlignment="1">
      <alignment vertical="center"/>
    </xf>
    <xf numFmtId="2" fontId="37" fillId="0" borderId="11" xfId="47" applyNumberFormat="1" applyFont="1" applyBorder="1"/>
    <xf numFmtId="2" fontId="43" fillId="0" borderId="0" xfId="0" applyNumberFormat="1" applyFont="1"/>
    <xf numFmtId="181" fontId="44" fillId="0" borderId="11" xfId="29" applyNumberFormat="1" applyFont="1" applyFill="1" applyBorder="1" applyAlignment="1">
      <alignment vertical="center"/>
    </xf>
    <xf numFmtId="10" fontId="43" fillId="28" borderId="0" xfId="0" applyNumberFormat="1" applyFont="1" applyFill="1" applyAlignment="1">
      <alignment horizontal="right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5" fontId="28" fillId="24" borderId="17" xfId="0" applyNumberFormat="1" applyFont="1" applyFill="1" applyBorder="1" applyAlignment="1" applyProtection="1">
      <alignment horizontal="left"/>
      <protection locked="0"/>
    </xf>
    <xf numFmtId="2" fontId="0" fillId="0" borderId="11" xfId="28" applyNumberFormat="1" applyFont="1" applyBorder="1" applyAlignment="1">
      <alignment horizontal="center"/>
    </xf>
    <xf numFmtId="10" fontId="0" fillId="0" borderId="0" xfId="0" applyNumberFormat="1"/>
    <xf numFmtId="178" fontId="44" fillId="40" borderId="11" xfId="61" applyNumberFormat="1" applyFont="1" applyFill="1" applyBorder="1" applyAlignment="1">
      <alignment horizontal="center" vertical="center" wrapText="1"/>
    </xf>
    <xf numFmtId="178" fontId="44" fillId="26" borderId="14" xfId="61" applyNumberFormat="1" applyFont="1" applyFill="1" applyBorder="1" applyAlignment="1">
      <alignment horizontal="center" vertical="center" wrapText="1"/>
    </xf>
    <xf numFmtId="178" fontId="44" fillId="26" borderId="11" xfId="61" applyNumberFormat="1" applyFont="1" applyFill="1" applyBorder="1" applyAlignment="1">
      <alignment horizontal="center" vertical="center" wrapText="1"/>
    </xf>
    <xf numFmtId="178" fontId="44" fillId="40" borderId="14" xfId="61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9" fillId="0" borderId="0" xfId="41" applyFont="1"/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4" fillId="27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27" borderId="0" xfId="0" applyFont="1" applyFill="1" applyAlignment="1">
      <alignment horizontal="center"/>
    </xf>
    <xf numFmtId="1" fontId="44" fillId="0" borderId="0" xfId="51" applyNumberFormat="1" applyFont="1" applyFill="1" applyBorder="1" applyAlignment="1">
      <alignment vertical="center"/>
    </xf>
    <xf numFmtId="2" fontId="29" fillId="0" borderId="86" xfId="28" applyNumberFormat="1" applyFont="1" applyBorder="1" applyAlignment="1">
      <alignment horizontal="center" vertical="center"/>
    </xf>
    <xf numFmtId="2" fontId="29" fillId="0" borderId="86" xfId="28" applyNumberFormat="1" applyFont="1" applyFill="1" applyBorder="1" applyAlignment="1" applyProtection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54" fillId="27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1" applyNumberFormat="1" applyFont="1" applyFill="1" applyBorder="1" applyAlignment="1">
      <alignment horizontal="center" vertical="center"/>
    </xf>
    <xf numFmtId="10" fontId="0" fillId="0" borderId="11" xfId="51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54" fillId="0" borderId="60" xfId="0" applyFont="1" applyBorder="1" applyAlignment="1">
      <alignment vertical="center"/>
    </xf>
    <xf numFmtId="10" fontId="54" fillId="0" borderId="11" xfId="51" applyNumberFormat="1" applyFont="1" applyBorder="1" applyAlignment="1">
      <alignment horizontal="center"/>
    </xf>
    <xf numFmtId="0" fontId="21" fillId="0" borderId="0" xfId="41" applyFont="1"/>
    <xf numFmtId="0" fontId="22" fillId="0" borderId="0" xfId="41" applyFont="1"/>
    <xf numFmtId="165" fontId="46" fillId="11" borderId="11" xfId="28" applyFont="1" applyFill="1" applyBorder="1" applyAlignment="1" applyProtection="1">
      <alignment horizontal="center"/>
    </xf>
    <xf numFmtId="165" fontId="29" fillId="0" borderId="23" xfId="28" applyFont="1" applyBorder="1" applyProtection="1"/>
    <xf numFmtId="1" fontId="46" fillId="27" borderId="39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vertical="center"/>
    </xf>
    <xf numFmtId="0" fontId="28" fillId="24" borderId="86" xfId="0" applyFont="1" applyFill="1" applyBorder="1" applyAlignment="1" applyProtection="1">
      <alignment horizontal="center"/>
      <protection locked="0"/>
    </xf>
    <xf numFmtId="173" fontId="49" fillId="0" borderId="87" xfId="0" applyNumberFormat="1" applyFont="1" applyBorder="1"/>
    <xf numFmtId="0" fontId="46" fillId="0" borderId="69" xfId="0" applyFont="1" applyBorder="1"/>
    <xf numFmtId="0" fontId="0" fillId="0" borderId="0" xfId="0" applyBorder="1"/>
    <xf numFmtId="0" fontId="46" fillId="0" borderId="0" xfId="0" applyFont="1" applyFill="1" applyBorder="1"/>
    <xf numFmtId="0" fontId="0" fillId="0" borderId="0" xfId="0" applyFill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73" fontId="46" fillId="0" borderId="87" xfId="0" applyNumberFormat="1" applyFont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0" fontId="1" fillId="0" borderId="11" xfId="51" applyNumberFormat="1" applyFont="1" applyFill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46" fillId="27" borderId="0" xfId="0" applyFont="1" applyFill="1" applyAlignment="1">
      <alignment horizontal="center"/>
    </xf>
    <xf numFmtId="43" fontId="24" fillId="24" borderId="0" xfId="0" applyNumberFormat="1" applyFont="1" applyFill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171" fontId="39" fillId="0" borderId="11" xfId="0" applyNumberFormat="1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168" fontId="39" fillId="0" borderId="11" xfId="0" applyNumberFormat="1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0" fontId="4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4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46" fillId="27" borderId="0" xfId="0" applyFont="1" applyFill="1" applyAlignment="1">
      <alignment horizontal="center"/>
    </xf>
    <xf numFmtId="169" fontId="36" fillId="0" borderId="0" xfId="0" applyNumberFormat="1" applyFont="1" applyAlignment="1">
      <alignment horizontal="center" vertical="center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justify" wrapText="1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20" xfId="28" applyNumberFormat="1" applyFont="1" applyFill="1" applyBorder="1" applyAlignment="1" applyProtection="1">
      <alignment horizontal="center"/>
    </xf>
    <xf numFmtId="167" fontId="34" fillId="32" borderId="19" xfId="28" applyNumberFormat="1" applyFont="1" applyFill="1" applyBorder="1" applyAlignment="1" applyProtection="1">
      <alignment horizontal="center"/>
    </xf>
    <xf numFmtId="178" fontId="44" fillId="40" borderId="86" xfId="61" applyNumberFormat="1" applyFont="1" applyFill="1" applyBorder="1" applyAlignment="1">
      <alignment horizontal="center" vertical="center" wrapText="1"/>
    </xf>
    <xf numFmtId="178" fontId="44" fillId="40" borderId="62" xfId="61" applyNumberFormat="1" applyFont="1" applyFill="1" applyBorder="1" applyAlignment="1">
      <alignment horizontal="center" vertical="center" wrapText="1"/>
    </xf>
    <xf numFmtId="178" fontId="44" fillId="40" borderId="17" xfId="61" applyNumberFormat="1" applyFont="1" applyFill="1" applyBorder="1" applyAlignment="1">
      <alignment horizontal="center" vertical="center" wrapText="1"/>
    </xf>
    <xf numFmtId="178" fontId="44" fillId="26" borderId="86" xfId="61" applyNumberFormat="1" applyFont="1" applyFill="1" applyBorder="1" applyAlignment="1">
      <alignment horizontal="center" vertical="center" wrapText="1"/>
    </xf>
    <xf numFmtId="178" fontId="44" fillId="26" borderId="62" xfId="61" applyNumberFormat="1" applyFont="1" applyFill="1" applyBorder="1" applyAlignment="1">
      <alignment horizontal="center" vertical="center" wrapText="1"/>
    </xf>
    <xf numFmtId="178" fontId="44" fillId="26" borderId="17" xfId="61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6" xfId="0" applyFont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25" borderId="62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66" fontId="44" fillId="25" borderId="14" xfId="51" applyNumberFormat="1" applyFont="1" applyFill="1" applyBorder="1" applyAlignment="1">
      <alignment horizontal="center" vertical="center" wrapText="1"/>
    </xf>
    <xf numFmtId="166" fontId="44" fillId="25" borderId="62" xfId="51" applyNumberFormat="1" applyFont="1" applyFill="1" applyBorder="1" applyAlignment="1">
      <alignment horizontal="center" vertical="center" wrapText="1"/>
    </xf>
    <xf numFmtId="166" fontId="44" fillId="25" borderId="17" xfId="51" applyNumberFormat="1" applyFont="1" applyFill="1" applyBorder="1" applyAlignment="1">
      <alignment horizontal="center" vertical="center" wrapText="1"/>
    </xf>
    <xf numFmtId="178" fontId="44" fillId="0" borderId="62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8" xfId="0" applyNumberFormat="1" applyFont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7" fontId="44" fillId="0" borderId="30" xfId="0" applyNumberFormat="1" applyFont="1" applyBorder="1" applyAlignment="1">
      <alignment horizontal="center" vertical="center"/>
    </xf>
    <xf numFmtId="177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2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4" borderId="58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30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2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/>
    </xf>
    <xf numFmtId="178" fontId="44" fillId="40" borderId="58" xfId="61" applyNumberFormat="1" applyFont="1" applyFill="1" applyBorder="1" applyAlignment="1">
      <alignment horizontal="center" vertical="center" wrapText="1"/>
    </xf>
    <xf numFmtId="178" fontId="44" fillId="40" borderId="31" xfId="61" applyNumberFormat="1" applyFont="1" applyFill="1" applyBorder="1" applyAlignment="1">
      <alignment horizontal="center" vertical="center" wrapText="1"/>
    </xf>
    <xf numFmtId="178" fontId="44" fillId="26" borderId="13" xfId="61" applyNumberFormat="1" applyFont="1" applyFill="1" applyBorder="1" applyAlignment="1">
      <alignment horizontal="center" vertical="center" wrapText="1"/>
    </xf>
    <xf numFmtId="178" fontId="44" fillId="26" borderId="19" xfId="61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44" xfId="41" applyFont="1" applyBorder="1" applyAlignment="1">
      <alignment horizontal="center" vertical="center"/>
    </xf>
    <xf numFmtId="0" fontId="29" fillId="0" borderId="75" xfId="41" applyFont="1" applyBorder="1" applyAlignment="1">
      <alignment horizontal="center" vertical="center"/>
    </xf>
    <xf numFmtId="0" fontId="29" fillId="0" borderId="46" xfId="41" applyFont="1" applyBorder="1" applyAlignment="1">
      <alignment horizontal="center" vertical="center"/>
    </xf>
    <xf numFmtId="0" fontId="29" fillId="0" borderId="54" xfId="41" applyFont="1" applyBorder="1" applyAlignment="1">
      <alignment horizontal="center" vertical="center"/>
    </xf>
    <xf numFmtId="0" fontId="29" fillId="0" borderId="62" xfId="41" applyFont="1" applyBorder="1" applyAlignment="1">
      <alignment horizontal="center" vertical="center"/>
    </xf>
    <xf numFmtId="0" fontId="29" fillId="0" borderId="29" xfId="4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11" borderId="54" xfId="41" applyFont="1" applyFill="1" applyBorder="1" applyAlignment="1">
      <alignment horizontal="center" vertical="center" wrapText="1"/>
    </xf>
    <xf numFmtId="0" fontId="29" fillId="11" borderId="62" xfId="41" applyFont="1" applyFill="1" applyBorder="1" applyAlignment="1">
      <alignment horizontal="center" vertical="center" wrapText="1"/>
    </xf>
    <xf numFmtId="0" fontId="29" fillId="11" borderId="29" xfId="41" applyFont="1" applyFill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0" fontId="29" fillId="0" borderId="77" xfId="41" applyFont="1" applyBorder="1" applyAlignment="1">
      <alignment horizontal="center"/>
    </xf>
    <xf numFmtId="0" fontId="29" fillId="0" borderId="78" xfId="41" applyFont="1" applyBorder="1" applyAlignment="1">
      <alignment horizontal="center"/>
    </xf>
    <xf numFmtId="0" fontId="29" fillId="0" borderId="22" xfId="41" applyFont="1" applyBorder="1" applyAlignment="1">
      <alignment horizontal="center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62" fillId="0" borderId="79" xfId="62" applyFont="1" applyFill="1" applyBorder="1" applyAlignment="1">
      <alignment horizontal="center" vertical="center"/>
    </xf>
    <xf numFmtId="0" fontId="62" fillId="0" borderId="80" xfId="62" applyFont="1" applyFill="1" applyBorder="1" applyAlignment="1">
      <alignment horizontal="center" vertical="center"/>
    </xf>
    <xf numFmtId="0" fontId="62" fillId="0" borderId="81" xfId="62" applyFont="1" applyFill="1" applyBorder="1" applyAlignment="1">
      <alignment horizontal="center" vertical="center"/>
    </xf>
    <xf numFmtId="0" fontId="54" fillId="0" borderId="86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10" fontId="54" fillId="0" borderId="86" xfId="0" applyNumberFormat="1" applyFont="1" applyBorder="1" applyAlignment="1">
      <alignment horizontal="center" vertical="center"/>
    </xf>
    <xf numFmtId="10" fontId="54" fillId="0" borderId="62" xfId="0" applyNumberFormat="1" applyFont="1" applyBorder="1" applyAlignment="1">
      <alignment horizontal="center" vertical="center"/>
    </xf>
    <xf numFmtId="10" fontId="54" fillId="0" borderId="17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6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54" fillId="0" borderId="86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1" fillId="0" borderId="11" xfId="51" applyNumberFormat="1" applyFont="1" applyFill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86" xfId="51" applyNumberFormat="1" applyFont="1" applyFill="1" applyBorder="1" applyAlignment="1">
      <alignment horizontal="center" vertical="center"/>
    </xf>
    <xf numFmtId="10" fontId="1" fillId="0" borderId="62" xfId="51" applyNumberFormat="1" applyFont="1" applyFill="1" applyBorder="1" applyAlignment="1">
      <alignment horizontal="center" vertical="center"/>
    </xf>
    <xf numFmtId="10" fontId="1" fillId="0" borderId="17" xfId="51" applyNumberFormat="1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10" fontId="54" fillId="0" borderId="86" xfId="51" applyNumberFormat="1" applyFont="1" applyFill="1" applyBorder="1" applyAlignment="1">
      <alignment horizontal="center" vertical="center"/>
    </xf>
    <xf numFmtId="10" fontId="54" fillId="0" borderId="17" xfId="51" applyNumberFormat="1" applyFont="1" applyFill="1" applyBorder="1" applyAlignment="1">
      <alignment horizontal="center" vertic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6" fillId="0" borderId="75" xfId="0" applyFont="1" applyBorder="1" applyAlignment="1" applyProtection="1">
      <alignment horizontal="center" vertical="center" textRotation="180" wrapText="1"/>
      <protection locked="0"/>
    </xf>
    <xf numFmtId="0" fontId="46" fillId="0" borderId="46" xfId="0" applyFont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5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8" fillId="24" borderId="69" xfId="0" applyFont="1" applyFill="1" applyBorder="1" applyAlignment="1">
      <alignment horizontal="center"/>
    </xf>
    <xf numFmtId="0" fontId="28" fillId="24" borderId="70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28" fillId="24" borderId="76" xfId="0" applyFont="1" applyFill="1" applyBorder="1" applyAlignment="1">
      <alignment horizontal="center"/>
    </xf>
    <xf numFmtId="0" fontId="28" fillId="24" borderId="74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77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4" fillId="24" borderId="77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47" fillId="24" borderId="27" xfId="0" applyFont="1" applyFill="1" applyBorder="1" applyAlignment="1">
      <alignment horizontal="center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61"/>
    <cellStyle name="Comma 2" xfId="59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58"/>
    <cellStyle name="Normal_April_3" xfId="43"/>
    <cellStyle name="Normal_DES 11_1" xfId="57"/>
    <cellStyle name="Normal_Juli_37" xfId="44"/>
    <cellStyle name="Normal_Juni" xfId="45"/>
    <cellStyle name="Normal_Juni_4" xfId="46"/>
    <cellStyle name="Normal_Mar_18" xfId="47"/>
    <cellStyle name="Normal_Mar_6" xfId="48"/>
    <cellStyle name="Normal_Sheet1" xfId="62"/>
    <cellStyle name="Note" xfId="49" builtinId="10" customBuiltin="1"/>
    <cellStyle name="Output" xfId="50" builtinId="21" customBuiltin="1"/>
    <cellStyle name="Percent" xfId="51" builtinId="5"/>
    <cellStyle name="Percent 2" xfId="60"/>
    <cellStyle name="Percent_Okt_6" xfId="52"/>
    <cellStyle name="Title" xfId="53" builtinId="15" customBuiltin="1"/>
    <cellStyle name="Total" xfId="54" builtinId="25" customBuiltin="1"/>
    <cellStyle name="Warning Text" xfId="55" builtinId="11" customBuiltin="1"/>
  </cellStyles>
  <dxfs count="28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8.9130000000000003</c:v>
                </c:pt>
                <c:pt idx="1">
                  <c:v>36.587000000000003</c:v>
                </c:pt>
                <c:pt idx="2">
                  <c:v>36.482999999999997</c:v>
                </c:pt>
                <c:pt idx="3">
                  <c:v>41.1</c:v>
                </c:pt>
                <c:pt idx="4">
                  <c:v>40.323999999999998</c:v>
                </c:pt>
                <c:pt idx="5">
                  <c:v>41.719000000000001</c:v>
                </c:pt>
                <c:pt idx="6">
                  <c:v>42.372</c:v>
                </c:pt>
                <c:pt idx="7">
                  <c:v>43.186999999999998</c:v>
                </c:pt>
                <c:pt idx="8">
                  <c:v>36.542999999999999</c:v>
                </c:pt>
                <c:pt idx="9">
                  <c:v>35.942</c:v>
                </c:pt>
                <c:pt idx="10">
                  <c:v>40.204999999999998</c:v>
                </c:pt>
                <c:pt idx="11">
                  <c:v>40.722000000000001</c:v>
                </c:pt>
                <c:pt idx="12">
                  <c:v>39.529000000000003</c:v>
                </c:pt>
                <c:pt idx="13">
                  <c:v>34.832999999999998</c:v>
                </c:pt>
                <c:pt idx="14">
                  <c:v>34.671999999999997</c:v>
                </c:pt>
                <c:pt idx="15">
                  <c:v>38.429000000000002</c:v>
                </c:pt>
                <c:pt idx="16">
                  <c:v>35.892000000000003</c:v>
                </c:pt>
                <c:pt idx="17">
                  <c:v>35.277999999999999</c:v>
                </c:pt>
                <c:pt idx="18">
                  <c:v>2.8210000000000002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14.464</c:v>
                </c:pt>
                <c:pt idx="27">
                  <c:v>10.173</c:v>
                </c:pt>
                <c:pt idx="28">
                  <c:v>10.403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835392"/>
        <c:axId val="32483696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84D-4D4B-98D9-68728F9C0EDF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0.20473999820231253</c:v>
                </c:pt>
                <c:pt idx="1">
                  <c:v>0.84868927408601358</c:v>
                </c:pt>
                <c:pt idx="2">
                  <c:v>0.85738843360794581</c:v>
                </c:pt>
                <c:pt idx="3">
                  <c:v>0.91146147535282618</c:v>
                </c:pt>
                <c:pt idx="4">
                  <c:v>0.92939544766787285</c:v>
                </c:pt>
                <c:pt idx="5">
                  <c:v>0.95068273527083169</c:v>
                </c:pt>
                <c:pt idx="6">
                  <c:v>0.96700039420516659</c:v>
                </c:pt>
                <c:pt idx="7">
                  <c:v>0.98571546801593302</c:v>
                </c:pt>
                <c:pt idx="8">
                  <c:v>0.83407044591442425</c:v>
                </c:pt>
                <c:pt idx="9">
                  <c:v>0.82035300788266541</c:v>
                </c:pt>
                <c:pt idx="10">
                  <c:v>0.91753522389796827</c:v>
                </c:pt>
                <c:pt idx="11">
                  <c:v>0.87740189909938582</c:v>
                </c:pt>
                <c:pt idx="12">
                  <c:v>0.85364740091566238</c:v>
                </c:pt>
                <c:pt idx="13">
                  <c:v>0.74835821284914428</c:v>
                </c:pt>
                <c:pt idx="14">
                  <c:v>0.77149255241027948</c:v>
                </c:pt>
                <c:pt idx="15">
                  <c:v>0.84942606328376835</c:v>
                </c:pt>
                <c:pt idx="16">
                  <c:v>0.86844313177403898</c:v>
                </c:pt>
                <c:pt idx="17">
                  <c:v>0.83094229705022715</c:v>
                </c:pt>
                <c:pt idx="18">
                  <c:v>6.5665038564767561E-2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0.27892518175260894</c:v>
                </c:pt>
                <c:pt idx="27">
                  <c:v>0.2042365760857677</c:v>
                </c:pt>
                <c:pt idx="28">
                  <c:v>0.23000544920340599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D-4D4B-98D9-68728F9C0ED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0.20473999820231253</c:v>
                </c:pt>
                <c:pt idx="1">
                  <c:v>0.52514177755980551</c:v>
                </c:pt>
                <c:pt idx="2">
                  <c:v>0.63456997773466162</c:v>
                </c:pt>
                <c:pt idx="3">
                  <c:v>0.70620875216277046</c:v>
                </c:pt>
                <c:pt idx="4">
                  <c:v>0.75069483195417153</c:v>
                </c:pt>
                <c:pt idx="5">
                  <c:v>0.78424809578128274</c:v>
                </c:pt>
                <c:pt idx="6">
                  <c:v>0.81047100981936437</c:v>
                </c:pt>
                <c:pt idx="7">
                  <c:v>0.83245902365817026</c:v>
                </c:pt>
                <c:pt idx="8">
                  <c:v>0.83263866940567333</c:v>
                </c:pt>
                <c:pt idx="9">
                  <c:v>0.83140640639654106</c:v>
                </c:pt>
                <c:pt idx="10">
                  <c:v>0.8392586297168001</c:v>
                </c:pt>
                <c:pt idx="11">
                  <c:v>0.84261756093813134</c:v>
                </c:pt>
                <c:pt idx="12">
                  <c:v>0.84350837338063034</c:v>
                </c:pt>
                <c:pt idx="13">
                  <c:v>0.83636387529272782</c:v>
                </c:pt>
                <c:pt idx="14">
                  <c:v>0.83197872851952948</c:v>
                </c:pt>
                <c:pt idx="15">
                  <c:v>0.83309034735560317</c:v>
                </c:pt>
                <c:pt idx="16">
                  <c:v>0.83503482959920494</c:v>
                </c:pt>
                <c:pt idx="17">
                  <c:v>0.83481596307228922</c:v>
                </c:pt>
                <c:pt idx="18">
                  <c:v>0.79532967621636808</c:v>
                </c:pt>
                <c:pt idx="19">
                  <c:v>0.75649320505378692</c:v>
                </c:pt>
                <c:pt idx="20">
                  <c:v>0.72127297148871838</c:v>
                </c:pt>
                <c:pt idx="21">
                  <c:v>0.68918635873105194</c:v>
                </c:pt>
                <c:pt idx="22">
                  <c:v>0.65983297122143314</c:v>
                </c:pt>
                <c:pt idx="23">
                  <c:v>0.63287784035049799</c:v>
                </c:pt>
                <c:pt idx="24">
                  <c:v>0.60803858504017794</c:v>
                </c:pt>
                <c:pt idx="25">
                  <c:v>0.58507548167555523</c:v>
                </c:pt>
                <c:pt idx="26">
                  <c:v>0.57172778935844437</c:v>
                </c:pt>
                <c:pt idx="27">
                  <c:v>0.55695656792940307</c:v>
                </c:pt>
                <c:pt idx="28">
                  <c:v>0.54544356618776801</c:v>
                </c:pt>
                <c:pt idx="29">
                  <c:v>0.52756301818136786</c:v>
                </c:pt>
                <c:pt idx="30">
                  <c:v>0.51081756803054779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835000"/>
        <c:axId val="324832648"/>
      </c:lineChart>
      <c:catAx>
        <c:axId val="32483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4836960"/>
        <c:crosses val="autoZero"/>
        <c:auto val="1"/>
        <c:lblAlgn val="ctr"/>
        <c:lblOffset val="100"/>
        <c:noMultiLvlLbl val="0"/>
      </c:catAx>
      <c:valAx>
        <c:axId val="32483696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324835392"/>
        <c:crosses val="autoZero"/>
        <c:crossBetween val="between"/>
      </c:valAx>
      <c:valAx>
        <c:axId val="3248326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24835000"/>
        <c:crosses val="max"/>
        <c:crossBetween val="between"/>
      </c:valAx>
      <c:catAx>
        <c:axId val="324835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24832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504824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Ga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Documents%20Network%20Produksi%20-%20PM\10.%20OKTOBER\Users\win7\Documents\PM%2014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IP%20PM%2014%20OK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ug"/>
      <sheetName val="Sept"/>
      <sheetName val="Okt"/>
      <sheetName val="Nov"/>
      <sheetName val="%error"/>
      <sheetName val="P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N4">
            <v>6222</v>
          </cell>
        </row>
        <row r="5">
          <cell r="N5">
            <v>10170</v>
          </cell>
        </row>
        <row r="6">
          <cell r="N6">
            <v>10705</v>
          </cell>
        </row>
        <row r="7">
          <cell r="N7">
            <v>10311.399999999907</v>
          </cell>
        </row>
        <row r="8">
          <cell r="N8">
            <v>9137.5</v>
          </cell>
        </row>
        <row r="9">
          <cell r="N9">
            <v>9470.1000000000931</v>
          </cell>
        </row>
        <row r="10">
          <cell r="N10">
            <v>9195</v>
          </cell>
        </row>
        <row r="11">
          <cell r="N11">
            <v>10332</v>
          </cell>
        </row>
        <row r="12">
          <cell r="N12">
            <v>11585</v>
          </cell>
        </row>
        <row r="13">
          <cell r="N13">
            <v>13160</v>
          </cell>
        </row>
        <row r="14">
          <cell r="N14">
            <v>13661</v>
          </cell>
        </row>
        <row r="15">
          <cell r="N15">
            <v>13032</v>
          </cell>
        </row>
        <row r="16">
          <cell r="N16">
            <v>12939</v>
          </cell>
        </row>
        <row r="17">
          <cell r="N17">
            <v>13528</v>
          </cell>
        </row>
        <row r="18">
          <cell r="N18">
            <v>10508</v>
          </cell>
        </row>
        <row r="19">
          <cell r="N19">
            <v>11578</v>
          </cell>
        </row>
        <row r="20">
          <cell r="N20">
            <v>11911</v>
          </cell>
        </row>
        <row r="21">
          <cell r="N21">
            <v>11352</v>
          </cell>
        </row>
        <row r="22">
          <cell r="N22">
            <v>10235</v>
          </cell>
        </row>
        <row r="23">
          <cell r="N23">
            <v>10155</v>
          </cell>
        </row>
        <row r="24">
          <cell r="N24">
            <v>10321</v>
          </cell>
        </row>
        <row r="25">
          <cell r="N25">
            <v>10307</v>
          </cell>
        </row>
        <row r="26">
          <cell r="N26">
            <v>10405</v>
          </cell>
        </row>
        <row r="27">
          <cell r="N27">
            <v>9612</v>
          </cell>
        </row>
        <row r="28">
          <cell r="N28">
            <v>6796</v>
          </cell>
        </row>
        <row r="29">
          <cell r="N29">
            <v>3168</v>
          </cell>
        </row>
        <row r="30">
          <cell r="N30">
            <v>11736</v>
          </cell>
        </row>
        <row r="31">
          <cell r="N31">
            <v>11783</v>
          </cell>
        </row>
        <row r="32">
          <cell r="N32">
            <v>10281</v>
          </cell>
        </row>
        <row r="33">
          <cell r="N33">
            <v>9687</v>
          </cell>
        </row>
        <row r="34">
          <cell r="N34">
            <v>8568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D7">
            <v>98.21000000089407</v>
          </cell>
          <cell r="AH7">
            <v>2500</v>
          </cell>
          <cell r="AI7">
            <v>4968.6499999999996</v>
          </cell>
          <cell r="AJ7">
            <v>17128.650000000001</v>
          </cell>
        </row>
        <row r="8">
          <cell r="AH8">
            <v>4600.0000000003638</v>
          </cell>
          <cell r="AI8">
            <v>8477.09</v>
          </cell>
          <cell r="AJ8">
            <v>27637.09</v>
          </cell>
        </row>
        <row r="9">
          <cell r="AH9">
            <v>4599.9999999985448</v>
          </cell>
          <cell r="AI9">
            <v>8186.11</v>
          </cell>
          <cell r="AJ9">
            <v>26346.11</v>
          </cell>
        </row>
        <row r="10">
          <cell r="AH10">
            <v>4700.0000000007276</v>
          </cell>
          <cell r="AI10">
            <v>6613.22</v>
          </cell>
          <cell r="AJ10">
            <v>25773.22</v>
          </cell>
        </row>
        <row r="11">
          <cell r="AH11">
            <v>4500</v>
          </cell>
          <cell r="AI11">
            <v>8360.24</v>
          </cell>
          <cell r="AJ11">
            <v>26520.240000000002</v>
          </cell>
        </row>
        <row r="12">
          <cell r="AH12">
            <v>4500</v>
          </cell>
          <cell r="AI12">
            <v>6882.37</v>
          </cell>
          <cell r="AJ12">
            <v>26042.37</v>
          </cell>
        </row>
        <row r="13">
          <cell r="AH13">
            <v>4500</v>
          </cell>
          <cell r="AI13">
            <v>8886.65</v>
          </cell>
          <cell r="AJ13">
            <v>26046.65</v>
          </cell>
        </row>
        <row r="14">
          <cell r="AH14">
            <v>4700.0000000007276</v>
          </cell>
          <cell r="AI14">
            <v>7972.13</v>
          </cell>
          <cell r="AJ14">
            <v>25132.13</v>
          </cell>
        </row>
        <row r="15">
          <cell r="AH15">
            <v>4399.9999999996362</v>
          </cell>
          <cell r="AI15">
            <v>8029.93</v>
          </cell>
          <cell r="AJ15">
            <v>25189.93</v>
          </cell>
        </row>
        <row r="16">
          <cell r="AH16">
            <v>4500</v>
          </cell>
          <cell r="AI16">
            <v>8158.67</v>
          </cell>
          <cell r="AJ16">
            <v>26318.67</v>
          </cell>
        </row>
        <row r="17">
          <cell r="AH17">
            <v>4600.0000000003638</v>
          </cell>
          <cell r="AI17">
            <v>8071.39</v>
          </cell>
          <cell r="AJ17">
            <v>26231.39</v>
          </cell>
        </row>
        <row r="18">
          <cell r="AH18">
            <v>4399.9999999996362</v>
          </cell>
          <cell r="AI18">
            <v>7665.54</v>
          </cell>
          <cell r="AJ18">
            <v>25825.54</v>
          </cell>
        </row>
        <row r="19">
          <cell r="AH19">
            <v>4500</v>
          </cell>
          <cell r="AI19">
            <v>7461.47</v>
          </cell>
          <cell r="AJ19">
            <v>25621.47</v>
          </cell>
        </row>
        <row r="20">
          <cell r="AH20">
            <v>4500</v>
          </cell>
          <cell r="AI20">
            <v>7306.2</v>
          </cell>
          <cell r="AJ20">
            <v>25466.2</v>
          </cell>
        </row>
        <row r="21">
          <cell r="AH21">
            <v>4299.9999999992724</v>
          </cell>
          <cell r="AI21">
            <v>8733.6</v>
          </cell>
          <cell r="AJ21">
            <v>25893.599999999999</v>
          </cell>
        </row>
        <row r="22">
          <cell r="AH22">
            <v>4200.0000000007276</v>
          </cell>
          <cell r="AI22">
            <v>6715.2</v>
          </cell>
          <cell r="AJ22">
            <v>23875.200000000001</v>
          </cell>
        </row>
        <row r="23">
          <cell r="AH23">
            <v>4500</v>
          </cell>
          <cell r="AI23">
            <v>8529.3799999999992</v>
          </cell>
          <cell r="AJ23">
            <v>26689.38</v>
          </cell>
        </row>
        <row r="24">
          <cell r="AH24">
            <v>4399.9999999996362</v>
          </cell>
          <cell r="AI24">
            <v>7868.99</v>
          </cell>
          <cell r="AJ24">
            <v>25028.99</v>
          </cell>
        </row>
        <row r="25">
          <cell r="AH25">
            <v>700.0000000007276</v>
          </cell>
          <cell r="AI25">
            <v>1653.29</v>
          </cell>
          <cell r="AJ25">
            <v>5813.29</v>
          </cell>
        </row>
        <row r="26">
          <cell r="AH26">
            <v>699.99999999890861</v>
          </cell>
          <cell r="AI26">
            <v>572.61</v>
          </cell>
          <cell r="AJ26">
            <v>3732.61</v>
          </cell>
        </row>
        <row r="27">
          <cell r="AH27">
            <v>399.9999999996362</v>
          </cell>
          <cell r="AI27">
            <v>1322.43</v>
          </cell>
          <cell r="AJ27">
            <v>4482.43</v>
          </cell>
        </row>
        <row r="28">
          <cell r="AH28">
            <v>500</v>
          </cell>
          <cell r="AI28">
            <v>1208.74</v>
          </cell>
          <cell r="AJ28">
            <v>4368.74</v>
          </cell>
        </row>
        <row r="29">
          <cell r="AH29">
            <v>200.0000000007276</v>
          </cell>
          <cell r="AI29">
            <v>591.97</v>
          </cell>
          <cell r="AJ29">
            <v>3751.9700000000003</v>
          </cell>
        </row>
        <row r="30">
          <cell r="AH30">
            <v>299.9999999992724</v>
          </cell>
          <cell r="AI30">
            <v>1862.73</v>
          </cell>
          <cell r="AJ30">
            <v>5022.7299999999996</v>
          </cell>
        </row>
        <row r="31">
          <cell r="AH31">
            <v>300.00000000109139</v>
          </cell>
          <cell r="AI31">
            <v>1245.32</v>
          </cell>
          <cell r="AJ31">
            <v>4405.32</v>
          </cell>
        </row>
        <row r="32">
          <cell r="AH32">
            <v>299.9999999992724</v>
          </cell>
          <cell r="AI32">
            <v>120.11</v>
          </cell>
          <cell r="AJ32">
            <v>4280.1100000000006</v>
          </cell>
        </row>
        <row r="33">
          <cell r="AH33">
            <v>3300.0000000010914</v>
          </cell>
          <cell r="AI33">
            <v>3655.91</v>
          </cell>
          <cell r="AJ33">
            <v>16815.91</v>
          </cell>
        </row>
        <row r="34">
          <cell r="AH34">
            <v>3599.9999999985448</v>
          </cell>
          <cell r="AI34">
            <v>1774.39</v>
          </cell>
          <cell r="AJ34">
            <v>13934.39</v>
          </cell>
        </row>
        <row r="35">
          <cell r="AH35">
            <v>1800.0000000010914</v>
          </cell>
          <cell r="AI35">
            <v>2529.58</v>
          </cell>
          <cell r="AJ35">
            <v>9689.58</v>
          </cell>
        </row>
        <row r="36">
          <cell r="AH36">
            <v>500</v>
          </cell>
          <cell r="AI36">
            <v>1205.3</v>
          </cell>
          <cell r="AJ36">
            <v>3365.3</v>
          </cell>
        </row>
        <row r="37">
          <cell r="AH37">
            <v>299.9999999992724</v>
          </cell>
          <cell r="AI37">
            <v>634.99000000036381</v>
          </cell>
          <cell r="AJ37">
            <v>4694.99</v>
          </cell>
        </row>
      </sheetData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6">
          <cell r="F66">
            <v>268.48241204869333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536"/>
  <sheetViews>
    <sheetView zoomScaleNormal="100" workbookViewId="0">
      <pane xSplit="3" ySplit="8" topLeftCell="AH9" activePane="bottomRight" state="frozen"/>
      <selection pane="topRight" activeCell="E1" sqref="E1"/>
      <selection pane="bottomLeft" activeCell="A9" sqref="A9"/>
      <selection pane="bottomRight" activeCell="AP39" sqref="AP39"/>
    </sheetView>
  </sheetViews>
  <sheetFormatPr defaultColWidth="9.140625" defaultRowHeight="12.75"/>
  <cols>
    <col min="1" max="1" width="7.5703125" style="282" customWidth="1"/>
    <col min="2" max="2" width="12" style="281" customWidth="1"/>
    <col min="3" max="3" width="12.28515625" style="281" bestFit="1" customWidth="1"/>
    <col min="4" max="4" width="8.28515625" style="281" customWidth="1"/>
    <col min="5" max="5" width="8" style="281" customWidth="1"/>
    <col min="6" max="6" width="6.85546875" style="281" customWidth="1"/>
    <col min="7" max="11" width="8.7109375" style="281" customWidth="1"/>
    <col min="12" max="12" width="8.7109375" style="283" customWidth="1"/>
    <col min="13" max="15" width="8.7109375" style="284" customWidth="1"/>
    <col min="16" max="16" width="8.7109375" style="283" customWidth="1"/>
    <col min="17" max="17" width="8.7109375" style="284" customWidth="1"/>
    <col min="18" max="18" width="8.7109375" style="283" customWidth="1"/>
    <col min="19" max="19" width="8.7109375" style="285" customWidth="1"/>
    <col min="20" max="20" width="10.7109375" style="285" bestFit="1" customWidth="1"/>
    <col min="21" max="21" width="9.140625" style="285" bestFit="1" customWidth="1"/>
    <col min="22" max="25" width="8.7109375" style="285" customWidth="1"/>
    <col min="26" max="27" width="7.7109375" style="285" customWidth="1"/>
    <col min="28" max="29" width="7.7109375" style="286" customWidth="1"/>
    <col min="30" max="30" width="7.7109375" style="285" customWidth="1"/>
    <col min="31" max="31" width="7.7109375" style="286" customWidth="1"/>
    <col min="32" max="32" width="8.85546875" style="285" customWidth="1"/>
    <col min="33" max="33" width="11.140625" style="285" customWidth="1"/>
    <col min="34" max="37" width="7.5703125" style="286" customWidth="1"/>
    <col min="38" max="38" width="10.140625" bestFit="1" customWidth="1"/>
    <col min="42" max="42" width="10.28515625" style="456" bestFit="1" customWidth="1"/>
    <col min="43" max="43" width="9.7109375" style="480" bestFit="1" customWidth="1"/>
    <col min="50" max="52" width="9.5703125" bestFit="1" customWidth="1"/>
    <col min="53" max="53" width="8.7109375" style="283" customWidth="1"/>
    <col min="54" max="54" width="8.7109375" style="284" customWidth="1"/>
    <col min="55" max="56" width="8.7109375" style="281" customWidth="1"/>
  </cols>
  <sheetData>
    <row r="1" spans="1:56" ht="12.75" customHeight="1">
      <c r="A1" s="280"/>
    </row>
    <row r="2" spans="1:56">
      <c r="A2" s="280"/>
    </row>
    <row r="3" spans="1:56" ht="12.75" customHeight="1">
      <c r="A3" s="618" t="s">
        <v>185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  <c r="R3" s="618"/>
      <c r="S3" s="618"/>
      <c r="T3" s="618"/>
      <c r="U3" s="618"/>
      <c r="V3" s="618"/>
      <c r="W3" s="618"/>
      <c r="X3" s="618"/>
      <c r="Y3" s="618"/>
      <c r="Z3" s="618"/>
      <c r="AA3" s="618"/>
      <c r="AB3" s="618"/>
      <c r="AC3" s="618"/>
      <c r="AD3" s="618"/>
      <c r="AE3" s="618"/>
      <c r="AF3" s="618"/>
      <c r="AG3" s="618"/>
      <c r="AH3" s="618"/>
      <c r="AI3" s="618"/>
      <c r="AJ3" s="618"/>
      <c r="AK3" s="618"/>
      <c r="BA3"/>
      <c r="BB3"/>
      <c r="BC3"/>
      <c r="BD3"/>
    </row>
    <row r="4" spans="1:56" ht="12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  <c r="T4" s="618"/>
      <c r="U4" s="618"/>
      <c r="V4" s="618"/>
      <c r="W4" s="618"/>
      <c r="X4" s="618"/>
      <c r="Y4" s="618"/>
      <c r="Z4" s="618"/>
      <c r="AA4" s="618"/>
      <c r="AB4" s="618"/>
      <c r="AC4" s="618"/>
      <c r="AD4" s="618"/>
      <c r="AE4" s="618"/>
      <c r="AF4" s="618"/>
      <c r="AG4" s="618"/>
      <c r="AH4" s="618"/>
      <c r="AI4" s="618"/>
      <c r="AJ4" s="618"/>
      <c r="AK4" s="618"/>
      <c r="AL4" s="454"/>
      <c r="AM4" s="455"/>
      <c r="AN4" s="455"/>
      <c r="BA4"/>
      <c r="BB4"/>
      <c r="BC4"/>
      <c r="BD4"/>
    </row>
    <row r="5" spans="1:56">
      <c r="H5" s="283"/>
      <c r="I5" s="284"/>
      <c r="J5" s="284"/>
      <c r="K5" s="284"/>
      <c r="BC5" s="284"/>
      <c r="BD5" s="284"/>
    </row>
    <row r="6" spans="1:56" ht="22.7" customHeight="1">
      <c r="A6" s="619" t="s">
        <v>8</v>
      </c>
      <c r="B6" s="604" t="s">
        <v>9</v>
      </c>
      <c r="C6" s="604" t="s">
        <v>5</v>
      </c>
      <c r="D6" s="604" t="s">
        <v>178</v>
      </c>
      <c r="E6" s="604" t="s">
        <v>179</v>
      </c>
      <c r="F6" s="604" t="s">
        <v>175</v>
      </c>
      <c r="G6" s="604" t="s">
        <v>174</v>
      </c>
      <c r="H6" s="604" t="s">
        <v>176</v>
      </c>
      <c r="I6" s="604" t="s">
        <v>177</v>
      </c>
      <c r="J6" s="606" t="s">
        <v>181</v>
      </c>
      <c r="K6" s="607"/>
      <c r="L6" s="605" t="s">
        <v>180</v>
      </c>
      <c r="M6" s="605"/>
      <c r="N6" s="605" t="s">
        <v>182</v>
      </c>
      <c r="O6" s="605"/>
      <c r="P6" s="612" t="s">
        <v>30</v>
      </c>
      <c r="Q6" s="612"/>
      <c r="R6" s="610" t="s">
        <v>23</v>
      </c>
      <c r="S6" s="610"/>
      <c r="T6" s="610" t="s">
        <v>31</v>
      </c>
      <c r="U6" s="610"/>
      <c r="V6" s="610"/>
      <c r="W6" s="610"/>
      <c r="X6" s="610"/>
      <c r="Y6" s="610"/>
      <c r="Z6" s="610" t="s">
        <v>32</v>
      </c>
      <c r="AA6" s="610"/>
      <c r="AB6" s="610"/>
      <c r="AC6" s="610"/>
      <c r="AD6" s="610"/>
      <c r="AE6" s="610"/>
      <c r="AF6" s="610" t="s">
        <v>33</v>
      </c>
      <c r="AG6" s="610"/>
      <c r="AH6" s="610"/>
      <c r="AI6" s="610"/>
      <c r="AJ6" s="610"/>
      <c r="AK6" s="610"/>
      <c r="BA6" s="605" t="s">
        <v>377</v>
      </c>
      <c r="BB6" s="605"/>
      <c r="BC6" s="606" t="s">
        <v>378</v>
      </c>
      <c r="BD6" s="607"/>
    </row>
    <row r="7" spans="1:56" ht="22.7" customHeight="1">
      <c r="A7" s="620"/>
      <c r="B7" s="604"/>
      <c r="C7" s="604"/>
      <c r="D7" s="604"/>
      <c r="E7" s="604"/>
      <c r="F7" s="604"/>
      <c r="G7" s="604"/>
      <c r="H7" s="604"/>
      <c r="I7" s="604"/>
      <c r="J7" s="608"/>
      <c r="K7" s="609"/>
      <c r="L7" s="605"/>
      <c r="M7" s="605"/>
      <c r="N7" s="605"/>
      <c r="O7" s="605"/>
      <c r="P7" s="612"/>
      <c r="Q7" s="612"/>
      <c r="R7" s="610"/>
      <c r="S7" s="610"/>
      <c r="T7" s="610" t="s">
        <v>36</v>
      </c>
      <c r="U7" s="610"/>
      <c r="V7" s="610" t="s">
        <v>34</v>
      </c>
      <c r="W7" s="610"/>
      <c r="X7" s="610" t="s">
        <v>35</v>
      </c>
      <c r="Y7" s="610"/>
      <c r="Z7" s="610" t="s">
        <v>36</v>
      </c>
      <c r="AA7" s="610"/>
      <c r="AB7" s="611" t="s">
        <v>34</v>
      </c>
      <c r="AC7" s="611"/>
      <c r="AD7" s="610" t="s">
        <v>35</v>
      </c>
      <c r="AE7" s="610"/>
      <c r="AF7" s="610" t="s">
        <v>36</v>
      </c>
      <c r="AG7" s="610"/>
      <c r="AH7" s="610" t="s">
        <v>26</v>
      </c>
      <c r="AI7" s="610"/>
      <c r="AJ7" s="610" t="s">
        <v>27</v>
      </c>
      <c r="AK7" s="610"/>
      <c r="AL7" s="601" t="s">
        <v>272</v>
      </c>
      <c r="AM7" s="602"/>
      <c r="AN7" s="602"/>
      <c r="AO7" s="603" t="s">
        <v>227</v>
      </c>
      <c r="AP7" s="481" t="s">
        <v>273</v>
      </c>
      <c r="AQ7" s="482" t="s">
        <v>135</v>
      </c>
      <c r="AR7" s="613" t="s">
        <v>274</v>
      </c>
      <c r="AS7" s="614"/>
      <c r="AT7" s="614"/>
      <c r="AU7" s="615" t="s">
        <v>275</v>
      </c>
      <c r="AV7" s="616"/>
      <c r="AW7" s="616"/>
      <c r="AX7" s="617" t="s">
        <v>289</v>
      </c>
      <c r="AY7" s="617"/>
      <c r="AZ7" s="617"/>
      <c r="BA7" s="605"/>
      <c r="BB7" s="605"/>
      <c r="BC7" s="608"/>
      <c r="BD7" s="609"/>
    </row>
    <row r="8" spans="1:56" s="1" customFormat="1">
      <c r="A8" s="621"/>
      <c r="B8" s="604"/>
      <c r="C8" s="604"/>
      <c r="D8" s="604"/>
      <c r="E8" s="604"/>
      <c r="F8" s="604"/>
      <c r="G8" s="604"/>
      <c r="H8" s="604"/>
      <c r="I8" s="604"/>
      <c r="J8" s="427" t="s">
        <v>37</v>
      </c>
      <c r="K8" s="425" t="s">
        <v>38</v>
      </c>
      <c r="L8" s="287" t="s">
        <v>37</v>
      </c>
      <c r="M8" s="288" t="s">
        <v>38</v>
      </c>
      <c r="N8" s="287" t="s">
        <v>37</v>
      </c>
      <c r="O8" s="288" t="s">
        <v>38</v>
      </c>
      <c r="P8" s="287" t="s">
        <v>37</v>
      </c>
      <c r="Q8" s="288" t="s">
        <v>38</v>
      </c>
      <c r="R8" s="287" t="s">
        <v>37</v>
      </c>
      <c r="S8" s="289" t="s">
        <v>38</v>
      </c>
      <c r="T8" s="292" t="s">
        <v>37</v>
      </c>
      <c r="U8" s="288" t="s">
        <v>38</v>
      </c>
      <c r="V8" s="293" t="s">
        <v>37</v>
      </c>
      <c r="W8" s="288" t="s">
        <v>38</v>
      </c>
      <c r="X8" s="293" t="s">
        <v>37</v>
      </c>
      <c r="Y8" s="288" t="s">
        <v>38</v>
      </c>
      <c r="Z8" s="290" t="s">
        <v>37</v>
      </c>
      <c r="AA8" s="289" t="s">
        <v>38</v>
      </c>
      <c r="AB8" s="291" t="s">
        <v>37</v>
      </c>
      <c r="AC8" s="294" t="s">
        <v>38</v>
      </c>
      <c r="AD8" s="290" t="s">
        <v>37</v>
      </c>
      <c r="AE8" s="294" t="s">
        <v>38</v>
      </c>
      <c r="AF8" s="290" t="s">
        <v>37</v>
      </c>
      <c r="AG8" s="289" t="s">
        <v>38</v>
      </c>
      <c r="AH8" s="291" t="s">
        <v>37</v>
      </c>
      <c r="AI8" s="294" t="s">
        <v>38</v>
      </c>
      <c r="AJ8" s="291" t="s">
        <v>37</v>
      </c>
      <c r="AK8" s="294" t="s">
        <v>38</v>
      </c>
      <c r="AL8" s="1">
        <v>14</v>
      </c>
      <c r="AM8" s="1">
        <v>15</v>
      </c>
      <c r="AN8" s="1">
        <v>17</v>
      </c>
      <c r="AO8" s="603"/>
      <c r="AP8" s="483" t="s">
        <v>276</v>
      </c>
      <c r="AQ8" s="484"/>
      <c r="AU8" s="1">
        <v>14</v>
      </c>
      <c r="AV8" s="1">
        <v>15</v>
      </c>
      <c r="AW8" s="1">
        <v>17</v>
      </c>
      <c r="AX8" s="1">
        <v>14</v>
      </c>
      <c r="AY8" s="1">
        <v>15</v>
      </c>
      <c r="AZ8" s="1">
        <v>17</v>
      </c>
      <c r="BA8" s="287" t="s">
        <v>37</v>
      </c>
      <c r="BB8" s="288" t="s">
        <v>38</v>
      </c>
      <c r="BC8" s="427" t="s">
        <v>37</v>
      </c>
      <c r="BD8" s="425" t="s">
        <v>38</v>
      </c>
    </row>
    <row r="9" spans="1:56" s="400" customFormat="1" ht="12.75" customHeight="1">
      <c r="A9" s="414">
        <v>45931</v>
      </c>
      <c r="B9" s="423" t="s">
        <v>7</v>
      </c>
      <c r="C9" s="401" t="s">
        <v>387</v>
      </c>
      <c r="D9" s="393">
        <f>+'1'!F42</f>
        <v>1092.6998491704373</v>
      </c>
      <c r="E9" s="393">
        <f>+'1'!G42</f>
        <v>841.37888386123677</v>
      </c>
      <c r="F9" s="48">
        <f t="shared" ref="F9:F39" si="0">1-(E9/D9)</f>
        <v>0.22999999999999998</v>
      </c>
      <c r="G9" s="419">
        <f>+P9/N9</f>
        <v>0.4309376057342757</v>
      </c>
      <c r="H9" s="415">
        <f>+P9/L9</f>
        <v>0.38283370470545725</v>
      </c>
      <c r="I9" s="415">
        <f>+R9/P9</f>
        <v>0.53480139205568222</v>
      </c>
      <c r="J9" s="420">
        <f>+R9/L9</f>
        <v>0.20473999820231253</v>
      </c>
      <c r="K9" s="420">
        <f>+S9/M9</f>
        <v>0.20473999820231253</v>
      </c>
      <c r="L9" s="394">
        <f>+Efficiency1!K6</f>
        <v>43.53326208</v>
      </c>
      <c r="M9" s="395">
        <f>L9</f>
        <v>43.53326208</v>
      </c>
      <c r="N9" s="394">
        <f>+Efficiency1!C6</f>
        <v>38.673812120904977</v>
      </c>
      <c r="O9" s="395">
        <f>N9</f>
        <v>38.673812120904977</v>
      </c>
      <c r="P9" s="395">
        <f>'1'!I38</f>
        <v>16.666</v>
      </c>
      <c r="Q9" s="395">
        <f>P9</f>
        <v>16.666</v>
      </c>
      <c r="R9" s="395">
        <f>'1'!I40</f>
        <v>8.9130000000000003</v>
      </c>
      <c r="S9" s="395">
        <f>R9</f>
        <v>8.9130000000000003</v>
      </c>
      <c r="T9" s="100">
        <f>+AX9</f>
        <v>2177.5972831470212</v>
      </c>
      <c r="U9" s="295">
        <f>T9</f>
        <v>2177.5972831470212</v>
      </c>
      <c r="V9" s="295">
        <f>T9/P9</f>
        <v>130.66106343135851</v>
      </c>
      <c r="W9" s="295">
        <f>U9/Q9</f>
        <v>130.66106343135851</v>
      </c>
      <c r="X9" s="296">
        <f>IF(AND(R9&gt;0,T9&gt;0),(T9/(R9*1000))*1000,0)</f>
        <v>244.31698453349279</v>
      </c>
      <c r="Y9" s="295">
        <f>IF(AND(S9&gt;0,U9&gt;0),U9/S9,0)</f>
        <v>244.31698453349279</v>
      </c>
      <c r="Z9" s="397">
        <v>39.200000000000003</v>
      </c>
      <c r="AA9" s="398">
        <f>Z9</f>
        <v>39.200000000000003</v>
      </c>
      <c r="AB9" s="399">
        <f t="shared" ref="AB9:AB39" si="1">Z9/(P9)</f>
        <v>2.3520940837633506</v>
      </c>
      <c r="AC9" s="399">
        <f t="shared" ref="AC9:AC39" si="2">AA9/(Q9)</f>
        <v>2.3520940837633506</v>
      </c>
      <c r="AD9" s="394">
        <f t="shared" ref="AD9:AD39" si="3">IF(AND(R9&gt;0,Z9&gt;0),Z9/(R9),0)</f>
        <v>4.3980702344889488</v>
      </c>
      <c r="AE9" s="399">
        <f t="shared" ref="AE9:AE39" si="4">IF(AND(S9&gt;0,AA9&gt;0),AA9/(S9),0)</f>
        <v>4.3980702344889488</v>
      </c>
      <c r="AF9" s="398">
        <f>'1'!I46</f>
        <v>24597.300000000003</v>
      </c>
      <c r="AG9" s="398">
        <f>AF9</f>
        <v>24597.300000000003</v>
      </c>
      <c r="AH9" s="399">
        <f t="shared" ref="AH9:AH39" si="5">IF(AND(L9&gt;0,AF9&gt;0),(AF9/(P9*1000)*1000),0)</f>
        <v>1475.8970358814354</v>
      </c>
      <c r="AI9" s="399">
        <f t="shared" ref="AI9:AI39" si="6">IF(AND(M9&gt;0,AG9&gt;0),(AG9/(Q9*1000)*1000),0)</f>
        <v>1475.8970358814354</v>
      </c>
      <c r="AJ9" s="399">
        <f t="shared" ref="AJ9:AJ39" si="7">IF(AND(R9&gt;0,AF9&gt;0),(AF9/(R9*1000)*1000),0)</f>
        <v>2759.7105351733426</v>
      </c>
      <c r="AK9" s="399">
        <f t="shared" ref="AK9:AK39" si="8">IF(AND(S9&gt;0,AG9&gt;0),(AG9/(S9*1000)*1000),0)</f>
        <v>2759.7105351733426</v>
      </c>
      <c r="AL9" s="485">
        <v>2226</v>
      </c>
      <c r="AM9" s="486">
        <v>4134.3</v>
      </c>
      <c r="AN9" s="455">
        <v>0</v>
      </c>
      <c r="AO9" s="455">
        <f>SUM(AL9:AN9)</f>
        <v>6360.3</v>
      </c>
      <c r="AP9" s="543">
        <f>+[1]Okt!N4</f>
        <v>6222</v>
      </c>
      <c r="AQ9" s="487">
        <f t="shared" ref="AQ9:AQ39" si="9">+AP9-AO9</f>
        <v>-138.30000000000018</v>
      </c>
      <c r="AR9" s="458">
        <f t="shared" ref="AR9:AR37" si="10">+AL9/AO9</f>
        <v>0.34998349134474788</v>
      </c>
      <c r="AS9" s="458">
        <f t="shared" ref="AS9:AS37" si="11">+AM9/AO9</f>
        <v>0.65001650865525207</v>
      </c>
      <c r="AT9" s="458">
        <f>1-AR9-AS9</f>
        <v>0</v>
      </c>
      <c r="AU9" s="458">
        <f>+AR9*AQ9</f>
        <v>-48.402716852978692</v>
      </c>
      <c r="AV9" s="458">
        <f>+AS9*AQ9</f>
        <v>-89.897283147021483</v>
      </c>
      <c r="AW9" s="458">
        <f>+AT9*AQ9</f>
        <v>0</v>
      </c>
      <c r="AX9" s="458">
        <f>+AL9+AU9</f>
        <v>2177.5972831470212</v>
      </c>
      <c r="AY9" s="400">
        <f t="shared" ref="AY9:AY37" si="12">+AM9+AV9</f>
        <v>4044.4027168529788</v>
      </c>
      <c r="AZ9" s="400">
        <f t="shared" ref="AZ9:AZ37" si="13">+AN9+AW9</f>
        <v>0</v>
      </c>
      <c r="BA9" s="394">
        <f>+Efficiency2!K6</f>
        <v>21.76663104</v>
      </c>
      <c r="BB9" s="395">
        <f>BA9</f>
        <v>21.76663104</v>
      </c>
      <c r="BC9" s="420">
        <f>+R9/BA9</f>
        <v>0.40947999640462507</v>
      </c>
      <c r="BD9" s="420">
        <f>+S9/BB9</f>
        <v>0.40947999640462507</v>
      </c>
    </row>
    <row r="10" spans="1:56" s="400" customFormat="1" ht="12.75" customHeight="1">
      <c r="A10" s="414">
        <f t="shared" ref="A10:A38" si="14">A9+1</f>
        <v>45932</v>
      </c>
      <c r="B10" s="423" t="s">
        <v>7</v>
      </c>
      <c r="C10" s="401" t="s">
        <v>387</v>
      </c>
      <c r="D10" s="393">
        <f>+'2'!F42</f>
        <v>1215.9375</v>
      </c>
      <c r="E10" s="393">
        <f>+'2'!G42</f>
        <v>936.27187500000002</v>
      </c>
      <c r="F10" s="48">
        <f t="shared" si="0"/>
        <v>0.22999999999999998</v>
      </c>
      <c r="G10" s="419">
        <f t="shared" ref="G10:G41" si="15">+P10/N10</f>
        <v>0.94537096575460433</v>
      </c>
      <c r="H10" s="415">
        <f t="shared" ref="H10:H41" si="16">+P10/L10</f>
        <v>0.93456260867661733</v>
      </c>
      <c r="I10" s="415">
        <f t="shared" ref="I10:I41" si="17">+R10/P10</f>
        <v>0.90811387723696302</v>
      </c>
      <c r="J10" s="420">
        <f t="shared" ref="J10:J41" si="18">+R10/L10</f>
        <v>0.84868927408601358</v>
      </c>
      <c r="K10" s="420">
        <f t="shared" ref="K10:K39" si="19">+S10/M10</f>
        <v>0.52514177755980551</v>
      </c>
      <c r="L10" s="394">
        <f>+Efficiency1!K12</f>
        <v>43.110006355862062</v>
      </c>
      <c r="M10" s="395">
        <f t="shared" ref="M10:O38" si="20">M9+L10</f>
        <v>86.643268435862069</v>
      </c>
      <c r="N10" s="394">
        <f>+Efficiency1!C12</f>
        <v>42.617132807586202</v>
      </c>
      <c r="O10" s="395">
        <f t="shared" si="20"/>
        <v>81.290944928491172</v>
      </c>
      <c r="P10" s="395">
        <f>'2'!I38</f>
        <v>40.289000000000001</v>
      </c>
      <c r="Q10" s="395">
        <f t="shared" ref="Q10:Q38" si="21">Q9+P10</f>
        <v>56.954999999999998</v>
      </c>
      <c r="R10" s="395">
        <f>'2'!I40</f>
        <v>36.587000000000003</v>
      </c>
      <c r="S10" s="395">
        <f t="shared" ref="S10:S38" si="22">S9+R10</f>
        <v>45.5</v>
      </c>
      <c r="T10" s="100">
        <f>+AX10</f>
        <v>4583.8841646887322</v>
      </c>
      <c r="U10" s="13">
        <f>T10+U9</f>
        <v>6761.481447835753</v>
      </c>
      <c r="V10" s="295">
        <f>T10/P10</f>
        <v>113.7750791702135</v>
      </c>
      <c r="W10" s="295">
        <f t="shared" ref="W10:W39" si="23">U10/Q10</f>
        <v>118.71620486060492</v>
      </c>
      <c r="X10" s="296">
        <f>IF(AND(R10&gt;0,T10&gt;0),(T10/(R10*1000))*1000,0)</f>
        <v>125.28723767154268</v>
      </c>
      <c r="Y10" s="295">
        <f t="shared" ref="Y10:Y39" si="24">IF(AND(S10&gt;0,U10&gt;0),U10/S10,0)</f>
        <v>148.60398786452205</v>
      </c>
      <c r="Z10" s="397">
        <v>60.6</v>
      </c>
      <c r="AA10" s="396">
        <f t="shared" ref="AA10:AA38" si="25">Z10+AA9</f>
        <v>99.800000000000011</v>
      </c>
      <c r="AB10" s="399">
        <f t="shared" si="1"/>
        <v>1.5041326416639778</v>
      </c>
      <c r="AC10" s="399">
        <f t="shared" si="2"/>
        <v>1.7522605565797562</v>
      </c>
      <c r="AD10" s="394">
        <f t="shared" si="3"/>
        <v>1.6563260174378878</v>
      </c>
      <c r="AE10" s="399">
        <f t="shared" si="4"/>
        <v>2.1934065934065936</v>
      </c>
      <c r="AF10" s="398">
        <f>'2'!I46</f>
        <v>40714.180000000364</v>
      </c>
      <c r="AG10" s="396">
        <f t="shared" ref="AG10:AG38" si="26">AF10+AG9</f>
        <v>65311.480000000367</v>
      </c>
      <c r="AH10" s="399">
        <f t="shared" si="5"/>
        <v>1010.5532527488983</v>
      </c>
      <c r="AI10" s="399">
        <f t="shared" si="6"/>
        <v>1146.7207444473772</v>
      </c>
      <c r="AJ10" s="399">
        <f t="shared" si="7"/>
        <v>1112.8045480635299</v>
      </c>
      <c r="AK10" s="399">
        <f t="shared" si="8"/>
        <v>1435.417142857151</v>
      </c>
      <c r="AL10" s="454">
        <v>4823.3999999999996</v>
      </c>
      <c r="AM10" s="455">
        <v>5878</v>
      </c>
      <c r="AN10" s="455">
        <v>0</v>
      </c>
      <c r="AO10" s="455">
        <f t="shared" ref="AO10:AO11" si="27">SUM(AL10:AN10)</f>
        <v>10701.4</v>
      </c>
      <c r="AP10" s="580">
        <f>+[1]Okt!N5</f>
        <v>10170</v>
      </c>
      <c r="AQ10" s="487">
        <f t="shared" si="9"/>
        <v>-531.39999999999964</v>
      </c>
      <c r="AR10" s="458">
        <f t="shared" si="10"/>
        <v>0.45072607322406411</v>
      </c>
      <c r="AS10" s="458">
        <f t="shared" si="11"/>
        <v>0.54927392677593589</v>
      </c>
      <c r="AT10" s="458">
        <f t="shared" ref="AT10:AT37" si="28">1-AR10-AS10</f>
        <v>0</v>
      </c>
      <c r="AU10" s="458">
        <f t="shared" ref="AU10:AU37" si="29">+AR10*AQ10</f>
        <v>-239.51583531126749</v>
      </c>
      <c r="AV10" s="458">
        <f t="shared" ref="AV10:AV37" si="30">+AS10*AQ10</f>
        <v>-291.88416468873214</v>
      </c>
      <c r="AW10" s="458">
        <f>+AT10*AQ10</f>
        <v>0</v>
      </c>
      <c r="AX10" s="400">
        <f t="shared" ref="AX10:AX37" si="31">+AL10+AU10</f>
        <v>4583.8841646887322</v>
      </c>
      <c r="AY10" s="458">
        <f>+AM10+AV10</f>
        <v>5586.1158353112678</v>
      </c>
      <c r="AZ10" s="400">
        <f t="shared" si="13"/>
        <v>0</v>
      </c>
      <c r="BA10" s="394">
        <f>+Efficiency2!K12</f>
        <v>43.110006355862062</v>
      </c>
      <c r="BB10" s="395">
        <f t="shared" ref="BB10:BB38" si="32">BB9+BA10</f>
        <v>64.876637395862062</v>
      </c>
      <c r="BC10" s="420">
        <f t="shared" ref="BC10:BC41" si="33">+R10/BA10</f>
        <v>0.84868927408601358</v>
      </c>
      <c r="BD10" s="420">
        <f t="shared" ref="BD10:BD39" si="34">+S10/BB10</f>
        <v>0.70133104652711342</v>
      </c>
    </row>
    <row r="11" spans="1:56" s="400" customFormat="1" ht="12.75" customHeight="1">
      <c r="A11" s="414">
        <f t="shared" si="14"/>
        <v>45933</v>
      </c>
      <c r="B11" s="423" t="s">
        <v>7</v>
      </c>
      <c r="C11" s="401" t="s">
        <v>387</v>
      </c>
      <c r="D11" s="393">
        <f>+'3'!F42</f>
        <v>1222.6388888888889</v>
      </c>
      <c r="E11" s="393">
        <f>+'3'!G42</f>
        <v>941.43194444444441</v>
      </c>
      <c r="F11" s="48">
        <f t="shared" si="0"/>
        <v>0.23000000000000009</v>
      </c>
      <c r="G11" s="419">
        <f t="shared" si="15"/>
        <v>0.89120523915480176</v>
      </c>
      <c r="H11" s="415">
        <f>+P11/L11</f>
        <v>0.88587169379852315</v>
      </c>
      <c r="I11" s="415">
        <f t="shared" si="17"/>
        <v>0.96784719458814161</v>
      </c>
      <c r="J11" s="420">
        <f t="shared" si="18"/>
        <v>0.85738843360794581</v>
      </c>
      <c r="K11" s="420">
        <f t="shared" si="19"/>
        <v>0.63456997773466162</v>
      </c>
      <c r="L11" s="394">
        <f>+Efficiency1!K16</f>
        <v>42.551308799999994</v>
      </c>
      <c r="M11" s="395">
        <f t="shared" si="20"/>
        <v>129.19457723586206</v>
      </c>
      <c r="N11" s="394">
        <f>+Efficiency1!C16</f>
        <v>42.296654400000001</v>
      </c>
      <c r="O11" s="395">
        <f t="shared" si="20"/>
        <v>123.58759932849117</v>
      </c>
      <c r="P11" s="395">
        <f>'3'!I38</f>
        <v>37.695</v>
      </c>
      <c r="Q11" s="395">
        <f t="shared" si="21"/>
        <v>94.65</v>
      </c>
      <c r="R11" s="395">
        <f>'3'!I40</f>
        <v>36.482999999999997</v>
      </c>
      <c r="S11" s="395">
        <f t="shared" si="22"/>
        <v>81.983000000000004</v>
      </c>
      <c r="T11" s="100">
        <f>+AX11</f>
        <v>4518.347867096154</v>
      </c>
      <c r="U11" s="13">
        <f t="shared" ref="U11:U38" si="35">T11+U10</f>
        <v>11279.829314931907</v>
      </c>
      <c r="V11" s="295">
        <f t="shared" ref="V11:V39" si="36">T11/P11</f>
        <v>119.86597339424735</v>
      </c>
      <c r="W11" s="295">
        <f t="shared" si="23"/>
        <v>119.17410792321084</v>
      </c>
      <c r="X11" s="296">
        <f t="shared" ref="X11:X39" si="37">IF(AND(R11&gt;0,T11&gt;0),(T11/(R11*1000))*1000,0)</f>
        <v>123.8480351696997</v>
      </c>
      <c r="Y11" s="295">
        <f t="shared" si="24"/>
        <v>137.58741830540365</v>
      </c>
      <c r="Z11" s="397">
        <v>55.7</v>
      </c>
      <c r="AA11" s="396">
        <f t="shared" si="25"/>
        <v>155.5</v>
      </c>
      <c r="AB11" s="399">
        <f t="shared" si="1"/>
        <v>1.4776495556439846</v>
      </c>
      <c r="AC11" s="399">
        <f t="shared" si="2"/>
        <v>1.6428948758584256</v>
      </c>
      <c r="AD11" s="394">
        <f t="shared" si="3"/>
        <v>1.5267384809363267</v>
      </c>
      <c r="AE11" s="399">
        <f t="shared" si="4"/>
        <v>1.8967346888989181</v>
      </c>
      <c r="AF11" s="398">
        <f>'3'!I46</f>
        <v>39132.219999998546</v>
      </c>
      <c r="AG11" s="396">
        <f t="shared" si="26"/>
        <v>104443.69999999891</v>
      </c>
      <c r="AH11" s="399">
        <f t="shared" si="5"/>
        <v>1038.1276031303501</v>
      </c>
      <c r="AI11" s="399">
        <f t="shared" si="6"/>
        <v>1103.4727945060633</v>
      </c>
      <c r="AJ11" s="399">
        <f t="shared" si="7"/>
        <v>1072.6151906366949</v>
      </c>
      <c r="AK11" s="399">
        <f t="shared" si="8"/>
        <v>1273.9677738067514</v>
      </c>
      <c r="AL11" s="454">
        <v>4743.3999999999996</v>
      </c>
      <c r="AM11" s="455">
        <v>6494.8</v>
      </c>
      <c r="AN11" s="455">
        <v>0</v>
      </c>
      <c r="AO11" s="455">
        <f t="shared" si="27"/>
        <v>11238.2</v>
      </c>
      <c r="AP11" s="580">
        <f>+[1]Okt!N6</f>
        <v>10705</v>
      </c>
      <c r="AQ11" s="487">
        <f t="shared" si="9"/>
        <v>-533.20000000000073</v>
      </c>
      <c r="AR11" s="458">
        <f t="shared" si="10"/>
        <v>0.4220782687619013</v>
      </c>
      <c r="AS11" s="458">
        <f t="shared" si="11"/>
        <v>0.57792173123809865</v>
      </c>
      <c r="AT11" s="458">
        <f t="shared" si="28"/>
        <v>0</v>
      </c>
      <c r="AU11" s="458">
        <f t="shared" si="29"/>
        <v>-225.05213290384609</v>
      </c>
      <c r="AV11" s="458">
        <f t="shared" si="30"/>
        <v>-308.14786709615464</v>
      </c>
      <c r="AW11" s="458">
        <f t="shared" ref="AW11:AW37" si="38">+AT11*AQ11</f>
        <v>0</v>
      </c>
      <c r="AX11" s="400">
        <f t="shared" si="31"/>
        <v>4518.347867096154</v>
      </c>
      <c r="AY11" s="400">
        <f t="shared" si="12"/>
        <v>6186.652132903846</v>
      </c>
      <c r="AZ11" s="400">
        <f t="shared" si="13"/>
        <v>0</v>
      </c>
      <c r="BA11" s="394">
        <f>+Efficiency2!K16</f>
        <v>42.551308799999994</v>
      </c>
      <c r="BB11" s="395">
        <f t="shared" si="32"/>
        <v>107.42794619586206</v>
      </c>
      <c r="BC11" s="420">
        <f t="shared" si="33"/>
        <v>0.85738843360794581</v>
      </c>
      <c r="BD11" s="420">
        <f t="shared" si="34"/>
        <v>0.76314406914685895</v>
      </c>
    </row>
    <row r="12" spans="1:56" s="400" customFormat="1" ht="12.75" customHeight="1">
      <c r="A12" s="414">
        <f t="shared" si="14"/>
        <v>45934</v>
      </c>
      <c r="B12" s="423" t="s">
        <v>467</v>
      </c>
      <c r="C12" s="401" t="s">
        <v>468</v>
      </c>
      <c r="D12" s="393">
        <f>+'4'!F42</f>
        <v>1216.1875</v>
      </c>
      <c r="E12" s="393">
        <f>+'4'!G42</f>
        <v>936.46437500000002</v>
      </c>
      <c r="F12" s="48">
        <f t="shared" si="0"/>
        <v>0.22999999999999998</v>
      </c>
      <c r="G12" s="419">
        <f t="shared" si="15"/>
        <v>0.95155375668650588</v>
      </c>
      <c r="H12" s="415">
        <f t="shared" si="16"/>
        <v>0.94113387082781608</v>
      </c>
      <c r="I12" s="415">
        <f t="shared" si="17"/>
        <v>0.96847165276403224</v>
      </c>
      <c r="J12" s="420">
        <f t="shared" si="18"/>
        <v>0.91146147535282618</v>
      </c>
      <c r="K12" s="420">
        <f t="shared" si="19"/>
        <v>0.70620875216277046</v>
      </c>
      <c r="L12" s="394">
        <f>+SUM(Efficiency1!K20:K22)</f>
        <v>45.092415983999999</v>
      </c>
      <c r="M12" s="395">
        <f t="shared" si="20"/>
        <v>174.28699321986204</v>
      </c>
      <c r="N12" s="394">
        <f>+SUM(Efficiency1!C20:C22)</f>
        <v>44.598636389999996</v>
      </c>
      <c r="O12" s="395">
        <f t="shared" si="20"/>
        <v>168.18623571849116</v>
      </c>
      <c r="P12" s="395">
        <f>'4'!I38</f>
        <v>42.438000000000002</v>
      </c>
      <c r="Q12" s="395">
        <f t="shared" si="21"/>
        <v>137.08800000000002</v>
      </c>
      <c r="R12" s="395">
        <f>'4'!I40</f>
        <v>41.1</v>
      </c>
      <c r="S12" s="395">
        <f t="shared" si="22"/>
        <v>123.083</v>
      </c>
      <c r="T12" s="100">
        <f t="shared" ref="T12:T39" si="39">+AX12</f>
        <v>4445.8054223148711</v>
      </c>
      <c r="U12" s="13">
        <f t="shared" si="35"/>
        <v>15725.634737246779</v>
      </c>
      <c r="V12" s="295">
        <f t="shared" si="36"/>
        <v>104.76001277899219</v>
      </c>
      <c r="W12" s="295">
        <f t="shared" si="23"/>
        <v>114.71197141432347</v>
      </c>
      <c r="X12" s="296">
        <f t="shared" si="37"/>
        <v>108.17044823150538</v>
      </c>
      <c r="Y12" s="295">
        <f t="shared" si="24"/>
        <v>127.76447386923279</v>
      </c>
      <c r="Z12" s="397">
        <v>60.8</v>
      </c>
      <c r="AA12" s="396">
        <f t="shared" si="25"/>
        <v>216.3</v>
      </c>
      <c r="AB12" s="399">
        <f t="shared" si="1"/>
        <v>1.432678260049955</v>
      </c>
      <c r="AC12" s="399">
        <f t="shared" si="2"/>
        <v>1.5778186274509802</v>
      </c>
      <c r="AD12" s="394">
        <f t="shared" si="3"/>
        <v>1.4793187347931873</v>
      </c>
      <c r="AE12" s="399">
        <f t="shared" si="4"/>
        <v>1.7573507308076666</v>
      </c>
      <c r="AF12" s="398">
        <f>'4'!I46</f>
        <v>37086.44000000073</v>
      </c>
      <c r="AG12" s="396">
        <f t="shared" si="26"/>
        <v>141530.13999999964</v>
      </c>
      <c r="AH12" s="399">
        <f t="shared" si="5"/>
        <v>873.89697912250176</v>
      </c>
      <c r="AI12" s="399">
        <f t="shared" si="6"/>
        <v>1032.403565592901</v>
      </c>
      <c r="AJ12" s="399">
        <f t="shared" si="7"/>
        <v>902.34647201948246</v>
      </c>
      <c r="AK12" s="399">
        <f t="shared" si="8"/>
        <v>1149.8756123916351</v>
      </c>
      <c r="AL12" s="454">
        <v>4506.8999999999996</v>
      </c>
      <c r="AM12" s="455">
        <v>5946.2</v>
      </c>
      <c r="AN12" s="455">
        <v>0</v>
      </c>
      <c r="AO12" s="455">
        <f>SUM(AL12:AN12)</f>
        <v>10453.099999999999</v>
      </c>
      <c r="AP12" s="580">
        <f>+[1]Okt!N7</f>
        <v>10311.399999999907</v>
      </c>
      <c r="AQ12" s="487">
        <f t="shared" si="9"/>
        <v>-141.70000000009168</v>
      </c>
      <c r="AR12" s="458">
        <f t="shared" si="10"/>
        <v>0.43115439439018094</v>
      </c>
      <c r="AS12" s="458">
        <f t="shared" si="11"/>
        <v>0.56884560560981912</v>
      </c>
      <c r="AT12" s="458">
        <f t="shared" si="28"/>
        <v>0</v>
      </c>
      <c r="AU12" s="458">
        <f t="shared" si="29"/>
        <v>-61.094577685128165</v>
      </c>
      <c r="AV12" s="458">
        <f t="shared" si="30"/>
        <v>-80.605422314963519</v>
      </c>
      <c r="AW12" s="458">
        <f t="shared" si="38"/>
        <v>0</v>
      </c>
      <c r="AX12" s="400">
        <f t="shared" si="31"/>
        <v>4445.8054223148711</v>
      </c>
      <c r="AY12" s="400">
        <f t="shared" si="12"/>
        <v>5865.5945776850367</v>
      </c>
      <c r="AZ12" s="400">
        <f t="shared" si="13"/>
        <v>0</v>
      </c>
      <c r="BA12" s="394">
        <f>+SUM(Efficiency2!K20:K22)</f>
        <v>45.092415983999999</v>
      </c>
      <c r="BB12" s="395">
        <f t="shared" si="32"/>
        <v>152.52036217986205</v>
      </c>
      <c r="BC12" s="420">
        <f t="shared" si="33"/>
        <v>0.91146147535282618</v>
      </c>
      <c r="BD12" s="420">
        <f t="shared" si="34"/>
        <v>0.80699388751026191</v>
      </c>
    </row>
    <row r="13" spans="1:56" s="400" customFormat="1" ht="12.75" customHeight="1">
      <c r="A13" s="414">
        <f t="shared" si="14"/>
        <v>45935</v>
      </c>
      <c r="B13" s="423" t="s">
        <v>469</v>
      </c>
      <c r="C13" s="401" t="s">
        <v>470</v>
      </c>
      <c r="D13" s="393">
        <f>+'5'!F42</f>
        <v>1166.6666666666667</v>
      </c>
      <c r="E13" s="393">
        <f>+'5'!G42</f>
        <v>898.33333333333337</v>
      </c>
      <c r="F13" s="48">
        <f t="shared" si="0"/>
        <v>0.22999999999999998</v>
      </c>
      <c r="G13" s="419">
        <f t="shared" si="15"/>
        <v>0.95873580092849198</v>
      </c>
      <c r="H13" s="415">
        <f t="shared" si="16"/>
        <v>0.95873580092849198</v>
      </c>
      <c r="I13" s="415">
        <f t="shared" si="17"/>
        <v>0.96939683150227174</v>
      </c>
      <c r="J13" s="420">
        <f t="shared" si="18"/>
        <v>0.92939544766787285</v>
      </c>
      <c r="K13" s="420">
        <f t="shared" si="19"/>
        <v>0.75069483195417153</v>
      </c>
      <c r="L13" s="394">
        <f>+Efficiency1!K24</f>
        <v>43.387343999999999</v>
      </c>
      <c r="M13" s="395">
        <f t="shared" si="20"/>
        <v>217.67433721986202</v>
      </c>
      <c r="N13" s="394">
        <f>+Efficiency1!C24</f>
        <v>43.387343999999999</v>
      </c>
      <c r="O13" s="395">
        <f t="shared" si="20"/>
        <v>211.57357971849115</v>
      </c>
      <c r="P13" s="395">
        <f>'5'!I38</f>
        <v>41.597000000000001</v>
      </c>
      <c r="Q13" s="395">
        <f t="shared" si="21"/>
        <v>178.68500000000003</v>
      </c>
      <c r="R13" s="395">
        <f>'5'!I40</f>
        <v>40.323999999999998</v>
      </c>
      <c r="S13" s="395">
        <f t="shared" si="22"/>
        <v>163.40699999999998</v>
      </c>
      <c r="T13" s="100">
        <f t="shared" si="39"/>
        <v>4238.739666277831</v>
      </c>
      <c r="U13" s="13">
        <f t="shared" si="35"/>
        <v>19964.374403524609</v>
      </c>
      <c r="V13" s="295">
        <f t="shared" si="36"/>
        <v>101.90012900636658</v>
      </c>
      <c r="W13" s="295">
        <f t="shared" si="23"/>
        <v>111.72943673797243</v>
      </c>
      <c r="X13" s="296">
        <f t="shared" si="37"/>
        <v>105.11704360375536</v>
      </c>
      <c r="Y13" s="295">
        <f t="shared" si="24"/>
        <v>122.17575993393558</v>
      </c>
      <c r="Z13" s="397">
        <v>60.5</v>
      </c>
      <c r="AA13" s="396">
        <f t="shared" si="25"/>
        <v>276.8</v>
      </c>
      <c r="AB13" s="399">
        <f t="shared" si="1"/>
        <v>1.454431809986297</v>
      </c>
      <c r="AC13" s="399">
        <f t="shared" si="2"/>
        <v>1.5490947757226401</v>
      </c>
      <c r="AD13" s="394">
        <f t="shared" si="3"/>
        <v>1.5003471877789902</v>
      </c>
      <c r="AE13" s="399">
        <f t="shared" si="4"/>
        <v>1.6939298806048704</v>
      </c>
      <c r="AF13" s="398">
        <f>'5'!I46</f>
        <v>39380.480000000003</v>
      </c>
      <c r="AG13" s="396">
        <f t="shared" si="26"/>
        <v>180910.61999999965</v>
      </c>
      <c r="AH13" s="399">
        <f t="shared" si="5"/>
        <v>946.71442652114342</v>
      </c>
      <c r="AI13" s="399">
        <f t="shared" si="6"/>
        <v>1012.4555502700262</v>
      </c>
      <c r="AJ13" s="399">
        <f t="shared" si="7"/>
        <v>976.60152762622761</v>
      </c>
      <c r="AK13" s="399">
        <f t="shared" si="8"/>
        <v>1107.1167085865334</v>
      </c>
      <c r="AL13" s="454">
        <v>4573.2</v>
      </c>
      <c r="AM13" s="455">
        <v>5285.3</v>
      </c>
      <c r="AN13" s="455">
        <v>0</v>
      </c>
      <c r="AO13" s="455">
        <f t="shared" ref="AO13:AO39" si="40">SUM(AL13:AN13)</f>
        <v>9858.5</v>
      </c>
      <c r="AP13" s="580">
        <f>+[1]Okt!N8</f>
        <v>9137.5</v>
      </c>
      <c r="AQ13" s="487">
        <f t="shared" si="9"/>
        <v>-721</v>
      </c>
      <c r="AR13" s="458">
        <f t="shared" si="10"/>
        <v>0.4638839580057818</v>
      </c>
      <c r="AS13" s="458">
        <f t="shared" si="11"/>
        <v>0.53611604199421825</v>
      </c>
      <c r="AT13" s="458">
        <f t="shared" si="28"/>
        <v>0</v>
      </c>
      <c r="AU13" s="458">
        <f t="shared" si="29"/>
        <v>-334.46033372216868</v>
      </c>
      <c r="AV13" s="458">
        <f t="shared" si="30"/>
        <v>-386.53966627783137</v>
      </c>
      <c r="AW13" s="458">
        <f t="shared" si="38"/>
        <v>0</v>
      </c>
      <c r="AX13" s="400">
        <f t="shared" si="31"/>
        <v>4238.739666277831</v>
      </c>
      <c r="AY13" s="400">
        <f t="shared" si="12"/>
        <v>4898.760333722169</v>
      </c>
      <c r="AZ13" s="400">
        <f t="shared" si="13"/>
        <v>0</v>
      </c>
      <c r="BA13" s="394">
        <f>+Efficiency2!K24</f>
        <v>43.387343999999999</v>
      </c>
      <c r="BB13" s="395">
        <f t="shared" si="32"/>
        <v>195.90770617986203</v>
      </c>
      <c r="BC13" s="420">
        <f t="shared" si="33"/>
        <v>0.92939544766787285</v>
      </c>
      <c r="BD13" s="420">
        <f t="shared" si="34"/>
        <v>0.83410195130341991</v>
      </c>
    </row>
    <row r="14" spans="1:56" s="400" customFormat="1" ht="12.75" customHeight="1">
      <c r="A14" s="414">
        <f t="shared" si="14"/>
        <v>45936</v>
      </c>
      <c r="B14" s="423" t="s">
        <v>469</v>
      </c>
      <c r="C14" s="401" t="s">
        <v>470</v>
      </c>
      <c r="D14" s="393">
        <f>+'6'!F42</f>
        <v>1180</v>
      </c>
      <c r="E14" s="393">
        <f>+'6'!G42</f>
        <v>908.5999999999998</v>
      </c>
      <c r="F14" s="48">
        <f t="shared" si="0"/>
        <v>0.2300000000000002</v>
      </c>
      <c r="G14" s="419">
        <f t="shared" si="15"/>
        <v>0.97893956289699313</v>
      </c>
      <c r="H14" s="415">
        <f t="shared" si="16"/>
        <v>0.97893956289699313</v>
      </c>
      <c r="I14" s="415">
        <f t="shared" si="17"/>
        <v>0.97113526851183685</v>
      </c>
      <c r="J14" s="420">
        <f t="shared" si="18"/>
        <v>0.95068273527083169</v>
      </c>
      <c r="K14" s="420">
        <f t="shared" si="19"/>
        <v>0.78424809578128274</v>
      </c>
      <c r="L14" s="394">
        <f>+Efficiency1!K28</f>
        <v>43.883199359999992</v>
      </c>
      <c r="M14" s="395">
        <f t="shared" si="20"/>
        <v>261.55753657986202</v>
      </c>
      <c r="N14" s="394">
        <f>+Efficiency1!C28</f>
        <v>43.883199359999992</v>
      </c>
      <c r="O14" s="395">
        <f t="shared" si="20"/>
        <v>255.45677907849114</v>
      </c>
      <c r="P14" s="395">
        <f>'6'!I38</f>
        <v>42.959000000000003</v>
      </c>
      <c r="Q14" s="395">
        <f t="shared" si="21"/>
        <v>221.64400000000003</v>
      </c>
      <c r="R14" s="395">
        <f>'6'!I40</f>
        <v>41.719000000000001</v>
      </c>
      <c r="S14" s="395">
        <f t="shared" si="22"/>
        <v>205.12599999999998</v>
      </c>
      <c r="T14" s="100">
        <f t="shared" si="39"/>
        <v>4467.8396533630257</v>
      </c>
      <c r="U14" s="13">
        <f t="shared" si="35"/>
        <v>24432.214056887635</v>
      </c>
      <c r="V14" s="295">
        <f t="shared" si="36"/>
        <v>104.00241284394481</v>
      </c>
      <c r="W14" s="295">
        <f t="shared" si="23"/>
        <v>110.23178636411376</v>
      </c>
      <c r="X14" s="296">
        <f t="shared" si="37"/>
        <v>107.09364206627737</v>
      </c>
      <c r="Y14" s="295">
        <f t="shared" si="24"/>
        <v>119.1083239418096</v>
      </c>
      <c r="Z14" s="397">
        <v>59.1</v>
      </c>
      <c r="AA14" s="396">
        <f t="shared" si="25"/>
        <v>335.90000000000003</v>
      </c>
      <c r="AB14" s="399">
        <f t="shared" si="1"/>
        <v>1.3757303475406784</v>
      </c>
      <c r="AC14" s="399">
        <f t="shared" si="2"/>
        <v>1.5154933136019924</v>
      </c>
      <c r="AD14" s="394">
        <f t="shared" si="3"/>
        <v>1.4166207243701909</v>
      </c>
      <c r="AE14" s="399">
        <f t="shared" si="4"/>
        <v>1.6375301034486125</v>
      </c>
      <c r="AF14" s="398">
        <f>'6'!I46</f>
        <v>37424.74</v>
      </c>
      <c r="AG14" s="396">
        <f t="shared" si="26"/>
        <v>218335.35999999964</v>
      </c>
      <c r="AH14" s="399">
        <f t="shared" si="5"/>
        <v>871.17344444703087</v>
      </c>
      <c r="AI14" s="399">
        <f t="shared" si="6"/>
        <v>985.07227806752996</v>
      </c>
      <c r="AJ14" s="399">
        <f t="shared" si="7"/>
        <v>897.06704379299595</v>
      </c>
      <c r="AK14" s="399">
        <f t="shared" si="8"/>
        <v>1064.3963222604627</v>
      </c>
      <c r="AL14" s="454">
        <v>4540.3999999999996</v>
      </c>
      <c r="AM14" s="455">
        <v>5083.5</v>
      </c>
      <c r="AN14" s="455">
        <v>0</v>
      </c>
      <c r="AO14" s="455">
        <f t="shared" si="40"/>
        <v>9623.9</v>
      </c>
      <c r="AP14" s="580">
        <f>+[1]Okt!N9</f>
        <v>9470.1000000000931</v>
      </c>
      <c r="AQ14" s="487">
        <f t="shared" si="9"/>
        <v>-153.7999999999065</v>
      </c>
      <c r="AR14" s="458">
        <f t="shared" si="10"/>
        <v>0.47178378827710177</v>
      </c>
      <c r="AS14" s="458">
        <f t="shared" si="11"/>
        <v>0.52821621172289823</v>
      </c>
      <c r="AT14" s="458">
        <f>1-AR14-AS14</f>
        <v>0</v>
      </c>
      <c r="AU14" s="458">
        <f t="shared" si="29"/>
        <v>-72.560346636974145</v>
      </c>
      <c r="AV14" s="458">
        <f t="shared" si="30"/>
        <v>-81.239653362932359</v>
      </c>
      <c r="AW14" s="458">
        <f t="shared" si="38"/>
        <v>0</v>
      </c>
      <c r="AX14" s="400">
        <f t="shared" si="31"/>
        <v>4467.8396533630257</v>
      </c>
      <c r="AY14" s="400">
        <f t="shared" si="12"/>
        <v>5002.2603466370674</v>
      </c>
      <c r="AZ14" s="400">
        <f t="shared" si="13"/>
        <v>0</v>
      </c>
      <c r="BA14" s="394">
        <f>+Efficiency2!K28</f>
        <v>43.883199359999992</v>
      </c>
      <c r="BB14" s="395">
        <f t="shared" si="32"/>
        <v>239.79090553986202</v>
      </c>
      <c r="BC14" s="420">
        <f t="shared" si="33"/>
        <v>0.95068273527083169</v>
      </c>
      <c r="BD14" s="420">
        <f t="shared" si="34"/>
        <v>0.85543694636033862</v>
      </c>
    </row>
    <row r="15" spans="1:56" s="400" customFormat="1" ht="12.75" customHeight="1">
      <c r="A15" s="414">
        <f t="shared" si="14"/>
        <v>45937</v>
      </c>
      <c r="B15" s="423" t="s">
        <v>469</v>
      </c>
      <c r="C15" s="401" t="s">
        <v>495</v>
      </c>
      <c r="D15" s="393">
        <f>+'7'!F42</f>
        <v>1211.7083333333333</v>
      </c>
      <c r="E15" s="393">
        <f>+'7'!G42</f>
        <v>933.01541666666662</v>
      </c>
      <c r="F15" s="48">
        <f t="shared" si="0"/>
        <v>0.22999999999999998</v>
      </c>
      <c r="G15" s="419">
        <f t="shared" si="15"/>
        <v>0.99278717803774275</v>
      </c>
      <c r="H15" s="415">
        <f t="shared" si="16"/>
        <v>0.98096726480965923</v>
      </c>
      <c r="I15" s="415">
        <f t="shared" si="17"/>
        <v>0.9857621440536013</v>
      </c>
      <c r="J15" s="420">
        <f t="shared" si="18"/>
        <v>0.96700039420516659</v>
      </c>
      <c r="K15" s="420">
        <f t="shared" si="19"/>
        <v>0.81047100981936437</v>
      </c>
      <c r="L15" s="394">
        <f>+SUM(Efficiency1!K32:K33)</f>
        <v>43.817975932499998</v>
      </c>
      <c r="M15" s="395">
        <f t="shared" si="20"/>
        <v>305.37551251236204</v>
      </c>
      <c r="N15" s="394">
        <f>+SUM(Efficiency1!C32:C33)</f>
        <v>43.296288420000003</v>
      </c>
      <c r="O15" s="395">
        <f t="shared" si="20"/>
        <v>298.75306749849113</v>
      </c>
      <c r="P15" s="395">
        <f>'7'!I38</f>
        <v>42.984000000000002</v>
      </c>
      <c r="Q15" s="395">
        <f t="shared" si="21"/>
        <v>264.62800000000004</v>
      </c>
      <c r="R15" s="395">
        <f>'7'!I40</f>
        <v>42.372</v>
      </c>
      <c r="S15" s="395">
        <f t="shared" si="22"/>
        <v>247.49799999999999</v>
      </c>
      <c r="T15" s="100">
        <f t="shared" si="39"/>
        <v>4214.2000207598085</v>
      </c>
      <c r="U15" s="13">
        <f t="shared" si="35"/>
        <v>28646.414077647445</v>
      </c>
      <c r="V15" s="295">
        <f t="shared" si="36"/>
        <v>98.041132066811102</v>
      </c>
      <c r="W15" s="295">
        <f t="shared" si="23"/>
        <v>108.2516365526227</v>
      </c>
      <c r="X15" s="296">
        <f t="shared" si="37"/>
        <v>99.457189199466839</v>
      </c>
      <c r="Y15" s="295">
        <f t="shared" si="24"/>
        <v>115.74402248764615</v>
      </c>
      <c r="Z15" s="397">
        <v>58.9</v>
      </c>
      <c r="AA15" s="396">
        <f t="shared" si="25"/>
        <v>394.8</v>
      </c>
      <c r="AB15" s="399">
        <f t="shared" si="1"/>
        <v>1.3702773124883676</v>
      </c>
      <c r="AC15" s="399">
        <f t="shared" si="2"/>
        <v>1.4919056184530735</v>
      </c>
      <c r="AD15" s="394">
        <f t="shared" si="3"/>
        <v>1.3900689134333994</v>
      </c>
      <c r="AE15" s="399">
        <f t="shared" si="4"/>
        <v>1.5951644053689324</v>
      </c>
      <c r="AF15" s="398">
        <f>'7'!I46</f>
        <v>39433.300000000003</v>
      </c>
      <c r="AG15" s="396">
        <f t="shared" si="26"/>
        <v>257768.65999999963</v>
      </c>
      <c r="AH15" s="399">
        <f t="shared" si="5"/>
        <v>917.3948445933371</v>
      </c>
      <c r="AI15" s="399">
        <f t="shared" si="6"/>
        <v>974.07931133515569</v>
      </c>
      <c r="AJ15" s="399">
        <f t="shared" si="7"/>
        <v>930.64523742093843</v>
      </c>
      <c r="AK15" s="399">
        <f t="shared" si="8"/>
        <v>1041.4979514985964</v>
      </c>
      <c r="AL15" s="454">
        <v>4415.3999999999996</v>
      </c>
      <c r="AM15" s="455">
        <v>5218.6000000000004</v>
      </c>
      <c r="AN15" s="455">
        <v>0</v>
      </c>
      <c r="AO15" s="455">
        <f t="shared" si="40"/>
        <v>9634</v>
      </c>
      <c r="AP15" s="580">
        <f>+[1]Okt!N10</f>
        <v>9195</v>
      </c>
      <c r="AQ15" s="487">
        <f t="shared" si="9"/>
        <v>-439</v>
      </c>
      <c r="AR15" s="458">
        <f t="shared" si="10"/>
        <v>0.45831430350840768</v>
      </c>
      <c r="AS15" s="458">
        <f t="shared" si="11"/>
        <v>0.54168569649159226</v>
      </c>
      <c r="AT15" s="458">
        <f>1-AR15-AS15</f>
        <v>0</v>
      </c>
      <c r="AU15" s="458">
        <f t="shared" si="29"/>
        <v>-201.19997924019097</v>
      </c>
      <c r="AV15" s="458">
        <f t="shared" si="30"/>
        <v>-237.800020759809</v>
      </c>
      <c r="AW15" s="458">
        <f t="shared" si="38"/>
        <v>0</v>
      </c>
      <c r="AX15" s="400">
        <f t="shared" si="31"/>
        <v>4214.2000207598085</v>
      </c>
      <c r="AY15" s="400">
        <f t="shared" si="12"/>
        <v>4980.7999792401915</v>
      </c>
      <c r="AZ15" s="400">
        <f t="shared" si="13"/>
        <v>0</v>
      </c>
      <c r="BA15" s="394">
        <f>+SUM(Efficiency2!K32:K33)</f>
        <v>43.817975932499998</v>
      </c>
      <c r="BB15" s="395">
        <f t="shared" si="32"/>
        <v>283.60888147236204</v>
      </c>
      <c r="BC15" s="420">
        <f t="shared" si="33"/>
        <v>0.96700039420516659</v>
      </c>
      <c r="BD15" s="420">
        <f t="shared" si="34"/>
        <v>0.87267365787385931</v>
      </c>
    </row>
    <row r="16" spans="1:56" s="400" customFormat="1" ht="12.75" customHeight="1">
      <c r="A16" s="414">
        <f t="shared" si="14"/>
        <v>45938</v>
      </c>
      <c r="B16" s="423" t="s">
        <v>469</v>
      </c>
      <c r="C16" s="401" t="s">
        <v>499</v>
      </c>
      <c r="D16" s="393">
        <f>+'8'!F42</f>
        <v>1220</v>
      </c>
      <c r="E16" s="393">
        <f>+'8'!G42</f>
        <v>939.4</v>
      </c>
      <c r="F16" s="48">
        <f t="shared" si="0"/>
        <v>0.22999999999999998</v>
      </c>
      <c r="G16" s="419">
        <f t="shared" si="15"/>
        <v>0.96970212425975655</v>
      </c>
      <c r="H16" s="415">
        <f t="shared" si="16"/>
        <v>0.96181836715195357</v>
      </c>
      <c r="I16" s="415">
        <f t="shared" si="17"/>
        <v>1.0248457522543901</v>
      </c>
      <c r="J16" s="420">
        <f t="shared" si="18"/>
        <v>0.98571546801593302</v>
      </c>
      <c r="K16" s="420">
        <f t="shared" si="19"/>
        <v>0.83245902365817026</v>
      </c>
      <c r="L16" s="394">
        <f>+Efficiency1!K36</f>
        <v>43.812846</v>
      </c>
      <c r="M16" s="395">
        <f t="shared" si="20"/>
        <v>349.18835851236202</v>
      </c>
      <c r="N16" s="394">
        <f>+Efficiency1!C36</f>
        <v>43.456643999999997</v>
      </c>
      <c r="O16" s="395">
        <f t="shared" si="20"/>
        <v>342.20971149849112</v>
      </c>
      <c r="P16" s="395">
        <f>'8'!I38</f>
        <v>42.14</v>
      </c>
      <c r="Q16" s="395">
        <f t="shared" si="21"/>
        <v>306.76800000000003</v>
      </c>
      <c r="R16" s="395">
        <f>'8'!I40</f>
        <v>43.186999999999998</v>
      </c>
      <c r="S16" s="395">
        <f t="shared" si="22"/>
        <v>290.685</v>
      </c>
      <c r="T16" s="100">
        <f t="shared" si="39"/>
        <v>4448.3362704584015</v>
      </c>
      <c r="U16" s="13">
        <f t="shared" si="35"/>
        <v>33094.750348105845</v>
      </c>
      <c r="V16" s="295">
        <f t="shared" si="36"/>
        <v>105.56089868197441</v>
      </c>
      <c r="W16" s="295">
        <f t="shared" si="23"/>
        <v>107.88201620803292</v>
      </c>
      <c r="X16" s="296">
        <f t="shared" si="37"/>
        <v>103.0017428962049</v>
      </c>
      <c r="Y16" s="295">
        <f t="shared" si="24"/>
        <v>113.85090509694633</v>
      </c>
      <c r="Z16" s="397">
        <v>59.2</v>
      </c>
      <c r="AA16" s="396">
        <f t="shared" si="25"/>
        <v>454</v>
      </c>
      <c r="AB16" s="399">
        <f t="shared" si="1"/>
        <v>1.4048410061699099</v>
      </c>
      <c r="AC16" s="399">
        <f t="shared" si="2"/>
        <v>1.4799457570541907</v>
      </c>
      <c r="AD16" s="394">
        <f t="shared" si="3"/>
        <v>1.3707828744761157</v>
      </c>
      <c r="AE16" s="399">
        <f t="shared" si="4"/>
        <v>1.5618280957049728</v>
      </c>
      <c r="AF16" s="398">
        <f>'8'!I46</f>
        <v>37804.26000000073</v>
      </c>
      <c r="AG16" s="396">
        <f t="shared" si="26"/>
        <v>295572.92000000033</v>
      </c>
      <c r="AH16" s="399">
        <f t="shared" si="5"/>
        <v>897.11105837685648</v>
      </c>
      <c r="AI16" s="399">
        <f t="shared" si="6"/>
        <v>963.50636311479798</v>
      </c>
      <c r="AJ16" s="399">
        <f t="shared" si="7"/>
        <v>875.36203024059853</v>
      </c>
      <c r="AK16" s="399">
        <f t="shared" si="8"/>
        <v>1016.8151779417593</v>
      </c>
      <c r="AL16" s="454">
        <v>4490.3999999999996</v>
      </c>
      <c r="AM16" s="455">
        <v>5939.3</v>
      </c>
      <c r="AN16" s="455">
        <v>0</v>
      </c>
      <c r="AO16" s="455">
        <f t="shared" si="40"/>
        <v>10429.700000000001</v>
      </c>
      <c r="AP16" s="580">
        <f>+[1]Okt!N11</f>
        <v>10332</v>
      </c>
      <c r="AQ16" s="487">
        <f t="shared" si="9"/>
        <v>-97.700000000000728</v>
      </c>
      <c r="AR16" s="458">
        <f t="shared" si="10"/>
        <v>0.43053970871645392</v>
      </c>
      <c r="AS16" s="458">
        <f t="shared" si="11"/>
        <v>0.56946029128354603</v>
      </c>
      <c r="AT16" s="458">
        <f>1-AR16-AS16</f>
        <v>0</v>
      </c>
      <c r="AU16" s="458">
        <f>+AR16*AQ16</f>
        <v>-42.063729541597858</v>
      </c>
      <c r="AV16" s="458">
        <f t="shared" si="30"/>
        <v>-55.636270458402862</v>
      </c>
      <c r="AW16" s="458">
        <f t="shared" si="38"/>
        <v>0</v>
      </c>
      <c r="AX16" s="400">
        <f t="shared" si="31"/>
        <v>4448.3362704584015</v>
      </c>
      <c r="AY16" s="400">
        <f t="shared" si="12"/>
        <v>5883.6637295415976</v>
      </c>
      <c r="AZ16" s="400">
        <f t="shared" si="13"/>
        <v>0</v>
      </c>
      <c r="BA16" s="394">
        <f>+Efficiency2!K36</f>
        <v>43.812846</v>
      </c>
      <c r="BB16" s="395">
        <f t="shared" si="32"/>
        <v>327.42172747236202</v>
      </c>
      <c r="BC16" s="420">
        <f t="shared" si="33"/>
        <v>0.98571546801593302</v>
      </c>
      <c r="BD16" s="420">
        <f t="shared" si="34"/>
        <v>0.88779997052742021</v>
      </c>
    </row>
    <row r="17" spans="1:56" s="400" customFormat="1" ht="12.75" customHeight="1">
      <c r="A17" s="414">
        <f t="shared" si="14"/>
        <v>45939</v>
      </c>
      <c r="B17" s="423" t="s">
        <v>469</v>
      </c>
      <c r="C17" s="401" t="s">
        <v>499</v>
      </c>
      <c r="D17" s="393">
        <f>+'9'!F42</f>
        <v>1215.6944444444443</v>
      </c>
      <c r="E17" s="393">
        <f>+'9'!G42</f>
        <v>936.08472222222224</v>
      </c>
      <c r="F17" s="48">
        <f t="shared" si="0"/>
        <v>0.22999999999999987</v>
      </c>
      <c r="G17" s="419">
        <f t="shared" si="15"/>
        <v>0.88930014936266144</v>
      </c>
      <c r="H17" s="415">
        <f t="shared" si="16"/>
        <v>0.88207006684751776</v>
      </c>
      <c r="I17" s="415">
        <f t="shared" si="17"/>
        <v>0.94558298400869423</v>
      </c>
      <c r="J17" s="420">
        <f t="shared" si="18"/>
        <v>0.83407044591442425</v>
      </c>
      <c r="K17" s="420">
        <f t="shared" si="19"/>
        <v>0.83263866940567333</v>
      </c>
      <c r="L17" s="394">
        <f>+Efficiency1!K40</f>
        <v>43.812846</v>
      </c>
      <c r="M17" s="395">
        <f t="shared" si="20"/>
        <v>393.00120451236199</v>
      </c>
      <c r="N17" s="394">
        <f>+Efficiency1!C40</f>
        <v>43.456643999999997</v>
      </c>
      <c r="O17" s="395">
        <f t="shared" si="20"/>
        <v>385.6663554984911</v>
      </c>
      <c r="P17" s="395">
        <f>'9'!I38</f>
        <v>38.646000000000001</v>
      </c>
      <c r="Q17" s="395">
        <f t="shared" si="21"/>
        <v>345.41400000000004</v>
      </c>
      <c r="R17" s="395">
        <f>'9'!I40</f>
        <v>36.542999999999999</v>
      </c>
      <c r="S17" s="395">
        <f t="shared" si="22"/>
        <v>327.22800000000001</v>
      </c>
      <c r="T17" s="100">
        <f t="shared" si="39"/>
        <v>4318.1631504089128</v>
      </c>
      <c r="U17" s="13">
        <f t="shared" si="35"/>
        <v>37412.913498514754</v>
      </c>
      <c r="V17" s="295">
        <f t="shared" si="36"/>
        <v>111.73635435514446</v>
      </c>
      <c r="W17" s="295">
        <f t="shared" si="23"/>
        <v>108.31325162997085</v>
      </c>
      <c r="X17" s="296">
        <f t="shared" si="37"/>
        <v>118.16662973507682</v>
      </c>
      <c r="Y17" s="295">
        <f t="shared" si="24"/>
        <v>114.33286118093424</v>
      </c>
      <c r="Z17" s="397">
        <v>58.3</v>
      </c>
      <c r="AA17" s="396">
        <f t="shared" si="25"/>
        <v>512.29999999999995</v>
      </c>
      <c r="AB17" s="399">
        <f t="shared" si="1"/>
        <v>1.5085649226310613</v>
      </c>
      <c r="AC17" s="399">
        <f t="shared" si="2"/>
        <v>1.4831477589211783</v>
      </c>
      <c r="AD17" s="394">
        <f t="shared" si="3"/>
        <v>1.5953807842815313</v>
      </c>
      <c r="AE17" s="399">
        <f t="shared" si="4"/>
        <v>1.5655750730377593</v>
      </c>
      <c r="AF17" s="398">
        <f>'9'!I46</f>
        <v>37619.859999999637</v>
      </c>
      <c r="AG17" s="396">
        <f t="shared" si="26"/>
        <v>333192.77999999997</v>
      </c>
      <c r="AH17" s="399">
        <f t="shared" si="5"/>
        <v>973.44770480773263</v>
      </c>
      <c r="AI17" s="399">
        <f t="shared" si="6"/>
        <v>964.61863155517699</v>
      </c>
      <c r="AJ17" s="399">
        <f t="shared" si="7"/>
        <v>1029.4682976219697</v>
      </c>
      <c r="AK17" s="399">
        <f t="shared" si="8"/>
        <v>1018.2282078550735</v>
      </c>
      <c r="AL17" s="454">
        <v>4402.7</v>
      </c>
      <c r="AM17" s="455">
        <v>4586.3999999999996</v>
      </c>
      <c r="AN17" s="455">
        <v>2822.7</v>
      </c>
      <c r="AO17" s="455">
        <f t="shared" si="40"/>
        <v>11811.8</v>
      </c>
      <c r="AP17" s="580">
        <f>+[1]Okt!N12</f>
        <v>11585</v>
      </c>
      <c r="AQ17" s="487">
        <f t="shared" si="9"/>
        <v>-226.79999999999927</v>
      </c>
      <c r="AR17" s="458">
        <f t="shared" si="10"/>
        <v>0.37273743205946597</v>
      </c>
      <c r="AS17" s="458">
        <f t="shared" si="11"/>
        <v>0.38828967642526963</v>
      </c>
      <c r="AT17" s="458">
        <f>1-AR17-AS17</f>
        <v>0.23897289151526441</v>
      </c>
      <c r="AU17" s="458">
        <f>+AR17*AQ17</f>
        <v>-84.536849591086607</v>
      </c>
      <c r="AV17" s="458">
        <f>+AS17*AQ17</f>
        <v>-88.064098613250863</v>
      </c>
      <c r="AW17" s="458">
        <f t="shared" si="38"/>
        <v>-54.199051795661795</v>
      </c>
      <c r="AX17" s="400">
        <f t="shared" si="31"/>
        <v>4318.1631504089128</v>
      </c>
      <c r="AY17" s="400">
        <f t="shared" si="12"/>
        <v>4498.3359013867484</v>
      </c>
      <c r="AZ17" s="400">
        <f t="shared" si="13"/>
        <v>2768.5009482043379</v>
      </c>
      <c r="BA17" s="394">
        <f>+Efficiency2!K40</f>
        <v>43.812846</v>
      </c>
      <c r="BB17" s="395">
        <f t="shared" si="32"/>
        <v>371.234573472362</v>
      </c>
      <c r="BC17" s="420">
        <f t="shared" si="33"/>
        <v>0.83407044591442425</v>
      </c>
      <c r="BD17" s="420">
        <f t="shared" si="34"/>
        <v>0.8814588494257305</v>
      </c>
    </row>
    <row r="18" spans="1:56" s="400" customFormat="1" ht="12.75" customHeight="1">
      <c r="A18" s="414">
        <f t="shared" si="14"/>
        <v>45940</v>
      </c>
      <c r="B18" s="423" t="s">
        <v>469</v>
      </c>
      <c r="C18" s="401" t="s">
        <v>499</v>
      </c>
      <c r="D18" s="393">
        <f>+'10'!F42</f>
        <v>1215.0625</v>
      </c>
      <c r="E18" s="393">
        <f>+'10'!G42</f>
        <v>935.59812499999987</v>
      </c>
      <c r="F18" s="48">
        <f t="shared" si="0"/>
        <v>0.23000000000000009</v>
      </c>
      <c r="G18" s="419">
        <f t="shared" si="15"/>
        <v>0.92983559871401933</v>
      </c>
      <c r="H18" s="415">
        <f t="shared" si="16"/>
        <v>0.91854338793695356</v>
      </c>
      <c r="I18" s="415">
        <f>+R18/P18</f>
        <v>0.89310207732829738</v>
      </c>
      <c r="J18" s="420">
        <f t="shared" si="18"/>
        <v>0.82035300788266541</v>
      </c>
      <c r="K18" s="420">
        <f t="shared" si="19"/>
        <v>0.83140640639654106</v>
      </c>
      <c r="L18" s="394">
        <f>+Efficiency1!K44</f>
        <v>43.812845999999993</v>
      </c>
      <c r="M18" s="395">
        <f t="shared" si="20"/>
        <v>436.81405051236197</v>
      </c>
      <c r="N18" s="394">
        <f>+Efficiency1!C44</f>
        <v>43.280769262499987</v>
      </c>
      <c r="O18" s="395">
        <f t="shared" si="20"/>
        <v>428.94712476099107</v>
      </c>
      <c r="P18" s="395">
        <f>'10'!I38</f>
        <v>40.244</v>
      </c>
      <c r="Q18" s="395">
        <f t="shared" si="21"/>
        <v>385.65800000000002</v>
      </c>
      <c r="R18" s="395">
        <f>'10'!I40</f>
        <v>35.942</v>
      </c>
      <c r="S18" s="395">
        <f t="shared" si="22"/>
        <v>363.17</v>
      </c>
      <c r="T18" s="100">
        <f t="shared" si="39"/>
        <v>4182.7570988908892</v>
      </c>
      <c r="U18" s="13">
        <f t="shared" si="35"/>
        <v>41595.670597405646</v>
      </c>
      <c r="V18" s="295">
        <f t="shared" si="36"/>
        <v>103.93492443322953</v>
      </c>
      <c r="W18" s="295">
        <f t="shared" si="23"/>
        <v>107.85636651490607</v>
      </c>
      <c r="X18" s="296">
        <f t="shared" si="37"/>
        <v>116.37519055397277</v>
      </c>
      <c r="Y18" s="295">
        <f t="shared" si="24"/>
        <v>114.53498526146335</v>
      </c>
      <c r="Z18" s="397">
        <v>58.9</v>
      </c>
      <c r="AA18" s="396">
        <f t="shared" si="25"/>
        <v>571.19999999999993</v>
      </c>
      <c r="AB18" s="399">
        <f t="shared" si="1"/>
        <v>1.4635722095219164</v>
      </c>
      <c r="AC18" s="399">
        <f t="shared" si="2"/>
        <v>1.4811050205104002</v>
      </c>
      <c r="AD18" s="394">
        <f t="shared" si="3"/>
        <v>1.6387513215736464</v>
      </c>
      <c r="AE18" s="399">
        <f t="shared" si="4"/>
        <v>1.5728171379794584</v>
      </c>
      <c r="AF18" s="398">
        <f>'10'!I46</f>
        <v>38977.339999999997</v>
      </c>
      <c r="AG18" s="396">
        <f t="shared" si="26"/>
        <v>372170.12</v>
      </c>
      <c r="AH18" s="399">
        <f t="shared" si="5"/>
        <v>968.52549448364971</v>
      </c>
      <c r="AI18" s="399">
        <f t="shared" si="6"/>
        <v>965.02631865538899</v>
      </c>
      <c r="AJ18" s="399">
        <f t="shared" si="7"/>
        <v>1084.4510600411775</v>
      </c>
      <c r="AK18" s="399">
        <f t="shared" si="8"/>
        <v>1024.7821130599993</v>
      </c>
      <c r="AL18" s="454">
        <v>4378.8</v>
      </c>
      <c r="AM18" s="455">
        <v>5420.6</v>
      </c>
      <c r="AN18" s="455">
        <v>3977.4</v>
      </c>
      <c r="AO18" s="455">
        <f t="shared" si="40"/>
        <v>13776.800000000001</v>
      </c>
      <c r="AP18" s="580">
        <f>+[1]Okt!N13</f>
        <v>13160</v>
      </c>
      <c r="AQ18" s="487">
        <f t="shared" si="9"/>
        <v>-616.80000000000109</v>
      </c>
      <c r="AR18" s="458">
        <f t="shared" si="10"/>
        <v>0.31783868532605536</v>
      </c>
      <c r="AS18" s="458">
        <f t="shared" si="11"/>
        <v>0.39345856802740842</v>
      </c>
      <c r="AT18" s="458">
        <f t="shared" si="28"/>
        <v>0.28870274664653628</v>
      </c>
      <c r="AU18" s="458">
        <f t="shared" si="29"/>
        <v>-196.04290110911128</v>
      </c>
      <c r="AV18" s="458">
        <f t="shared" si="30"/>
        <v>-242.68524475930593</v>
      </c>
      <c r="AW18" s="458">
        <f t="shared" si="38"/>
        <v>-178.0718541315839</v>
      </c>
      <c r="AX18" s="458">
        <f>+AL18+AU18</f>
        <v>4182.7570988908892</v>
      </c>
      <c r="AY18" s="400">
        <f t="shared" si="12"/>
        <v>5177.9147552406948</v>
      </c>
      <c r="AZ18" s="400">
        <f t="shared" si="13"/>
        <v>3799.328145868416</v>
      </c>
      <c r="BA18" s="394">
        <f>+Efficiency2!K44</f>
        <v>43.812845999999993</v>
      </c>
      <c r="BB18" s="395">
        <f t="shared" si="32"/>
        <v>415.04741947236198</v>
      </c>
      <c r="BC18" s="420">
        <f t="shared" si="33"/>
        <v>0.82035300788266541</v>
      </c>
      <c r="BD18" s="420">
        <f t="shared" si="34"/>
        <v>0.87500845195396648</v>
      </c>
    </row>
    <row r="19" spans="1:56" s="400" customFormat="1" ht="12.75" customHeight="1">
      <c r="A19" s="414">
        <f t="shared" si="14"/>
        <v>45941</v>
      </c>
      <c r="B19" s="423" t="s">
        <v>469</v>
      </c>
      <c r="C19" s="401" t="s">
        <v>526</v>
      </c>
      <c r="D19" s="393">
        <f>+'11'!F42</f>
        <v>1192.8958333333333</v>
      </c>
      <c r="E19" s="393">
        <f>+'11'!G42</f>
        <v>918.5297916666666</v>
      </c>
      <c r="F19" s="48">
        <f t="shared" si="0"/>
        <v>0.22999999999999998</v>
      </c>
      <c r="G19" s="419">
        <f t="shared" si="15"/>
        <v>0.93202561806704087</v>
      </c>
      <c r="H19" s="415">
        <f t="shared" si="16"/>
        <v>0.90391083567095454</v>
      </c>
      <c r="I19" s="415">
        <f t="shared" si="17"/>
        <v>1.0150727125833165</v>
      </c>
      <c r="J19" s="420">
        <f t="shared" si="18"/>
        <v>0.91753522389796827</v>
      </c>
      <c r="K19" s="420">
        <f t="shared" si="19"/>
        <v>0.8392586297168001</v>
      </c>
      <c r="L19" s="394">
        <f>+SUM(Efficiency1!K48:K49)</f>
        <v>43.818481245000001</v>
      </c>
      <c r="M19" s="395">
        <f t="shared" si="20"/>
        <v>480.63253175736196</v>
      </c>
      <c r="N19" s="394">
        <f>+SUM(Efficiency1!C48:C49)</f>
        <v>42.496685962499996</v>
      </c>
      <c r="O19" s="395">
        <f t="shared" si="20"/>
        <v>471.44381072349108</v>
      </c>
      <c r="P19" s="395">
        <f>'11'!I38</f>
        <v>39.607999999999997</v>
      </c>
      <c r="Q19" s="395">
        <f t="shared" si="21"/>
        <v>425.26600000000002</v>
      </c>
      <c r="R19" s="395">
        <f>'11'!I40</f>
        <v>40.204999999999998</v>
      </c>
      <c r="S19" s="395">
        <f t="shared" si="22"/>
        <v>403.375</v>
      </c>
      <c r="T19" s="100">
        <f t="shared" si="39"/>
        <v>4123.4125195354927</v>
      </c>
      <c r="U19" s="13">
        <f t="shared" si="35"/>
        <v>45719.083116941139</v>
      </c>
      <c r="V19" s="295">
        <f t="shared" si="36"/>
        <v>104.10554735244125</v>
      </c>
      <c r="W19" s="295">
        <f t="shared" si="23"/>
        <v>107.50702646565006</v>
      </c>
      <c r="X19" s="296">
        <f t="shared" si="37"/>
        <v>102.55969455379909</v>
      </c>
      <c r="Y19" s="295">
        <f t="shared" si="24"/>
        <v>113.34138981578219</v>
      </c>
      <c r="Z19" s="397">
        <v>59.1</v>
      </c>
      <c r="AA19" s="396">
        <f t="shared" si="25"/>
        <v>630.29999999999995</v>
      </c>
      <c r="AB19" s="399">
        <f t="shared" si="1"/>
        <v>1.4921228034740457</v>
      </c>
      <c r="AC19" s="399">
        <f t="shared" si="2"/>
        <v>1.4821311837767419</v>
      </c>
      <c r="AD19" s="394">
        <f t="shared" si="3"/>
        <v>1.4699664220868052</v>
      </c>
      <c r="AE19" s="399">
        <f t="shared" si="4"/>
        <v>1.5625658506352649</v>
      </c>
      <c r="AF19" s="398">
        <f>'11'!I46</f>
        <v>38902.780000000363</v>
      </c>
      <c r="AG19" s="396">
        <f t="shared" si="26"/>
        <v>411072.90000000037</v>
      </c>
      <c r="AH19" s="399">
        <f t="shared" si="5"/>
        <v>982.19501110887609</v>
      </c>
      <c r="AI19" s="399">
        <f t="shared" si="6"/>
        <v>966.62535918695676</v>
      </c>
      <c r="AJ19" s="399">
        <f t="shared" si="7"/>
        <v>967.61049620694848</v>
      </c>
      <c r="AK19" s="399">
        <f t="shared" si="8"/>
        <v>1019.0837310195237</v>
      </c>
      <c r="AL19" s="454">
        <v>4306.8999999999996</v>
      </c>
      <c r="AM19" s="455">
        <v>5661.5</v>
      </c>
      <c r="AN19" s="455">
        <v>4300.5</v>
      </c>
      <c r="AO19" s="455">
        <f t="shared" si="40"/>
        <v>14268.9</v>
      </c>
      <c r="AP19" s="580">
        <f>+[1]Okt!N14</f>
        <v>13661</v>
      </c>
      <c r="AQ19" s="487">
        <f t="shared" si="9"/>
        <v>-607.89999999999964</v>
      </c>
      <c r="AR19" s="458">
        <f t="shared" si="10"/>
        <v>0.3018382636362999</v>
      </c>
      <c r="AS19" s="458">
        <f t="shared" si="11"/>
        <v>0.39677200064475887</v>
      </c>
      <c r="AT19" s="458">
        <f>1-AR19-AS19</f>
        <v>0.30138973571894118</v>
      </c>
      <c r="AU19" s="458">
        <f t="shared" si="29"/>
        <v>-183.4874804645066</v>
      </c>
      <c r="AV19" s="458">
        <f t="shared" si="30"/>
        <v>-241.19769919194877</v>
      </c>
      <c r="AW19" s="458">
        <f>+AT19*AQ19</f>
        <v>-183.21482034354423</v>
      </c>
      <c r="AX19" s="400">
        <f t="shared" si="31"/>
        <v>4123.4125195354927</v>
      </c>
      <c r="AY19" s="400">
        <f t="shared" si="12"/>
        <v>5420.3023008080509</v>
      </c>
      <c r="AZ19" s="400">
        <f t="shared" si="13"/>
        <v>4117.2851796564555</v>
      </c>
      <c r="BA19" s="394">
        <f>+SUM(Efficiency2!K48:K49)</f>
        <v>43.818481245000001</v>
      </c>
      <c r="BB19" s="395">
        <f t="shared" si="32"/>
        <v>458.86590071736197</v>
      </c>
      <c r="BC19" s="420">
        <f t="shared" si="33"/>
        <v>0.91753522389796827</v>
      </c>
      <c r="BD19" s="420">
        <f t="shared" si="34"/>
        <v>0.87906946096754845</v>
      </c>
    </row>
    <row r="20" spans="1:56" s="400" customFormat="1" ht="12.75" customHeight="1">
      <c r="A20" s="414">
        <f t="shared" si="14"/>
        <v>45942</v>
      </c>
      <c r="B20" s="423" t="s">
        <v>469</v>
      </c>
      <c r="C20" s="401" t="s">
        <v>527</v>
      </c>
      <c r="D20" s="393">
        <f>+'12'!F42</f>
        <v>1171.7986111111111</v>
      </c>
      <c r="E20" s="393">
        <f>+'12'!G42</f>
        <v>923.28756944444456</v>
      </c>
      <c r="F20" s="48">
        <f t="shared" si="0"/>
        <v>0.2120765798066836</v>
      </c>
      <c r="G20" s="419">
        <f t="shared" si="15"/>
        <v>0.96239948337227643</v>
      </c>
      <c r="H20" s="415">
        <f t="shared" si="16"/>
        <v>0.91672360397282959</v>
      </c>
      <c r="I20" s="415">
        <f t="shared" si="17"/>
        <v>0.95710625896067891</v>
      </c>
      <c r="J20" s="420">
        <f t="shared" si="18"/>
        <v>0.87740189909938582</v>
      </c>
      <c r="K20" s="420">
        <f t="shared" si="19"/>
        <v>0.84261756093813134</v>
      </c>
      <c r="L20" s="394">
        <f>+SUM(Efficiency1!K52:K53)</f>
        <v>46.412026280999996</v>
      </c>
      <c r="M20" s="395">
        <f t="shared" si="20"/>
        <v>527.04455803836197</v>
      </c>
      <c r="N20" s="394">
        <f>+SUM(Efficiency1!C52:C53)</f>
        <v>44.209292227500001</v>
      </c>
      <c r="O20" s="395">
        <f t="shared" si="20"/>
        <v>515.65310295099107</v>
      </c>
      <c r="P20" s="395">
        <f>'12'!I38</f>
        <v>42.546999999999997</v>
      </c>
      <c r="Q20" s="395">
        <f t="shared" si="21"/>
        <v>467.81299999999999</v>
      </c>
      <c r="R20" s="395">
        <f>'12'!I40</f>
        <v>40.722000000000001</v>
      </c>
      <c r="S20" s="395">
        <f t="shared" si="22"/>
        <v>444.09699999999998</v>
      </c>
      <c r="T20" s="100">
        <f t="shared" si="39"/>
        <v>4182.6529497004522</v>
      </c>
      <c r="U20" s="13">
        <f t="shared" si="35"/>
        <v>49901.736066641592</v>
      </c>
      <c r="V20" s="295">
        <f t="shared" si="36"/>
        <v>98.306647935235205</v>
      </c>
      <c r="W20" s="295">
        <f t="shared" si="23"/>
        <v>106.67026368792999</v>
      </c>
      <c r="X20" s="296">
        <f t="shared" si="37"/>
        <v>102.71236554443426</v>
      </c>
      <c r="Y20" s="295">
        <f t="shared" si="24"/>
        <v>112.36674885586166</v>
      </c>
      <c r="Z20" s="397">
        <v>60.4</v>
      </c>
      <c r="AA20" s="396">
        <f t="shared" si="25"/>
        <v>690.69999999999993</v>
      </c>
      <c r="AB20" s="399">
        <f t="shared" si="1"/>
        <v>1.4196065527534256</v>
      </c>
      <c r="AC20" s="399">
        <f t="shared" si="2"/>
        <v>1.4764446477545514</v>
      </c>
      <c r="AD20" s="394">
        <f t="shared" si="3"/>
        <v>1.4832277393055351</v>
      </c>
      <c r="AE20" s="399">
        <f t="shared" si="4"/>
        <v>1.5552908486209094</v>
      </c>
      <c r="AF20" s="398">
        <f>'12'!I46</f>
        <v>37891.079999999638</v>
      </c>
      <c r="AG20" s="396">
        <f t="shared" si="26"/>
        <v>448963.98</v>
      </c>
      <c r="AH20" s="399">
        <f t="shared" si="5"/>
        <v>890.56995792887017</v>
      </c>
      <c r="AI20" s="399">
        <f t="shared" si="6"/>
        <v>959.70821674472484</v>
      </c>
      <c r="AJ20" s="399">
        <f t="shared" si="7"/>
        <v>930.48180344775892</v>
      </c>
      <c r="AK20" s="399">
        <f t="shared" si="8"/>
        <v>1010.9592724112073</v>
      </c>
      <c r="AL20" s="454">
        <v>4451.8999999999996</v>
      </c>
      <c r="AM20" s="455">
        <v>5604.5</v>
      </c>
      <c r="AN20" s="455">
        <v>3814.5</v>
      </c>
      <c r="AO20" s="455">
        <f t="shared" si="40"/>
        <v>13870.9</v>
      </c>
      <c r="AP20" s="580">
        <f>+[1]Okt!N15</f>
        <v>13032</v>
      </c>
      <c r="AQ20" s="487">
        <f t="shared" si="9"/>
        <v>-838.89999999999964</v>
      </c>
      <c r="AR20" s="458">
        <f t="shared" si="10"/>
        <v>0.32095249767498862</v>
      </c>
      <c r="AS20" s="458">
        <f t="shared" si="11"/>
        <v>0.40404732209157301</v>
      </c>
      <c r="AT20" s="458">
        <f t="shared" si="28"/>
        <v>0.27500018023343831</v>
      </c>
      <c r="AU20" s="458">
        <f t="shared" si="29"/>
        <v>-269.24705029954782</v>
      </c>
      <c r="AV20" s="458">
        <f t="shared" si="30"/>
        <v>-338.95529850262045</v>
      </c>
      <c r="AW20" s="458">
        <f t="shared" si="38"/>
        <v>-230.69765119783131</v>
      </c>
      <c r="AX20" s="400">
        <f t="shared" si="31"/>
        <v>4182.6529497004522</v>
      </c>
      <c r="AY20" s="400">
        <f t="shared" si="12"/>
        <v>5265.5447014973797</v>
      </c>
      <c r="AZ20" s="400">
        <f t="shared" si="13"/>
        <v>3583.8023488021686</v>
      </c>
      <c r="BA20" s="394">
        <f>+SUM(Efficiency2!K52:K53)</f>
        <v>46.412026280999996</v>
      </c>
      <c r="BB20" s="395">
        <f t="shared" si="32"/>
        <v>505.27792699836198</v>
      </c>
      <c r="BC20" s="420">
        <f t="shared" si="33"/>
        <v>0.87740189909938582</v>
      </c>
      <c r="BD20" s="420">
        <f t="shared" si="34"/>
        <v>0.87891628798864918</v>
      </c>
    </row>
    <row r="21" spans="1:56" s="400" customFormat="1" ht="12.75" customHeight="1">
      <c r="A21" s="414">
        <f t="shared" si="14"/>
        <v>45943</v>
      </c>
      <c r="B21" s="423" t="s">
        <v>469</v>
      </c>
      <c r="C21" s="401" t="s">
        <v>499</v>
      </c>
      <c r="D21" s="393">
        <f>+'13'!F42</f>
        <v>1184.7083333333333</v>
      </c>
      <c r="E21" s="393">
        <f>+'13'!G42</f>
        <v>928.02541666666673</v>
      </c>
      <c r="F21" s="48">
        <f t="shared" si="0"/>
        <v>0.21666338409594477</v>
      </c>
      <c r="G21" s="419">
        <f t="shared" si="15"/>
        <v>0.91511603139057851</v>
      </c>
      <c r="H21" s="415">
        <f t="shared" si="16"/>
        <v>0.88141917752467192</v>
      </c>
      <c r="I21" s="415">
        <f t="shared" si="17"/>
        <v>0.96849197598921977</v>
      </c>
      <c r="J21" s="420">
        <f t="shared" si="18"/>
        <v>0.85364740091566238</v>
      </c>
      <c r="K21" s="420">
        <f t="shared" si="19"/>
        <v>0.84350837338063034</v>
      </c>
      <c r="L21" s="394">
        <f>+Efficiency1!K56</f>
        <v>46.306004045229137</v>
      </c>
      <c r="M21" s="395">
        <f t="shared" si="20"/>
        <v>573.35056208359106</v>
      </c>
      <c r="N21" s="394">
        <f>+Efficiency1!C56</f>
        <v>44.600901524999998</v>
      </c>
      <c r="O21" s="395">
        <f t="shared" si="20"/>
        <v>560.25400447599111</v>
      </c>
      <c r="P21" s="395">
        <f>'13'!I38</f>
        <v>40.814999999999998</v>
      </c>
      <c r="Q21" s="395">
        <f t="shared" si="21"/>
        <v>508.62799999999999</v>
      </c>
      <c r="R21" s="395">
        <f>'13'!I40</f>
        <v>39.529000000000003</v>
      </c>
      <c r="S21" s="395">
        <f t="shared" si="22"/>
        <v>483.62599999999998</v>
      </c>
      <c r="T21" s="100">
        <f t="shared" si="39"/>
        <v>4251.7672993941014</v>
      </c>
      <c r="U21" s="13">
        <f t="shared" si="35"/>
        <v>54153.503366035693</v>
      </c>
      <c r="V21" s="295">
        <f t="shared" si="36"/>
        <v>104.17168441489898</v>
      </c>
      <c r="W21" s="295">
        <f t="shared" si="23"/>
        <v>106.46976447626889</v>
      </c>
      <c r="X21" s="296">
        <f t="shared" si="37"/>
        <v>107.56070984325689</v>
      </c>
      <c r="Y21" s="295">
        <f t="shared" si="24"/>
        <v>111.97392895757403</v>
      </c>
      <c r="Z21" s="397">
        <v>61</v>
      </c>
      <c r="AA21" s="396">
        <f t="shared" si="25"/>
        <v>751.69999999999993</v>
      </c>
      <c r="AB21" s="399">
        <f t="shared" si="1"/>
        <v>1.494548572828617</v>
      </c>
      <c r="AC21" s="399">
        <f t="shared" si="2"/>
        <v>1.4778974024237752</v>
      </c>
      <c r="AD21" s="394">
        <f t="shared" si="3"/>
        <v>1.5431708366009764</v>
      </c>
      <c r="AE21" s="399">
        <f t="shared" si="4"/>
        <v>1.5543002237265986</v>
      </c>
      <c r="AF21" s="398">
        <f>'13'!I46</f>
        <v>37582.94</v>
      </c>
      <c r="AG21" s="396">
        <f t="shared" si="26"/>
        <v>486546.92</v>
      </c>
      <c r="AH21" s="399">
        <f t="shared" si="5"/>
        <v>920.81195638858276</v>
      </c>
      <c r="AI21" s="399">
        <f t="shared" si="6"/>
        <v>956.58697515669598</v>
      </c>
      <c r="AJ21" s="399">
        <f t="shared" si="7"/>
        <v>950.76880265121815</v>
      </c>
      <c r="AK21" s="399">
        <f t="shared" si="8"/>
        <v>1006.0396256611515</v>
      </c>
      <c r="AL21" s="454">
        <v>4409.2</v>
      </c>
      <c r="AM21" s="455">
        <v>4895.5</v>
      </c>
      <c r="AN21" s="455">
        <v>4113.3999999999996</v>
      </c>
      <c r="AO21" s="455">
        <f t="shared" si="40"/>
        <v>13418.1</v>
      </c>
      <c r="AP21" s="581">
        <f>+[1]Okt!N16</f>
        <v>12939</v>
      </c>
      <c r="AQ21" s="487">
        <f t="shared" si="9"/>
        <v>-479.10000000000036</v>
      </c>
      <c r="AR21" s="458">
        <f t="shared" si="10"/>
        <v>0.32860091965330412</v>
      </c>
      <c r="AS21" s="458">
        <f t="shared" si="11"/>
        <v>0.3648430105603625</v>
      </c>
      <c r="AT21" s="458">
        <f t="shared" si="28"/>
        <v>0.30655606978633332</v>
      </c>
      <c r="AU21" s="458">
        <f t="shared" si="29"/>
        <v>-157.43270060589813</v>
      </c>
      <c r="AV21" s="458">
        <f t="shared" si="30"/>
        <v>-174.7962863594698</v>
      </c>
      <c r="AW21" s="458">
        <f t="shared" si="38"/>
        <v>-146.8710130346324</v>
      </c>
      <c r="AX21" s="400">
        <f t="shared" si="31"/>
        <v>4251.7672993941014</v>
      </c>
      <c r="AY21" s="400">
        <f t="shared" si="12"/>
        <v>4720.7037136405306</v>
      </c>
      <c r="AZ21" s="400">
        <f t="shared" si="13"/>
        <v>3966.528986965367</v>
      </c>
      <c r="BA21" s="394">
        <f>+Efficiency2!K56</f>
        <v>46.306004045229137</v>
      </c>
      <c r="BB21" s="395">
        <f t="shared" si="32"/>
        <v>551.58393104359106</v>
      </c>
      <c r="BC21" s="420">
        <f t="shared" si="33"/>
        <v>0.85364740091566238</v>
      </c>
      <c r="BD21" s="420">
        <f t="shared" si="34"/>
        <v>0.87679494049977957</v>
      </c>
    </row>
    <row r="22" spans="1:56" s="400" customFormat="1" ht="12.75" customHeight="1">
      <c r="A22" s="414">
        <f t="shared" si="14"/>
        <v>45944</v>
      </c>
      <c r="B22" s="423" t="s">
        <v>469</v>
      </c>
      <c r="C22" s="401" t="s">
        <v>499</v>
      </c>
      <c r="D22" s="393">
        <f>+'14'!F42</f>
        <v>1186.4583333333333</v>
      </c>
      <c r="E22" s="393">
        <f>+'14'!G42</f>
        <v>934.21097222222227</v>
      </c>
      <c r="F22" s="48">
        <f t="shared" si="0"/>
        <v>0.21260532630962825</v>
      </c>
      <c r="G22" s="419">
        <f t="shared" si="15"/>
        <v>0.88745246687127211</v>
      </c>
      <c r="H22" s="415">
        <f t="shared" si="16"/>
        <v>0.85603689004605277</v>
      </c>
      <c r="I22" s="415">
        <f t="shared" si="17"/>
        <v>0.87421257372317729</v>
      </c>
      <c r="J22" s="420">
        <f t="shared" si="18"/>
        <v>0.74835821284914428</v>
      </c>
      <c r="K22" s="420">
        <f t="shared" si="19"/>
        <v>0.83636387529272782</v>
      </c>
      <c r="L22" s="394">
        <f>+Efficiency1!K60</f>
        <v>46.545891261597887</v>
      </c>
      <c r="M22" s="395">
        <f t="shared" si="20"/>
        <v>619.896453345189</v>
      </c>
      <c r="N22" s="394">
        <f>+Efficiency1!C60</f>
        <v>44.898179325000001</v>
      </c>
      <c r="O22" s="395">
        <f t="shared" si="20"/>
        <v>605.15218380099111</v>
      </c>
      <c r="P22" s="395">
        <f>'14'!I38</f>
        <v>39.844999999999999</v>
      </c>
      <c r="Q22" s="395">
        <f t="shared" si="21"/>
        <v>548.47299999999996</v>
      </c>
      <c r="R22" s="395">
        <f>'14'!I40</f>
        <v>34.832999999999998</v>
      </c>
      <c r="S22" s="395">
        <f t="shared" si="22"/>
        <v>518.45899999999995</v>
      </c>
      <c r="T22" s="100">
        <f t="shared" si="39"/>
        <v>4089.8407153718454</v>
      </c>
      <c r="U22" s="13">
        <f t="shared" si="35"/>
        <v>58243.344081407537</v>
      </c>
      <c r="V22" s="295">
        <f t="shared" si="36"/>
        <v>102.64376246384353</v>
      </c>
      <c r="W22" s="295">
        <f t="shared" si="23"/>
        <v>106.19181633627825</v>
      </c>
      <c r="X22" s="296">
        <f t="shared" si="37"/>
        <v>117.4128187457826</v>
      </c>
      <c r="Y22" s="295">
        <f t="shared" si="24"/>
        <v>112.33934425172973</v>
      </c>
      <c r="Z22" s="397">
        <v>59.7</v>
      </c>
      <c r="AA22" s="396">
        <f t="shared" si="25"/>
        <v>811.4</v>
      </c>
      <c r="AB22" s="399">
        <f t="shared" si="1"/>
        <v>1.4983059355000627</v>
      </c>
      <c r="AC22" s="399">
        <f t="shared" si="2"/>
        <v>1.4793800241762129</v>
      </c>
      <c r="AD22" s="394">
        <f t="shared" si="3"/>
        <v>1.7138919989664974</v>
      </c>
      <c r="AE22" s="399">
        <f t="shared" si="4"/>
        <v>1.5650224993683204</v>
      </c>
      <c r="AF22" s="398">
        <f>'14'!I46</f>
        <v>37272.400000000001</v>
      </c>
      <c r="AG22" s="396">
        <f t="shared" si="26"/>
        <v>523819.32</v>
      </c>
      <c r="AH22" s="399">
        <f t="shared" si="5"/>
        <v>935.43480988831732</v>
      </c>
      <c r="AI22" s="399">
        <f t="shared" si="6"/>
        <v>955.05033064526424</v>
      </c>
      <c r="AJ22" s="399">
        <f t="shared" si="7"/>
        <v>1070.0312921654754</v>
      </c>
      <c r="AK22" s="399">
        <f t="shared" si="8"/>
        <v>1010.3389467633895</v>
      </c>
      <c r="AL22" s="454">
        <v>4334.3</v>
      </c>
      <c r="AM22" s="455">
        <v>5648.2</v>
      </c>
      <c r="AN22" s="455">
        <v>4354.1000000000004</v>
      </c>
      <c r="AO22" s="455">
        <f t="shared" si="40"/>
        <v>14336.6</v>
      </c>
      <c r="AP22" s="582">
        <f>+[1]Okt!N17</f>
        <v>13528</v>
      </c>
      <c r="AQ22" s="487">
        <f t="shared" si="9"/>
        <v>-808.60000000000036</v>
      </c>
      <c r="AR22" s="458">
        <f t="shared" si="10"/>
        <v>0.30232412147929077</v>
      </c>
      <c r="AS22" s="458">
        <f t="shared" si="11"/>
        <v>0.39397067645048334</v>
      </c>
      <c r="AT22" s="458">
        <f t="shared" si="28"/>
        <v>0.30370520207022589</v>
      </c>
      <c r="AU22" s="458">
        <f t="shared" si="29"/>
        <v>-244.45928462815462</v>
      </c>
      <c r="AV22" s="458">
        <f t="shared" si="30"/>
        <v>-318.56468897786095</v>
      </c>
      <c r="AW22" s="458">
        <f t="shared" si="38"/>
        <v>-245.57602639398476</v>
      </c>
      <c r="AX22" s="400">
        <f t="shared" si="31"/>
        <v>4089.8407153718454</v>
      </c>
      <c r="AY22" s="400">
        <f t="shared" si="12"/>
        <v>5329.6353110221389</v>
      </c>
      <c r="AZ22" s="400">
        <f t="shared" si="13"/>
        <v>4108.5239736060157</v>
      </c>
      <c r="BA22" s="394">
        <f>+Efficiency2!K60</f>
        <v>46.545891261597887</v>
      </c>
      <c r="BB22" s="395">
        <f t="shared" si="32"/>
        <v>598.12982230518901</v>
      </c>
      <c r="BC22" s="420">
        <f t="shared" si="33"/>
        <v>0.74835821284914428</v>
      </c>
      <c r="BD22" s="420">
        <f t="shared" si="34"/>
        <v>0.86680011707468763</v>
      </c>
    </row>
    <row r="23" spans="1:56" s="400" customFormat="1" ht="12.75" customHeight="1">
      <c r="A23" s="414">
        <f t="shared" si="14"/>
        <v>45945</v>
      </c>
      <c r="B23" s="423" t="s">
        <v>574</v>
      </c>
      <c r="C23" s="401" t="s">
        <v>575</v>
      </c>
      <c r="D23" s="393">
        <f>+'15'!F42</f>
        <v>1194.7228381374723</v>
      </c>
      <c r="E23" s="393">
        <f>+'15'!G42</f>
        <v>919.50495195861049</v>
      </c>
      <c r="F23" s="48">
        <f t="shared" si="0"/>
        <v>0.23036128329807115</v>
      </c>
      <c r="G23" s="419">
        <f t="shared" si="15"/>
        <v>0.78355259083661</v>
      </c>
      <c r="H23" s="415">
        <f t="shared" si="16"/>
        <v>0.76125701439376092</v>
      </c>
      <c r="I23" s="415">
        <f t="shared" si="17"/>
        <v>1.0134455746521689</v>
      </c>
      <c r="J23" s="420">
        <f t="shared" si="18"/>
        <v>0.77149255241027948</v>
      </c>
      <c r="K23" s="420">
        <f t="shared" si="19"/>
        <v>0.83197872851952948</v>
      </c>
      <c r="L23" s="394">
        <f>+SUM(Efficiency1!K64:K65)</f>
        <v>44.941457816641943</v>
      </c>
      <c r="M23" s="395">
        <f t="shared" si="20"/>
        <v>664.8379111618309</v>
      </c>
      <c r="N23" s="394">
        <f>+SUM(Efficiency1!C64:C65)</f>
        <v>43.662672295514163</v>
      </c>
      <c r="O23" s="395">
        <f t="shared" si="20"/>
        <v>648.81485609650531</v>
      </c>
      <c r="P23" s="395">
        <f>'15'!I38</f>
        <v>34.211999999999996</v>
      </c>
      <c r="Q23" s="395">
        <f t="shared" si="21"/>
        <v>582.68499999999995</v>
      </c>
      <c r="R23" s="395">
        <f>'15'!I40</f>
        <v>34.671999999999997</v>
      </c>
      <c r="S23" s="395">
        <f t="shared" si="22"/>
        <v>553.13099999999997</v>
      </c>
      <c r="T23" s="100">
        <f t="shared" si="39"/>
        <v>3585.3573409737919</v>
      </c>
      <c r="U23" s="13">
        <f t="shared" si="35"/>
        <v>61828.701422381331</v>
      </c>
      <c r="V23" s="295">
        <f t="shared" si="36"/>
        <v>104.79823865818403</v>
      </c>
      <c r="W23" s="295">
        <f t="shared" si="23"/>
        <v>106.10999325944779</v>
      </c>
      <c r="X23" s="296">
        <f t="shared" si="37"/>
        <v>103.40786054954407</v>
      </c>
      <c r="Y23" s="295">
        <f t="shared" si="24"/>
        <v>111.77949061322062</v>
      </c>
      <c r="Z23" s="397">
        <v>57.3</v>
      </c>
      <c r="AA23" s="396">
        <f t="shared" si="25"/>
        <v>868.69999999999993</v>
      </c>
      <c r="AB23" s="399">
        <f t="shared" si="1"/>
        <v>1.6748509294984217</v>
      </c>
      <c r="AC23" s="399">
        <f t="shared" si="2"/>
        <v>1.4908569810446468</v>
      </c>
      <c r="AD23" s="394">
        <f t="shared" si="3"/>
        <v>1.6526303645592986</v>
      </c>
      <c r="AE23" s="399">
        <f t="shared" si="4"/>
        <v>1.5705140373618545</v>
      </c>
      <c r="AF23" s="398">
        <f>'15'!I46</f>
        <v>38927.199999999269</v>
      </c>
      <c r="AG23" s="396">
        <f t="shared" si="26"/>
        <v>562746.51999999932</v>
      </c>
      <c r="AH23" s="399">
        <f t="shared" si="5"/>
        <v>1137.8229860867323</v>
      </c>
      <c r="AI23" s="399">
        <f t="shared" si="6"/>
        <v>965.78171739447441</v>
      </c>
      <c r="AJ23" s="399">
        <f t="shared" si="7"/>
        <v>1122.7272727272516</v>
      </c>
      <c r="AK23" s="399">
        <f t="shared" si="8"/>
        <v>1017.383802390391</v>
      </c>
      <c r="AL23" s="454">
        <v>3727.4</v>
      </c>
      <c r="AM23" s="455">
        <v>3122.3</v>
      </c>
      <c r="AN23" s="455">
        <v>4074.6</v>
      </c>
      <c r="AO23" s="455">
        <f t="shared" si="40"/>
        <v>10924.300000000001</v>
      </c>
      <c r="AP23" s="583">
        <f>+[1]Okt!N18</f>
        <v>10508</v>
      </c>
      <c r="AQ23" s="487">
        <f t="shared" si="9"/>
        <v>-416.30000000000109</v>
      </c>
      <c r="AR23" s="458">
        <f t="shared" si="10"/>
        <v>0.34120263998608602</v>
      </c>
      <c r="AS23" s="458">
        <f t="shared" si="11"/>
        <v>0.28581236326355003</v>
      </c>
      <c r="AT23" s="458">
        <f t="shared" si="28"/>
        <v>0.37298499675036395</v>
      </c>
      <c r="AU23" s="458">
        <f t="shared" si="29"/>
        <v>-142.04265902620799</v>
      </c>
      <c r="AV23" s="458">
        <f t="shared" si="30"/>
        <v>-118.98368682661619</v>
      </c>
      <c r="AW23" s="458">
        <f t="shared" si="38"/>
        <v>-155.27365414717693</v>
      </c>
      <c r="AX23" s="400">
        <f t="shared" si="31"/>
        <v>3585.3573409737919</v>
      </c>
      <c r="AY23" s="400">
        <f t="shared" si="12"/>
        <v>3003.3163131733841</v>
      </c>
      <c r="AZ23" s="400">
        <f t="shared" si="13"/>
        <v>3919.3263458528231</v>
      </c>
      <c r="BA23" s="394">
        <f>+SUM(Efficiency2!K64:K65)</f>
        <v>44.941457816641943</v>
      </c>
      <c r="BB23" s="395">
        <f t="shared" si="32"/>
        <v>643.07128012183091</v>
      </c>
      <c r="BC23" s="420">
        <f t="shared" si="33"/>
        <v>0.77149255241027948</v>
      </c>
      <c r="BD23" s="420">
        <f t="shared" si="34"/>
        <v>0.86013948546296204</v>
      </c>
    </row>
    <row r="24" spans="1:56" s="400" customFormat="1" ht="12.75" customHeight="1">
      <c r="A24" s="414">
        <f t="shared" si="14"/>
        <v>45946</v>
      </c>
      <c r="B24" s="423" t="s">
        <v>7</v>
      </c>
      <c r="C24" s="401" t="s">
        <v>589</v>
      </c>
      <c r="D24" s="393">
        <f>+'16'!F42</f>
        <v>1227.3958333333333</v>
      </c>
      <c r="E24" s="393">
        <f>+'16'!G42</f>
        <v>945.09479166666665</v>
      </c>
      <c r="F24" s="48">
        <f t="shared" si="0"/>
        <v>0.22999999999999998</v>
      </c>
      <c r="G24" s="419">
        <f t="shared" si="15"/>
        <v>0.89365119945087812</v>
      </c>
      <c r="H24" s="415">
        <f t="shared" si="16"/>
        <v>0.89177690086090278</v>
      </c>
      <c r="I24" s="415">
        <f t="shared" si="17"/>
        <v>0.95250960465980927</v>
      </c>
      <c r="J24" s="420">
        <f t="shared" si="18"/>
        <v>0.84942606328376835</v>
      </c>
      <c r="K24" s="420">
        <f t="shared" si="19"/>
        <v>0.83309034735560317</v>
      </c>
      <c r="L24" s="394">
        <f>+SUM(Efficiency1!K69:K70)</f>
        <v>45.241135939999992</v>
      </c>
      <c r="M24" s="395">
        <f t="shared" si="20"/>
        <v>710.07904710183084</v>
      </c>
      <c r="N24" s="394">
        <f>+SUM(Efficiency1!C69:C70)</f>
        <v>45.146249481666665</v>
      </c>
      <c r="O24" s="395">
        <f t="shared" si="20"/>
        <v>693.96110557817201</v>
      </c>
      <c r="P24" s="395">
        <f>'16'!I38</f>
        <v>40.344999999999999</v>
      </c>
      <c r="Q24" s="395">
        <f t="shared" si="21"/>
        <v>623.03</v>
      </c>
      <c r="R24" s="395">
        <f>'16'!I40</f>
        <v>38.429000000000002</v>
      </c>
      <c r="S24" s="395">
        <f t="shared" si="22"/>
        <v>591.55999999999995</v>
      </c>
      <c r="T24" s="100">
        <f t="shared" si="39"/>
        <v>3564.7564724721792</v>
      </c>
      <c r="U24" s="13">
        <f t="shared" si="35"/>
        <v>65393.457894853513</v>
      </c>
      <c r="V24" s="295">
        <f t="shared" si="36"/>
        <v>88.3568341175407</v>
      </c>
      <c r="W24" s="295">
        <f t="shared" si="23"/>
        <v>104.96036771079004</v>
      </c>
      <c r="X24" s="296">
        <f t="shared" si="37"/>
        <v>92.76214505899658</v>
      </c>
      <c r="Y24" s="295">
        <f t="shared" si="24"/>
        <v>110.54408326265047</v>
      </c>
      <c r="Z24" s="397">
        <v>62.6</v>
      </c>
      <c r="AA24" s="396">
        <f t="shared" si="25"/>
        <v>931.3</v>
      </c>
      <c r="AB24" s="399">
        <f t="shared" si="1"/>
        <v>1.5516173007807659</v>
      </c>
      <c r="AC24" s="399">
        <f t="shared" si="2"/>
        <v>1.4947915830698362</v>
      </c>
      <c r="AD24" s="394">
        <f t="shared" si="3"/>
        <v>1.6289781154857008</v>
      </c>
      <c r="AE24" s="399">
        <f t="shared" si="4"/>
        <v>1.5743119886402057</v>
      </c>
      <c r="AF24" s="398">
        <f>'16'!I46</f>
        <v>34790.400000000729</v>
      </c>
      <c r="AG24" s="396">
        <f t="shared" si="26"/>
        <v>597536.92000000004</v>
      </c>
      <c r="AH24" s="399">
        <f t="shared" si="5"/>
        <v>862.32246870741676</v>
      </c>
      <c r="AI24" s="399">
        <f t="shared" si="6"/>
        <v>959.08209877533989</v>
      </c>
      <c r="AJ24" s="399">
        <f t="shared" si="7"/>
        <v>905.31629758777819</v>
      </c>
      <c r="AK24" s="399">
        <f t="shared" si="8"/>
        <v>1010.1036581242818</v>
      </c>
      <c r="AL24" s="454">
        <v>3787.7</v>
      </c>
      <c r="AM24" s="455">
        <v>4341.1000000000004</v>
      </c>
      <c r="AN24" s="455">
        <v>4173.3</v>
      </c>
      <c r="AO24" s="455">
        <f t="shared" si="40"/>
        <v>12302.1</v>
      </c>
      <c r="AP24" s="585">
        <f>+[1]Okt!N19</f>
        <v>11578</v>
      </c>
      <c r="AQ24" s="487">
        <f t="shared" si="9"/>
        <v>-724.10000000000036</v>
      </c>
      <c r="AR24" s="458">
        <f t="shared" si="10"/>
        <v>0.30789052275627737</v>
      </c>
      <c r="AS24" s="458">
        <f t="shared" si="11"/>
        <v>0.35287471244746832</v>
      </c>
      <c r="AT24" s="458">
        <f t="shared" si="28"/>
        <v>0.33923476479625431</v>
      </c>
      <c r="AU24" s="458">
        <f t="shared" si="29"/>
        <v>-222.94352752782055</v>
      </c>
      <c r="AV24" s="458">
        <f t="shared" si="30"/>
        <v>-255.51657928321194</v>
      </c>
      <c r="AW24" s="458">
        <f t="shared" si="38"/>
        <v>-245.63989318896787</v>
      </c>
      <c r="AX24" s="400">
        <f t="shared" si="31"/>
        <v>3564.7564724721792</v>
      </c>
      <c r="AY24" s="400">
        <f t="shared" si="12"/>
        <v>4085.5834207167886</v>
      </c>
      <c r="AZ24" s="400">
        <f t="shared" si="13"/>
        <v>3927.6601068110322</v>
      </c>
      <c r="BA24" s="394">
        <f>+SUM(Efficiency2!K69:K70)</f>
        <v>45.241135939999992</v>
      </c>
      <c r="BB24" s="395">
        <f t="shared" si="32"/>
        <v>688.31241606183085</v>
      </c>
      <c r="BC24" s="420">
        <f t="shared" si="33"/>
        <v>0.84942606328376835</v>
      </c>
      <c r="BD24" s="420">
        <f t="shared" si="34"/>
        <v>0.85943531773638726</v>
      </c>
    </row>
    <row r="25" spans="1:56" s="400" customFormat="1" ht="12.75" customHeight="1">
      <c r="A25" s="414">
        <f t="shared" si="14"/>
        <v>45947</v>
      </c>
      <c r="B25" s="423" t="s">
        <v>7</v>
      </c>
      <c r="C25" s="401" t="s">
        <v>602</v>
      </c>
      <c r="D25" s="393">
        <f>+'17'!F42</f>
        <v>1222.8931568287039</v>
      </c>
      <c r="E25" s="393">
        <f>+'17'!G42</f>
        <v>941.80100284830723</v>
      </c>
      <c r="F25" s="48">
        <f t="shared" si="0"/>
        <v>0.22985830970658583</v>
      </c>
      <c r="G25" s="419">
        <f t="shared" si="15"/>
        <v>0.90514369754974544</v>
      </c>
      <c r="H25" s="415">
        <f t="shared" si="16"/>
        <v>0.89871233822253227</v>
      </c>
      <c r="I25" s="415">
        <f t="shared" si="17"/>
        <v>0.96631936031015275</v>
      </c>
      <c r="J25" s="420">
        <f t="shared" si="18"/>
        <v>0.86844313177403898</v>
      </c>
      <c r="K25" s="420">
        <f t="shared" si="19"/>
        <v>0.83503482959920494</v>
      </c>
      <c r="L25" s="394">
        <f>+SUM(Efficiency1!K73:K75)</f>
        <v>41.329131047050268</v>
      </c>
      <c r="M25" s="395">
        <f t="shared" si="20"/>
        <v>751.40817814888112</v>
      </c>
      <c r="N25" s="394">
        <f>+SUM(Efficiency1!C73:C75)</f>
        <v>41.035473263027029</v>
      </c>
      <c r="O25" s="395">
        <f t="shared" si="20"/>
        <v>734.99657884119904</v>
      </c>
      <c r="P25" s="395">
        <f>'17'!I38</f>
        <v>37.143000000000001</v>
      </c>
      <c r="Q25" s="395">
        <f t="shared" si="21"/>
        <v>660.173</v>
      </c>
      <c r="R25" s="395">
        <f>'17'!I40</f>
        <v>35.892000000000003</v>
      </c>
      <c r="S25" s="395">
        <f t="shared" si="22"/>
        <v>627.452</v>
      </c>
      <c r="T25" s="100">
        <f t="shared" si="39"/>
        <v>3330.3375992586557</v>
      </c>
      <c r="U25" s="13">
        <f t="shared" si="35"/>
        <v>68723.795494112172</v>
      </c>
      <c r="V25" s="295">
        <f t="shared" si="36"/>
        <v>89.66259050853877</v>
      </c>
      <c r="W25" s="295">
        <f t="shared" si="23"/>
        <v>104.09967613657658</v>
      </c>
      <c r="X25" s="296">
        <f t="shared" si="37"/>
        <v>92.78774098012525</v>
      </c>
      <c r="Y25" s="295">
        <f t="shared" si="24"/>
        <v>109.52837108513826</v>
      </c>
      <c r="Z25" s="397">
        <v>59.3</v>
      </c>
      <c r="AA25" s="396">
        <f t="shared" si="25"/>
        <v>990.59999999999991</v>
      </c>
      <c r="AB25" s="399">
        <f t="shared" si="1"/>
        <v>1.5965323210295344</v>
      </c>
      <c r="AC25" s="399">
        <f t="shared" si="2"/>
        <v>1.5005157738956303</v>
      </c>
      <c r="AD25" s="394">
        <f t="shared" si="3"/>
        <v>1.6521787584977152</v>
      </c>
      <c r="AE25" s="399">
        <f t="shared" si="4"/>
        <v>1.5787661845049501</v>
      </c>
      <c r="AF25" s="398">
        <f>'17'!I46</f>
        <v>39718.76</v>
      </c>
      <c r="AG25" s="396">
        <f t="shared" si="26"/>
        <v>637255.68000000005</v>
      </c>
      <c r="AH25" s="399">
        <f t="shared" si="5"/>
        <v>1069.3471178957004</v>
      </c>
      <c r="AI25" s="399">
        <f t="shared" si="6"/>
        <v>965.28588718411697</v>
      </c>
      <c r="AJ25" s="399">
        <f t="shared" si="7"/>
        <v>1106.6187451242617</v>
      </c>
      <c r="AK25" s="399">
        <f t="shared" si="8"/>
        <v>1015.624589610042</v>
      </c>
      <c r="AL25" s="454">
        <v>3500</v>
      </c>
      <c r="AM25" s="455">
        <v>4664.2</v>
      </c>
      <c r="AN25" s="455">
        <v>4353.6000000000004</v>
      </c>
      <c r="AO25" s="455">
        <f t="shared" si="40"/>
        <v>12517.8</v>
      </c>
      <c r="AP25" s="586">
        <f>+[1]Okt!N20</f>
        <v>11911</v>
      </c>
      <c r="AQ25" s="487">
        <f t="shared" si="9"/>
        <v>-606.79999999999927</v>
      </c>
      <c r="AR25" s="458">
        <f t="shared" si="10"/>
        <v>0.27960184696991486</v>
      </c>
      <c r="AS25" s="458">
        <f t="shared" si="11"/>
        <v>0.37260540989630764</v>
      </c>
      <c r="AT25" s="458">
        <f t="shared" si="28"/>
        <v>0.3477927431337775</v>
      </c>
      <c r="AU25" s="458">
        <f t="shared" si="29"/>
        <v>-169.66240074134413</v>
      </c>
      <c r="AV25" s="458">
        <f>+AS25*AQ25</f>
        <v>-226.09696272507921</v>
      </c>
      <c r="AW25" s="458">
        <f t="shared" si="38"/>
        <v>-211.04063653357593</v>
      </c>
      <c r="AX25" s="400">
        <f t="shared" si="31"/>
        <v>3330.3375992586557</v>
      </c>
      <c r="AY25" s="400">
        <f t="shared" si="12"/>
        <v>4438.103037274921</v>
      </c>
      <c r="AZ25" s="400">
        <f t="shared" si="13"/>
        <v>4142.5593634664247</v>
      </c>
      <c r="BA25" s="394">
        <f>+SUM(Efficiency2!K73:K75)</f>
        <v>41.329131047050268</v>
      </c>
      <c r="BB25" s="395">
        <f t="shared" si="32"/>
        <v>729.64154710888113</v>
      </c>
      <c r="BC25" s="420">
        <f t="shared" si="33"/>
        <v>0.86844313177403898</v>
      </c>
      <c r="BD25" s="420">
        <f t="shared" si="34"/>
        <v>0.8599455479011644</v>
      </c>
    </row>
    <row r="26" spans="1:56" s="400" customFormat="1" ht="12.75" customHeight="1">
      <c r="A26" s="414">
        <f t="shared" si="14"/>
        <v>45948</v>
      </c>
      <c r="B26" s="423" t="s">
        <v>7</v>
      </c>
      <c r="C26" s="401" t="s">
        <v>387</v>
      </c>
      <c r="D26" s="393">
        <f>+'18'!F42</f>
        <v>1223.3333333333333</v>
      </c>
      <c r="E26" s="393">
        <f>+'18'!G42</f>
        <v>941.9666666666667</v>
      </c>
      <c r="F26" s="48">
        <f t="shared" si="0"/>
        <v>0.22999999999999998</v>
      </c>
      <c r="G26" s="419">
        <f t="shared" si="15"/>
        <v>0.88430387041894198</v>
      </c>
      <c r="H26" s="415">
        <f t="shared" si="16"/>
        <v>0.87951089551152228</v>
      </c>
      <c r="I26" s="415">
        <f t="shared" si="17"/>
        <v>0.94477771826459567</v>
      </c>
      <c r="J26" s="420">
        <f t="shared" si="18"/>
        <v>0.83094229705022715</v>
      </c>
      <c r="K26" s="420">
        <f t="shared" si="19"/>
        <v>0.83481596307228922</v>
      </c>
      <c r="L26" s="394">
        <f>+Efficiency1!K77</f>
        <v>42.455414924999999</v>
      </c>
      <c r="M26" s="395">
        <f t="shared" si="20"/>
        <v>793.86359307388113</v>
      </c>
      <c r="N26" s="394">
        <f>+Efficiency1!C77</f>
        <v>42.225304274999999</v>
      </c>
      <c r="O26" s="395">
        <f t="shared" si="20"/>
        <v>777.22188311619902</v>
      </c>
      <c r="P26" s="395">
        <f>'18'!I38</f>
        <v>37.339999999999996</v>
      </c>
      <c r="Q26" s="395">
        <f t="shared" si="21"/>
        <v>697.51300000000003</v>
      </c>
      <c r="R26" s="395">
        <f>'18'!I40</f>
        <v>35.277999999999999</v>
      </c>
      <c r="S26" s="395">
        <f t="shared" si="22"/>
        <v>662.73</v>
      </c>
      <c r="T26" s="100">
        <f t="shared" si="39"/>
        <v>3170.1143882086876</v>
      </c>
      <c r="U26" s="13">
        <f t="shared" si="35"/>
        <v>71893.909882320862</v>
      </c>
      <c r="V26" s="295">
        <f t="shared" si="36"/>
        <v>84.898617788127694</v>
      </c>
      <c r="W26" s="295">
        <f t="shared" si="23"/>
        <v>103.07178487328675</v>
      </c>
      <c r="X26" s="296">
        <f t="shared" si="37"/>
        <v>89.860944163747604</v>
      </c>
      <c r="Y26" s="295">
        <f t="shared" si="24"/>
        <v>108.48144777257836</v>
      </c>
      <c r="Z26" s="397">
        <v>60.5</v>
      </c>
      <c r="AA26" s="396">
        <f t="shared" si="25"/>
        <v>1051.0999999999999</v>
      </c>
      <c r="AB26" s="399">
        <f t="shared" si="1"/>
        <v>1.6202463845741832</v>
      </c>
      <c r="AC26" s="399">
        <f t="shared" si="2"/>
        <v>1.5069253189546286</v>
      </c>
      <c r="AD26" s="394">
        <f t="shared" si="3"/>
        <v>1.7149498270877035</v>
      </c>
      <c r="AE26" s="399">
        <f t="shared" si="4"/>
        <v>1.5860154210613673</v>
      </c>
      <c r="AF26" s="398">
        <f>'18'!I46</f>
        <v>37297.979999999639</v>
      </c>
      <c r="AG26" s="396">
        <f t="shared" si="26"/>
        <v>674553.65999999968</v>
      </c>
      <c r="AH26" s="399">
        <f t="shared" si="5"/>
        <v>998.87466523834075</v>
      </c>
      <c r="AI26" s="399">
        <f t="shared" si="6"/>
        <v>967.08399700077234</v>
      </c>
      <c r="AJ26" s="399">
        <f t="shared" si="7"/>
        <v>1057.2589149044629</v>
      </c>
      <c r="AK26" s="399">
        <f t="shared" si="8"/>
        <v>1017.8408401611512</v>
      </c>
      <c r="AL26" s="454">
        <v>3580.9</v>
      </c>
      <c r="AM26" s="455">
        <v>4857.2</v>
      </c>
      <c r="AN26" s="455">
        <v>4384.8999999999996</v>
      </c>
      <c r="AO26" s="455">
        <f t="shared" si="40"/>
        <v>12823</v>
      </c>
      <c r="AP26" s="587">
        <f>+[1]Okt!N21</f>
        <v>11352</v>
      </c>
      <c r="AQ26" s="487">
        <f t="shared" si="9"/>
        <v>-1471</v>
      </c>
      <c r="AR26" s="458">
        <f t="shared" si="10"/>
        <v>0.27925602433127972</v>
      </c>
      <c r="AS26" s="458">
        <f t="shared" si="11"/>
        <v>0.37878811510566951</v>
      </c>
      <c r="AT26" s="458">
        <f t="shared" si="28"/>
        <v>0.34195586056305077</v>
      </c>
      <c r="AU26" s="458">
        <f t="shared" si="29"/>
        <v>-410.78561179131248</v>
      </c>
      <c r="AV26" s="458">
        <f t="shared" si="30"/>
        <v>-557.19731732043988</v>
      </c>
      <c r="AW26" s="458">
        <f t="shared" si="38"/>
        <v>-503.0170708882477</v>
      </c>
      <c r="AX26" s="400">
        <f t="shared" si="31"/>
        <v>3170.1143882086876</v>
      </c>
      <c r="AY26" s="400">
        <f t="shared" si="12"/>
        <v>4300.0026826795602</v>
      </c>
      <c r="AZ26" s="400">
        <f t="shared" si="13"/>
        <v>3881.8829291117518</v>
      </c>
      <c r="BA26" s="394">
        <f>+Efficiency2!K77</f>
        <v>42.455414924999999</v>
      </c>
      <c r="BB26" s="395">
        <f t="shared" si="32"/>
        <v>772.09696203388114</v>
      </c>
      <c r="BC26" s="420">
        <f t="shared" si="33"/>
        <v>0.83094229705022715</v>
      </c>
      <c r="BD26" s="420">
        <f t="shared" si="34"/>
        <v>0.85835074166619774</v>
      </c>
    </row>
    <row r="27" spans="1:56" s="400" customFormat="1" ht="12.75" customHeight="1">
      <c r="A27" s="414">
        <f t="shared" si="14"/>
        <v>45949</v>
      </c>
      <c r="B27" s="423" t="s">
        <v>7</v>
      </c>
      <c r="C27" s="401" t="s">
        <v>387</v>
      </c>
      <c r="D27" s="393">
        <f>+'19'!F42</f>
        <v>1230</v>
      </c>
      <c r="E27" s="393">
        <f>+'19'!G42</f>
        <v>947.09999999999991</v>
      </c>
      <c r="F27" s="48">
        <f t="shared" si="0"/>
        <v>0.23000000000000009</v>
      </c>
      <c r="G27" s="419">
        <f t="shared" si="15"/>
        <v>2.4691295613833566E-2</v>
      </c>
      <c r="H27" s="415">
        <f t="shared" si="16"/>
        <v>2.4557467453324981E-2</v>
      </c>
      <c r="I27" s="415">
        <f t="shared" si="17"/>
        <v>2.6739336492890997</v>
      </c>
      <c r="J27" s="420">
        <f t="shared" si="18"/>
        <v>6.5665038564767561E-2</v>
      </c>
      <c r="K27" s="420">
        <f t="shared" si="19"/>
        <v>0.79532967621636808</v>
      </c>
      <c r="L27" s="394">
        <f>+Efficiency1!K81</f>
        <v>42.960456000000001</v>
      </c>
      <c r="M27" s="395">
        <f t="shared" si="20"/>
        <v>836.82404907388116</v>
      </c>
      <c r="N27" s="394">
        <f>+Efficiency1!C81</f>
        <v>42.727607999999996</v>
      </c>
      <c r="O27" s="395">
        <f t="shared" si="20"/>
        <v>819.94949111619906</v>
      </c>
      <c r="P27" s="395">
        <f>'19'!I38</f>
        <v>1.0549999999999999</v>
      </c>
      <c r="Q27" s="395">
        <f t="shared" si="21"/>
        <v>698.56799999999998</v>
      </c>
      <c r="R27" s="395">
        <f>'19'!I40</f>
        <v>2.8210000000000002</v>
      </c>
      <c r="S27" s="395">
        <f t="shared" si="22"/>
        <v>665.55100000000004</v>
      </c>
      <c r="T27" s="100">
        <f t="shared" si="39"/>
        <v>0</v>
      </c>
      <c r="U27" s="13">
        <f t="shared" si="35"/>
        <v>71893.909882320862</v>
      </c>
      <c r="V27" s="295">
        <f t="shared" si="36"/>
        <v>0</v>
      </c>
      <c r="W27" s="295">
        <f t="shared" si="23"/>
        <v>102.91612252825904</v>
      </c>
      <c r="X27" s="296">
        <f t="shared" si="37"/>
        <v>0</v>
      </c>
      <c r="Y27" s="295">
        <f t="shared" si="24"/>
        <v>108.02163903640871</v>
      </c>
      <c r="Z27" s="397">
        <v>16.7</v>
      </c>
      <c r="AA27" s="396">
        <f t="shared" si="25"/>
        <v>1067.8</v>
      </c>
      <c r="AB27" s="399">
        <f t="shared" si="1"/>
        <v>15.829383886255924</v>
      </c>
      <c r="AC27" s="399">
        <f t="shared" si="2"/>
        <v>1.5285555593728886</v>
      </c>
      <c r="AD27" s="394">
        <f t="shared" si="3"/>
        <v>5.9198865650478547</v>
      </c>
      <c r="AE27" s="399">
        <f t="shared" si="4"/>
        <v>1.6043849381940676</v>
      </c>
      <c r="AF27" s="398">
        <f>'19'!I46</f>
        <v>8166.5800000007275</v>
      </c>
      <c r="AG27" s="396">
        <f t="shared" si="26"/>
        <v>682720.24000000046</v>
      </c>
      <c r="AH27" s="399">
        <f t="shared" si="5"/>
        <v>7740.8341232234379</v>
      </c>
      <c r="AI27" s="399">
        <f t="shared" si="6"/>
        <v>977.31393364711869</v>
      </c>
      <c r="AJ27" s="399">
        <f t="shared" si="7"/>
        <v>2894.9237858917859</v>
      </c>
      <c r="AK27" s="399">
        <f t="shared" si="8"/>
        <v>1025.7970313319347</v>
      </c>
      <c r="AL27" s="454">
        <v>0</v>
      </c>
      <c r="AM27" s="455">
        <v>5204</v>
      </c>
      <c r="AN27" s="455">
        <v>4519.6000000000004</v>
      </c>
      <c r="AO27" s="455">
        <f t="shared" si="40"/>
        <v>9723.6</v>
      </c>
      <c r="AP27" s="587">
        <f>+[1]Okt!N22</f>
        <v>10235</v>
      </c>
      <c r="AQ27" s="487">
        <f t="shared" si="9"/>
        <v>511.39999999999964</v>
      </c>
      <c r="AR27" s="458">
        <f t="shared" si="10"/>
        <v>0</v>
      </c>
      <c r="AS27" s="458">
        <f t="shared" si="11"/>
        <v>0.53519272697354892</v>
      </c>
      <c r="AT27" s="458">
        <f t="shared" si="28"/>
        <v>0.46480727302645108</v>
      </c>
      <c r="AU27" s="458">
        <f t="shared" si="29"/>
        <v>0</v>
      </c>
      <c r="AV27" s="458">
        <f t="shared" si="30"/>
        <v>273.6975605742727</v>
      </c>
      <c r="AW27" s="458">
        <f>+AT27*AQ27</f>
        <v>237.70243942572691</v>
      </c>
      <c r="AX27" s="400">
        <f t="shared" si="31"/>
        <v>0</v>
      </c>
      <c r="AY27" s="400">
        <f t="shared" si="12"/>
        <v>5477.6975605742728</v>
      </c>
      <c r="AZ27" s="400">
        <f t="shared" si="13"/>
        <v>4757.3024394257272</v>
      </c>
      <c r="BA27" s="394">
        <f>+Efficiency2!K81</f>
        <v>0.77567489999999994</v>
      </c>
      <c r="BB27" s="395">
        <f t="shared" si="32"/>
        <v>772.87263693388115</v>
      </c>
      <c r="BC27" s="420">
        <f t="shared" si="33"/>
        <v>3.6368329051255883</v>
      </c>
      <c r="BD27" s="420">
        <f t="shared" si="34"/>
        <v>0.86113929798363087</v>
      </c>
    </row>
    <row r="28" spans="1:56" s="400" customFormat="1" ht="12.75" customHeight="1">
      <c r="A28" s="414">
        <f t="shared" si="14"/>
        <v>45950</v>
      </c>
      <c r="B28" s="423" t="s">
        <v>7</v>
      </c>
      <c r="C28" s="401" t="s">
        <v>387</v>
      </c>
      <c r="D28" s="393">
        <f>+'20'!F42</f>
        <v>0</v>
      </c>
      <c r="E28" s="393">
        <f>+'20'!G42</f>
        <v>0</v>
      </c>
      <c r="F28" s="48" t="e">
        <f t="shared" si="0"/>
        <v>#DIV/0!</v>
      </c>
      <c r="G28" s="419">
        <f t="shared" si="15"/>
        <v>0</v>
      </c>
      <c r="H28" s="415">
        <f t="shared" si="16"/>
        <v>0</v>
      </c>
      <c r="I28" s="415" t="e">
        <f t="shared" si="17"/>
        <v>#DIV/0!</v>
      </c>
      <c r="J28" s="420">
        <f t="shared" si="18"/>
        <v>0</v>
      </c>
      <c r="K28" s="420">
        <f t="shared" si="19"/>
        <v>0.75649320505378692</v>
      </c>
      <c r="L28" s="394">
        <f>+Efficiency1!K86</f>
        <v>42.960456000000001</v>
      </c>
      <c r="M28" s="395">
        <f t="shared" si="20"/>
        <v>879.78450507388118</v>
      </c>
      <c r="N28" s="394">
        <f>+Efficiency1!C86</f>
        <v>42.727607999999996</v>
      </c>
      <c r="O28" s="395">
        <f t="shared" si="20"/>
        <v>862.67709911619909</v>
      </c>
      <c r="P28" s="395">
        <f>'20'!I38</f>
        <v>0</v>
      </c>
      <c r="Q28" s="395">
        <f t="shared" si="21"/>
        <v>698.56799999999998</v>
      </c>
      <c r="R28" s="395">
        <f>'20'!I40</f>
        <v>0</v>
      </c>
      <c r="S28" s="395">
        <f t="shared" si="22"/>
        <v>665.55100000000004</v>
      </c>
      <c r="T28" s="100">
        <f t="shared" si="39"/>
        <v>0</v>
      </c>
      <c r="U28" s="13">
        <f t="shared" si="35"/>
        <v>71893.909882320862</v>
      </c>
      <c r="V28" s="295" t="e">
        <f t="shared" si="36"/>
        <v>#DIV/0!</v>
      </c>
      <c r="W28" s="295">
        <f t="shared" si="23"/>
        <v>102.91612252825904</v>
      </c>
      <c r="X28" s="296">
        <f t="shared" si="37"/>
        <v>0</v>
      </c>
      <c r="Y28" s="295">
        <f t="shared" si="24"/>
        <v>108.02163903640871</v>
      </c>
      <c r="Z28" s="397">
        <v>34.200000000000003</v>
      </c>
      <c r="AA28" s="396">
        <f t="shared" si="25"/>
        <v>1102</v>
      </c>
      <c r="AB28" s="399" t="e">
        <f t="shared" si="1"/>
        <v>#DIV/0!</v>
      </c>
      <c r="AC28" s="399">
        <f t="shared" si="2"/>
        <v>1.5775128548688173</v>
      </c>
      <c r="AD28" s="394">
        <f t="shared" si="3"/>
        <v>0</v>
      </c>
      <c r="AE28" s="399">
        <f t="shared" si="4"/>
        <v>1.6557709326557994</v>
      </c>
      <c r="AF28" s="398">
        <f>'20'!I46</f>
        <v>5005.2199999989089</v>
      </c>
      <c r="AG28" s="396">
        <f t="shared" si="26"/>
        <v>687725.45999999938</v>
      </c>
      <c r="AH28" s="399" t="e">
        <f t="shared" si="5"/>
        <v>#DIV/0!</v>
      </c>
      <c r="AI28" s="399">
        <f t="shared" si="6"/>
        <v>984.47890541793981</v>
      </c>
      <c r="AJ28" s="399">
        <f t="shared" si="7"/>
        <v>0</v>
      </c>
      <c r="AK28" s="399">
        <f t="shared" si="8"/>
        <v>1033.3174467471304</v>
      </c>
      <c r="AL28" s="454">
        <v>0</v>
      </c>
      <c r="AM28" s="490">
        <v>5534.8</v>
      </c>
      <c r="AN28" s="455">
        <v>4526.7</v>
      </c>
      <c r="AO28" s="455">
        <f t="shared" si="40"/>
        <v>10061.5</v>
      </c>
      <c r="AP28" s="588">
        <f>+[1]Okt!N23</f>
        <v>10155</v>
      </c>
      <c r="AQ28" s="487">
        <f t="shared" si="9"/>
        <v>93.5</v>
      </c>
      <c r="AR28" s="458">
        <f t="shared" si="10"/>
        <v>0</v>
      </c>
      <c r="AS28" s="458">
        <f t="shared" si="11"/>
        <v>0.5500969040401531</v>
      </c>
      <c r="AT28" s="458">
        <f t="shared" si="28"/>
        <v>0.4499030959598469</v>
      </c>
      <c r="AU28" s="458">
        <f t="shared" si="29"/>
        <v>0</v>
      </c>
      <c r="AV28" s="458">
        <f t="shared" si="30"/>
        <v>51.434060527754312</v>
      </c>
      <c r="AW28" s="458">
        <f t="shared" si="38"/>
        <v>42.065939472245688</v>
      </c>
      <c r="AX28" s="400">
        <f t="shared" si="31"/>
        <v>0</v>
      </c>
      <c r="AY28" s="400">
        <f t="shared" si="12"/>
        <v>5586.2340605277541</v>
      </c>
      <c r="AZ28" s="400">
        <f t="shared" si="13"/>
        <v>4568.7659394722459</v>
      </c>
      <c r="BA28" s="394">
        <f>+Efficiency2!K86</f>
        <v>0</v>
      </c>
      <c r="BB28" s="395">
        <f t="shared" si="32"/>
        <v>772.87263693388115</v>
      </c>
      <c r="BC28" s="420" t="e">
        <f t="shared" si="33"/>
        <v>#DIV/0!</v>
      </c>
      <c r="BD28" s="420">
        <f t="shared" si="34"/>
        <v>0.86113929798363087</v>
      </c>
    </row>
    <row r="29" spans="1:56" s="400" customFormat="1" ht="12.75" customHeight="1">
      <c r="A29" s="414">
        <f t="shared" si="14"/>
        <v>45951</v>
      </c>
      <c r="B29" s="423" t="s">
        <v>7</v>
      </c>
      <c r="C29" s="401" t="s">
        <v>387</v>
      </c>
      <c r="D29" s="393">
        <f>+'21'!F42</f>
        <v>0</v>
      </c>
      <c r="E29" s="393">
        <f>+'21'!G42</f>
        <v>0</v>
      </c>
      <c r="F29" s="48" t="e">
        <f t="shared" si="0"/>
        <v>#DIV/0!</v>
      </c>
      <c r="G29" s="419">
        <f t="shared" si="15"/>
        <v>0</v>
      </c>
      <c r="H29" s="415">
        <f t="shared" si="16"/>
        <v>0</v>
      </c>
      <c r="I29" s="415" t="e">
        <f t="shared" si="17"/>
        <v>#DIV/0!</v>
      </c>
      <c r="J29" s="420">
        <f t="shared" si="18"/>
        <v>0</v>
      </c>
      <c r="K29" s="420">
        <f t="shared" si="19"/>
        <v>0.72127297148871838</v>
      </c>
      <c r="L29" s="394">
        <f>+Efficiency1!K91</f>
        <v>42.960456000000001</v>
      </c>
      <c r="M29" s="395">
        <f t="shared" si="20"/>
        <v>922.7449610738812</v>
      </c>
      <c r="N29" s="394">
        <f>+Efficiency1!C91</f>
        <v>42.727607999999996</v>
      </c>
      <c r="O29" s="395">
        <f t="shared" si="20"/>
        <v>905.40470711619912</v>
      </c>
      <c r="P29" s="395">
        <f>'21'!I38</f>
        <v>0</v>
      </c>
      <c r="Q29" s="395">
        <f t="shared" si="21"/>
        <v>698.56799999999998</v>
      </c>
      <c r="R29" s="395">
        <f>'21'!I40</f>
        <v>0</v>
      </c>
      <c r="S29" s="395">
        <f t="shared" si="22"/>
        <v>665.55100000000004</v>
      </c>
      <c r="T29" s="100">
        <f t="shared" si="39"/>
        <v>0</v>
      </c>
      <c r="U29" s="13">
        <f t="shared" si="35"/>
        <v>71893.909882320862</v>
      </c>
      <c r="V29" s="295" t="e">
        <f t="shared" si="36"/>
        <v>#DIV/0!</v>
      </c>
      <c r="W29" s="295">
        <f t="shared" si="23"/>
        <v>102.91612252825904</v>
      </c>
      <c r="X29" s="296">
        <f t="shared" si="37"/>
        <v>0</v>
      </c>
      <c r="Y29" s="295">
        <f t="shared" si="24"/>
        <v>108.02163903640871</v>
      </c>
      <c r="Z29" s="397">
        <v>36.9</v>
      </c>
      <c r="AA29" s="396">
        <f t="shared" si="25"/>
        <v>1138.9000000000001</v>
      </c>
      <c r="AB29" s="399" t="e">
        <f t="shared" si="1"/>
        <v>#DIV/0!</v>
      </c>
      <c r="AC29" s="399">
        <f t="shared" si="2"/>
        <v>1.6303352000091618</v>
      </c>
      <c r="AD29" s="394">
        <f t="shared" si="3"/>
        <v>0</v>
      </c>
      <c r="AE29" s="399">
        <f t="shared" si="4"/>
        <v>1.7112137161539838</v>
      </c>
      <c r="AF29" s="398">
        <f>'21'!I46</f>
        <v>6204.8599999996368</v>
      </c>
      <c r="AG29" s="396">
        <f t="shared" si="26"/>
        <v>693930.31999999902</v>
      </c>
      <c r="AH29" s="399" t="e">
        <f t="shared" si="5"/>
        <v>#DIV/0!</v>
      </c>
      <c r="AI29" s="399">
        <f t="shared" si="6"/>
        <v>993.36116169077172</v>
      </c>
      <c r="AJ29" s="399">
        <f t="shared" si="7"/>
        <v>0</v>
      </c>
      <c r="AK29" s="399">
        <f t="shared" si="8"/>
        <v>1042.6403386066568</v>
      </c>
      <c r="AL29" s="489">
        <v>0</v>
      </c>
      <c r="AM29" s="490">
        <v>5595.2</v>
      </c>
      <c r="AN29" s="490">
        <v>4367.8999999999996</v>
      </c>
      <c r="AO29" s="455">
        <f t="shared" si="40"/>
        <v>9963.0999999999985</v>
      </c>
      <c r="AP29" s="589">
        <f>+[1]Okt!N24</f>
        <v>10321</v>
      </c>
      <c r="AQ29" s="487">
        <f t="shared" si="9"/>
        <v>357.90000000000146</v>
      </c>
      <c r="AR29" s="458">
        <f t="shared" si="10"/>
        <v>0</v>
      </c>
      <c r="AS29" s="458">
        <f t="shared" si="11"/>
        <v>0.56159227549658242</v>
      </c>
      <c r="AT29" s="458">
        <f t="shared" si="28"/>
        <v>0.43840772450341758</v>
      </c>
      <c r="AU29" s="458">
        <f t="shared" si="29"/>
        <v>0</v>
      </c>
      <c r="AV29" s="458">
        <f t="shared" si="30"/>
        <v>200.99387540022767</v>
      </c>
      <c r="AW29" s="458">
        <f t="shared" si="38"/>
        <v>156.90612459977379</v>
      </c>
      <c r="AX29" s="400">
        <f t="shared" si="31"/>
        <v>0</v>
      </c>
      <c r="AY29" s="400">
        <f t="shared" si="12"/>
        <v>5796.1938754002276</v>
      </c>
      <c r="AZ29" s="400">
        <f t="shared" si="13"/>
        <v>4524.8061245997733</v>
      </c>
      <c r="BA29" s="394">
        <f>+Efficiency2!K91</f>
        <v>0</v>
      </c>
      <c r="BB29" s="395">
        <f t="shared" si="32"/>
        <v>772.87263693388115</v>
      </c>
      <c r="BC29" s="420" t="e">
        <f t="shared" si="33"/>
        <v>#DIV/0!</v>
      </c>
      <c r="BD29" s="420">
        <f t="shared" si="34"/>
        <v>0.86113929798363087</v>
      </c>
    </row>
    <row r="30" spans="1:56" s="400" customFormat="1" ht="12.75" customHeight="1">
      <c r="A30" s="414">
        <f t="shared" si="14"/>
        <v>45952</v>
      </c>
      <c r="B30" s="423" t="s">
        <v>7</v>
      </c>
      <c r="C30" s="401" t="s">
        <v>387</v>
      </c>
      <c r="D30" s="393">
        <f>+'22'!F42</f>
        <v>0</v>
      </c>
      <c r="E30" s="393">
        <f>+'22'!G42</f>
        <v>0</v>
      </c>
      <c r="F30" s="48" t="e">
        <f t="shared" si="0"/>
        <v>#DIV/0!</v>
      </c>
      <c r="G30" s="419">
        <f t="shared" si="15"/>
        <v>0</v>
      </c>
      <c r="H30" s="415">
        <f t="shared" si="16"/>
        <v>0</v>
      </c>
      <c r="I30" s="415" t="e">
        <f t="shared" si="17"/>
        <v>#DIV/0!</v>
      </c>
      <c r="J30" s="420">
        <f t="shared" si="18"/>
        <v>0</v>
      </c>
      <c r="K30" s="420">
        <f t="shared" si="19"/>
        <v>0.68918635873105194</v>
      </c>
      <c r="L30" s="394">
        <f>+Efficiency1!K96</f>
        <v>42.960456000000001</v>
      </c>
      <c r="M30" s="395">
        <f t="shared" si="20"/>
        <v>965.70541707388122</v>
      </c>
      <c r="N30" s="394">
        <f>+Efficiency1!C96</f>
        <v>42.727607999999996</v>
      </c>
      <c r="O30" s="395">
        <f t="shared" si="20"/>
        <v>948.13231511619915</v>
      </c>
      <c r="P30" s="395">
        <f>'22'!I38</f>
        <v>0</v>
      </c>
      <c r="Q30" s="395">
        <f t="shared" si="21"/>
        <v>698.56799999999998</v>
      </c>
      <c r="R30" s="395">
        <f>'22'!I40</f>
        <v>0</v>
      </c>
      <c r="S30" s="395">
        <f t="shared" si="22"/>
        <v>665.55100000000004</v>
      </c>
      <c r="T30" s="100">
        <f t="shared" si="39"/>
        <v>0</v>
      </c>
      <c r="U30" s="13">
        <f t="shared" si="35"/>
        <v>71893.909882320862</v>
      </c>
      <c r="V30" s="295" t="e">
        <f t="shared" si="36"/>
        <v>#DIV/0!</v>
      </c>
      <c r="W30" s="295">
        <f t="shared" si="23"/>
        <v>102.91612252825904</v>
      </c>
      <c r="X30" s="296">
        <f t="shared" si="37"/>
        <v>0</v>
      </c>
      <c r="Y30" s="295">
        <f t="shared" si="24"/>
        <v>108.02163903640871</v>
      </c>
      <c r="Z30" s="397">
        <v>16.899999999999999</v>
      </c>
      <c r="AA30" s="396">
        <f t="shared" si="25"/>
        <v>1155.8000000000002</v>
      </c>
      <c r="AB30" s="399" t="e">
        <f t="shared" si="1"/>
        <v>#DIV/0!</v>
      </c>
      <c r="AC30" s="399">
        <f t="shared" si="2"/>
        <v>1.654527547783466</v>
      </c>
      <c r="AD30" s="394">
        <f t="shared" si="3"/>
        <v>0</v>
      </c>
      <c r="AE30" s="399">
        <f t="shared" si="4"/>
        <v>1.7366062104932607</v>
      </c>
      <c r="AF30" s="398">
        <f>'22'!I46</f>
        <v>6077.48</v>
      </c>
      <c r="AG30" s="396">
        <f t="shared" si="26"/>
        <v>700007.799999999</v>
      </c>
      <c r="AH30" s="399" t="e">
        <f t="shared" si="5"/>
        <v>#DIV/0!</v>
      </c>
      <c r="AI30" s="399">
        <f t="shared" si="6"/>
        <v>1002.0610735103799</v>
      </c>
      <c r="AJ30" s="399">
        <f t="shared" si="7"/>
        <v>0</v>
      </c>
      <c r="AK30" s="399">
        <f t="shared" si="8"/>
        <v>1051.7718401745306</v>
      </c>
      <c r="AL30" s="489">
        <v>0</v>
      </c>
      <c r="AM30" s="455">
        <v>5494.5</v>
      </c>
      <c r="AN30" s="455">
        <v>4432.7</v>
      </c>
      <c r="AO30" s="455">
        <f t="shared" si="40"/>
        <v>9927.2000000000007</v>
      </c>
      <c r="AP30" s="590">
        <f>+[1]Okt!N25</f>
        <v>10307</v>
      </c>
      <c r="AQ30" s="487">
        <f t="shared" si="9"/>
        <v>379.79999999999927</v>
      </c>
      <c r="AR30" s="458">
        <f>+AL30/AO30</f>
        <v>0</v>
      </c>
      <c r="AS30" s="458">
        <f t="shared" si="11"/>
        <v>0.55347932951889756</v>
      </c>
      <c r="AT30" s="458">
        <f t="shared" si="28"/>
        <v>0.44652067048110244</v>
      </c>
      <c r="AU30" s="458">
        <f t="shared" si="29"/>
        <v>0</v>
      </c>
      <c r="AV30" s="458">
        <f t="shared" si="30"/>
        <v>210.21144935127688</v>
      </c>
      <c r="AW30" s="458">
        <f t="shared" si="38"/>
        <v>169.58855064872239</v>
      </c>
      <c r="AX30" s="458">
        <f>+AL30+AU30</f>
        <v>0</v>
      </c>
      <c r="AY30" s="400">
        <f t="shared" si="12"/>
        <v>5704.7114493512772</v>
      </c>
      <c r="AZ30" s="400">
        <f t="shared" si="13"/>
        <v>4602.2885506487219</v>
      </c>
      <c r="BA30" s="394">
        <f>+Efficiency2!K96</f>
        <v>0</v>
      </c>
      <c r="BB30" s="395">
        <f t="shared" si="32"/>
        <v>772.87263693388115</v>
      </c>
      <c r="BC30" s="420" t="e">
        <f t="shared" si="33"/>
        <v>#DIV/0!</v>
      </c>
      <c r="BD30" s="420">
        <f t="shared" si="34"/>
        <v>0.86113929798363087</v>
      </c>
    </row>
    <row r="31" spans="1:56" s="400" customFormat="1" ht="12.75" customHeight="1">
      <c r="A31" s="414">
        <f t="shared" si="14"/>
        <v>45953</v>
      </c>
      <c r="B31" s="423" t="s">
        <v>7</v>
      </c>
      <c r="C31" s="401" t="s">
        <v>387</v>
      </c>
      <c r="D31" s="393">
        <f>+'23'!F42</f>
        <v>0</v>
      </c>
      <c r="E31" s="393">
        <f>+'23'!G42</f>
        <v>0</v>
      </c>
      <c r="F31" s="48" t="e">
        <f t="shared" si="0"/>
        <v>#DIV/0!</v>
      </c>
      <c r="G31" s="419">
        <f t="shared" si="15"/>
        <v>0</v>
      </c>
      <c r="H31" s="415">
        <f t="shared" si="16"/>
        <v>0</v>
      </c>
      <c r="I31" s="415" t="e">
        <f t="shared" si="17"/>
        <v>#DIV/0!</v>
      </c>
      <c r="J31" s="420">
        <f t="shared" si="18"/>
        <v>0</v>
      </c>
      <c r="K31" s="420">
        <f t="shared" si="19"/>
        <v>0.65983297122143314</v>
      </c>
      <c r="L31" s="394">
        <f>+Efficiency1!K101</f>
        <v>42.960456000000001</v>
      </c>
      <c r="M31" s="395">
        <f t="shared" si="20"/>
        <v>1008.6658730738812</v>
      </c>
      <c r="N31" s="394">
        <f>+Efficiency1!C101</f>
        <v>42.727607999999996</v>
      </c>
      <c r="O31" s="395">
        <f t="shared" si="20"/>
        <v>990.85992311619918</v>
      </c>
      <c r="P31" s="395">
        <f>'23'!I38</f>
        <v>0</v>
      </c>
      <c r="Q31" s="395">
        <f t="shared" si="21"/>
        <v>698.56799999999998</v>
      </c>
      <c r="R31" s="395">
        <f>'23'!I40</f>
        <v>0</v>
      </c>
      <c r="S31" s="395">
        <f t="shared" si="22"/>
        <v>665.55100000000004</v>
      </c>
      <c r="T31" s="100">
        <f t="shared" si="39"/>
        <v>0</v>
      </c>
      <c r="U31" s="13">
        <f t="shared" si="35"/>
        <v>71893.909882320862</v>
      </c>
      <c r="V31" s="295" t="e">
        <f t="shared" si="36"/>
        <v>#DIV/0!</v>
      </c>
      <c r="W31" s="295">
        <f t="shared" si="23"/>
        <v>102.91612252825904</v>
      </c>
      <c r="X31" s="296">
        <f t="shared" si="37"/>
        <v>0</v>
      </c>
      <c r="Y31" s="295">
        <f t="shared" si="24"/>
        <v>108.02163903640871</v>
      </c>
      <c r="Z31" s="397">
        <v>17.2</v>
      </c>
      <c r="AA31" s="396">
        <f t="shared" si="25"/>
        <v>1173.0000000000002</v>
      </c>
      <c r="AB31" s="399" t="e">
        <f t="shared" si="1"/>
        <v>#DIV/0!</v>
      </c>
      <c r="AC31" s="399">
        <f t="shared" si="2"/>
        <v>1.6791493455182607</v>
      </c>
      <c r="AD31" s="394">
        <f t="shared" si="3"/>
        <v>0</v>
      </c>
      <c r="AE31" s="399">
        <f t="shared" si="4"/>
        <v>1.7624494591699211</v>
      </c>
      <c r="AF31" s="398">
        <f>'23'!I46</f>
        <v>4543.9400000007281</v>
      </c>
      <c r="AG31" s="396">
        <f t="shared" si="26"/>
        <v>704551.73999999976</v>
      </c>
      <c r="AH31" s="399" t="e">
        <f t="shared" si="5"/>
        <v>#DIV/0!</v>
      </c>
      <c r="AI31" s="399">
        <f t="shared" si="6"/>
        <v>1008.5657230219531</v>
      </c>
      <c r="AJ31" s="399">
        <f t="shared" si="7"/>
        <v>0</v>
      </c>
      <c r="AK31" s="399">
        <f t="shared" si="8"/>
        <v>1058.5991757205679</v>
      </c>
      <c r="AL31" s="489">
        <v>0</v>
      </c>
      <c r="AM31" s="455">
        <v>5482.2</v>
      </c>
      <c r="AN31" s="455">
        <v>4481.7</v>
      </c>
      <c r="AO31" s="455">
        <f>SUM(AL31:AN31)</f>
        <v>9963.9</v>
      </c>
      <c r="AP31" s="591">
        <f>+[1]Okt!N26</f>
        <v>10405</v>
      </c>
      <c r="AQ31" s="487">
        <f t="shared" si="9"/>
        <v>441.10000000000036</v>
      </c>
      <c r="AR31" s="458">
        <f>+AL31/AO31</f>
        <v>0</v>
      </c>
      <c r="AS31" s="458">
        <f t="shared" si="11"/>
        <v>0.55020624454279954</v>
      </c>
      <c r="AT31" s="458">
        <f t="shared" si="28"/>
        <v>0.44979375545720046</v>
      </c>
      <c r="AU31" s="458">
        <f t="shared" si="29"/>
        <v>0</v>
      </c>
      <c r="AV31" s="458">
        <f t="shared" si="30"/>
        <v>242.69597446782907</v>
      </c>
      <c r="AW31" s="458">
        <f t="shared" si="38"/>
        <v>198.40402553217129</v>
      </c>
      <c r="AX31" s="458">
        <f>+AL31+AU31</f>
        <v>0</v>
      </c>
      <c r="AY31" s="400">
        <f t="shared" si="12"/>
        <v>5724.8959744678286</v>
      </c>
      <c r="AZ31" s="400">
        <f t="shared" si="13"/>
        <v>4680.1040255321714</v>
      </c>
      <c r="BA31" s="394">
        <f>+Efficiency2!K101</f>
        <v>0</v>
      </c>
      <c r="BB31" s="395">
        <f t="shared" si="32"/>
        <v>772.87263693388115</v>
      </c>
      <c r="BC31" s="420" t="e">
        <f t="shared" si="33"/>
        <v>#DIV/0!</v>
      </c>
      <c r="BD31" s="420">
        <f t="shared" si="34"/>
        <v>0.86113929798363087</v>
      </c>
    </row>
    <row r="32" spans="1:56" s="400" customFormat="1" ht="12.75" customHeight="1">
      <c r="A32" s="414">
        <f t="shared" si="14"/>
        <v>45954</v>
      </c>
      <c r="B32" s="423" t="s">
        <v>7</v>
      </c>
      <c r="C32" s="401" t="s">
        <v>387</v>
      </c>
      <c r="D32" s="393">
        <f>+'24'!F42</f>
        <v>0</v>
      </c>
      <c r="E32" s="393">
        <f>+'24'!G42</f>
        <v>0</v>
      </c>
      <c r="F32" s="48" t="e">
        <f t="shared" si="0"/>
        <v>#DIV/0!</v>
      </c>
      <c r="G32" s="419">
        <f t="shared" si="15"/>
        <v>0</v>
      </c>
      <c r="H32" s="415">
        <f t="shared" si="16"/>
        <v>0</v>
      </c>
      <c r="I32" s="415" t="e">
        <f t="shared" si="17"/>
        <v>#DIV/0!</v>
      </c>
      <c r="J32" s="420">
        <f t="shared" si="18"/>
        <v>0</v>
      </c>
      <c r="K32" s="420">
        <f t="shared" si="19"/>
        <v>0.63287784035049799</v>
      </c>
      <c r="L32" s="394">
        <f>+Efficiency1!K106</f>
        <v>42.960456000000001</v>
      </c>
      <c r="M32" s="395">
        <f t="shared" si="20"/>
        <v>1051.6263290738812</v>
      </c>
      <c r="N32" s="394">
        <f>+Efficiency1!C106</f>
        <v>42.727607999999996</v>
      </c>
      <c r="O32" s="395">
        <f t="shared" si="20"/>
        <v>1033.5875311161992</v>
      </c>
      <c r="P32" s="395">
        <f>'24'!I38</f>
        <v>0</v>
      </c>
      <c r="Q32" s="395">
        <f t="shared" si="21"/>
        <v>698.56799999999998</v>
      </c>
      <c r="R32" s="395">
        <f>'24'!I40</f>
        <v>0</v>
      </c>
      <c r="S32" s="395">
        <f t="shared" si="22"/>
        <v>665.55100000000004</v>
      </c>
      <c r="T32" s="100">
        <f t="shared" si="39"/>
        <v>0</v>
      </c>
      <c r="U32" s="13">
        <f t="shared" si="35"/>
        <v>71893.909882320862</v>
      </c>
      <c r="V32" s="295" t="e">
        <f t="shared" si="36"/>
        <v>#DIV/0!</v>
      </c>
      <c r="W32" s="295">
        <f t="shared" si="23"/>
        <v>102.91612252825904</v>
      </c>
      <c r="X32" s="296">
        <f t="shared" si="37"/>
        <v>0</v>
      </c>
      <c r="Y32" s="295">
        <f t="shared" si="24"/>
        <v>108.02163903640871</v>
      </c>
      <c r="Z32" s="397">
        <v>17.2</v>
      </c>
      <c r="AA32" s="396">
        <f t="shared" si="25"/>
        <v>1190.2000000000003</v>
      </c>
      <c r="AB32" s="399" t="e">
        <f t="shared" si="1"/>
        <v>#DIV/0!</v>
      </c>
      <c r="AC32" s="399">
        <f t="shared" si="2"/>
        <v>1.7037711432530553</v>
      </c>
      <c r="AD32" s="394">
        <f t="shared" si="3"/>
        <v>0</v>
      </c>
      <c r="AE32" s="399">
        <f t="shared" si="4"/>
        <v>1.7882927078465816</v>
      </c>
      <c r="AF32" s="398">
        <f>+'24'!I46</f>
        <v>7185.4599999992715</v>
      </c>
      <c r="AG32" s="396">
        <f t="shared" si="26"/>
        <v>711737.19999999902</v>
      </c>
      <c r="AH32" s="399" t="e">
        <f t="shared" si="5"/>
        <v>#DIV/0!</v>
      </c>
      <c r="AI32" s="399">
        <f t="shared" si="6"/>
        <v>1018.8517080656414</v>
      </c>
      <c r="AJ32" s="399">
        <f t="shared" si="7"/>
        <v>0</v>
      </c>
      <c r="AK32" s="399">
        <f t="shared" si="8"/>
        <v>1069.3954332575549</v>
      </c>
      <c r="AL32" s="489">
        <v>0</v>
      </c>
      <c r="AM32" s="455">
        <v>5473.8</v>
      </c>
      <c r="AN32" s="455">
        <v>4361.8</v>
      </c>
      <c r="AO32" s="455">
        <f t="shared" si="40"/>
        <v>9835.6</v>
      </c>
      <c r="AP32" s="594">
        <f>+[1]Okt!N27</f>
        <v>9612</v>
      </c>
      <c r="AQ32" s="487">
        <f t="shared" si="9"/>
        <v>-223.60000000000036</v>
      </c>
      <c r="AR32" s="458">
        <f t="shared" si="10"/>
        <v>0</v>
      </c>
      <c r="AS32" s="458">
        <f t="shared" si="11"/>
        <v>0.55652934238887308</v>
      </c>
      <c r="AT32" s="458">
        <f t="shared" si="28"/>
        <v>0.44347065761112692</v>
      </c>
      <c r="AU32" s="458">
        <f t="shared" si="29"/>
        <v>0</v>
      </c>
      <c r="AV32" s="458">
        <f t="shared" si="30"/>
        <v>-124.43996095815223</v>
      </c>
      <c r="AW32" s="458">
        <f t="shared" si="38"/>
        <v>-99.160039041848137</v>
      </c>
      <c r="AX32" s="400">
        <f t="shared" si="31"/>
        <v>0</v>
      </c>
      <c r="AY32" s="400">
        <f t="shared" si="12"/>
        <v>5349.3600390418478</v>
      </c>
      <c r="AZ32" s="400">
        <f t="shared" si="13"/>
        <v>4262.6399609581522</v>
      </c>
      <c r="BA32" s="394">
        <f>+Efficiency2!K106</f>
        <v>0</v>
      </c>
      <c r="BB32" s="395">
        <f t="shared" si="32"/>
        <v>772.87263693388115</v>
      </c>
      <c r="BC32" s="420" t="e">
        <f t="shared" si="33"/>
        <v>#DIV/0!</v>
      </c>
      <c r="BD32" s="420">
        <f t="shared" si="34"/>
        <v>0.86113929798363087</v>
      </c>
    </row>
    <row r="33" spans="1:56" s="400" customFormat="1" ht="12.75" customHeight="1">
      <c r="A33" s="414">
        <f t="shared" si="14"/>
        <v>45955</v>
      </c>
      <c r="B33" s="423" t="s">
        <v>7</v>
      </c>
      <c r="C33" s="401" t="s">
        <v>387</v>
      </c>
      <c r="D33" s="393">
        <f>+'25'!F42</f>
        <v>0</v>
      </c>
      <c r="E33" s="393">
        <f>+'25'!G42</f>
        <v>0</v>
      </c>
      <c r="F33" s="48" t="e">
        <f t="shared" si="0"/>
        <v>#DIV/0!</v>
      </c>
      <c r="G33" s="419">
        <f t="shared" si="15"/>
        <v>0</v>
      </c>
      <c r="H33" s="415">
        <f t="shared" si="16"/>
        <v>0</v>
      </c>
      <c r="I33" s="415" t="e">
        <f t="shared" si="17"/>
        <v>#DIV/0!</v>
      </c>
      <c r="J33" s="420">
        <f t="shared" si="18"/>
        <v>0</v>
      </c>
      <c r="K33" s="420">
        <f t="shared" si="19"/>
        <v>0.60803858504017794</v>
      </c>
      <c r="L33" s="394">
        <f>+Efficiency1!K111</f>
        <v>42.960456000000001</v>
      </c>
      <c r="M33" s="395">
        <f t="shared" si="20"/>
        <v>1094.5867850738812</v>
      </c>
      <c r="N33" s="394">
        <f>+Efficiency1!C111</f>
        <v>42.727607999999996</v>
      </c>
      <c r="O33" s="395">
        <f t="shared" si="20"/>
        <v>1076.3151391161991</v>
      </c>
      <c r="P33" s="395">
        <f>'25'!I38</f>
        <v>0</v>
      </c>
      <c r="Q33" s="395">
        <f t="shared" si="21"/>
        <v>698.56799999999998</v>
      </c>
      <c r="R33" s="395">
        <f>'25'!I40</f>
        <v>0</v>
      </c>
      <c r="S33" s="395">
        <f t="shared" si="22"/>
        <v>665.55100000000004</v>
      </c>
      <c r="T33" s="100">
        <f t="shared" si="39"/>
        <v>0</v>
      </c>
      <c r="U33" s="13">
        <f t="shared" si="35"/>
        <v>71893.909882320862</v>
      </c>
      <c r="V33" s="295" t="e">
        <f t="shared" si="36"/>
        <v>#DIV/0!</v>
      </c>
      <c r="W33" s="295">
        <f t="shared" si="23"/>
        <v>102.91612252825904</v>
      </c>
      <c r="X33" s="296">
        <f t="shared" si="37"/>
        <v>0</v>
      </c>
      <c r="Y33" s="295">
        <f t="shared" si="24"/>
        <v>108.02163903640871</v>
      </c>
      <c r="Z33" s="397">
        <v>13.7</v>
      </c>
      <c r="AA33" s="396">
        <f t="shared" si="25"/>
        <v>1203.9000000000003</v>
      </c>
      <c r="AB33" s="399" t="e">
        <f t="shared" si="1"/>
        <v>#DIV/0!</v>
      </c>
      <c r="AC33" s="399">
        <f t="shared" si="2"/>
        <v>1.7233826914487929</v>
      </c>
      <c r="AD33" s="394">
        <f t="shared" si="3"/>
        <v>0</v>
      </c>
      <c r="AE33" s="399">
        <f t="shared" si="4"/>
        <v>1.8088771559204333</v>
      </c>
      <c r="AF33" s="398">
        <f>+'25'!I46</f>
        <v>5950.6400000010908</v>
      </c>
      <c r="AG33" s="396">
        <f t="shared" si="26"/>
        <v>717687.84000000008</v>
      </c>
      <c r="AH33" s="399" t="e">
        <f t="shared" si="5"/>
        <v>#DIV/0!</v>
      </c>
      <c r="AI33" s="399">
        <f t="shared" si="6"/>
        <v>1027.3700484419558</v>
      </c>
      <c r="AJ33" s="399">
        <f t="shared" si="7"/>
        <v>0</v>
      </c>
      <c r="AK33" s="399">
        <f t="shared" si="8"/>
        <v>1078.3363558915846</v>
      </c>
      <c r="AL33" s="454">
        <v>0</v>
      </c>
      <c r="AM33" s="455">
        <v>4273</v>
      </c>
      <c r="AN33" s="455">
        <v>3610.5</v>
      </c>
      <c r="AO33" s="455">
        <f t="shared" si="40"/>
        <v>7883.5</v>
      </c>
      <c r="AP33" s="596">
        <f>+[1]Okt!N28</f>
        <v>6796</v>
      </c>
      <c r="AQ33" s="487">
        <f t="shared" si="9"/>
        <v>-1087.5</v>
      </c>
      <c r="AR33" s="458">
        <f t="shared" si="10"/>
        <v>0</v>
      </c>
      <c r="AS33" s="458">
        <f t="shared" si="11"/>
        <v>0.54201813915139219</v>
      </c>
      <c r="AT33" s="458">
        <f t="shared" si="28"/>
        <v>0.45798186084860781</v>
      </c>
      <c r="AU33" s="458">
        <f t="shared" si="29"/>
        <v>0</v>
      </c>
      <c r="AV33" s="458">
        <f t="shared" si="30"/>
        <v>-589.44472632713905</v>
      </c>
      <c r="AW33" s="458">
        <f>+AT33*AQ33</f>
        <v>-498.05527367286101</v>
      </c>
      <c r="AX33" s="400">
        <f t="shared" si="31"/>
        <v>0</v>
      </c>
      <c r="AY33" s="400">
        <f t="shared" si="12"/>
        <v>3683.5552736728609</v>
      </c>
      <c r="AZ33" s="400">
        <f t="shared" si="13"/>
        <v>3112.4447263271391</v>
      </c>
      <c r="BA33" s="394">
        <f>+Efficiency2!K111</f>
        <v>0</v>
      </c>
      <c r="BB33" s="395">
        <f t="shared" si="32"/>
        <v>772.87263693388115</v>
      </c>
      <c r="BC33" s="420" t="e">
        <f t="shared" si="33"/>
        <v>#DIV/0!</v>
      </c>
      <c r="BD33" s="420">
        <f t="shared" si="34"/>
        <v>0.86113929798363087</v>
      </c>
    </row>
    <row r="34" spans="1:56" s="400" customFormat="1" ht="12.75" customHeight="1">
      <c r="A34" s="414">
        <f t="shared" si="14"/>
        <v>45956</v>
      </c>
      <c r="B34" s="423" t="s">
        <v>7</v>
      </c>
      <c r="C34" s="401" t="s">
        <v>387</v>
      </c>
      <c r="D34" s="393">
        <f>+'26'!F42</f>
        <v>0</v>
      </c>
      <c r="E34" s="393">
        <f>+'26'!G42</f>
        <v>0</v>
      </c>
      <c r="F34" s="48" t="e">
        <f t="shared" si="0"/>
        <v>#DIV/0!</v>
      </c>
      <c r="G34" s="419">
        <f t="shared" si="15"/>
        <v>0</v>
      </c>
      <c r="H34" s="415">
        <f t="shared" si="16"/>
        <v>0</v>
      </c>
      <c r="I34" s="415" t="e">
        <f t="shared" si="17"/>
        <v>#DIV/0!</v>
      </c>
      <c r="J34" s="420">
        <f t="shared" si="18"/>
        <v>0</v>
      </c>
      <c r="K34" s="420">
        <f t="shared" si="19"/>
        <v>0.58507548167555523</v>
      </c>
      <c r="L34" s="394">
        <f>+Efficiency1!K116</f>
        <v>42.960456000000001</v>
      </c>
      <c r="M34" s="395">
        <f t="shared" si="20"/>
        <v>1137.5472410738812</v>
      </c>
      <c r="N34" s="394">
        <f>+Efficiency1!C116</f>
        <v>42.727607999999996</v>
      </c>
      <c r="O34" s="395">
        <f t="shared" si="20"/>
        <v>1119.0427471161991</v>
      </c>
      <c r="P34" s="395">
        <f>'26'!I38</f>
        <v>0</v>
      </c>
      <c r="Q34" s="395">
        <f t="shared" si="21"/>
        <v>698.56799999999998</v>
      </c>
      <c r="R34" s="395">
        <f>'26'!I40</f>
        <v>0</v>
      </c>
      <c r="S34" s="395">
        <f t="shared" si="22"/>
        <v>665.55100000000004</v>
      </c>
      <c r="T34" s="100">
        <f t="shared" si="39"/>
        <v>87.298903364888943</v>
      </c>
      <c r="U34" s="13">
        <f t="shared" si="35"/>
        <v>71981.208785685754</v>
      </c>
      <c r="V34" s="295" t="e">
        <f t="shared" si="36"/>
        <v>#DIV/0!</v>
      </c>
      <c r="W34" s="295">
        <f t="shared" si="23"/>
        <v>103.04109089692879</v>
      </c>
      <c r="X34" s="296">
        <f t="shared" si="37"/>
        <v>0</v>
      </c>
      <c r="Y34" s="295">
        <f t="shared" si="24"/>
        <v>108.15280690087724</v>
      </c>
      <c r="Z34" s="397">
        <v>27</v>
      </c>
      <c r="AA34" s="396">
        <f t="shared" si="25"/>
        <v>1230.9000000000003</v>
      </c>
      <c r="AB34" s="399" t="e">
        <f t="shared" si="1"/>
        <v>#DIV/0!</v>
      </c>
      <c r="AC34" s="399">
        <f t="shared" si="2"/>
        <v>1.7620331878929472</v>
      </c>
      <c r="AD34" s="394">
        <f t="shared" si="3"/>
        <v>0</v>
      </c>
      <c r="AE34" s="399">
        <f t="shared" si="4"/>
        <v>1.8494450462849583</v>
      </c>
      <c r="AF34" s="398">
        <f>'26'!I46</f>
        <v>4700.2199999992727</v>
      </c>
      <c r="AG34" s="396">
        <f t="shared" si="26"/>
        <v>722388.05999999936</v>
      </c>
      <c r="AH34" s="399" t="e">
        <f t="shared" si="5"/>
        <v>#DIV/0!</v>
      </c>
      <c r="AI34" s="399">
        <f t="shared" si="6"/>
        <v>1034.098412752945</v>
      </c>
      <c r="AJ34" s="399">
        <f t="shared" si="7"/>
        <v>0</v>
      </c>
      <c r="AK34" s="399">
        <f t="shared" si="8"/>
        <v>1085.3985043971074</v>
      </c>
      <c r="AL34" s="454">
        <v>58.8</v>
      </c>
      <c r="AM34" s="455">
        <v>1243.0999999999999</v>
      </c>
      <c r="AN34" s="455">
        <v>831.9</v>
      </c>
      <c r="AO34" s="455">
        <f t="shared" si="40"/>
        <v>2133.7999999999997</v>
      </c>
      <c r="AP34" s="596">
        <f>+[1]Okt!N29</f>
        <v>3168</v>
      </c>
      <c r="AQ34" s="487">
        <f t="shared" si="9"/>
        <v>1034.2000000000003</v>
      </c>
      <c r="AR34" s="458">
        <f t="shared" si="10"/>
        <v>2.7556472021745246E-2</v>
      </c>
      <c r="AS34" s="458">
        <f t="shared" si="11"/>
        <v>0.58257568656856318</v>
      </c>
      <c r="AT34" s="458">
        <f t="shared" si="28"/>
        <v>0.38986784140969155</v>
      </c>
      <c r="AU34" s="458">
        <f t="shared" si="29"/>
        <v>28.498903364888942</v>
      </c>
      <c r="AV34" s="458">
        <f t="shared" si="30"/>
        <v>602.49977504920821</v>
      </c>
      <c r="AW34" s="458">
        <f>+AT34*AQ34</f>
        <v>403.20132158590309</v>
      </c>
      <c r="AX34" s="400">
        <f t="shared" si="31"/>
        <v>87.298903364888943</v>
      </c>
      <c r="AY34" s="400">
        <f t="shared" si="12"/>
        <v>1845.5997750492081</v>
      </c>
      <c r="AZ34" s="400">
        <f t="shared" si="13"/>
        <v>1235.101321585903</v>
      </c>
      <c r="BA34" s="394">
        <f>+Efficiency2!K116</f>
        <v>0</v>
      </c>
      <c r="BB34" s="395">
        <f t="shared" si="32"/>
        <v>772.87263693388115</v>
      </c>
      <c r="BC34" s="420" t="e">
        <f t="shared" si="33"/>
        <v>#DIV/0!</v>
      </c>
      <c r="BD34" s="420">
        <f t="shared" si="34"/>
        <v>0.86113929798363087</v>
      </c>
    </row>
    <row r="35" spans="1:56" s="400" customFormat="1" ht="12.75" customHeight="1">
      <c r="A35" s="414">
        <f t="shared" si="14"/>
        <v>45957</v>
      </c>
      <c r="B35" s="423" t="s">
        <v>7</v>
      </c>
      <c r="C35" s="401" t="s">
        <v>649</v>
      </c>
      <c r="D35" s="393">
        <f>+'27'!F42</f>
        <v>887.89473684210532</v>
      </c>
      <c r="E35" s="393">
        <f>+'27'!G42</f>
        <v>698.04736842105262</v>
      </c>
      <c r="F35" s="48">
        <f t="shared" si="0"/>
        <v>0.21381742738589216</v>
      </c>
      <c r="G35" s="419">
        <f t="shared" si="15"/>
        <v>0.54021550814969188</v>
      </c>
      <c r="H35" s="415">
        <f t="shared" si="16"/>
        <v>0.38996301337121531</v>
      </c>
      <c r="I35" s="415">
        <f t="shared" si="17"/>
        <v>0.71526060725942042</v>
      </c>
      <c r="J35" s="420">
        <f t="shared" si="18"/>
        <v>0.27892518175260894</v>
      </c>
      <c r="K35" s="420">
        <f t="shared" si="19"/>
        <v>0.57172778935844437</v>
      </c>
      <c r="L35" s="394">
        <f>+Efficiency1!K121</f>
        <v>51.856199964149383</v>
      </c>
      <c r="M35" s="395">
        <f t="shared" si="20"/>
        <v>1189.4034410380307</v>
      </c>
      <c r="N35" s="394">
        <f>+Efficiency1!C121</f>
        <v>37.433208960000002</v>
      </c>
      <c r="O35" s="395">
        <f t="shared" si="20"/>
        <v>1156.4759560761991</v>
      </c>
      <c r="P35" s="395">
        <f>'27'!I38</f>
        <v>20.222000000000001</v>
      </c>
      <c r="Q35" s="395">
        <f t="shared" si="21"/>
        <v>718.79</v>
      </c>
      <c r="R35" s="395">
        <f>'27'!I40</f>
        <v>14.464</v>
      </c>
      <c r="S35" s="395">
        <f t="shared" si="22"/>
        <v>680.0150000000001</v>
      </c>
      <c r="T35" s="100">
        <f t="shared" si="39"/>
        <v>2773.7318435754187</v>
      </c>
      <c r="U35" s="13">
        <f t="shared" si="35"/>
        <v>74754.940629261167</v>
      </c>
      <c r="V35" s="295">
        <f t="shared" si="36"/>
        <v>137.16407099077335</v>
      </c>
      <c r="W35" s="295">
        <f t="shared" si="23"/>
        <v>104.00108603244504</v>
      </c>
      <c r="X35" s="296">
        <f t="shared" si="37"/>
        <v>191.76796484896425</v>
      </c>
      <c r="Y35" s="295">
        <f t="shared" si="24"/>
        <v>109.93131126410617</v>
      </c>
      <c r="Z35" s="397">
        <v>46.5</v>
      </c>
      <c r="AA35" s="396">
        <f t="shared" si="25"/>
        <v>1277.4000000000003</v>
      </c>
      <c r="AB35" s="399">
        <f t="shared" si="1"/>
        <v>2.299475818415587</v>
      </c>
      <c r="AC35" s="399">
        <f t="shared" si="2"/>
        <v>1.7771532714701099</v>
      </c>
      <c r="AD35" s="394">
        <f t="shared" si="3"/>
        <v>3.2148783185840708</v>
      </c>
      <c r="AE35" s="399">
        <f t="shared" si="4"/>
        <v>1.8784879745299738</v>
      </c>
      <c r="AF35" s="398">
        <f>'27'!I46</f>
        <v>23771.820000001091</v>
      </c>
      <c r="AG35" s="396">
        <f t="shared" si="26"/>
        <v>746159.88000000047</v>
      </c>
      <c r="AH35" s="399">
        <f t="shared" si="5"/>
        <v>1175.5424784888287</v>
      </c>
      <c r="AI35" s="399">
        <f t="shared" si="6"/>
        <v>1038.0777139359207</v>
      </c>
      <c r="AJ35" s="399">
        <f t="shared" si="7"/>
        <v>1643.5163163717568</v>
      </c>
      <c r="AK35" s="399">
        <f t="shared" si="8"/>
        <v>1097.2697366969851</v>
      </c>
      <c r="AL35" s="485">
        <v>2893.7</v>
      </c>
      <c r="AM35" s="455">
        <v>5928.5</v>
      </c>
      <c r="AN35" s="455">
        <v>3421.4</v>
      </c>
      <c r="AO35" s="455">
        <f t="shared" si="40"/>
        <v>12243.6</v>
      </c>
      <c r="AP35" s="597">
        <f>+[1]Okt!N30</f>
        <v>11736</v>
      </c>
      <c r="AQ35" s="487">
        <f t="shared" si="9"/>
        <v>-507.60000000000036</v>
      </c>
      <c r="AR35" s="458">
        <f t="shared" si="10"/>
        <v>0.23634388578522655</v>
      </c>
      <c r="AS35" s="458">
        <f t="shared" si="11"/>
        <v>0.4842121598222745</v>
      </c>
      <c r="AT35" s="458">
        <f t="shared" si="28"/>
        <v>0.27944395439249892</v>
      </c>
      <c r="AU35" s="458">
        <f t="shared" si="29"/>
        <v>-119.96815642458108</v>
      </c>
      <c r="AV35" s="458">
        <f t="shared" si="30"/>
        <v>-245.78609232578671</v>
      </c>
      <c r="AW35" s="458">
        <f>+AT35*AQ35</f>
        <v>-141.84575124963254</v>
      </c>
      <c r="AX35" s="400">
        <f t="shared" si="31"/>
        <v>2773.7318435754187</v>
      </c>
      <c r="AY35" s="400">
        <f t="shared" si="12"/>
        <v>5682.7139076742133</v>
      </c>
      <c r="AZ35" s="400">
        <f t="shared" si="13"/>
        <v>3279.5542487503676</v>
      </c>
      <c r="BA35" s="394">
        <f>+Efficiency2!K121</f>
        <v>32.84225997729461</v>
      </c>
      <c r="BB35" s="395">
        <f t="shared" si="32"/>
        <v>805.71489691117574</v>
      </c>
      <c r="BC35" s="420">
        <f t="shared" si="33"/>
        <v>0.44040818171464569</v>
      </c>
      <c r="BD35" s="420">
        <f t="shared" si="34"/>
        <v>0.84398960799525446</v>
      </c>
    </row>
    <row r="36" spans="1:56" s="400" customFormat="1" ht="12.75" customHeight="1">
      <c r="A36" s="414">
        <f t="shared" si="14"/>
        <v>45958</v>
      </c>
      <c r="B36" s="423" t="s">
        <v>7</v>
      </c>
      <c r="C36" s="418" t="s">
        <v>664</v>
      </c>
      <c r="D36" s="393">
        <f>+'28'!F42</f>
        <v>734.59399332591772</v>
      </c>
      <c r="E36" s="393">
        <f>+'28'!G42</f>
        <v>587.67519466073418</v>
      </c>
      <c r="F36" s="48">
        <f t="shared" si="0"/>
        <v>0.19999999999999996</v>
      </c>
      <c r="G36" s="419">
        <f t="shared" si="15"/>
        <v>0.54688351778361033</v>
      </c>
      <c r="H36" s="415">
        <f t="shared" si="16"/>
        <v>0.33788475135392415</v>
      </c>
      <c r="I36" s="415">
        <f t="shared" si="17"/>
        <v>0.60445632798573978</v>
      </c>
      <c r="J36" s="420">
        <f t="shared" si="18"/>
        <v>0.2042365760857677</v>
      </c>
      <c r="K36" s="420">
        <f t="shared" si="19"/>
        <v>0.55695656792940307</v>
      </c>
      <c r="L36" s="394">
        <f>+SUM(Efficiency1!K126:K127)</f>
        <v>49.809883199999987</v>
      </c>
      <c r="M36" s="395">
        <f t="shared" si="20"/>
        <v>1239.2133242380307</v>
      </c>
      <c r="N36" s="394">
        <f>+SUM(Efficiency1!C126:C127)</f>
        <v>30.774377820359284</v>
      </c>
      <c r="O36" s="395">
        <f t="shared" si="20"/>
        <v>1187.2503338965582</v>
      </c>
      <c r="P36" s="395">
        <f>'28'!I38</f>
        <v>16.829999999999998</v>
      </c>
      <c r="Q36" s="395">
        <f t="shared" si="21"/>
        <v>735.62</v>
      </c>
      <c r="R36" s="395">
        <f>'28'!I40</f>
        <v>10.173</v>
      </c>
      <c r="S36" s="395">
        <f t="shared" si="22"/>
        <v>690.1880000000001</v>
      </c>
      <c r="T36" s="100">
        <f t="shared" si="39"/>
        <v>1947.9531057785359</v>
      </c>
      <c r="U36" s="13">
        <f t="shared" si="35"/>
        <v>76702.893735039703</v>
      </c>
      <c r="V36" s="295">
        <f t="shared" si="36"/>
        <v>115.74290586919406</v>
      </c>
      <c r="W36" s="295">
        <f t="shared" si="23"/>
        <v>104.26972313835907</v>
      </c>
      <c r="X36" s="296">
        <f t="shared" si="37"/>
        <v>191.48266055033284</v>
      </c>
      <c r="Y36" s="295">
        <f t="shared" si="24"/>
        <v>111.13333430172604</v>
      </c>
      <c r="Z36" s="397">
        <v>37.5</v>
      </c>
      <c r="AA36" s="396">
        <f t="shared" si="25"/>
        <v>1314.9000000000003</v>
      </c>
      <c r="AB36" s="399">
        <f t="shared" si="1"/>
        <v>2.2281639928698755</v>
      </c>
      <c r="AC36" s="399">
        <f t="shared" si="2"/>
        <v>1.7874717925015637</v>
      </c>
      <c r="AD36" s="394">
        <f t="shared" si="3"/>
        <v>3.6862282512533175</v>
      </c>
      <c r="AE36" s="399">
        <f t="shared" si="4"/>
        <v>1.9051330941714433</v>
      </c>
      <c r="AF36" s="398">
        <f>'28'!I46</f>
        <v>19308.779999998544</v>
      </c>
      <c r="AG36" s="396">
        <f t="shared" si="26"/>
        <v>765468.65999999898</v>
      </c>
      <c r="AH36" s="399">
        <f t="shared" si="5"/>
        <v>1147.2834224598066</v>
      </c>
      <c r="AI36" s="399">
        <f t="shared" si="6"/>
        <v>1040.5761942307154</v>
      </c>
      <c r="AJ36" s="399">
        <f t="shared" si="7"/>
        <v>1898.041875552791</v>
      </c>
      <c r="AK36" s="399">
        <f t="shared" si="8"/>
        <v>1109.072687441681</v>
      </c>
      <c r="AL36" s="454">
        <v>2015.8</v>
      </c>
      <c r="AM36" s="490">
        <v>6051.2</v>
      </c>
      <c r="AN36" s="455">
        <v>4126.3999999999996</v>
      </c>
      <c r="AO36" s="455">
        <f t="shared" si="40"/>
        <v>12193.4</v>
      </c>
      <c r="AP36" s="597">
        <f>+[1]Okt!N31</f>
        <v>11783</v>
      </c>
      <c r="AQ36" s="487">
        <f t="shared" si="9"/>
        <v>-410.39999999999964</v>
      </c>
      <c r="AR36" s="458">
        <f t="shared" si="10"/>
        <v>0.1653189430347565</v>
      </c>
      <c r="AS36" s="458">
        <f t="shared" si="11"/>
        <v>0.49626847310840289</v>
      </c>
      <c r="AT36" s="458">
        <f t="shared" si="28"/>
        <v>0.33841258385684064</v>
      </c>
      <c r="AU36" s="458">
        <f>+AR36*AQ36</f>
        <v>-67.846894221464012</v>
      </c>
      <c r="AV36" s="458">
        <f t="shared" si="30"/>
        <v>-203.66858136368836</v>
      </c>
      <c r="AW36" s="458">
        <f>+AT36*AQ36</f>
        <v>-138.88452441484728</v>
      </c>
      <c r="AX36" s="400">
        <f t="shared" si="31"/>
        <v>1947.9531057785359</v>
      </c>
      <c r="AY36" s="400">
        <f t="shared" si="12"/>
        <v>5847.5314186363112</v>
      </c>
      <c r="AZ36" s="400">
        <f t="shared" si="13"/>
        <v>3987.5154755851522</v>
      </c>
      <c r="BA36" s="394">
        <f>+SUM(Efficiency2!K126:K127)</f>
        <v>49.809883199999987</v>
      </c>
      <c r="BB36" s="395">
        <f t="shared" si="32"/>
        <v>855.52478011117569</v>
      </c>
      <c r="BC36" s="420">
        <f t="shared" si="33"/>
        <v>0.2042365760857677</v>
      </c>
      <c r="BD36" s="420">
        <f t="shared" si="34"/>
        <v>0.80674226632022272</v>
      </c>
    </row>
    <row r="37" spans="1:56" s="400" customFormat="1" ht="12.75" customHeight="1">
      <c r="A37" s="414">
        <f t="shared" si="14"/>
        <v>45959</v>
      </c>
      <c r="B37" s="423" t="s">
        <v>7</v>
      </c>
      <c r="C37" s="418" t="s">
        <v>387</v>
      </c>
      <c r="D37" s="393">
        <f>+'29'!F42</f>
        <v>700</v>
      </c>
      <c r="E37" s="393">
        <f>+'29'!G42</f>
        <v>560</v>
      </c>
      <c r="F37" s="48">
        <f t="shared" si="0"/>
        <v>0.19999999999999996</v>
      </c>
      <c r="G37" s="419">
        <f t="shared" si="15"/>
        <v>0.28461220014321514</v>
      </c>
      <c r="H37" s="415">
        <f t="shared" si="16"/>
        <v>0.16197442284573221</v>
      </c>
      <c r="I37" s="415">
        <f t="shared" si="17"/>
        <v>1.4200109200109201</v>
      </c>
      <c r="J37" s="420">
        <f t="shared" si="18"/>
        <v>0.23000544920340599</v>
      </c>
      <c r="K37" s="420">
        <f t="shared" si="19"/>
        <v>0.54544356618776801</v>
      </c>
      <c r="L37" s="394">
        <f>+Efficiency1!K131</f>
        <v>45.229363200000002</v>
      </c>
      <c r="M37" s="395">
        <f t="shared" si="20"/>
        <v>1284.4426874380308</v>
      </c>
      <c r="N37" s="394">
        <f>+Efficiency1!C131</f>
        <v>25.740288</v>
      </c>
      <c r="O37" s="395">
        <f t="shared" si="20"/>
        <v>1212.9906218965582</v>
      </c>
      <c r="P37" s="395">
        <f>'29'!I38</f>
        <v>7.3259999999999996</v>
      </c>
      <c r="Q37" s="395">
        <f t="shared" si="21"/>
        <v>742.94600000000003</v>
      </c>
      <c r="R37" s="395">
        <f>'29'!I40</f>
        <v>10.403</v>
      </c>
      <c r="S37" s="395">
        <f t="shared" si="22"/>
        <v>700.59100000000012</v>
      </c>
      <c r="T37" s="100">
        <f t="shared" si="39"/>
        <v>589.01261048246363</v>
      </c>
      <c r="U37" s="13">
        <f t="shared" si="35"/>
        <v>77291.906345522162</v>
      </c>
      <c r="V37" s="295">
        <f t="shared" si="36"/>
        <v>80.400301731158024</v>
      </c>
      <c r="W37" s="295">
        <f t="shared" si="23"/>
        <v>104.03435289445284</v>
      </c>
      <c r="X37" s="296">
        <f t="shared" si="37"/>
        <v>56.619495384260659</v>
      </c>
      <c r="Y37" s="295">
        <f t="shared" si="24"/>
        <v>110.32386420254063</v>
      </c>
      <c r="Z37" s="397">
        <v>13.9</v>
      </c>
      <c r="AA37" s="396">
        <f t="shared" si="25"/>
        <v>1328.8000000000004</v>
      </c>
      <c r="AB37" s="399">
        <f t="shared" si="1"/>
        <v>1.8973518973518975</v>
      </c>
      <c r="AC37" s="399">
        <f t="shared" si="2"/>
        <v>1.788555292040068</v>
      </c>
      <c r="AD37" s="394">
        <f t="shared" si="3"/>
        <v>1.3361530327790061</v>
      </c>
      <c r="AE37" s="399">
        <f t="shared" si="4"/>
        <v>1.8966843707669669</v>
      </c>
      <c r="AF37" s="398">
        <f>'29'!I46</f>
        <v>14019.160000001091</v>
      </c>
      <c r="AG37" s="396">
        <f t="shared" si="26"/>
        <v>779487.82000000007</v>
      </c>
      <c r="AH37" s="399">
        <f t="shared" si="5"/>
        <v>1913.6172536174026</v>
      </c>
      <c r="AI37" s="399">
        <f t="shared" si="6"/>
        <v>1049.1850282523899</v>
      </c>
      <c r="AJ37" s="399">
        <f t="shared" si="7"/>
        <v>1347.6074209363733</v>
      </c>
      <c r="AK37" s="399">
        <f t="shared" si="8"/>
        <v>1112.6146639051885</v>
      </c>
      <c r="AL37" s="454">
        <v>610.6</v>
      </c>
      <c r="AM37" s="455">
        <v>5759.2</v>
      </c>
      <c r="AN37" s="455">
        <v>4288</v>
      </c>
      <c r="AO37" s="455">
        <f t="shared" si="40"/>
        <v>10657.8</v>
      </c>
      <c r="AP37" s="598">
        <f>+[1]Okt!N32</f>
        <v>10281</v>
      </c>
      <c r="AQ37" s="487">
        <f t="shared" si="9"/>
        <v>-376.79999999999927</v>
      </c>
      <c r="AR37" s="458">
        <f t="shared" si="10"/>
        <v>5.7291373454183794E-2</v>
      </c>
      <c r="AS37" s="458">
        <f t="shared" si="11"/>
        <v>0.5403741860421476</v>
      </c>
      <c r="AT37" s="458">
        <f t="shared" si="28"/>
        <v>0.40233444050366862</v>
      </c>
      <c r="AU37" s="458">
        <f t="shared" si="29"/>
        <v>-21.587389517536412</v>
      </c>
      <c r="AV37" s="458">
        <f t="shared" si="30"/>
        <v>-203.61299330068081</v>
      </c>
      <c r="AW37" s="458">
        <f t="shared" si="38"/>
        <v>-151.59961718178204</v>
      </c>
      <c r="AX37" s="400">
        <f t="shared" si="31"/>
        <v>589.01261048246363</v>
      </c>
      <c r="AY37" s="400">
        <f t="shared" si="12"/>
        <v>5555.5870066993193</v>
      </c>
      <c r="AZ37" s="400">
        <f t="shared" si="13"/>
        <v>4136.4003828182176</v>
      </c>
      <c r="BA37" s="394">
        <f>+Efficiency2!K131</f>
        <v>12.092572799999999</v>
      </c>
      <c r="BB37" s="395">
        <f t="shared" si="32"/>
        <v>867.61735291117566</v>
      </c>
      <c r="BC37" s="420">
        <f t="shared" si="33"/>
        <v>0.86028012169585621</v>
      </c>
      <c r="BD37" s="420">
        <f t="shared" si="34"/>
        <v>0.80748845980230732</v>
      </c>
    </row>
    <row r="38" spans="1:56" s="400" customFormat="1" ht="12.75" customHeight="1">
      <c r="A38" s="414">
        <f t="shared" si="14"/>
        <v>45960</v>
      </c>
      <c r="B38" s="423" t="s">
        <v>7</v>
      </c>
      <c r="C38" s="418" t="s">
        <v>387</v>
      </c>
      <c r="D38" s="393">
        <f>+'30'!F42</f>
        <v>0</v>
      </c>
      <c r="E38" s="393">
        <f>+'30'!G42</f>
        <v>0</v>
      </c>
      <c r="F38" s="48" t="e">
        <f t="shared" si="0"/>
        <v>#DIV/0!</v>
      </c>
      <c r="G38" s="419">
        <f t="shared" si="15"/>
        <v>0</v>
      </c>
      <c r="H38" s="415">
        <f t="shared" si="16"/>
        <v>0</v>
      </c>
      <c r="I38" s="415" t="e">
        <f t="shared" si="17"/>
        <v>#DIV/0!</v>
      </c>
      <c r="J38" s="420">
        <f t="shared" si="18"/>
        <v>0</v>
      </c>
      <c r="K38" s="420">
        <f t="shared" si="19"/>
        <v>0.52756301818136786</v>
      </c>
      <c r="L38" s="394">
        <f>+Efficiency1!K136</f>
        <v>43.53326208</v>
      </c>
      <c r="M38" s="395">
        <f t="shared" si="20"/>
        <v>1327.9759495180308</v>
      </c>
      <c r="N38" s="394">
        <f>+Efficiency1!C136</f>
        <v>43.297309439999999</v>
      </c>
      <c r="O38" s="395">
        <f t="shared" si="20"/>
        <v>1256.2879313365581</v>
      </c>
      <c r="P38" s="395">
        <f>'30'!I38</f>
        <v>0</v>
      </c>
      <c r="Q38" s="395">
        <f t="shared" si="21"/>
        <v>742.94600000000003</v>
      </c>
      <c r="R38" s="395">
        <f>'30'!I40</f>
        <v>0</v>
      </c>
      <c r="S38" s="395">
        <f t="shared" si="22"/>
        <v>700.59100000000012</v>
      </c>
      <c r="T38" s="100">
        <f t="shared" si="39"/>
        <v>0</v>
      </c>
      <c r="U38" s="13">
        <f t="shared" si="35"/>
        <v>77291.906345522162</v>
      </c>
      <c r="V38" s="295" t="e">
        <f t="shared" si="36"/>
        <v>#DIV/0!</v>
      </c>
      <c r="W38" s="295">
        <f t="shared" si="23"/>
        <v>104.03435289445284</v>
      </c>
      <c r="X38" s="296">
        <f t="shared" si="37"/>
        <v>0</v>
      </c>
      <c r="Y38" s="295">
        <f t="shared" si="24"/>
        <v>110.32386420254063</v>
      </c>
      <c r="Z38" s="397">
        <v>14.4</v>
      </c>
      <c r="AA38" s="396">
        <f t="shared" si="25"/>
        <v>1343.2000000000005</v>
      </c>
      <c r="AB38" s="399" t="e">
        <f t="shared" si="1"/>
        <v>#DIV/0!</v>
      </c>
      <c r="AC38" s="399">
        <f t="shared" si="2"/>
        <v>1.8079375890037774</v>
      </c>
      <c r="AD38" s="394">
        <f t="shared" si="3"/>
        <v>0</v>
      </c>
      <c r="AE38" s="399">
        <f t="shared" si="4"/>
        <v>1.9172384458264526</v>
      </c>
      <c r="AF38" s="398">
        <f>'30'!I46</f>
        <v>5070.6000000000004</v>
      </c>
      <c r="AG38" s="396">
        <f t="shared" si="26"/>
        <v>784558.42</v>
      </c>
      <c r="AH38" s="399" t="e">
        <f t="shared" si="5"/>
        <v>#DIV/0!</v>
      </c>
      <c r="AI38" s="399">
        <f t="shared" si="6"/>
        <v>1056.0100195707359</v>
      </c>
      <c r="AJ38" s="399">
        <f t="shared" si="7"/>
        <v>0</v>
      </c>
      <c r="AK38" s="399">
        <f t="shared" si="8"/>
        <v>1119.8522675855097</v>
      </c>
      <c r="AL38" s="454">
        <v>0</v>
      </c>
      <c r="AM38" s="455">
        <v>5794.8</v>
      </c>
      <c r="AN38" s="455">
        <v>4261.5</v>
      </c>
      <c r="AO38" s="455">
        <f t="shared" si="40"/>
        <v>10056.299999999999</v>
      </c>
      <c r="AP38" s="599">
        <f>+[1]Okt!N33</f>
        <v>9687</v>
      </c>
      <c r="AQ38" s="487">
        <f t="shared" si="9"/>
        <v>-369.29999999999927</v>
      </c>
      <c r="AR38" s="458">
        <f t="shared" ref="AR38:AR39" si="41">+AL38/AO38</f>
        <v>0</v>
      </c>
      <c r="AS38" s="458">
        <f t="shared" ref="AS38:AS39" si="42">+AM38/AO38</f>
        <v>0.57623579248829093</v>
      </c>
      <c r="AT38" s="458">
        <f t="shared" ref="AT38:AT39" si="43">1-AR38-AS38</f>
        <v>0.42376420751170907</v>
      </c>
      <c r="AU38" s="458">
        <f t="shared" ref="AU38:AU39" si="44">+AR38*AQ38</f>
        <v>0</v>
      </c>
      <c r="AV38" s="458">
        <f t="shared" ref="AV38:AV39" si="45">+AS38*AQ38</f>
        <v>-212.80387816592543</v>
      </c>
      <c r="AW38" s="458">
        <f t="shared" ref="AW38:AW39" si="46">+AT38*AQ38</f>
        <v>-156.49612183407385</v>
      </c>
      <c r="AX38" s="400">
        <f t="shared" ref="AX38:AX39" si="47">+AL38+AU38</f>
        <v>0</v>
      </c>
      <c r="AY38" s="400">
        <f t="shared" ref="AY38:AY39" si="48">+AM38+AV38</f>
        <v>5581.996121834075</v>
      </c>
      <c r="AZ38" s="400">
        <f t="shared" ref="AZ38:AZ39" si="49">+AN38+AW38</f>
        <v>4105.0038781659259</v>
      </c>
      <c r="BA38" s="394">
        <f>+Efficiency2!K136</f>
        <v>0</v>
      </c>
      <c r="BB38" s="395">
        <f t="shared" si="32"/>
        <v>867.61735291117566</v>
      </c>
      <c r="BC38" s="420" t="e">
        <f t="shared" si="33"/>
        <v>#DIV/0!</v>
      </c>
      <c r="BD38" s="420">
        <f t="shared" si="34"/>
        <v>0.80748845980230732</v>
      </c>
    </row>
    <row r="39" spans="1:56" s="400" customFormat="1" ht="12.75" customHeight="1">
      <c r="A39" s="414">
        <f>A38+1</f>
        <v>45961</v>
      </c>
      <c r="B39" s="423" t="s">
        <v>7</v>
      </c>
      <c r="C39" s="418" t="s">
        <v>387</v>
      </c>
      <c r="D39" s="393">
        <f>+'31'!F42</f>
        <v>0</v>
      </c>
      <c r="E39" s="393">
        <f>+'31'!G42</f>
        <v>0</v>
      </c>
      <c r="F39" s="48" t="e">
        <f t="shared" si="0"/>
        <v>#DIV/0!</v>
      </c>
      <c r="G39" s="419">
        <f t="shared" si="15"/>
        <v>0</v>
      </c>
      <c r="H39" s="415">
        <f t="shared" si="16"/>
        <v>0</v>
      </c>
      <c r="I39" s="415" t="e">
        <f t="shared" si="17"/>
        <v>#DIV/0!</v>
      </c>
      <c r="J39" s="420">
        <f t="shared" si="18"/>
        <v>0</v>
      </c>
      <c r="K39" s="420">
        <f t="shared" si="19"/>
        <v>0.51081756803054779</v>
      </c>
      <c r="L39" s="394">
        <f>+Efficiency1!K141</f>
        <v>43.53326208</v>
      </c>
      <c r="M39" s="395">
        <f>M38+L39</f>
        <v>1371.5092115980308</v>
      </c>
      <c r="N39" s="394">
        <f>+Efficiency1!C141</f>
        <v>43.297309439999999</v>
      </c>
      <c r="O39" s="395">
        <f>O38+N39</f>
        <v>1299.5852407765581</v>
      </c>
      <c r="P39" s="395">
        <f>'31'!I38</f>
        <v>0</v>
      </c>
      <c r="Q39" s="395">
        <f>Q38+P39</f>
        <v>742.94600000000003</v>
      </c>
      <c r="R39" s="395">
        <f>'31'!I40</f>
        <v>0</v>
      </c>
      <c r="S39" s="395">
        <f>S38+R39</f>
        <v>700.59100000000012</v>
      </c>
      <c r="T39" s="100">
        <f t="shared" si="39"/>
        <v>0</v>
      </c>
      <c r="U39" s="13">
        <f>T39+U38</f>
        <v>77291.906345522162</v>
      </c>
      <c r="V39" s="295" t="e">
        <f t="shared" si="36"/>
        <v>#DIV/0!</v>
      </c>
      <c r="W39" s="295">
        <f t="shared" si="23"/>
        <v>104.03435289445284</v>
      </c>
      <c r="X39" s="296">
        <f t="shared" si="37"/>
        <v>0</v>
      </c>
      <c r="Y39" s="295">
        <f t="shared" si="24"/>
        <v>110.32386420254063</v>
      </c>
      <c r="Z39" s="397">
        <v>17.2</v>
      </c>
      <c r="AA39" s="396">
        <f>Z39+AA38</f>
        <v>1360.4000000000005</v>
      </c>
      <c r="AB39" s="399" t="e">
        <f t="shared" si="1"/>
        <v>#DIV/0!</v>
      </c>
      <c r="AC39" s="399">
        <f t="shared" si="2"/>
        <v>1.8310886659326526</v>
      </c>
      <c r="AD39" s="394">
        <f t="shared" si="3"/>
        <v>0</v>
      </c>
      <c r="AE39" s="399">
        <f t="shared" si="4"/>
        <v>1.9417891465919492</v>
      </c>
      <c r="AF39" s="398">
        <f>'31'!I46</f>
        <v>5629.9799999996358</v>
      </c>
      <c r="AG39" s="396">
        <f>AF39+AG38</f>
        <v>790188.39999999967</v>
      </c>
      <c r="AH39" s="399" t="e">
        <f t="shared" si="5"/>
        <v>#DIV/0!</v>
      </c>
      <c r="AI39" s="399">
        <f t="shared" si="6"/>
        <v>1063.5879323665511</v>
      </c>
      <c r="AJ39" s="399">
        <f t="shared" si="7"/>
        <v>0</v>
      </c>
      <c r="AK39" s="399">
        <f t="shared" si="8"/>
        <v>1127.8883114399123</v>
      </c>
      <c r="AL39" s="454">
        <v>0</v>
      </c>
      <c r="AM39" s="455">
        <v>5295.8</v>
      </c>
      <c r="AN39" s="455">
        <v>3404.9</v>
      </c>
      <c r="AO39" s="455">
        <f t="shared" si="40"/>
        <v>8700.7000000000007</v>
      </c>
      <c r="AP39" s="600">
        <f>+[1]Okt!N34</f>
        <v>8568</v>
      </c>
      <c r="AQ39" s="487">
        <f t="shared" si="9"/>
        <v>-132.70000000000073</v>
      </c>
      <c r="AR39" s="458">
        <f t="shared" si="41"/>
        <v>0</v>
      </c>
      <c r="AS39" s="458">
        <f t="shared" si="42"/>
        <v>0.60866367073913585</v>
      </c>
      <c r="AT39" s="458">
        <f t="shared" si="43"/>
        <v>0.39133632926086415</v>
      </c>
      <c r="AU39" s="458">
        <f t="shared" si="44"/>
        <v>0</v>
      </c>
      <c r="AV39" s="458">
        <f t="shared" si="45"/>
        <v>-80.769669107083772</v>
      </c>
      <c r="AW39" s="458">
        <f t="shared" si="46"/>
        <v>-51.930330892916956</v>
      </c>
      <c r="AX39" s="400">
        <f t="shared" si="47"/>
        <v>0</v>
      </c>
      <c r="AY39" s="400">
        <f t="shared" si="48"/>
        <v>5215.030330892916</v>
      </c>
      <c r="AZ39" s="400">
        <f t="shared" si="49"/>
        <v>3352.9696691070831</v>
      </c>
      <c r="BA39" s="394">
        <f>+Efficiency2!K141</f>
        <v>0</v>
      </c>
      <c r="BB39" s="395">
        <f>BB38+BA39</f>
        <v>867.61735291117566</v>
      </c>
      <c r="BC39" s="420" t="e">
        <f t="shared" si="33"/>
        <v>#DIV/0!</v>
      </c>
      <c r="BD39" s="420">
        <f t="shared" si="34"/>
        <v>0.80748845980230732</v>
      </c>
    </row>
    <row r="40" spans="1:56" s="400" customFormat="1" ht="12.75" customHeight="1" thickBot="1">
      <c r="A40" s="414"/>
      <c r="B40" s="402"/>
      <c r="C40" s="402"/>
      <c r="D40" s="402"/>
      <c r="E40" s="402"/>
      <c r="F40" s="416"/>
      <c r="G40" s="419"/>
      <c r="H40" s="415"/>
      <c r="I40" s="415"/>
      <c r="J40" s="420"/>
      <c r="K40" s="426"/>
      <c r="L40" s="403"/>
      <c r="M40" s="404"/>
      <c r="N40" s="404"/>
      <c r="O40" s="404"/>
      <c r="P40" s="404"/>
      <c r="Q40" s="404"/>
      <c r="R40" s="404"/>
      <c r="S40" s="404"/>
      <c r="T40" s="298"/>
      <c r="U40" s="297"/>
      <c r="V40" s="299"/>
      <c r="W40" s="299"/>
      <c r="X40" s="296"/>
      <c r="Y40" s="299"/>
      <c r="Z40" s="405"/>
      <c r="AA40" s="405"/>
      <c r="AB40" s="406"/>
      <c r="AC40" s="406"/>
      <c r="AD40" s="403"/>
      <c r="AE40" s="406"/>
      <c r="AF40" s="405"/>
      <c r="AG40" s="405"/>
      <c r="AH40" s="406"/>
      <c r="AI40" s="406"/>
      <c r="AJ40" s="406"/>
      <c r="AK40" s="406"/>
      <c r="AP40" s="457"/>
      <c r="AQ40" s="488"/>
      <c r="AX40" s="458"/>
      <c r="AY40" s="458"/>
      <c r="AZ40" s="458"/>
      <c r="BA40" s="403"/>
      <c r="BB40" s="404"/>
      <c r="BC40" s="420"/>
      <c r="BD40" s="426"/>
    </row>
    <row r="41" spans="1:56" s="400" customFormat="1" ht="12.75" customHeight="1" thickTop="1" thickBot="1">
      <c r="A41" s="407"/>
      <c r="B41" s="408"/>
      <c r="C41" s="408"/>
      <c r="D41" s="408"/>
      <c r="E41" s="408"/>
      <c r="F41" s="417"/>
      <c r="G41" s="419">
        <f t="shared" si="15"/>
        <v>0.57167931482205647</v>
      </c>
      <c r="H41" s="415">
        <f t="shared" si="16"/>
        <v>0.5416996063295465</v>
      </c>
      <c r="I41" s="415">
        <f t="shared" si="17"/>
        <v>0.94299047306264538</v>
      </c>
      <c r="J41" s="420">
        <f t="shared" si="18"/>
        <v>0.51081756803054779</v>
      </c>
      <c r="K41" s="426"/>
      <c r="L41" s="409">
        <f>SUM(L9:L39)</f>
        <v>1371.5092115980308</v>
      </c>
      <c r="M41" s="410"/>
      <c r="N41" s="409">
        <f>SUM(N9:N39)</f>
        <v>1299.5852407765581</v>
      </c>
      <c r="O41" s="410"/>
      <c r="P41" s="409">
        <f>SUM(P9:P39)</f>
        <v>742.94600000000003</v>
      </c>
      <c r="Q41" s="410"/>
      <c r="R41" s="409">
        <f>SUM(R9:R39)</f>
        <v>700.59100000000012</v>
      </c>
      <c r="S41" s="410"/>
      <c r="T41" s="300">
        <f>SUM(T9:T39)</f>
        <v>77291.906345522162</v>
      </c>
      <c r="U41" s="300"/>
      <c r="V41" s="301">
        <f>T41/P41</f>
        <v>104.03435289445284</v>
      </c>
      <c r="W41" s="301"/>
      <c r="X41" s="296">
        <f>IF(AND(R41&gt;0,T41&gt;0),(T41/(R41*1000))*1000,0)</f>
        <v>110.32386420254065</v>
      </c>
      <c r="Y41" s="301"/>
      <c r="Z41" s="411">
        <f>SUM(Z9:Z40)</f>
        <v>1360.4000000000005</v>
      </c>
      <c r="AA41" s="411"/>
      <c r="AB41" s="412">
        <f>Z41/P41</f>
        <v>1.8310886659326526</v>
      </c>
      <c r="AC41" s="412"/>
      <c r="AD41" s="413">
        <f>Z41/R41</f>
        <v>1.9417891465919492</v>
      </c>
      <c r="AE41" s="412"/>
      <c r="AF41" s="411">
        <f>SUM(AF9:AF39)</f>
        <v>790188.39999999967</v>
      </c>
      <c r="AG41" s="411"/>
      <c r="AH41" s="412">
        <f>AF41/P41</f>
        <v>1063.5879323665511</v>
      </c>
      <c r="AI41" s="412"/>
      <c r="AJ41" s="412">
        <f>AF41/R41</f>
        <v>1127.8883114399123</v>
      </c>
      <c r="AK41" s="412"/>
      <c r="AP41" s="457">
        <f>SUM(AP9:AP40)</f>
        <v>321851</v>
      </c>
      <c r="AQ41" s="488"/>
      <c r="AX41" s="458">
        <f>SUM(AX9:AX39)</f>
        <v>77291.906345522162</v>
      </c>
      <c r="AY41" s="458">
        <f>SUM(AY9:AY39)</f>
        <v>155738.79858315649</v>
      </c>
      <c r="AZ41" s="458">
        <f>SUM(AZ9:AZ39)</f>
        <v>88820.29507132138</v>
      </c>
      <c r="BA41" s="409">
        <f>SUM(BA9:BA39)</f>
        <v>867.61735291117566</v>
      </c>
      <c r="BB41" s="410"/>
      <c r="BC41" s="420">
        <f t="shared" si="33"/>
        <v>0.80748845980230732</v>
      </c>
      <c r="BD41" s="426"/>
    </row>
    <row r="42" spans="1:56" ht="12.75" customHeight="1" thickTop="1">
      <c r="S42" s="284"/>
      <c r="T42" s="284"/>
      <c r="U42" s="284"/>
      <c r="V42" s="284"/>
      <c r="W42" s="284"/>
      <c r="X42" s="284"/>
      <c r="Y42" s="284"/>
      <c r="Z42" s="284"/>
      <c r="AA42" s="284"/>
      <c r="AD42" s="284"/>
      <c r="AF42" s="284"/>
      <c r="AG42" s="284"/>
    </row>
    <row r="43" spans="1:56" ht="12.75" customHeight="1">
      <c r="S43" s="284"/>
      <c r="T43" s="284"/>
      <c r="U43" s="284"/>
      <c r="V43" s="284"/>
      <c r="W43" s="284"/>
      <c r="X43" s="284"/>
      <c r="Y43" s="284"/>
      <c r="Z43" s="284"/>
      <c r="AA43" s="284"/>
      <c r="AD43" s="284"/>
      <c r="AF43" s="284"/>
      <c r="AG43" s="284"/>
      <c r="AY43" s="4">
        <f>SUM(AX41:AZ41)</f>
        <v>321851</v>
      </c>
    </row>
    <row r="44" spans="1:56">
      <c r="S44" s="284"/>
      <c r="T44" s="284"/>
      <c r="U44" s="284"/>
      <c r="V44" s="284"/>
      <c r="W44" s="284"/>
      <c r="X44" s="284"/>
      <c r="Y44" s="284"/>
      <c r="Z44" s="284"/>
      <c r="AA44" s="284"/>
      <c r="AD44" s="284"/>
      <c r="AF44" s="284"/>
      <c r="AG44" s="284"/>
    </row>
    <row r="45" spans="1:56">
      <c r="R45" s="302"/>
      <c r="S45" s="303"/>
      <c r="T45" s="303"/>
      <c r="U45" s="303"/>
      <c r="V45" s="303"/>
      <c r="W45" s="303"/>
      <c r="X45" s="303"/>
      <c r="Y45" s="303"/>
    </row>
    <row r="46" spans="1:56">
      <c r="R46" s="304"/>
    </row>
    <row r="47" spans="1:56">
      <c r="R47" s="304"/>
    </row>
    <row r="48" spans="1:56">
      <c r="R48" s="304"/>
    </row>
    <row r="49" spans="18:56">
      <c r="R49" s="304"/>
      <c r="BC49"/>
      <c r="BD49"/>
    </row>
    <row r="50" spans="18:56">
      <c r="R50" s="304"/>
      <c r="BC50"/>
      <c r="BD50"/>
    </row>
    <row r="51" spans="18:56">
      <c r="R51" s="304"/>
      <c r="BC51"/>
      <c r="BD51"/>
    </row>
    <row r="52" spans="18:56">
      <c r="R52" s="304"/>
      <c r="BC52"/>
      <c r="BD52"/>
    </row>
    <row r="53" spans="18:56">
      <c r="R53" s="304"/>
      <c r="BC53"/>
      <c r="BD53"/>
    </row>
    <row r="54" spans="18:56">
      <c r="R54" s="304"/>
      <c r="BC54"/>
      <c r="BD54"/>
    </row>
    <row r="55" spans="18:56">
      <c r="R55" s="304"/>
      <c r="BC55"/>
      <c r="BD55"/>
    </row>
    <row r="56" spans="18:56">
      <c r="R56" s="304"/>
      <c r="BC56"/>
      <c r="BD56"/>
    </row>
    <row r="57" spans="18:56">
      <c r="R57" s="304"/>
      <c r="BC57"/>
      <c r="BD57"/>
    </row>
    <row r="58" spans="18:56">
      <c r="R58" s="304"/>
      <c r="BC58"/>
      <c r="BD58"/>
    </row>
    <row r="59" spans="18:56">
      <c r="R59" s="304"/>
      <c r="BC59"/>
      <c r="BD59"/>
    </row>
    <row r="60" spans="18:56">
      <c r="BC60"/>
      <c r="BD60"/>
    </row>
    <row r="65536" spans="3:54">
      <c r="C65536" s="305"/>
      <c r="BA65536"/>
      <c r="BB65536"/>
    </row>
  </sheetData>
  <mergeCells count="34">
    <mergeCell ref="A3:AK4"/>
    <mergeCell ref="AF7:AG7"/>
    <mergeCell ref="AH7:AI7"/>
    <mergeCell ref="AJ7:AK7"/>
    <mergeCell ref="D6:D8"/>
    <mergeCell ref="A6:A8"/>
    <mergeCell ref="B6:B8"/>
    <mergeCell ref="C6:C8"/>
    <mergeCell ref="J6:K7"/>
    <mergeCell ref="L6:M7"/>
    <mergeCell ref="H6:H8"/>
    <mergeCell ref="I6:I8"/>
    <mergeCell ref="E6:E8"/>
    <mergeCell ref="BC6:BD7"/>
    <mergeCell ref="N6:O7"/>
    <mergeCell ref="Z7:AA7"/>
    <mergeCell ref="AB7:AC7"/>
    <mergeCell ref="AD7:AE7"/>
    <mergeCell ref="Z6:AE6"/>
    <mergeCell ref="P6:Q7"/>
    <mergeCell ref="R6:S7"/>
    <mergeCell ref="T6:Y6"/>
    <mergeCell ref="T7:U7"/>
    <mergeCell ref="V7:W7"/>
    <mergeCell ref="X7:Y7"/>
    <mergeCell ref="AF6:AK6"/>
    <mergeCell ref="AR7:AT7"/>
    <mergeCell ref="AU7:AW7"/>
    <mergeCell ref="AX7:AZ7"/>
    <mergeCell ref="AL7:AN7"/>
    <mergeCell ref="AO7:AO8"/>
    <mergeCell ref="F6:F8"/>
    <mergeCell ref="G6:G8"/>
    <mergeCell ref="BA6:BB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3" sqref="E33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4"/>
  <sheetViews>
    <sheetView zoomScaleNormal="100" workbookViewId="0">
      <pane xSplit="3" ySplit="6" topLeftCell="I7" activePane="bottomRight" state="frozen"/>
      <selection pane="topRight" activeCell="D1" sqref="D1"/>
      <selection pane="bottomLeft" activeCell="A7" sqref="A7"/>
      <selection pane="bottomRight" activeCell="S6" sqref="S6"/>
    </sheetView>
  </sheetViews>
  <sheetFormatPr defaultColWidth="9.140625" defaultRowHeight="12.75"/>
  <cols>
    <col min="1" max="3" width="10.85546875" customWidth="1"/>
    <col min="4" max="4" width="18.85546875" customWidth="1"/>
    <col min="5" max="5" width="12.85546875" customWidth="1"/>
    <col min="6" max="6" width="11.5703125" customWidth="1"/>
    <col min="7" max="7" width="12" customWidth="1"/>
    <col min="8" max="8" width="12.28515625" customWidth="1"/>
    <col min="9" max="9" width="13" customWidth="1"/>
    <col min="10" max="11" width="11" customWidth="1"/>
    <col min="12" max="12" width="13.5703125" customWidth="1"/>
    <col min="13" max="13" width="12.42578125" customWidth="1"/>
    <col min="14" max="15" width="13.140625" customWidth="1"/>
    <col min="16" max="16" width="16.28515625" bestFit="1" customWidth="1"/>
    <col min="17" max="18" width="10.85546875" bestFit="1" customWidth="1"/>
    <col min="21" max="21" width="39" bestFit="1" customWidth="1"/>
  </cols>
  <sheetData>
    <row r="2" spans="1:23" ht="24.75" customHeight="1">
      <c r="A2" s="622" t="s">
        <v>21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306"/>
      <c r="R2" s="306"/>
      <c r="S2" s="306"/>
      <c r="T2" s="306"/>
      <c r="U2" s="306"/>
    </row>
    <row r="3" spans="1:23" ht="12.75" customHeight="1">
      <c r="A3" s="306"/>
      <c r="B3" s="306"/>
      <c r="C3" s="306"/>
      <c r="D3" s="307"/>
      <c r="E3" s="308"/>
      <c r="F3" s="308"/>
      <c r="G3" s="308"/>
      <c r="H3" s="309"/>
      <c r="I3" s="308"/>
      <c r="J3" s="308"/>
      <c r="K3" s="308"/>
      <c r="L3" s="310"/>
      <c r="M3" s="308"/>
      <c r="N3" s="308"/>
      <c r="O3" s="308"/>
      <c r="P3" s="308"/>
      <c r="Q3" s="6"/>
      <c r="R3" s="6"/>
      <c r="S3" s="306"/>
      <c r="T3" s="306"/>
      <c r="U3" s="306"/>
    </row>
    <row r="4" spans="1:23">
      <c r="A4" s="630" t="s">
        <v>8</v>
      </c>
      <c r="B4" s="633" t="s">
        <v>22</v>
      </c>
      <c r="C4" s="633" t="s">
        <v>23</v>
      </c>
      <c r="D4" s="623"/>
      <c r="E4" s="623"/>
      <c r="F4" s="623"/>
      <c r="G4" s="623"/>
      <c r="H4" s="623"/>
      <c r="I4" s="623"/>
      <c r="J4" s="623"/>
      <c r="K4" s="623"/>
      <c r="L4" s="623"/>
      <c r="M4" s="623"/>
      <c r="N4" s="623"/>
      <c r="O4" s="623"/>
      <c r="P4" s="624" t="s">
        <v>186</v>
      </c>
      <c r="Q4" s="625"/>
      <c r="R4" s="626"/>
      <c r="U4" s="370" t="s">
        <v>0</v>
      </c>
    </row>
    <row r="5" spans="1:23" ht="14.25" customHeight="1">
      <c r="A5" s="631"/>
      <c r="B5" s="634"/>
      <c r="C5" s="634"/>
      <c r="D5" s="636" t="s">
        <v>305</v>
      </c>
      <c r="E5" s="637"/>
      <c r="F5" s="637"/>
      <c r="G5" s="638"/>
      <c r="H5" s="639" t="s">
        <v>306</v>
      </c>
      <c r="I5" s="640"/>
      <c r="J5" s="640"/>
      <c r="K5" s="641"/>
      <c r="L5" s="642" t="s">
        <v>305</v>
      </c>
      <c r="M5" s="643"/>
      <c r="N5" s="643"/>
      <c r="O5" s="644"/>
      <c r="P5" s="627"/>
      <c r="Q5" s="628"/>
      <c r="R5" s="629"/>
    </row>
    <row r="6" spans="1:23" ht="14.25" customHeight="1">
      <c r="A6" s="632"/>
      <c r="B6" s="635"/>
      <c r="C6" s="635"/>
      <c r="D6" s="514" t="s">
        <v>24</v>
      </c>
      <c r="E6" s="378" t="s">
        <v>25</v>
      </c>
      <c r="F6" s="379" t="s">
        <v>26</v>
      </c>
      <c r="G6" s="379" t="s">
        <v>27</v>
      </c>
      <c r="H6" s="515" t="s">
        <v>24</v>
      </c>
      <c r="I6" s="380" t="s">
        <v>25</v>
      </c>
      <c r="J6" s="381" t="s">
        <v>26</v>
      </c>
      <c r="K6" s="381" t="s">
        <v>27</v>
      </c>
      <c r="L6" s="516" t="s">
        <v>24</v>
      </c>
      <c r="M6" s="382" t="s">
        <v>25</v>
      </c>
      <c r="N6" s="383" t="s">
        <v>26</v>
      </c>
      <c r="O6" s="383" t="s">
        <v>27</v>
      </c>
      <c r="P6" s="384" t="s">
        <v>25</v>
      </c>
      <c r="Q6" s="385" t="s">
        <v>26</v>
      </c>
      <c r="R6" s="385" t="s">
        <v>27</v>
      </c>
      <c r="T6" s="370"/>
    </row>
    <row r="7" spans="1:23">
      <c r="A7" s="311">
        <f>A8-1</f>
        <v>45930</v>
      </c>
      <c r="B7" s="312">
        <v>0</v>
      </c>
      <c r="C7" s="312">
        <v>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315"/>
      <c r="Q7" s="103"/>
      <c r="R7" s="103"/>
    </row>
    <row r="8" spans="1:23" ht="15">
      <c r="A8" s="311">
        <f>+Report1!A9</f>
        <v>45931</v>
      </c>
      <c r="B8" s="318">
        <f>+Report1!P9</f>
        <v>16.666</v>
      </c>
      <c r="C8" s="318">
        <f>+Report1!R9</f>
        <v>8.9130000000000003</v>
      </c>
      <c r="D8" s="319">
        <f t="shared" ref="D8" si="0">+D7+E8</f>
        <v>2500</v>
      </c>
      <c r="E8" s="319">
        <f>+[3]DailyOct!AH7</f>
        <v>2500</v>
      </c>
      <c r="F8" s="319">
        <f t="shared" ref="F8:F38" si="1">E8/B8</f>
        <v>150.0060002400096</v>
      </c>
      <c r="G8" s="319">
        <f t="shared" ref="G8:G38" si="2">E8/C8</f>
        <v>280.48917311791763</v>
      </c>
      <c r="H8" s="319">
        <f t="shared" ref="H8" si="3">+H7+I8</f>
        <v>4968.6499999999996</v>
      </c>
      <c r="I8" s="319">
        <f>+[3]DailyOct!AI7</f>
        <v>4968.6499999999996</v>
      </c>
      <c r="J8" s="319">
        <f t="shared" ref="J8:J38" si="4">I8/B8</f>
        <v>298.13092523700948</v>
      </c>
      <c r="K8" s="319">
        <f t="shared" ref="K8:K38" si="5">I8/C8</f>
        <v>557.46101200493661</v>
      </c>
      <c r="L8" s="319">
        <f t="shared" ref="L8" si="6">+L7+M8</f>
        <v>17128.650000000001</v>
      </c>
      <c r="M8" s="319">
        <f>+[3]DailyOct!AJ7</f>
        <v>17128.650000000001</v>
      </c>
      <c r="N8" s="319">
        <f t="shared" ref="N8:N38" si="7">M8/B8</f>
        <v>1027.7601104044163</v>
      </c>
      <c r="O8" s="319">
        <f t="shared" ref="O8:O38" si="8">M8/C8</f>
        <v>1921.7603500504881</v>
      </c>
      <c r="P8" s="319">
        <f t="shared" ref="P8" si="9">+E8+I8+M8</f>
        <v>24597.300000000003</v>
      </c>
      <c r="Q8" s="7">
        <f t="shared" ref="Q8:Q38" si="10">P8/B8</f>
        <v>1475.8970358814354</v>
      </c>
      <c r="R8" s="317">
        <f t="shared" ref="R8:R38" si="11">P8/C8</f>
        <v>2759.7105351733426</v>
      </c>
      <c r="V8" s="388" t="s">
        <v>171</v>
      </c>
      <c r="W8" s="388" t="s">
        <v>172</v>
      </c>
    </row>
    <row r="9" spans="1:23" ht="15">
      <c r="A9" s="311">
        <f>+Report1!A10</f>
        <v>45932</v>
      </c>
      <c r="B9" s="318">
        <f>+Report1!P10</f>
        <v>40.289000000000001</v>
      </c>
      <c r="C9" s="318">
        <f>+Report1!R10</f>
        <v>36.587000000000003</v>
      </c>
      <c r="D9" s="319">
        <f t="shared" ref="D9" si="12">+D8+E9</f>
        <v>7100.0000000003638</v>
      </c>
      <c r="E9" s="319">
        <f>+[3]DailyOct!AH8</f>
        <v>4600.0000000003638</v>
      </c>
      <c r="F9" s="319">
        <f t="shared" ref="F9" si="13">E9/B9</f>
        <v>114.17508501080601</v>
      </c>
      <c r="G9" s="319">
        <f t="shared" ref="G9" si="14">E9/C9</f>
        <v>125.72771749529514</v>
      </c>
      <c r="H9" s="319">
        <f t="shared" ref="H9" si="15">+H8+I9</f>
        <v>13445.74</v>
      </c>
      <c r="I9" s="319">
        <f>+[3]DailyOct!AI8</f>
        <v>8477.09</v>
      </c>
      <c r="J9" s="319">
        <f t="shared" ref="J9" si="16">I9/B9</f>
        <v>210.40705899873413</v>
      </c>
      <c r="K9" s="319">
        <f t="shared" ref="K9" si="17">I9/C9</f>
        <v>231.69677754393635</v>
      </c>
      <c r="L9" s="319">
        <f t="shared" ref="L9" si="18">+L8+M9</f>
        <v>44765.740000000005</v>
      </c>
      <c r="M9" s="319">
        <f>+[3]DailyOct!AJ8</f>
        <v>27637.09</v>
      </c>
      <c r="N9" s="319">
        <f>M9/B9</f>
        <v>685.9711087393581</v>
      </c>
      <c r="O9" s="319">
        <f t="shared" ref="O9" si="19">M9/C9</f>
        <v>755.38005302429815</v>
      </c>
      <c r="P9" s="319">
        <f t="shared" ref="P9" si="20">+E9+I9+M9</f>
        <v>40714.180000000364</v>
      </c>
      <c r="Q9" s="7">
        <f>P9/B9</f>
        <v>1010.5532527488983</v>
      </c>
      <c r="R9" s="317">
        <f t="shared" ref="R9" si="21">P9/C9</f>
        <v>1112.8045480635296</v>
      </c>
      <c r="V9" s="388" t="s">
        <v>171</v>
      </c>
      <c r="W9" s="388" t="s">
        <v>172</v>
      </c>
    </row>
    <row r="10" spans="1:23" ht="15">
      <c r="A10" s="311">
        <f>+Report1!A11</f>
        <v>45933</v>
      </c>
      <c r="B10" s="318">
        <f>+Report1!P11</f>
        <v>37.695</v>
      </c>
      <c r="C10" s="318">
        <f>+Report1!R11</f>
        <v>36.482999999999997</v>
      </c>
      <c r="D10" s="319">
        <f t="shared" ref="D10" si="22">+D9+E10</f>
        <v>11699.999999998909</v>
      </c>
      <c r="E10" s="319">
        <f>+[3]DailyOct!AH9</f>
        <v>4599.9999999985448</v>
      </c>
      <c r="F10" s="319">
        <f t="shared" ref="F10" si="23">E10/B10</f>
        <v>122.03209974793857</v>
      </c>
      <c r="G10" s="319">
        <f t="shared" ref="G10" si="24">E10/C10</f>
        <v>126.08612230349875</v>
      </c>
      <c r="H10" s="319">
        <f t="shared" ref="H10" si="25">+H9+I10</f>
        <v>21631.85</v>
      </c>
      <c r="I10" s="319">
        <f>+[3]DailyOct!AI9</f>
        <v>8186.11</v>
      </c>
      <c r="J10" s="319">
        <f t="shared" ref="J10" si="26">I10/B10</f>
        <v>217.16699827563338</v>
      </c>
      <c r="K10" s="319">
        <f t="shared" ref="K10" si="27">I10/C10</f>
        <v>224.38149275004798</v>
      </c>
      <c r="L10" s="319">
        <f t="shared" ref="L10" si="28">+L9+M10</f>
        <v>71111.850000000006</v>
      </c>
      <c r="M10" s="319">
        <f>+[3]DailyOct!AJ9</f>
        <v>26346.11</v>
      </c>
      <c r="N10" s="319">
        <f t="shared" ref="N10" si="29">M10/B10</f>
        <v>698.92850510677806</v>
      </c>
      <c r="O10" s="319">
        <f t="shared" ref="O10" si="30">M10/C10</f>
        <v>722.14757558314841</v>
      </c>
      <c r="P10" s="319">
        <f t="shared" ref="P10" si="31">+E10+I10+M10</f>
        <v>39132.219999998546</v>
      </c>
      <c r="Q10" s="7">
        <f t="shared" ref="Q10" si="32">P10/B10</f>
        <v>1038.1276031303501</v>
      </c>
      <c r="R10" s="317">
        <f t="shared" ref="R10" si="33">P10/C10</f>
        <v>1072.6151906366952</v>
      </c>
      <c r="V10" s="388" t="s">
        <v>171</v>
      </c>
      <c r="W10" s="388" t="s">
        <v>172</v>
      </c>
    </row>
    <row r="11" spans="1:23" ht="15">
      <c r="A11" s="311">
        <f>+Report1!A12</f>
        <v>45934</v>
      </c>
      <c r="B11" s="318">
        <f>+Report1!P12</f>
        <v>42.438000000000002</v>
      </c>
      <c r="C11" s="318">
        <f>+Report1!R12</f>
        <v>41.1</v>
      </c>
      <c r="D11" s="319">
        <f t="shared" ref="D11" si="34">+D10+E11</f>
        <v>16399.999999999636</v>
      </c>
      <c r="E11" s="319">
        <f>+[3]DailyOct!AH10</f>
        <v>4700.0000000007276</v>
      </c>
      <c r="F11" s="319">
        <f t="shared" ref="F11" si="35">E11/B11</f>
        <v>110.74979970782618</v>
      </c>
      <c r="G11" s="319">
        <f t="shared" ref="G11" si="36">E11/C11</f>
        <v>114.35523114357001</v>
      </c>
      <c r="H11" s="319">
        <f t="shared" ref="H11" si="37">+H10+I11</f>
        <v>28245.07</v>
      </c>
      <c r="I11" s="319">
        <f>+[3]DailyOct!AI10</f>
        <v>6613.22</v>
      </c>
      <c r="J11" s="319">
        <f t="shared" ref="J11" si="38">I11/B11</f>
        <v>155.83250860078232</v>
      </c>
      <c r="K11" s="319">
        <f t="shared" ref="K11" si="39">I11/C11</f>
        <v>160.90559610705597</v>
      </c>
      <c r="L11" s="319">
        <f t="shared" ref="L11" si="40">+L10+M11</f>
        <v>96885.07</v>
      </c>
      <c r="M11" s="319">
        <f>+[3]DailyOct!AJ10</f>
        <v>25773.22</v>
      </c>
      <c r="N11" s="319">
        <f t="shared" ref="N11" si="41">M11/B11</f>
        <v>607.31467081389326</v>
      </c>
      <c r="O11" s="319">
        <f t="shared" ref="O11" si="42">M11/C11</f>
        <v>627.08564476885647</v>
      </c>
      <c r="P11" s="319">
        <f t="shared" ref="P11" si="43">+E11+I11+M11</f>
        <v>37086.44000000073</v>
      </c>
      <c r="Q11" s="7">
        <f t="shared" ref="Q11" si="44">P11/B11</f>
        <v>873.89697912250176</v>
      </c>
      <c r="R11" s="317">
        <f t="shared" ref="R11" si="45">P11/C11</f>
        <v>902.34647201948246</v>
      </c>
      <c r="V11" s="388" t="s">
        <v>171</v>
      </c>
      <c r="W11" s="388" t="s">
        <v>172</v>
      </c>
    </row>
    <row r="12" spans="1:23" ht="15">
      <c r="A12" s="311">
        <f>+Report1!A13</f>
        <v>45935</v>
      </c>
      <c r="B12" s="318">
        <f>+Report1!P13</f>
        <v>41.597000000000001</v>
      </c>
      <c r="C12" s="318">
        <f>+Report1!R13</f>
        <v>40.323999999999998</v>
      </c>
      <c r="D12" s="319">
        <f t="shared" ref="D12" si="46">+D11+E12</f>
        <v>20899.999999999636</v>
      </c>
      <c r="E12" s="319">
        <f>+[3]DailyOct!AH11</f>
        <v>4500</v>
      </c>
      <c r="F12" s="319">
        <f t="shared" ref="F12" si="47">E12/B12</f>
        <v>108.18087842873284</v>
      </c>
      <c r="G12" s="319">
        <f t="shared" ref="G12" si="48">E12/C12</f>
        <v>111.59607181827201</v>
      </c>
      <c r="H12" s="319">
        <f t="shared" ref="H12" si="49">+H11+I12</f>
        <v>36605.31</v>
      </c>
      <c r="I12" s="319">
        <f>+[3]DailyOct!AI11</f>
        <v>8360.24</v>
      </c>
      <c r="J12" s="319">
        <f t="shared" ref="J12" si="50">I12/B12</f>
        <v>200.98180157222876</v>
      </c>
      <c r="K12" s="319">
        <f t="shared" ref="K12" si="51">I12/C12</f>
        <v>207.32665410177563</v>
      </c>
      <c r="L12" s="319">
        <f t="shared" ref="L12" si="52">+L11+M12</f>
        <v>123405.31000000001</v>
      </c>
      <c r="M12" s="319">
        <f>+[3]DailyOct!AJ11</f>
        <v>26520.240000000002</v>
      </c>
      <c r="N12" s="319">
        <f t="shared" ref="N12" si="53">M12/B12</f>
        <v>637.55174652018172</v>
      </c>
      <c r="O12" s="319">
        <f t="shared" ref="O12" si="54">M12/C12</f>
        <v>657.67880170618002</v>
      </c>
      <c r="P12" s="319">
        <f t="shared" ref="P12" si="55">+E12+I12+M12</f>
        <v>39380.480000000003</v>
      </c>
      <c r="Q12" s="7">
        <f t="shared" ref="Q12" si="56">P12/B12</f>
        <v>946.71442652114342</v>
      </c>
      <c r="R12" s="317">
        <f t="shared" ref="R12" si="57">P12/C12</f>
        <v>976.60152762622772</v>
      </c>
      <c r="V12" s="388" t="s">
        <v>171</v>
      </c>
      <c r="W12" s="388" t="s">
        <v>172</v>
      </c>
    </row>
    <row r="13" spans="1:23" ht="15">
      <c r="A13" s="311">
        <f>+Report1!A14</f>
        <v>45936</v>
      </c>
      <c r="B13" s="318">
        <f>+Report1!P14</f>
        <v>42.959000000000003</v>
      </c>
      <c r="C13" s="318">
        <f>+Report1!R14</f>
        <v>41.719000000000001</v>
      </c>
      <c r="D13" s="319">
        <f t="shared" ref="D13" si="58">+D12+E13</f>
        <v>25399.999999999636</v>
      </c>
      <c r="E13" s="319">
        <f>+[3]DailyOct!AH12</f>
        <v>4500</v>
      </c>
      <c r="F13" s="319">
        <f t="shared" ref="F13" si="59">E13/B13</f>
        <v>104.75104169091459</v>
      </c>
      <c r="G13" s="319">
        <f t="shared" ref="G13" si="60">E13/C13</f>
        <v>107.86452216016683</v>
      </c>
      <c r="H13" s="319">
        <f t="shared" ref="H13" si="61">+H12+I13</f>
        <v>43487.68</v>
      </c>
      <c r="I13" s="319">
        <f>+[3]DailyOct!AI12</f>
        <v>6882.37</v>
      </c>
      <c r="J13" s="319">
        <f t="shared" ref="J13" si="62">I13/B13</f>
        <v>160.20787262273328</v>
      </c>
      <c r="K13" s="319">
        <f t="shared" ref="K13" si="63">I13/C13</f>
        <v>164.96967808432609</v>
      </c>
      <c r="L13" s="319">
        <f t="shared" ref="L13" si="64">+L12+M13</f>
        <v>149447.68000000002</v>
      </c>
      <c r="M13" s="319">
        <f>+[3]DailyOct!AJ12</f>
        <v>26042.37</v>
      </c>
      <c r="N13" s="319">
        <f t="shared" ref="N13" si="65">M13/B13</f>
        <v>606.21453013338294</v>
      </c>
      <c r="O13" s="319">
        <f t="shared" ref="O13" si="66">M13/C13</f>
        <v>624.23284354850307</v>
      </c>
      <c r="P13" s="319">
        <f t="shared" ref="P13" si="67">+E13+I13+M13</f>
        <v>37424.74</v>
      </c>
      <c r="Q13" s="7">
        <f t="shared" ref="Q13" si="68">P13/B13</f>
        <v>871.17344444703076</v>
      </c>
      <c r="R13" s="317">
        <f t="shared" ref="R13" si="69">P13/C13</f>
        <v>897.06704379299595</v>
      </c>
      <c r="V13" s="388" t="s">
        <v>171</v>
      </c>
      <c r="W13" s="388" t="s">
        <v>172</v>
      </c>
    </row>
    <row r="14" spans="1:23" ht="15">
      <c r="A14" s="311">
        <f>+Report1!A15</f>
        <v>45937</v>
      </c>
      <c r="B14" s="318">
        <f>+Report1!P15</f>
        <v>42.984000000000002</v>
      </c>
      <c r="C14" s="318">
        <f>+Report1!R15</f>
        <v>42.372</v>
      </c>
      <c r="D14" s="319">
        <f t="shared" ref="D14" si="70">+D13+E14</f>
        <v>29899.999999999636</v>
      </c>
      <c r="E14" s="319">
        <f>+[3]DailyOct!AH13</f>
        <v>4500</v>
      </c>
      <c r="F14" s="319">
        <f t="shared" ref="F14" si="71">E14/B14</f>
        <v>104.69011725293132</v>
      </c>
      <c r="G14" s="319">
        <f t="shared" ref="G14" si="72">E14/C14</f>
        <v>106.20220900594732</v>
      </c>
      <c r="H14" s="319">
        <f t="shared" ref="H14" si="73">+H13+I14</f>
        <v>52374.33</v>
      </c>
      <c r="I14" s="319">
        <f>+[3]DailyOct!AI13</f>
        <v>8886.65</v>
      </c>
      <c r="J14" s="319">
        <f t="shared" ref="J14" si="74">I14/B14</f>
        <v>206.74320677461378</v>
      </c>
      <c r="K14" s="319">
        <f t="shared" ref="K14" si="75">I14/C14</f>
        <v>209.72930236948929</v>
      </c>
      <c r="L14" s="319">
        <f t="shared" ref="L14" si="76">+L13+M14</f>
        <v>175494.33000000002</v>
      </c>
      <c r="M14" s="319">
        <f>+[3]DailyOct!AJ13</f>
        <v>26046.65</v>
      </c>
      <c r="N14" s="319">
        <f t="shared" ref="N14" si="77">M14/B14</f>
        <v>605.96152056579194</v>
      </c>
      <c r="O14" s="319">
        <f t="shared" ref="O14" si="78">M14/C14</f>
        <v>614.71372604550174</v>
      </c>
      <c r="P14" s="319">
        <f t="shared" ref="P14" si="79">+E14+I14+M14</f>
        <v>39433.300000000003</v>
      </c>
      <c r="Q14" s="7">
        <f t="shared" ref="Q14" si="80">P14/B14</f>
        <v>917.3948445933371</v>
      </c>
      <c r="R14" s="317">
        <f t="shared" ref="R14" si="81">P14/C14</f>
        <v>930.64523742093843</v>
      </c>
      <c r="V14" s="388" t="s">
        <v>171</v>
      </c>
      <c r="W14" s="388" t="s">
        <v>172</v>
      </c>
    </row>
    <row r="15" spans="1:23" ht="15">
      <c r="A15" s="311">
        <f>+Report1!A16</f>
        <v>45938</v>
      </c>
      <c r="B15" s="318">
        <f>+Report1!P16</f>
        <v>42.14</v>
      </c>
      <c r="C15" s="318">
        <f>+Report1!R16</f>
        <v>43.186999999999998</v>
      </c>
      <c r="D15" s="319">
        <f t="shared" ref="D15" si="82">+D14+E15</f>
        <v>34600.000000000364</v>
      </c>
      <c r="E15" s="319">
        <f>+[3]DailyOct!AH14</f>
        <v>4700.0000000007276</v>
      </c>
      <c r="F15" s="319">
        <f t="shared" ref="F15" si="83">E15/B15</f>
        <v>111.53298528715537</v>
      </c>
      <c r="G15" s="319">
        <f t="shared" ref="G15" si="84">E15/C15</f>
        <v>108.82904577768143</v>
      </c>
      <c r="H15" s="319">
        <f t="shared" ref="H15" si="85">+H14+I15</f>
        <v>60346.46</v>
      </c>
      <c r="I15" s="319">
        <f>+[3]DailyOct!AI14</f>
        <v>7972.13</v>
      </c>
      <c r="J15" s="319">
        <f t="shared" ref="J15" si="86">I15/B15</f>
        <v>189.18201233981964</v>
      </c>
      <c r="K15" s="319">
        <f t="shared" ref="K15" si="87">I15/C15</f>
        <v>184.59559589691344</v>
      </c>
      <c r="L15" s="319">
        <f t="shared" ref="L15" si="88">+L14+M15</f>
        <v>200626.46000000002</v>
      </c>
      <c r="M15" s="319">
        <f>+[3]DailyOct!AJ14</f>
        <v>25132.13</v>
      </c>
      <c r="N15" s="319">
        <f t="shared" ref="N15" si="89">M15/B15</f>
        <v>596.39606074988137</v>
      </c>
      <c r="O15" s="319">
        <f t="shared" ref="O15" si="90">M15/C15</f>
        <v>581.93738856600373</v>
      </c>
      <c r="P15" s="319">
        <f t="shared" ref="P15" si="91">+E15+I15+M15</f>
        <v>37804.26000000073</v>
      </c>
      <c r="Q15" s="7">
        <f t="shared" ref="Q15" si="92">P15/B15</f>
        <v>897.11105837685636</v>
      </c>
      <c r="R15" s="317">
        <f t="shared" ref="R15" si="93">P15/C15</f>
        <v>875.36203024059864</v>
      </c>
      <c r="V15" s="388" t="s">
        <v>171</v>
      </c>
      <c r="W15" s="388" t="s">
        <v>172</v>
      </c>
    </row>
    <row r="16" spans="1:23" ht="15">
      <c r="A16" s="311">
        <f>+Report1!A17</f>
        <v>45939</v>
      </c>
      <c r="B16" s="318">
        <f>+Report1!P17</f>
        <v>38.646000000000001</v>
      </c>
      <c r="C16" s="318">
        <f>+Report1!R17</f>
        <v>36.542999999999999</v>
      </c>
      <c r="D16" s="319">
        <f t="shared" ref="D16" si="94">+D15+E16</f>
        <v>39000</v>
      </c>
      <c r="E16" s="319">
        <f>+[3]DailyOct!AH15</f>
        <v>4399.9999999996362</v>
      </c>
      <c r="F16" s="319">
        <f t="shared" ref="F16" si="95">E16/B16</f>
        <v>113.85395642497635</v>
      </c>
      <c r="G16" s="319">
        <f t="shared" ref="G16" si="96">E16/C16</f>
        <v>120.40609692689807</v>
      </c>
      <c r="H16" s="319">
        <f t="shared" ref="H16" si="97">+H15+I16</f>
        <v>68376.39</v>
      </c>
      <c r="I16" s="319">
        <f>+[3]DailyOct!AI15</f>
        <v>8029.93</v>
      </c>
      <c r="J16" s="319">
        <f t="shared" ref="J16" si="98">I16/B16</f>
        <v>207.7816591626559</v>
      </c>
      <c r="K16" s="319">
        <f t="shared" ref="K16" si="99">I16/C16</f>
        <v>219.73921134006514</v>
      </c>
      <c r="L16" s="319">
        <f t="shared" ref="L16" si="100">+L15+M16</f>
        <v>225816.39</v>
      </c>
      <c r="M16" s="319">
        <f>+[3]DailyOct!AJ15</f>
        <v>25189.93</v>
      </c>
      <c r="N16" s="319">
        <f t="shared" ref="N16" si="101">M16/B16</f>
        <v>651.81208922010035</v>
      </c>
      <c r="O16" s="319">
        <f t="shared" ref="O16" si="102">M16/C16</f>
        <v>689.32298935500648</v>
      </c>
      <c r="P16" s="319">
        <f t="shared" ref="P16" si="103">+E16+I16+M16</f>
        <v>37619.859999999637</v>
      </c>
      <c r="Q16" s="7">
        <f t="shared" ref="Q16" si="104">P16/B16</f>
        <v>973.44770480773263</v>
      </c>
      <c r="R16" s="317">
        <f t="shared" ref="R16" si="105">P16/C16</f>
        <v>1029.4682976219697</v>
      </c>
      <c r="V16" s="388" t="s">
        <v>171</v>
      </c>
      <c r="W16" s="388" t="s">
        <v>172</v>
      </c>
    </row>
    <row r="17" spans="1:23" ht="15">
      <c r="A17" s="311">
        <f>+Report1!A18</f>
        <v>45940</v>
      </c>
      <c r="B17" s="318">
        <f>+Report1!P18</f>
        <v>40.244</v>
      </c>
      <c r="C17" s="318">
        <f>+Report1!R18</f>
        <v>35.942</v>
      </c>
      <c r="D17" s="319">
        <f t="shared" ref="D17" si="106">+D16+E17</f>
        <v>43500</v>
      </c>
      <c r="E17" s="319">
        <f>+[3]DailyOct!AH16</f>
        <v>4500</v>
      </c>
      <c r="F17" s="319">
        <f t="shared" ref="F17" si="107">E17/B17</f>
        <v>111.8179107444588</v>
      </c>
      <c r="G17" s="319">
        <f t="shared" ref="G17" si="108">E17/C17</f>
        <v>125.2017138723499</v>
      </c>
      <c r="H17" s="319">
        <f t="shared" ref="H17" si="109">+H16+I17</f>
        <v>76535.06</v>
      </c>
      <c r="I17" s="319">
        <f>+[3]DailyOct!AI16</f>
        <v>8158.67</v>
      </c>
      <c r="J17" s="319">
        <f t="shared" ref="J17" si="110">I17/B17</f>
        <v>202.7300964118875</v>
      </c>
      <c r="K17" s="319">
        <f t="shared" ref="K17" si="111">I17/C17</f>
        <v>226.99543709309444</v>
      </c>
      <c r="L17" s="319">
        <f t="shared" ref="L17" si="112">+L16+M17</f>
        <v>252135.06</v>
      </c>
      <c r="M17" s="319">
        <f>+[3]DailyOct!AJ16</f>
        <v>26318.67</v>
      </c>
      <c r="N17" s="319">
        <f t="shared" ref="N17" si="113">M17/B17</f>
        <v>653.97748732730338</v>
      </c>
      <c r="O17" s="319">
        <f t="shared" ref="O17" si="114">M17/C17</f>
        <v>732.25390907573308</v>
      </c>
      <c r="P17" s="319">
        <f t="shared" ref="P17" si="115">+E17+I17+M17</f>
        <v>38977.339999999997</v>
      </c>
      <c r="Q17" s="7">
        <f t="shared" ref="Q17" si="116">P17/B17</f>
        <v>968.52549448364971</v>
      </c>
      <c r="R17" s="317">
        <f t="shared" ref="R17" si="117">P17/C17</f>
        <v>1084.4510600411772</v>
      </c>
      <c r="V17" s="388" t="s">
        <v>171</v>
      </c>
      <c r="W17" s="388" t="s">
        <v>172</v>
      </c>
    </row>
    <row r="18" spans="1:23" ht="15">
      <c r="A18" s="311">
        <f>+Report1!A19</f>
        <v>45941</v>
      </c>
      <c r="B18" s="318">
        <f>+Report1!P19</f>
        <v>39.607999999999997</v>
      </c>
      <c r="C18" s="318">
        <f>+Report1!R19</f>
        <v>40.204999999999998</v>
      </c>
      <c r="D18" s="319">
        <f t="shared" ref="D18" si="118">+D17+E18</f>
        <v>48100.000000000364</v>
      </c>
      <c r="E18" s="319">
        <f>+[3]DailyOct!AH17</f>
        <v>4600.0000000003638</v>
      </c>
      <c r="F18" s="319">
        <f t="shared" ref="F18" si="119">E18/B18</f>
        <v>116.13815390831054</v>
      </c>
      <c r="G18" s="319">
        <f t="shared" ref="G18" si="120">E18/C18</f>
        <v>114.41363014551334</v>
      </c>
      <c r="H18" s="319">
        <f t="shared" ref="H18" si="121">+H17+I18</f>
        <v>84606.45</v>
      </c>
      <c r="I18" s="319">
        <f>+[3]DailyOct!AI17</f>
        <v>8071.39</v>
      </c>
      <c r="J18" s="319">
        <f t="shared" ref="J18" si="122">I18/B18</f>
        <v>203.78181175520101</v>
      </c>
      <c r="K18" s="319">
        <f t="shared" ref="K18" si="123">I18/C18</f>
        <v>200.75587613480911</v>
      </c>
      <c r="L18" s="319">
        <f t="shared" ref="L18" si="124">+L17+M18</f>
        <v>278366.45</v>
      </c>
      <c r="M18" s="319">
        <f>+[3]DailyOct!AJ17</f>
        <v>26231.39</v>
      </c>
      <c r="N18" s="319">
        <f t="shared" ref="N18" si="125">M18/B18</f>
        <v>662.27504544536464</v>
      </c>
      <c r="O18" s="319">
        <f t="shared" ref="O18" si="126">M18/C18</f>
        <v>652.440989926626</v>
      </c>
      <c r="P18" s="319">
        <f t="shared" ref="P18" si="127">+E18+I18+M18</f>
        <v>38902.780000000363</v>
      </c>
      <c r="Q18" s="7">
        <f t="shared" ref="Q18" si="128">P18/B18</f>
        <v>982.19501110887609</v>
      </c>
      <c r="R18" s="317">
        <f t="shared" ref="R18" si="129">P18/C18</f>
        <v>967.61049620694848</v>
      </c>
      <c r="V18" s="388" t="s">
        <v>171</v>
      </c>
      <c r="W18" s="388" t="s">
        <v>172</v>
      </c>
    </row>
    <row r="19" spans="1:23" ht="15">
      <c r="A19" s="311">
        <f>+Report1!A20</f>
        <v>45942</v>
      </c>
      <c r="B19" s="318">
        <f>+Report1!P20</f>
        <v>42.546999999999997</v>
      </c>
      <c r="C19" s="318">
        <f>+Report1!R20</f>
        <v>40.722000000000001</v>
      </c>
      <c r="D19" s="319">
        <f t="shared" ref="D19" si="130">+D18+E19</f>
        <v>52500</v>
      </c>
      <c r="E19" s="319">
        <f>+[3]DailyOct!AH18</f>
        <v>4399.9999999996362</v>
      </c>
      <c r="F19" s="319">
        <f t="shared" ref="F19" si="131">E19/B19</f>
        <v>103.41504688931386</v>
      </c>
      <c r="G19" s="319">
        <f t="shared" ref="G19" si="132">E19/C19</f>
        <v>108.04970286330818</v>
      </c>
      <c r="H19" s="319">
        <f t="shared" ref="H19" si="133">+H18+I19</f>
        <v>92271.989999999991</v>
      </c>
      <c r="I19" s="319">
        <f>+[3]DailyOct!AI18</f>
        <v>7665.54</v>
      </c>
      <c r="J19" s="319">
        <f t="shared" ref="J19" si="134">I19/B19</f>
        <v>180.16640421181282</v>
      </c>
      <c r="K19" s="319">
        <f t="shared" ref="K19" si="135">I19/C19</f>
        <v>188.24075438337999</v>
      </c>
      <c r="L19" s="319">
        <f t="shared" ref="L19" si="136">+L18+M19</f>
        <v>304191.99</v>
      </c>
      <c r="M19" s="319">
        <f>+[3]DailyOct!AJ18</f>
        <v>25825.54</v>
      </c>
      <c r="N19" s="319">
        <f t="shared" ref="N19" si="137">M19/B19</f>
        <v>606.98850682774355</v>
      </c>
      <c r="O19" s="319">
        <f t="shared" ref="O19" si="138">M19/C19</f>
        <v>634.1913462010707</v>
      </c>
      <c r="P19" s="319">
        <f t="shared" ref="P19" si="139">+E19+I19+M19</f>
        <v>37891.079999999638</v>
      </c>
      <c r="Q19" s="7">
        <f t="shared" ref="Q19" si="140">P19/B19</f>
        <v>890.56995792887017</v>
      </c>
      <c r="R19" s="317">
        <f t="shared" ref="R19" si="141">P19/C19</f>
        <v>930.48180344775892</v>
      </c>
      <c r="V19" s="388" t="s">
        <v>171</v>
      </c>
      <c r="W19" s="388" t="s">
        <v>172</v>
      </c>
    </row>
    <row r="20" spans="1:23" ht="15">
      <c r="A20" s="311">
        <f>+Report1!A21</f>
        <v>45943</v>
      </c>
      <c r="B20" s="318">
        <f>+Report1!P21</f>
        <v>40.814999999999998</v>
      </c>
      <c r="C20" s="318">
        <f>+Report1!R21</f>
        <v>39.529000000000003</v>
      </c>
      <c r="D20" s="319">
        <f t="shared" ref="D20" si="142">+D19+E20</f>
        <v>57000</v>
      </c>
      <c r="E20" s="319">
        <f>+[3]DailyOct!AH19</f>
        <v>4500</v>
      </c>
      <c r="F20" s="319">
        <f t="shared" ref="F20" si="143">E20/B20</f>
        <v>110.25358324145536</v>
      </c>
      <c r="G20" s="319">
        <f t="shared" ref="G20" si="144">E20/C20</f>
        <v>113.84047155253104</v>
      </c>
      <c r="H20" s="319">
        <f t="shared" ref="H20" si="145">+H19+I20</f>
        <v>99733.459999999992</v>
      </c>
      <c r="I20" s="319">
        <f>+[3]DailyOct!AI19</f>
        <v>7461.47</v>
      </c>
      <c r="J20" s="319">
        <f t="shared" ref="J20" si="146">I20/B20</f>
        <v>182.81195638858264</v>
      </c>
      <c r="K20" s="319">
        <f t="shared" ref="K20" si="147">I20/C20</f>
        <v>188.75939183890307</v>
      </c>
      <c r="L20" s="319">
        <f t="shared" ref="L20" si="148">+L19+M20</f>
        <v>329813.45999999996</v>
      </c>
      <c r="M20" s="319">
        <f>+[3]DailyOct!AJ19</f>
        <v>25621.47</v>
      </c>
      <c r="N20" s="319">
        <f t="shared" ref="N20" si="149">M20/B20</f>
        <v>627.74641675854468</v>
      </c>
      <c r="O20" s="319">
        <f t="shared" ref="O20" si="150">M20/C20</f>
        <v>648.16893925978388</v>
      </c>
      <c r="P20" s="319">
        <f t="shared" ref="P20" si="151">+E20+I20+M20</f>
        <v>37582.94</v>
      </c>
      <c r="Q20" s="7">
        <f t="shared" ref="Q20" si="152">P20/B20</f>
        <v>920.81195638858276</v>
      </c>
      <c r="R20" s="317">
        <f t="shared" ref="R20" si="153">P20/C20</f>
        <v>950.76880265121804</v>
      </c>
      <c r="V20" s="388" t="s">
        <v>171</v>
      </c>
      <c r="W20" s="388" t="s">
        <v>172</v>
      </c>
    </row>
    <row r="21" spans="1:23" ht="15">
      <c r="A21" s="311">
        <f>+Report1!A22</f>
        <v>45944</v>
      </c>
      <c r="B21" s="318">
        <f>+Report1!P22</f>
        <v>39.844999999999999</v>
      </c>
      <c r="C21" s="318">
        <f>+Report1!R22</f>
        <v>34.832999999999998</v>
      </c>
      <c r="D21" s="319">
        <f t="shared" ref="D21" si="154">+D20+E21</f>
        <v>61500</v>
      </c>
      <c r="E21" s="319">
        <f>+[3]DailyOct!AH20</f>
        <v>4500</v>
      </c>
      <c r="F21" s="319">
        <f t="shared" ref="F21" si="155">E21/B21</f>
        <v>112.93763332915046</v>
      </c>
      <c r="G21" s="319">
        <f t="shared" ref="G21" si="156">E21/C21</f>
        <v>129.1878391180777</v>
      </c>
      <c r="H21" s="319">
        <f t="shared" ref="H21" si="157">+H20+I21</f>
        <v>107039.65999999999</v>
      </c>
      <c r="I21" s="319">
        <f>+[3]DailyOct!AI20</f>
        <v>7306.2</v>
      </c>
      <c r="J21" s="319">
        <f t="shared" ref="J21" si="158">I21/B21</f>
        <v>183.36554147320868</v>
      </c>
      <c r="K21" s="319">
        <f t="shared" ref="K21" si="159">I21/C21</f>
        <v>209.74937559211094</v>
      </c>
      <c r="L21" s="319">
        <f t="shared" ref="L21" si="160">+L20+M21</f>
        <v>355279.66</v>
      </c>
      <c r="M21" s="319">
        <f>+[3]DailyOct!AJ20</f>
        <v>25466.2</v>
      </c>
      <c r="N21" s="319">
        <f t="shared" ref="N21" si="161">M21/B21</f>
        <v>639.13163508595812</v>
      </c>
      <c r="O21" s="319">
        <f t="shared" ref="O21" si="162">M21/C21</f>
        <v>731.09407745528665</v>
      </c>
      <c r="P21" s="319">
        <f t="shared" ref="P21" si="163">+E21+I21+M21</f>
        <v>37272.400000000001</v>
      </c>
      <c r="Q21" s="7">
        <f t="shared" ref="Q21" si="164">P21/B21</f>
        <v>935.43480988831732</v>
      </c>
      <c r="R21" s="317">
        <f t="shared" ref="R21" si="165">P21/C21</f>
        <v>1070.0312921654754</v>
      </c>
      <c r="V21" s="388" t="s">
        <v>171</v>
      </c>
      <c r="W21" s="388" t="s">
        <v>172</v>
      </c>
    </row>
    <row r="22" spans="1:23" ht="15">
      <c r="A22" s="311">
        <f>+Report1!A23</f>
        <v>45945</v>
      </c>
      <c r="B22" s="318">
        <f>+Report1!P23</f>
        <v>34.211999999999996</v>
      </c>
      <c r="C22" s="318">
        <f>+Report1!R23</f>
        <v>34.671999999999997</v>
      </c>
      <c r="D22" s="319">
        <f t="shared" ref="D22" si="166">+D21+E22</f>
        <v>65799.999999999272</v>
      </c>
      <c r="E22" s="319">
        <f>+[3]DailyOct!AH21</f>
        <v>4299.9999999992724</v>
      </c>
      <c r="F22" s="319">
        <f t="shared" ref="F22" si="167">E22/B22</f>
        <v>125.6868934876439</v>
      </c>
      <c r="G22" s="319">
        <f t="shared" ref="G22" si="168">E22/C22</f>
        <v>124.01938163357386</v>
      </c>
      <c r="H22" s="319">
        <f t="shared" ref="H22" si="169">+H21+I22</f>
        <v>115773.26</v>
      </c>
      <c r="I22" s="319">
        <f>+[3]DailyOct!AI21</f>
        <v>8733.6</v>
      </c>
      <c r="J22" s="319">
        <f t="shared" ref="J22" si="170">I22/B22</f>
        <v>255.27884952648196</v>
      </c>
      <c r="K22" s="319">
        <f t="shared" ref="K22" si="171">I22/C22</f>
        <v>251.89201661282883</v>
      </c>
      <c r="L22" s="319">
        <f t="shared" ref="L22" si="172">+L21+M22</f>
        <v>381173.25999999995</v>
      </c>
      <c r="M22" s="319">
        <f>+[3]DailyOct!AJ21</f>
        <v>25893.599999999999</v>
      </c>
      <c r="N22" s="319">
        <f t="shared" ref="N22" si="173">M22/B22</f>
        <v>756.85724307260614</v>
      </c>
      <c r="O22" s="319">
        <f t="shared" ref="O22" si="174">M22/C22</f>
        <v>746.81587448084917</v>
      </c>
      <c r="P22" s="319">
        <f t="shared" ref="P22" si="175">+E22+I22+M22</f>
        <v>38927.199999999269</v>
      </c>
      <c r="Q22" s="7">
        <f t="shared" ref="Q22" si="176">P22/B22</f>
        <v>1137.822986086732</v>
      </c>
      <c r="R22" s="317">
        <f t="shared" ref="R22" si="177">P22/C22</f>
        <v>1122.7272727272518</v>
      </c>
      <c r="V22" s="388" t="s">
        <v>171</v>
      </c>
      <c r="W22" s="388" t="s">
        <v>172</v>
      </c>
    </row>
    <row r="23" spans="1:23" ht="15">
      <c r="A23" s="311">
        <f>+Report1!A24</f>
        <v>45946</v>
      </c>
      <c r="B23" s="318">
        <f>+Report1!P24</f>
        <v>40.344999999999999</v>
      </c>
      <c r="C23" s="318">
        <f>+Report1!R24</f>
        <v>38.429000000000002</v>
      </c>
      <c r="D23" s="319">
        <f t="shared" ref="D23" si="178">+D22+E23</f>
        <v>70000</v>
      </c>
      <c r="E23" s="319">
        <f>+[3]DailyOct!AH22</f>
        <v>4200.0000000007276</v>
      </c>
      <c r="F23" s="319">
        <f t="shared" ref="F23" si="179">E23/B23</f>
        <v>104.10211922173076</v>
      </c>
      <c r="G23" s="319">
        <f t="shared" ref="G23" si="180">E23/C23</f>
        <v>109.29246142238225</v>
      </c>
      <c r="H23" s="319">
        <f t="shared" ref="H23" si="181">+H22+I23</f>
        <v>122488.45999999999</v>
      </c>
      <c r="I23" s="319">
        <f>+[3]DailyOct!AI22</f>
        <v>6715.2</v>
      </c>
      <c r="J23" s="319">
        <f t="shared" ref="J23" si="182">I23/B23</f>
        <v>166.44441690420126</v>
      </c>
      <c r="K23" s="319">
        <f t="shared" ref="K23" si="183">I23/C23</f>
        <v>174.74303260558432</v>
      </c>
      <c r="L23" s="319">
        <f t="shared" ref="L23" si="184">+L22+M23</f>
        <v>405048.45999999996</v>
      </c>
      <c r="M23" s="319">
        <f>+[3]DailyOct!AJ22</f>
        <v>23875.200000000001</v>
      </c>
      <c r="N23" s="319">
        <f t="shared" ref="N23" si="185">M23/B23</f>
        <v>591.77593258148477</v>
      </c>
      <c r="O23" s="319">
        <f t="shared" ref="O23" si="186">M23/C23</f>
        <v>621.2808035598116</v>
      </c>
      <c r="P23" s="319">
        <f t="shared" ref="P23" si="187">+E23+I23+M23</f>
        <v>34790.400000000729</v>
      </c>
      <c r="Q23" s="7">
        <f t="shared" ref="Q23" si="188">P23/B23</f>
        <v>862.32246870741676</v>
      </c>
      <c r="R23" s="317">
        <f t="shared" ref="R23" si="189">P23/C23</f>
        <v>905.31629758777819</v>
      </c>
      <c r="V23" s="388" t="s">
        <v>171</v>
      </c>
      <c r="W23" s="388" t="s">
        <v>172</v>
      </c>
    </row>
    <row r="24" spans="1:23" ht="15">
      <c r="A24" s="311">
        <f>+Report1!A25</f>
        <v>45947</v>
      </c>
      <c r="B24" s="318">
        <f>+Report1!P25</f>
        <v>37.143000000000001</v>
      </c>
      <c r="C24" s="318">
        <f>+Report1!R25</f>
        <v>35.892000000000003</v>
      </c>
      <c r="D24" s="319">
        <f t="shared" ref="D24" si="190">+D23+E24</f>
        <v>74500</v>
      </c>
      <c r="E24" s="319">
        <f>+[3]DailyOct!AH23</f>
        <v>4500</v>
      </c>
      <c r="F24" s="319">
        <f t="shared" ref="F24" si="191">E24/B24</f>
        <v>121.15338017930701</v>
      </c>
      <c r="G24" s="319">
        <f t="shared" ref="G24" si="192">E24/C24</f>
        <v>125.37612838515545</v>
      </c>
      <c r="H24" s="319">
        <f t="shared" ref="H24" si="193">+H23+I24</f>
        <v>131017.84</v>
      </c>
      <c r="I24" s="319">
        <f>+[3]DailyOct!AI23</f>
        <v>8529.3799999999992</v>
      </c>
      <c r="J24" s="319">
        <f t="shared" ref="J24" si="194">I24/B24</f>
        <v>229.63627062972833</v>
      </c>
      <c r="K24" s="319">
        <f t="shared" ref="K24" si="195">I24/C24</f>
        <v>237.64014265017269</v>
      </c>
      <c r="L24" s="319">
        <f t="shared" ref="L24" si="196">+L23+M24</f>
        <v>431737.83999999997</v>
      </c>
      <c r="M24" s="319">
        <f>+[3]DailyOct!AJ23</f>
        <v>26689.38</v>
      </c>
      <c r="N24" s="319">
        <f t="shared" ref="N24" si="197">M24/B24</f>
        <v>718.55746708666504</v>
      </c>
      <c r="O24" s="319">
        <f t="shared" ref="O24" si="198">M24/C24</f>
        <v>743.60247408893338</v>
      </c>
      <c r="P24" s="319">
        <f t="shared" ref="P24" si="199">+E24+I24+M24</f>
        <v>39718.76</v>
      </c>
      <c r="Q24" s="7">
        <f t="shared" ref="Q24" si="200">P24/B24</f>
        <v>1069.3471178957004</v>
      </c>
      <c r="R24" s="317">
        <f t="shared" ref="R24" si="201">P24/C24</f>
        <v>1106.6187451242617</v>
      </c>
      <c r="V24" s="388" t="s">
        <v>171</v>
      </c>
      <c r="W24" s="388" t="s">
        <v>172</v>
      </c>
    </row>
    <row r="25" spans="1:23" ht="15">
      <c r="A25" s="311">
        <f>+Report1!A26</f>
        <v>45948</v>
      </c>
      <c r="B25" s="318">
        <f>+Report1!P26</f>
        <v>37.339999999999996</v>
      </c>
      <c r="C25" s="318">
        <f>+Report1!R26</f>
        <v>35.277999999999999</v>
      </c>
      <c r="D25" s="319">
        <f t="shared" ref="D25" si="202">+D24+E25</f>
        <v>78899.999999999636</v>
      </c>
      <c r="E25" s="319">
        <f>+[3]DailyOct!AH24</f>
        <v>4399.9999999996362</v>
      </c>
      <c r="F25" s="319">
        <f t="shared" ref="F25" si="203">E25/B25</f>
        <v>117.83610069629449</v>
      </c>
      <c r="G25" s="319">
        <f t="shared" ref="G25" si="204">E25/C25</f>
        <v>124.7236237881863</v>
      </c>
      <c r="H25" s="319">
        <f t="shared" ref="H25" si="205">+H24+I25</f>
        <v>138886.82999999999</v>
      </c>
      <c r="I25" s="319">
        <f>+[3]DailyOct!AI24</f>
        <v>7868.99</v>
      </c>
      <c r="J25" s="319">
        <f t="shared" ref="J25" si="206">I25/B25</f>
        <v>210.73888591322981</v>
      </c>
      <c r="K25" s="319">
        <f t="shared" ref="K25" si="207">I25/C25</f>
        <v>223.05657917115482</v>
      </c>
      <c r="L25" s="319">
        <f t="shared" ref="L25" si="208">+L24+M25</f>
        <v>456766.82999999996</v>
      </c>
      <c r="M25" s="319">
        <f>+[3]DailyOct!AJ24</f>
        <v>25028.99</v>
      </c>
      <c r="N25" s="319">
        <f t="shared" ref="N25" si="209">M25/B25</f>
        <v>670.29967862881642</v>
      </c>
      <c r="O25" s="319">
        <f t="shared" ref="O25" si="210">M25/C25</f>
        <v>709.47871194512163</v>
      </c>
      <c r="P25" s="319">
        <f t="shared" ref="P25" si="211">+E25+I25+M25</f>
        <v>37297.979999999639</v>
      </c>
      <c r="Q25" s="7">
        <f t="shared" ref="Q25" si="212">P25/B25</f>
        <v>998.87466523834075</v>
      </c>
      <c r="R25" s="317">
        <f t="shared" ref="R25" si="213">P25/C25</f>
        <v>1057.2589149044629</v>
      </c>
      <c r="V25" s="388" t="s">
        <v>171</v>
      </c>
      <c r="W25" s="388" t="s">
        <v>172</v>
      </c>
    </row>
    <row r="26" spans="1:23" ht="15">
      <c r="A26" s="311">
        <f>+Report1!A27</f>
        <v>45949</v>
      </c>
      <c r="B26" s="318">
        <f>+Report1!P27</f>
        <v>1.0549999999999999</v>
      </c>
      <c r="C26" s="318">
        <f>+Report1!R27</f>
        <v>2.8210000000000002</v>
      </c>
      <c r="D26" s="319">
        <f t="shared" ref="D26" si="214">+D25+E26</f>
        <v>79600.000000000364</v>
      </c>
      <c r="E26" s="319">
        <f>+[3]DailyOct!AH25</f>
        <v>700.0000000007276</v>
      </c>
      <c r="F26" s="319">
        <f t="shared" ref="F26" si="215">E26/B26</f>
        <v>663.50710900542902</v>
      </c>
      <c r="G26" s="319">
        <f t="shared" ref="G26" si="216">E26/C26</f>
        <v>248.13895781663507</v>
      </c>
      <c r="H26" s="319">
        <f t="shared" ref="H26" si="217">+H25+I26</f>
        <v>140540.12</v>
      </c>
      <c r="I26" s="319">
        <f>+[3]DailyOct!AI25</f>
        <v>1653.29</v>
      </c>
      <c r="J26" s="319">
        <f t="shared" ref="J26" si="218">I26/B26</f>
        <v>1567.0995260663508</v>
      </c>
      <c r="K26" s="319">
        <f t="shared" ref="K26" si="219">I26/C26</f>
        <v>586.06522509748311</v>
      </c>
      <c r="L26" s="319">
        <f t="shared" ref="L26" si="220">+L25+M26</f>
        <v>462580.11999999994</v>
      </c>
      <c r="M26" s="319">
        <f>+[3]DailyOct!AJ25</f>
        <v>5813.29</v>
      </c>
      <c r="N26" s="319">
        <f t="shared" ref="N26" si="221">M26/B26</f>
        <v>5510.2274881516587</v>
      </c>
      <c r="O26" s="319">
        <f t="shared" ref="O26" si="222">M26/C26</f>
        <v>2060.7196029776674</v>
      </c>
      <c r="P26" s="319">
        <f t="shared" ref="P26" si="223">+E26+I26+M26</f>
        <v>8166.5800000007275</v>
      </c>
      <c r="Q26" s="7">
        <f t="shared" ref="Q26" si="224">P26/B26</f>
        <v>7740.8341232234388</v>
      </c>
      <c r="R26" s="317">
        <f t="shared" ref="R26" si="225">P26/C26</f>
        <v>2894.9237858917854</v>
      </c>
      <c r="V26" s="388" t="s">
        <v>171</v>
      </c>
      <c r="W26" s="388" t="s">
        <v>172</v>
      </c>
    </row>
    <row r="27" spans="1:23" ht="15">
      <c r="A27" s="311">
        <f>+Report1!A28</f>
        <v>45950</v>
      </c>
      <c r="B27" s="318">
        <f>+Report1!P28</f>
        <v>0</v>
      </c>
      <c r="C27" s="318">
        <f>+Report1!R28</f>
        <v>0</v>
      </c>
      <c r="D27" s="319">
        <f t="shared" ref="D27" si="226">+D26+E27</f>
        <v>80299.999999999272</v>
      </c>
      <c r="E27" s="319">
        <f>+[3]DailyOct!AH26</f>
        <v>699.99999999890861</v>
      </c>
      <c r="F27" s="319" t="e">
        <f t="shared" ref="F27" si="227">E27/B27</f>
        <v>#DIV/0!</v>
      </c>
      <c r="G27" s="319" t="e">
        <f t="shared" ref="G27" si="228">E27/C27</f>
        <v>#DIV/0!</v>
      </c>
      <c r="H27" s="319">
        <f t="shared" ref="H27" si="229">+H26+I27</f>
        <v>141112.72999999998</v>
      </c>
      <c r="I27" s="319">
        <f>+[3]DailyOct!AI26</f>
        <v>572.61</v>
      </c>
      <c r="J27" s="319" t="e">
        <f t="shared" ref="J27" si="230">I27/B27</f>
        <v>#DIV/0!</v>
      </c>
      <c r="K27" s="319" t="e">
        <f t="shared" ref="K27" si="231">I27/C27</f>
        <v>#DIV/0!</v>
      </c>
      <c r="L27" s="319">
        <f t="shared" ref="L27" si="232">+L26+M27</f>
        <v>466312.72999999992</v>
      </c>
      <c r="M27" s="319">
        <f>+[3]DailyOct!AJ26</f>
        <v>3732.61</v>
      </c>
      <c r="N27" s="319" t="e">
        <f t="shared" ref="N27" si="233">M27/B27</f>
        <v>#DIV/0!</v>
      </c>
      <c r="O27" s="319" t="e">
        <f t="shared" ref="O27" si="234">M27/C27</f>
        <v>#DIV/0!</v>
      </c>
      <c r="P27" s="319">
        <f t="shared" ref="P27" si="235">+E27+I27+M27</f>
        <v>5005.2199999989089</v>
      </c>
      <c r="Q27" s="7" t="e">
        <f t="shared" ref="Q27" si="236">P27/B27</f>
        <v>#DIV/0!</v>
      </c>
      <c r="R27" s="317" t="e">
        <f t="shared" ref="R27" si="237">P27/C27</f>
        <v>#DIV/0!</v>
      </c>
      <c r="V27" s="388" t="s">
        <v>171</v>
      </c>
      <c r="W27" s="388" t="s">
        <v>172</v>
      </c>
    </row>
    <row r="28" spans="1:23" ht="15">
      <c r="A28" s="311">
        <f>+Report1!A29</f>
        <v>45951</v>
      </c>
      <c r="B28" s="318">
        <f>+Report1!P29</f>
        <v>0</v>
      </c>
      <c r="C28" s="318">
        <f>+Report1!R29</f>
        <v>0</v>
      </c>
      <c r="D28" s="319">
        <f t="shared" ref="D28" si="238">+D27+E28</f>
        <v>80699.999999998909</v>
      </c>
      <c r="E28" s="319">
        <f>+[3]DailyOct!AH27</f>
        <v>399.9999999996362</v>
      </c>
      <c r="F28" s="319" t="e">
        <f t="shared" ref="F28" si="239">E28/B28</f>
        <v>#DIV/0!</v>
      </c>
      <c r="G28" s="319" t="e">
        <f t="shared" ref="G28" si="240">E28/C28</f>
        <v>#DIV/0!</v>
      </c>
      <c r="H28" s="319">
        <f t="shared" ref="H28" si="241">+H27+I28</f>
        <v>142435.15999999997</v>
      </c>
      <c r="I28" s="319">
        <f>+[3]DailyOct!AI27</f>
        <v>1322.43</v>
      </c>
      <c r="J28" s="319" t="e">
        <f t="shared" ref="J28" si="242">I28/B28</f>
        <v>#DIV/0!</v>
      </c>
      <c r="K28" s="319" t="e">
        <f t="shared" ref="K28" si="243">I28/C28</f>
        <v>#DIV/0!</v>
      </c>
      <c r="L28" s="319">
        <f t="shared" ref="L28" si="244">+L27+M28</f>
        <v>470795.15999999992</v>
      </c>
      <c r="M28" s="319">
        <f>+[3]DailyOct!AJ27</f>
        <v>4482.43</v>
      </c>
      <c r="N28" s="319" t="e">
        <f t="shared" ref="N28" si="245">M28/B28</f>
        <v>#DIV/0!</v>
      </c>
      <c r="O28" s="319" t="e">
        <f t="shared" ref="O28" si="246">M28/C28</f>
        <v>#DIV/0!</v>
      </c>
      <c r="P28" s="319">
        <f t="shared" ref="P28" si="247">+E28+I28+M28</f>
        <v>6204.8599999996368</v>
      </c>
      <c r="Q28" s="7" t="e">
        <f t="shared" ref="Q28" si="248">P28/B28</f>
        <v>#DIV/0!</v>
      </c>
      <c r="R28" s="317" t="e">
        <f t="shared" ref="R28" si="249">P28/C28</f>
        <v>#DIV/0!</v>
      </c>
      <c r="V28" s="388" t="s">
        <v>171</v>
      </c>
      <c r="W28" s="388" t="s">
        <v>172</v>
      </c>
    </row>
    <row r="29" spans="1:23" ht="15">
      <c r="A29" s="311">
        <f>+Report1!A30</f>
        <v>45952</v>
      </c>
      <c r="B29" s="318">
        <f>+Report1!P30</f>
        <v>0</v>
      </c>
      <c r="C29" s="318">
        <f>+Report1!R30</f>
        <v>0</v>
      </c>
      <c r="D29" s="319">
        <f t="shared" ref="D29" si="250">+D28+E29</f>
        <v>81199.999999998909</v>
      </c>
      <c r="E29" s="319">
        <f>+[3]DailyOct!AH28</f>
        <v>500</v>
      </c>
      <c r="F29" s="319" t="e">
        <f t="shared" ref="F29" si="251">E29/B29</f>
        <v>#DIV/0!</v>
      </c>
      <c r="G29" s="319" t="e">
        <f t="shared" ref="G29" si="252">E29/C29</f>
        <v>#DIV/0!</v>
      </c>
      <c r="H29" s="319">
        <f t="shared" ref="H29" si="253">+H28+I29</f>
        <v>143643.89999999997</v>
      </c>
      <c r="I29" s="319">
        <f>+[3]DailyOct!AI28</f>
        <v>1208.74</v>
      </c>
      <c r="J29" s="319" t="e">
        <f t="shared" ref="J29" si="254">I29/B29</f>
        <v>#DIV/0!</v>
      </c>
      <c r="K29" s="319" t="e">
        <f t="shared" ref="K29" si="255">I29/C29</f>
        <v>#DIV/0!</v>
      </c>
      <c r="L29" s="319">
        <f t="shared" ref="L29" si="256">+L28+M29</f>
        <v>475163.89999999991</v>
      </c>
      <c r="M29" s="319">
        <f>+[3]DailyOct!AJ28</f>
        <v>4368.74</v>
      </c>
      <c r="N29" s="319" t="e">
        <f t="shared" ref="N29" si="257">M29/B29</f>
        <v>#DIV/0!</v>
      </c>
      <c r="O29" s="319" t="e">
        <f t="shared" ref="O29" si="258">M29/C29</f>
        <v>#DIV/0!</v>
      </c>
      <c r="P29" s="319">
        <f t="shared" ref="P29" si="259">+E29+I29+M29</f>
        <v>6077.48</v>
      </c>
      <c r="Q29" s="7" t="e">
        <f t="shared" ref="Q29" si="260">P29/B29</f>
        <v>#DIV/0!</v>
      </c>
      <c r="R29" s="317" t="e">
        <f t="shared" ref="R29" si="261">P29/C29</f>
        <v>#DIV/0!</v>
      </c>
      <c r="V29" s="388" t="s">
        <v>171</v>
      </c>
      <c r="W29" s="388" t="s">
        <v>172</v>
      </c>
    </row>
    <row r="30" spans="1:23" ht="15">
      <c r="A30" s="311">
        <f>+Report1!A31</f>
        <v>45953</v>
      </c>
      <c r="B30" s="318">
        <f>+Report1!P31</f>
        <v>0</v>
      </c>
      <c r="C30" s="318">
        <f>+Report1!R31</f>
        <v>0</v>
      </c>
      <c r="D30" s="319">
        <f t="shared" ref="D30" si="262">+D29+E30</f>
        <v>81399.999999999636</v>
      </c>
      <c r="E30" s="319">
        <f>+[3]DailyOct!AH29</f>
        <v>200.0000000007276</v>
      </c>
      <c r="F30" s="319" t="e">
        <f t="shared" ref="F30" si="263">E30/B30</f>
        <v>#DIV/0!</v>
      </c>
      <c r="G30" s="319" t="e">
        <f t="shared" ref="G30" si="264">E30/C30</f>
        <v>#DIV/0!</v>
      </c>
      <c r="H30" s="319">
        <f t="shared" ref="H30" si="265">+H29+I30</f>
        <v>144235.86999999997</v>
      </c>
      <c r="I30" s="319">
        <f>+[3]DailyOct!AI29</f>
        <v>591.97</v>
      </c>
      <c r="J30" s="319" t="e">
        <f t="shared" ref="J30" si="266">I30/B30</f>
        <v>#DIV/0!</v>
      </c>
      <c r="K30" s="319" t="e">
        <f t="shared" ref="K30" si="267">I30/C30</f>
        <v>#DIV/0!</v>
      </c>
      <c r="L30" s="319">
        <f t="shared" ref="L30" si="268">+L29+M30</f>
        <v>478915.86999999988</v>
      </c>
      <c r="M30" s="319">
        <f>+[3]DailyOct!AJ29</f>
        <v>3751.9700000000003</v>
      </c>
      <c r="N30" s="319" t="e">
        <f t="shared" ref="N30" si="269">M30/B30</f>
        <v>#DIV/0!</v>
      </c>
      <c r="O30" s="319" t="e">
        <f t="shared" ref="O30" si="270">M30/C30</f>
        <v>#DIV/0!</v>
      </c>
      <c r="P30" s="319">
        <f t="shared" ref="P30" si="271">+E30+I30+M30</f>
        <v>4543.9400000007281</v>
      </c>
      <c r="Q30" s="7" t="e">
        <f t="shared" ref="Q30" si="272">P30/B30</f>
        <v>#DIV/0!</v>
      </c>
      <c r="R30" s="317" t="e">
        <f t="shared" ref="R30" si="273">P30/C30</f>
        <v>#DIV/0!</v>
      </c>
      <c r="V30" s="388" t="s">
        <v>171</v>
      </c>
      <c r="W30" s="388" t="s">
        <v>172</v>
      </c>
    </row>
    <row r="31" spans="1:23" ht="15">
      <c r="A31" s="311">
        <f>+Report1!A32</f>
        <v>45954</v>
      </c>
      <c r="B31" s="318">
        <f>+Report1!P32</f>
        <v>0</v>
      </c>
      <c r="C31" s="318">
        <f>+Report1!R32</f>
        <v>0</v>
      </c>
      <c r="D31" s="319">
        <f t="shared" ref="D31" si="274">+D30+E31</f>
        <v>81699.999999998909</v>
      </c>
      <c r="E31" s="319">
        <f>+[3]DailyOct!AH30</f>
        <v>299.9999999992724</v>
      </c>
      <c r="F31" s="319" t="e">
        <f t="shared" ref="F31" si="275">E31/B31</f>
        <v>#DIV/0!</v>
      </c>
      <c r="G31" s="319" t="e">
        <f t="shared" ref="G31" si="276">E31/C31</f>
        <v>#DIV/0!</v>
      </c>
      <c r="H31" s="319">
        <f t="shared" ref="H31" si="277">+H30+I31</f>
        <v>146098.59999999998</v>
      </c>
      <c r="I31" s="319">
        <f>+[3]DailyOct!AI30</f>
        <v>1862.73</v>
      </c>
      <c r="J31" s="319" t="e">
        <f t="shared" ref="J31" si="278">I31/B31</f>
        <v>#DIV/0!</v>
      </c>
      <c r="K31" s="319" t="e">
        <f t="shared" ref="K31" si="279">I31/C31</f>
        <v>#DIV/0!</v>
      </c>
      <c r="L31" s="319">
        <f t="shared" ref="L31" si="280">+L30+M31</f>
        <v>483938.59999999986</v>
      </c>
      <c r="M31" s="319">
        <f>+[3]DailyOct!AJ30</f>
        <v>5022.7299999999996</v>
      </c>
      <c r="N31" s="319" t="e">
        <f t="shared" ref="N31" si="281">M31/B31</f>
        <v>#DIV/0!</v>
      </c>
      <c r="O31" s="319" t="e">
        <f t="shared" ref="O31" si="282">M31/C31</f>
        <v>#DIV/0!</v>
      </c>
      <c r="P31" s="319">
        <f t="shared" ref="P31" si="283">+E31+I31+M31</f>
        <v>7185.4599999992715</v>
      </c>
      <c r="Q31" s="7" t="e">
        <f t="shared" ref="Q31" si="284">P31/B31</f>
        <v>#DIV/0!</v>
      </c>
      <c r="R31" s="317" t="e">
        <f t="shared" ref="R31" si="285">P31/C31</f>
        <v>#DIV/0!</v>
      </c>
      <c r="V31" s="388" t="s">
        <v>171</v>
      </c>
      <c r="W31" s="388" t="s">
        <v>172</v>
      </c>
    </row>
    <row r="32" spans="1:23" ht="15">
      <c r="A32" s="311">
        <f>+Report1!A33</f>
        <v>45955</v>
      </c>
      <c r="B32" s="318">
        <f>+Report1!P33</f>
        <v>0</v>
      </c>
      <c r="C32" s="318">
        <f>+Report1!R33</f>
        <v>0</v>
      </c>
      <c r="D32" s="319">
        <f t="shared" ref="D32" si="286">+D31+E32</f>
        <v>82000</v>
      </c>
      <c r="E32" s="319">
        <f>+[3]DailyOct!AH31</f>
        <v>300.00000000109139</v>
      </c>
      <c r="F32" s="319" t="e">
        <f t="shared" ref="F32" si="287">E32/B32</f>
        <v>#DIV/0!</v>
      </c>
      <c r="G32" s="319" t="e">
        <f t="shared" ref="G32" si="288">E32/C32</f>
        <v>#DIV/0!</v>
      </c>
      <c r="H32" s="319">
        <f t="shared" ref="H32" si="289">+H31+I32</f>
        <v>147343.91999999998</v>
      </c>
      <c r="I32" s="319">
        <f>+[3]DailyOct!AI31</f>
        <v>1245.32</v>
      </c>
      <c r="J32" s="319" t="e">
        <f t="shared" ref="J32" si="290">I32/B32</f>
        <v>#DIV/0!</v>
      </c>
      <c r="K32" s="319" t="e">
        <f t="shared" ref="K32" si="291">I32/C32</f>
        <v>#DIV/0!</v>
      </c>
      <c r="L32" s="319">
        <f t="shared" ref="L32" si="292">+L31+M32</f>
        <v>488343.91999999987</v>
      </c>
      <c r="M32" s="319">
        <f>+[3]DailyOct!AJ31</f>
        <v>4405.32</v>
      </c>
      <c r="N32" s="319" t="e">
        <f t="shared" ref="N32" si="293">M32/B32</f>
        <v>#DIV/0!</v>
      </c>
      <c r="O32" s="319" t="e">
        <f t="shared" ref="O32" si="294">M32/C32</f>
        <v>#DIV/0!</v>
      </c>
      <c r="P32" s="319">
        <f t="shared" ref="P32" si="295">+E32+I32+M32</f>
        <v>5950.6400000010908</v>
      </c>
      <c r="Q32" s="7" t="e">
        <f t="shared" ref="Q32" si="296">P32/B32</f>
        <v>#DIV/0!</v>
      </c>
      <c r="R32" s="317" t="e">
        <f t="shared" ref="R32" si="297">P32/C32</f>
        <v>#DIV/0!</v>
      </c>
      <c r="V32" s="388" t="s">
        <v>171</v>
      </c>
      <c r="W32" s="388" t="s">
        <v>172</v>
      </c>
    </row>
    <row r="33" spans="1:23" ht="15">
      <c r="A33" s="311">
        <f>+Report1!A34</f>
        <v>45956</v>
      </c>
      <c r="B33" s="318">
        <f>+Report1!P34</f>
        <v>0</v>
      </c>
      <c r="C33" s="318">
        <f>+Report1!R34</f>
        <v>0</v>
      </c>
      <c r="D33" s="319">
        <f t="shared" ref="D33" si="298">+D32+E33</f>
        <v>82299.999999999272</v>
      </c>
      <c r="E33" s="319">
        <f>+[3]DailyOct!AH32</f>
        <v>299.9999999992724</v>
      </c>
      <c r="F33" s="319" t="e">
        <f t="shared" ref="F33" si="299">E33/B33</f>
        <v>#DIV/0!</v>
      </c>
      <c r="G33" s="319" t="e">
        <f t="shared" ref="G33" si="300">E33/C33</f>
        <v>#DIV/0!</v>
      </c>
      <c r="H33" s="319">
        <f t="shared" ref="H33" si="301">+H32+I33</f>
        <v>147464.02999999997</v>
      </c>
      <c r="I33" s="319">
        <f>+[3]DailyOct!AI32</f>
        <v>120.11</v>
      </c>
      <c r="J33" s="319" t="e">
        <f t="shared" ref="J33" si="302">I33/B33</f>
        <v>#DIV/0!</v>
      </c>
      <c r="K33" s="319" t="e">
        <f t="shared" ref="K33" si="303">I33/C33</f>
        <v>#DIV/0!</v>
      </c>
      <c r="L33" s="319">
        <f t="shared" ref="L33" si="304">+L32+M33</f>
        <v>492624.02999999985</v>
      </c>
      <c r="M33" s="319">
        <f>+[3]DailyOct!AJ32</f>
        <v>4280.1100000000006</v>
      </c>
      <c r="N33" s="319" t="e">
        <f t="shared" ref="N33" si="305">M33/B33</f>
        <v>#DIV/0!</v>
      </c>
      <c r="O33" s="319" t="e">
        <f t="shared" ref="O33" si="306">M33/C33</f>
        <v>#DIV/0!</v>
      </c>
      <c r="P33" s="319">
        <f t="shared" ref="P33" si="307">+E33+I33+M33</f>
        <v>4700.2199999992727</v>
      </c>
      <c r="Q33" s="7" t="e">
        <f t="shared" ref="Q33" si="308">P33/B33</f>
        <v>#DIV/0!</v>
      </c>
      <c r="R33" s="317" t="e">
        <f t="shared" ref="R33" si="309">P33/C33</f>
        <v>#DIV/0!</v>
      </c>
      <c r="V33" s="388" t="s">
        <v>171</v>
      </c>
      <c r="W33" s="388" t="s">
        <v>172</v>
      </c>
    </row>
    <row r="34" spans="1:23">
      <c r="A34" s="311">
        <f>+Report1!A35</f>
        <v>45957</v>
      </c>
      <c r="B34" s="318">
        <f>+Report1!P35</f>
        <v>20.222000000000001</v>
      </c>
      <c r="C34" s="318">
        <f>+Report1!R35</f>
        <v>14.464</v>
      </c>
      <c r="D34" s="319">
        <f t="shared" ref="D34:D38" si="310">+D33+E34</f>
        <v>85600.000000000364</v>
      </c>
      <c r="E34" s="319">
        <f>+[3]DailyOct!AH33</f>
        <v>3300.0000000010914</v>
      </c>
      <c r="F34" s="313">
        <f t="shared" si="1"/>
        <v>163.18860646825692</v>
      </c>
      <c r="G34" s="313">
        <f t="shared" si="2"/>
        <v>228.15265486733207</v>
      </c>
      <c r="H34" s="319">
        <f t="shared" ref="H34:H38" si="311">+H33+I34</f>
        <v>151119.93999999997</v>
      </c>
      <c r="I34" s="319">
        <f>+[3]DailyOct!AI33</f>
        <v>3655.91</v>
      </c>
      <c r="J34" s="313">
        <f t="shared" si="4"/>
        <v>180.78874493126295</v>
      </c>
      <c r="K34" s="313">
        <f t="shared" si="5"/>
        <v>252.75926438053096</v>
      </c>
      <c r="L34" s="319">
        <f t="shared" ref="L34:L38" si="312">+L33+M34</f>
        <v>509439.93999999983</v>
      </c>
      <c r="M34" s="319">
        <f>+[3]DailyOct!AJ33</f>
        <v>16815.91</v>
      </c>
      <c r="N34" s="313">
        <f t="shared" si="7"/>
        <v>831.56512708930859</v>
      </c>
      <c r="O34" s="313">
        <f t="shared" si="8"/>
        <v>1162.6043971238937</v>
      </c>
      <c r="P34" s="319">
        <f t="shared" ref="P34:P40" si="313">+E34+I34+M34</f>
        <v>23771.820000001091</v>
      </c>
      <c r="Q34" s="316">
        <f t="shared" si="10"/>
        <v>1175.5424784888285</v>
      </c>
      <c r="R34" s="317">
        <f t="shared" si="11"/>
        <v>1643.5163163717568</v>
      </c>
    </row>
    <row r="35" spans="1:23">
      <c r="A35" s="311">
        <f>+Report1!A36</f>
        <v>45958</v>
      </c>
      <c r="B35" s="318">
        <f>+Report1!P36</f>
        <v>16.829999999999998</v>
      </c>
      <c r="C35" s="318">
        <f>+Report1!R36</f>
        <v>10.173</v>
      </c>
      <c r="D35" s="319">
        <f t="shared" ref="D35" si="314">+D34+E35</f>
        <v>89199.999999998909</v>
      </c>
      <c r="E35" s="319">
        <f>+[3]DailyOct!AH34</f>
        <v>3599.9999999985448</v>
      </c>
      <c r="F35" s="313">
        <f t="shared" ref="F35" si="315">E35/B35</f>
        <v>213.90374331542156</v>
      </c>
      <c r="G35" s="313">
        <f t="shared" ref="G35" si="316">E35/C35</f>
        <v>353.87791212017544</v>
      </c>
      <c r="H35" s="319">
        <f t="shared" ref="H35" si="317">+H34+I35</f>
        <v>152894.32999999999</v>
      </c>
      <c r="I35" s="319">
        <f>+[3]DailyOct!AI34</f>
        <v>1774.39</v>
      </c>
      <c r="J35" s="313">
        <f t="shared" ref="J35" si="318">I35/B35</f>
        <v>105.43018419489009</v>
      </c>
      <c r="K35" s="313">
        <f t="shared" ref="K35" si="319">I35/C35</f>
        <v>174.42150791310331</v>
      </c>
      <c r="L35" s="319">
        <f t="shared" ref="L35" si="320">+L34+M35</f>
        <v>523374.32999999984</v>
      </c>
      <c r="M35" s="319">
        <f>+[3]DailyOct!AJ34</f>
        <v>13934.39</v>
      </c>
      <c r="N35" s="313">
        <f t="shared" ref="N35" si="321">M35/B35</f>
        <v>827.94949494949503</v>
      </c>
      <c r="O35" s="313">
        <f t="shared" ref="O35" si="322">M35/C35</f>
        <v>1369.7424555195123</v>
      </c>
      <c r="P35" s="319">
        <f t="shared" ref="P35" si="323">+E35+I35+M35</f>
        <v>19308.779999998544</v>
      </c>
      <c r="Q35" s="316">
        <f t="shared" ref="Q35" si="324">P35/B35</f>
        <v>1147.2834224598066</v>
      </c>
      <c r="R35" s="317">
        <f t="shared" ref="R35" si="325">P35/C35</f>
        <v>1898.041875552791</v>
      </c>
    </row>
    <row r="36" spans="1:23">
      <c r="A36" s="311">
        <f>+Report1!A37</f>
        <v>45959</v>
      </c>
      <c r="B36" s="318">
        <f>+Report1!P37</f>
        <v>7.3259999999999996</v>
      </c>
      <c r="C36" s="318">
        <f>+Report1!R37</f>
        <v>10.403</v>
      </c>
      <c r="D36" s="319">
        <f t="shared" ref="D36" si="326">+D35+E36</f>
        <v>91000</v>
      </c>
      <c r="E36" s="319">
        <f>+[3]DailyOct!AH35</f>
        <v>1800.0000000010914</v>
      </c>
      <c r="F36" s="313">
        <f t="shared" ref="F36" si="327">E36/B36</f>
        <v>245.70024570039467</v>
      </c>
      <c r="G36" s="313">
        <f t="shared" ref="G36" si="328">E36/C36</f>
        <v>173.02701143911287</v>
      </c>
      <c r="H36" s="319">
        <f t="shared" ref="H36" si="329">+H35+I36</f>
        <v>155423.90999999997</v>
      </c>
      <c r="I36" s="319">
        <f>+[3]DailyOct!AI35</f>
        <v>2529.58</v>
      </c>
      <c r="J36" s="313">
        <f t="shared" ref="J36" si="330">I36/B36</f>
        <v>345.28801528801529</v>
      </c>
      <c r="K36" s="313">
        <f t="shared" ref="K36" si="331">I36/C36</f>
        <v>243.15870421993654</v>
      </c>
      <c r="L36" s="319">
        <f t="shared" ref="L36" si="332">+L35+M36</f>
        <v>533063.9099999998</v>
      </c>
      <c r="M36" s="319">
        <f>+[3]DailyOct!AJ35</f>
        <v>9689.58</v>
      </c>
      <c r="N36" s="313">
        <f t="shared" ref="N36" si="333">M36/B36</f>
        <v>1322.6289926289926</v>
      </c>
      <c r="O36" s="313">
        <f t="shared" ref="O36" si="334">M36/C36</f>
        <v>931.42170527732378</v>
      </c>
      <c r="P36" s="319">
        <f t="shared" ref="P36" si="335">+E36+I36+M36</f>
        <v>14019.160000001091</v>
      </c>
      <c r="Q36" s="316">
        <f t="shared" ref="Q36" si="336">P36/B36</f>
        <v>1913.6172536174026</v>
      </c>
      <c r="R36" s="317">
        <f t="shared" ref="R36" si="337">P36/C36</f>
        <v>1347.6074209363733</v>
      </c>
    </row>
    <row r="37" spans="1:23">
      <c r="A37" s="311">
        <f>+Report1!A38</f>
        <v>45960</v>
      </c>
      <c r="B37" s="318">
        <f>+Report1!P38</f>
        <v>0</v>
      </c>
      <c r="C37" s="318">
        <f>+Report1!R38</f>
        <v>0</v>
      </c>
      <c r="D37" s="319">
        <f t="shared" si="310"/>
        <v>91500</v>
      </c>
      <c r="E37" s="319">
        <f>+[3]DailyOct!AH36</f>
        <v>500</v>
      </c>
      <c r="F37" s="313" t="e">
        <f t="shared" si="1"/>
        <v>#DIV/0!</v>
      </c>
      <c r="G37" s="313" t="e">
        <f t="shared" si="2"/>
        <v>#DIV/0!</v>
      </c>
      <c r="H37" s="319">
        <f t="shared" si="311"/>
        <v>156629.20999999996</v>
      </c>
      <c r="I37" s="319">
        <f>+[3]DailyOct!AI36</f>
        <v>1205.3</v>
      </c>
      <c r="J37" s="313" t="e">
        <f t="shared" si="4"/>
        <v>#DIV/0!</v>
      </c>
      <c r="K37" s="313" t="e">
        <f t="shared" si="5"/>
        <v>#DIV/0!</v>
      </c>
      <c r="L37" s="319">
        <f t="shared" si="312"/>
        <v>536429.20999999985</v>
      </c>
      <c r="M37" s="319">
        <f>+[3]DailyOct!AJ36</f>
        <v>3365.3</v>
      </c>
      <c r="N37" s="313" t="e">
        <f t="shared" si="7"/>
        <v>#DIV/0!</v>
      </c>
      <c r="O37" s="313" t="e">
        <f t="shared" si="8"/>
        <v>#DIV/0!</v>
      </c>
      <c r="P37" s="319">
        <f t="shared" si="313"/>
        <v>5070.6000000000004</v>
      </c>
      <c r="Q37" s="316" t="e">
        <f t="shared" si="10"/>
        <v>#DIV/0!</v>
      </c>
      <c r="R37" s="317" t="e">
        <f t="shared" si="11"/>
        <v>#DIV/0!</v>
      </c>
    </row>
    <row r="38" spans="1:23">
      <c r="A38" s="311">
        <f>+Report1!A39</f>
        <v>45961</v>
      </c>
      <c r="B38" s="318">
        <f>+Report1!P39</f>
        <v>0</v>
      </c>
      <c r="C38" s="318">
        <f>+Report1!R39</f>
        <v>0</v>
      </c>
      <c r="D38" s="319">
        <f t="shared" si="310"/>
        <v>91799.999999999272</v>
      </c>
      <c r="E38" s="319">
        <f>+[3]DailyOct!AH37</f>
        <v>299.9999999992724</v>
      </c>
      <c r="F38" s="313" t="e">
        <f t="shared" si="1"/>
        <v>#DIV/0!</v>
      </c>
      <c r="G38" s="313" t="e">
        <f t="shared" si="2"/>
        <v>#DIV/0!</v>
      </c>
      <c r="H38" s="319">
        <f t="shared" si="311"/>
        <v>157264.20000000033</v>
      </c>
      <c r="I38" s="319">
        <f>+[3]DailyOct!AI37</f>
        <v>634.99000000036381</v>
      </c>
      <c r="J38" s="313" t="e">
        <f t="shared" si="4"/>
        <v>#DIV/0!</v>
      </c>
      <c r="K38" s="313" t="e">
        <f t="shared" si="5"/>
        <v>#DIV/0!</v>
      </c>
      <c r="L38" s="319">
        <f t="shared" si="312"/>
        <v>541124.19999999984</v>
      </c>
      <c r="M38" s="319">
        <f>+[3]DailyOct!AJ37</f>
        <v>4694.99</v>
      </c>
      <c r="N38" s="314" t="e">
        <f t="shared" si="7"/>
        <v>#DIV/0!</v>
      </c>
      <c r="O38" s="314" t="e">
        <f t="shared" si="8"/>
        <v>#DIV/0!</v>
      </c>
      <c r="P38" s="319">
        <f t="shared" si="313"/>
        <v>5629.9799999996358</v>
      </c>
      <c r="Q38" s="316" t="e">
        <f t="shared" si="10"/>
        <v>#DIV/0!</v>
      </c>
      <c r="R38" s="317" t="e">
        <f t="shared" si="11"/>
        <v>#DIV/0!</v>
      </c>
    </row>
    <row r="39" spans="1:23">
      <c r="A39" s="311"/>
      <c r="B39" s="318"/>
      <c r="C39" s="318"/>
      <c r="D39" s="307"/>
      <c r="E39" s="319"/>
      <c r="F39" s="313"/>
      <c r="G39" s="313"/>
      <c r="H39" s="309"/>
      <c r="I39" s="319"/>
      <c r="J39" s="313"/>
      <c r="K39" s="313"/>
      <c r="L39" s="310"/>
      <c r="M39" s="319"/>
      <c r="N39" s="314"/>
      <c r="O39" s="314"/>
      <c r="P39" s="315"/>
      <c r="Q39" s="316"/>
      <c r="R39" s="317"/>
    </row>
    <row r="40" spans="1:23">
      <c r="A40" s="320" t="s">
        <v>28</v>
      </c>
      <c r="B40" s="321">
        <f>SUM(B8:B38)</f>
        <v>742.94600000000003</v>
      </c>
      <c r="C40" s="321">
        <f>SUM(C8:C38)</f>
        <v>700.59100000000012</v>
      </c>
      <c r="D40" s="323"/>
      <c r="E40" s="319">
        <f>SUM(E8:E39)</f>
        <v>91799.999999999272</v>
      </c>
      <c r="F40" s="322">
        <f>E40/B40</f>
        <v>123.56214314364607</v>
      </c>
      <c r="G40" s="322">
        <f>E40/C40</f>
        <v>131.03222850421895</v>
      </c>
      <c r="H40" s="324"/>
      <c r="I40" s="319">
        <f>SUM(I8:I39)</f>
        <v>157264.20000000033</v>
      </c>
      <c r="J40" s="322">
        <f>I40/B40</f>
        <v>211.67648792779062</v>
      </c>
      <c r="K40" s="322">
        <f>I40/C40</f>
        <v>224.47362298402393</v>
      </c>
      <c r="L40" s="325"/>
      <c r="M40" s="319">
        <f>SUM(M8:M39)</f>
        <v>541124.19999999984</v>
      </c>
      <c r="N40" s="322">
        <f>M40/B40</f>
        <v>728.34930129511406</v>
      </c>
      <c r="O40" s="322">
        <f>M40/C40</f>
        <v>772.38245995166903</v>
      </c>
      <c r="P40" s="319">
        <f t="shared" si="313"/>
        <v>790188.39999999944</v>
      </c>
      <c r="Q40" s="387">
        <f>P40/B40</f>
        <v>1063.5879323665508</v>
      </c>
      <c r="R40" s="324">
        <f>P40/C40</f>
        <v>1127.8883114399118</v>
      </c>
    </row>
    <row r="42" spans="1:23">
      <c r="P42" s="5">
        <v>-1320860.8400000001</v>
      </c>
    </row>
    <row r="43" spans="1:23">
      <c r="D43" s="327"/>
    </row>
    <row r="44" spans="1:23">
      <c r="E44" s="326"/>
      <c r="H44" s="326"/>
    </row>
  </sheetData>
  <mergeCells count="9">
    <mergeCell ref="A2:P2"/>
    <mergeCell ref="D4:O4"/>
    <mergeCell ref="P4:R5"/>
    <mergeCell ref="A4:A6"/>
    <mergeCell ref="B4:B6"/>
    <mergeCell ref="C4:C6"/>
    <mergeCell ref="D5:G5"/>
    <mergeCell ref="H5:K5"/>
    <mergeCell ref="L5:O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opLeftCell="A46" workbookViewId="0">
      <selection activeCell="G74" sqref="G74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424" t="s">
        <v>187</v>
      </c>
      <c r="B1" s="332">
        <f>+Report1!A9</f>
        <v>45931</v>
      </c>
      <c r="C1" s="97"/>
      <c r="G1" s="98"/>
      <c r="H1" s="99"/>
    </row>
    <row r="2" spans="1:9" ht="13.5" thickBot="1">
      <c r="A2" s="96"/>
      <c r="B2" s="97"/>
      <c r="C2" s="97"/>
      <c r="G2" s="98"/>
      <c r="H2" s="99"/>
    </row>
    <row r="3" spans="1:9" ht="26.25" thickBot="1">
      <c r="A3" s="386" t="s">
        <v>120</v>
      </c>
      <c r="B3" s="372" t="s">
        <v>9</v>
      </c>
      <c r="C3" s="372" t="s">
        <v>93</v>
      </c>
      <c r="D3" s="372" t="s">
        <v>121</v>
      </c>
      <c r="E3" s="372" t="s">
        <v>122</v>
      </c>
      <c r="F3" s="372" t="s">
        <v>123</v>
      </c>
      <c r="G3" s="373" t="s">
        <v>124</v>
      </c>
      <c r="H3" s="374" t="s">
        <v>125</v>
      </c>
      <c r="I3" s="572" t="s">
        <v>393</v>
      </c>
    </row>
    <row r="4" spans="1:9">
      <c r="A4" s="336">
        <f>+B1</f>
        <v>45931</v>
      </c>
      <c r="B4" s="389" t="s">
        <v>389</v>
      </c>
      <c r="C4" s="337">
        <v>1</v>
      </c>
      <c r="D4" s="371" t="s">
        <v>417</v>
      </c>
      <c r="E4" s="337">
        <f>133*2</f>
        <v>266</v>
      </c>
      <c r="F4" s="371">
        <v>12</v>
      </c>
      <c r="G4" s="337">
        <f>+E4*F4</f>
        <v>3192</v>
      </c>
      <c r="H4" s="391">
        <f>+SUM(G4/F4)</f>
        <v>266</v>
      </c>
      <c r="I4" s="573">
        <f>+'1'!I38</f>
        <v>16.666</v>
      </c>
    </row>
    <row r="5" spans="1:9" ht="13.5" thickBot="1">
      <c r="A5" s="375"/>
      <c r="B5" s="390"/>
      <c r="C5" s="376"/>
      <c r="D5" s="377"/>
      <c r="E5" s="376"/>
      <c r="F5" s="376"/>
      <c r="G5" s="376"/>
      <c r="H5" s="392"/>
      <c r="I5" s="392"/>
    </row>
    <row r="6" spans="1:9">
      <c r="A6" s="336">
        <v>45932</v>
      </c>
      <c r="B6" s="389" t="s">
        <v>389</v>
      </c>
      <c r="C6" s="337">
        <v>1</v>
      </c>
      <c r="D6" s="371" t="s">
        <v>417</v>
      </c>
      <c r="E6" s="337">
        <f>133*2</f>
        <v>266</v>
      </c>
      <c r="F6" s="371">
        <f>13+3+7+9+1</f>
        <v>33</v>
      </c>
      <c r="G6" s="337">
        <f>+E6*F6</f>
        <v>8778</v>
      </c>
      <c r="H6" s="391">
        <f>+SUM(F6*E6+F7*E7)/SUM(F6:F7)</f>
        <v>263.41379310344826</v>
      </c>
      <c r="I6" s="573">
        <f>+'2'!I38</f>
        <v>40.289000000000001</v>
      </c>
    </row>
    <row r="7" spans="1:9">
      <c r="A7" s="575"/>
      <c r="B7" s="576" t="s">
        <v>389</v>
      </c>
      <c r="C7" s="577">
        <v>1</v>
      </c>
      <c r="D7" s="578" t="s">
        <v>433</v>
      </c>
      <c r="E7" s="578">
        <f>180+20*4</f>
        <v>260</v>
      </c>
      <c r="F7" s="578">
        <f>1+6+6+6+6</f>
        <v>25</v>
      </c>
      <c r="G7" s="577">
        <f>+E7*F7</f>
        <v>6500</v>
      </c>
      <c r="H7" s="573"/>
      <c r="I7" s="573"/>
    </row>
    <row r="8" spans="1:9" ht="13.5" thickBot="1">
      <c r="A8" s="375"/>
      <c r="B8" s="390"/>
      <c r="C8" s="376"/>
      <c r="D8" s="377"/>
      <c r="E8" s="376"/>
      <c r="F8" s="376"/>
      <c r="G8" s="376"/>
      <c r="H8" s="392"/>
      <c r="I8" s="392"/>
    </row>
    <row r="9" spans="1:9">
      <c r="A9" s="575">
        <v>45933</v>
      </c>
      <c r="B9" s="576" t="s">
        <v>389</v>
      </c>
      <c r="C9" s="577">
        <v>1</v>
      </c>
      <c r="D9" s="578" t="s">
        <v>433</v>
      </c>
      <c r="E9" s="578">
        <f>180+20*4</f>
        <v>260</v>
      </c>
      <c r="F9" s="578">
        <v>60</v>
      </c>
      <c r="G9" s="577">
        <f>+E9*F9</f>
        <v>15600</v>
      </c>
      <c r="H9" s="391">
        <f>+SUM(G9/F9)</f>
        <v>260</v>
      </c>
      <c r="I9" s="573">
        <f>+'3'!I38</f>
        <v>37.695</v>
      </c>
    </row>
    <row r="10" spans="1:9" ht="13.5" thickBot="1">
      <c r="A10" s="375"/>
      <c r="B10" s="390"/>
      <c r="C10" s="376"/>
      <c r="D10" s="377"/>
      <c r="E10" s="376"/>
      <c r="F10" s="376"/>
      <c r="G10" s="376"/>
      <c r="H10" s="392"/>
      <c r="I10" s="392"/>
    </row>
    <row r="11" spans="1:9">
      <c r="A11" s="575">
        <v>45934</v>
      </c>
      <c r="B11" s="576" t="s">
        <v>389</v>
      </c>
      <c r="C11" s="577">
        <v>1</v>
      </c>
      <c r="D11" s="578" t="s">
        <v>475</v>
      </c>
      <c r="E11" s="578">
        <f>126*2</f>
        <v>252</v>
      </c>
      <c r="F11" s="578">
        <v>14</v>
      </c>
      <c r="G11" s="577">
        <f>+E11*F11</f>
        <v>3528</v>
      </c>
      <c r="H11" s="391">
        <f>+SUM(G11/F11)</f>
        <v>252</v>
      </c>
      <c r="I11" s="573">
        <f>+'4'!I38</f>
        <v>42.438000000000002</v>
      </c>
    </row>
    <row r="12" spans="1:9">
      <c r="A12" s="575"/>
      <c r="B12" s="576" t="s">
        <v>463</v>
      </c>
      <c r="C12" s="579">
        <v>1</v>
      </c>
      <c r="D12" s="578" t="s">
        <v>476</v>
      </c>
      <c r="E12" s="578">
        <f>140+120</f>
        <v>260</v>
      </c>
      <c r="F12" s="578">
        <v>20</v>
      </c>
      <c r="G12" s="577">
        <f t="shared" ref="G12:G13" si="0">+E12*F12</f>
        <v>5200</v>
      </c>
      <c r="H12" s="573">
        <f t="shared" ref="H12:H13" si="1">+SUM(G12/F12)</f>
        <v>260</v>
      </c>
      <c r="I12" s="573"/>
    </row>
    <row r="13" spans="1:9">
      <c r="A13" s="575"/>
      <c r="B13" s="576" t="s">
        <v>454</v>
      </c>
      <c r="C13" s="579">
        <v>1</v>
      </c>
      <c r="D13" s="578" t="s">
        <v>477</v>
      </c>
      <c r="E13" s="578">
        <f>129*2</f>
        <v>258</v>
      </c>
      <c r="F13" s="578">
        <f>13+3+13+12</f>
        <v>41</v>
      </c>
      <c r="G13" s="577">
        <f t="shared" si="0"/>
        <v>10578</v>
      </c>
      <c r="H13" s="573">
        <f t="shared" si="1"/>
        <v>258</v>
      </c>
      <c r="I13" s="573"/>
    </row>
    <row r="14" spans="1:9" ht="13.5" thickBot="1">
      <c r="A14" s="375"/>
      <c r="B14" s="390"/>
      <c r="C14" s="376"/>
      <c r="D14" s="377"/>
      <c r="E14" s="376"/>
      <c r="F14" s="376"/>
      <c r="G14" s="376"/>
      <c r="H14" s="392"/>
      <c r="I14" s="392"/>
    </row>
    <row r="15" spans="1:9">
      <c r="A15" s="575">
        <v>45935</v>
      </c>
      <c r="B15" s="576" t="s">
        <v>454</v>
      </c>
      <c r="C15" s="579">
        <v>1</v>
      </c>
      <c r="D15" s="578" t="s">
        <v>477</v>
      </c>
      <c r="E15" s="578">
        <f>129*2</f>
        <v>258</v>
      </c>
      <c r="F15" s="578">
        <f>13+10+13+13+13+4+7</f>
        <v>73</v>
      </c>
      <c r="G15" s="577">
        <f t="shared" ref="G15" si="2">+E15*F15</f>
        <v>18834</v>
      </c>
      <c r="H15" s="573">
        <f t="shared" ref="H15" si="3">+SUM(G15/F15)</f>
        <v>258</v>
      </c>
      <c r="I15" s="573">
        <f>+'5'!I38</f>
        <v>41.597000000000001</v>
      </c>
    </row>
    <row r="16" spans="1:9" ht="13.5" thickBot="1">
      <c r="A16" s="375"/>
      <c r="B16" s="390"/>
      <c r="C16" s="376"/>
      <c r="D16" s="377"/>
      <c r="E16" s="376"/>
      <c r="F16" s="376"/>
      <c r="G16" s="376"/>
      <c r="H16" s="392"/>
      <c r="I16" s="392"/>
    </row>
    <row r="17" spans="1:9">
      <c r="A17" s="575">
        <v>45936</v>
      </c>
      <c r="B17" s="576" t="s">
        <v>454</v>
      </c>
      <c r="C17" s="579">
        <v>1</v>
      </c>
      <c r="D17" s="578" t="s">
        <v>477</v>
      </c>
      <c r="E17" s="578">
        <f>129*2</f>
        <v>258</v>
      </c>
      <c r="F17" s="578">
        <f>150/2</f>
        <v>75</v>
      </c>
      <c r="G17" s="577">
        <f t="shared" ref="G17" si="4">+E17*F17</f>
        <v>19350</v>
      </c>
      <c r="H17" s="573">
        <f t="shared" ref="H17" si="5">+SUM(G17/F17)</f>
        <v>258</v>
      </c>
      <c r="I17" s="573">
        <f>+'6'!I38</f>
        <v>42.959000000000003</v>
      </c>
    </row>
    <row r="18" spans="1:9" ht="13.5" thickBot="1">
      <c r="A18" s="375"/>
      <c r="B18" s="390"/>
      <c r="C18" s="376"/>
      <c r="D18" s="377"/>
      <c r="E18" s="376"/>
      <c r="F18" s="376"/>
      <c r="G18" s="376"/>
      <c r="H18" s="392"/>
      <c r="I18" s="392"/>
    </row>
    <row r="19" spans="1:9">
      <c r="A19" s="575">
        <v>45937</v>
      </c>
      <c r="B19" s="576" t="s">
        <v>454</v>
      </c>
      <c r="C19" s="579">
        <v>1</v>
      </c>
      <c r="D19" s="578" t="s">
        <v>477</v>
      </c>
      <c r="E19" s="578">
        <f>129*2</f>
        <v>258</v>
      </c>
      <c r="F19" s="578">
        <v>12</v>
      </c>
      <c r="G19" s="577">
        <f t="shared" ref="G19" si="6">+E19*F19</f>
        <v>3096</v>
      </c>
      <c r="H19" s="573">
        <f t="shared" ref="H19" si="7">+SUM(G19/F19)</f>
        <v>258</v>
      </c>
      <c r="I19" s="573">
        <f>+'7'!I38</f>
        <v>42.984000000000002</v>
      </c>
    </row>
    <row r="20" spans="1:9">
      <c r="A20" s="575"/>
      <c r="B20" s="576" t="s">
        <v>491</v>
      </c>
      <c r="C20" s="579">
        <v>1</v>
      </c>
      <c r="D20" s="578" t="s">
        <v>497</v>
      </c>
      <c r="E20" s="578">
        <f>257*1</f>
        <v>257</v>
      </c>
      <c r="F20" s="578">
        <f>77-24</f>
        <v>53</v>
      </c>
      <c r="G20" s="577">
        <f t="shared" ref="G20" si="8">+E20*F20</f>
        <v>13621</v>
      </c>
      <c r="H20" s="573">
        <f t="shared" ref="H20" si="9">+SUM(G20/F20)</f>
        <v>257</v>
      </c>
      <c r="I20" s="573"/>
    </row>
    <row r="21" spans="1:9" ht="13.5" thickBot="1">
      <c r="A21" s="375"/>
      <c r="B21" s="390"/>
      <c r="C21" s="376"/>
      <c r="D21" s="377"/>
      <c r="E21" s="376"/>
      <c r="F21" s="376"/>
      <c r="G21" s="376"/>
      <c r="H21" s="392"/>
      <c r="I21" s="392"/>
    </row>
    <row r="22" spans="1:9">
      <c r="A22" s="575">
        <v>45938</v>
      </c>
      <c r="B22" s="576" t="s">
        <v>491</v>
      </c>
      <c r="C22" s="579">
        <v>1</v>
      </c>
      <c r="D22" s="578" t="s">
        <v>497</v>
      </c>
      <c r="E22" s="578">
        <f>257*1</f>
        <v>257</v>
      </c>
      <c r="F22" s="578">
        <v>65</v>
      </c>
      <c r="G22" s="577">
        <f t="shared" ref="G22" si="10">+E22*F22</f>
        <v>16705</v>
      </c>
      <c r="H22" s="573">
        <f t="shared" ref="H22" si="11">+SUM(G22/F22)</f>
        <v>257</v>
      </c>
      <c r="I22" s="573">
        <f>+'8'!I38</f>
        <v>42.14</v>
      </c>
    </row>
    <row r="23" spans="1:9" ht="13.5" thickBot="1">
      <c r="A23" s="375"/>
      <c r="B23" s="390"/>
      <c r="C23" s="376"/>
      <c r="D23" s="377"/>
      <c r="E23" s="376"/>
      <c r="F23" s="376"/>
      <c r="G23" s="376"/>
      <c r="H23" s="392"/>
      <c r="I23" s="392"/>
    </row>
    <row r="24" spans="1:9">
      <c r="A24" s="575">
        <v>45939</v>
      </c>
      <c r="B24" s="576" t="s">
        <v>491</v>
      </c>
      <c r="C24" s="579">
        <v>1</v>
      </c>
      <c r="D24" s="578" t="s">
        <v>497</v>
      </c>
      <c r="E24" s="578">
        <f>257*1</f>
        <v>257</v>
      </c>
      <c r="F24" s="578">
        <v>57</v>
      </c>
      <c r="G24" s="577">
        <f t="shared" ref="G24" si="12">+E24*F24</f>
        <v>14649</v>
      </c>
      <c r="H24" s="573">
        <f t="shared" ref="H24" si="13">+SUM(G24/F24)</f>
        <v>257</v>
      </c>
      <c r="I24" s="573">
        <f>+'9'!I38</f>
        <v>38.646000000000001</v>
      </c>
    </row>
    <row r="25" spans="1:9" ht="13.5" thickBot="1">
      <c r="A25" s="375"/>
      <c r="B25" s="390"/>
      <c r="C25" s="376"/>
      <c r="D25" s="377"/>
      <c r="E25" s="376"/>
      <c r="F25" s="376"/>
      <c r="G25" s="376"/>
      <c r="H25" s="392"/>
      <c r="I25" s="392"/>
    </row>
    <row r="26" spans="1:9">
      <c r="A26" s="575">
        <v>45940</v>
      </c>
      <c r="B26" s="576" t="s">
        <v>491</v>
      </c>
      <c r="C26" s="579">
        <v>1</v>
      </c>
      <c r="D26" s="578" t="s">
        <v>497</v>
      </c>
      <c r="E26" s="578">
        <f>257*1</f>
        <v>257</v>
      </c>
      <c r="F26" s="578">
        <v>57</v>
      </c>
      <c r="G26" s="577">
        <f t="shared" ref="G26" si="14">+E26*F26</f>
        <v>14649</v>
      </c>
      <c r="H26" s="573">
        <f t="shared" ref="H26" si="15">+SUM(G26/F26)</f>
        <v>257</v>
      </c>
      <c r="I26" s="573">
        <f>+'10'!I38</f>
        <v>40.244</v>
      </c>
    </row>
    <row r="27" spans="1:9" ht="13.5" thickBot="1">
      <c r="A27" s="375"/>
      <c r="B27" s="390"/>
      <c r="C27" s="376"/>
      <c r="D27" s="377"/>
      <c r="E27" s="376"/>
      <c r="F27" s="376"/>
      <c r="G27" s="376"/>
      <c r="H27" s="392"/>
      <c r="I27" s="392"/>
    </row>
    <row r="28" spans="1:9">
      <c r="A28" s="575">
        <v>45941</v>
      </c>
      <c r="B28" s="576" t="s">
        <v>491</v>
      </c>
      <c r="C28" s="579">
        <v>1</v>
      </c>
      <c r="D28" s="578" t="s">
        <v>497</v>
      </c>
      <c r="E28" s="578">
        <f>257*1</f>
        <v>257</v>
      </c>
      <c r="F28" s="578">
        <f>64-F29</f>
        <v>59</v>
      </c>
      <c r="G28" s="577">
        <f t="shared" ref="G28" si="16">+E28*F28</f>
        <v>15163</v>
      </c>
      <c r="H28" s="573">
        <f t="shared" ref="H28" si="17">+SUM(G28/F28)</f>
        <v>257</v>
      </c>
      <c r="I28" s="573">
        <f>+'11'!I38</f>
        <v>39.607999999999997</v>
      </c>
    </row>
    <row r="29" spans="1:9">
      <c r="A29" s="575"/>
      <c r="B29" s="576" t="s">
        <v>525</v>
      </c>
      <c r="C29" s="579">
        <v>1</v>
      </c>
      <c r="D29" s="578" t="s">
        <v>539</v>
      </c>
      <c r="E29" s="578">
        <f>268*1</f>
        <v>268</v>
      </c>
      <c r="F29" s="578">
        <v>5</v>
      </c>
      <c r="G29" s="577">
        <f t="shared" ref="G29" si="18">+E29*F29</f>
        <v>1340</v>
      </c>
      <c r="H29" s="573">
        <f t="shared" ref="H29" si="19">+SUM(G29/F29)</f>
        <v>268</v>
      </c>
      <c r="I29" s="573"/>
    </row>
    <row r="30" spans="1:9" ht="13.5" thickBot="1">
      <c r="A30" s="375"/>
      <c r="B30" s="390"/>
      <c r="C30" s="376"/>
      <c r="D30" s="377"/>
      <c r="E30" s="376"/>
      <c r="F30" s="376"/>
      <c r="G30" s="376"/>
      <c r="H30" s="392"/>
      <c r="I30" s="392"/>
    </row>
    <row r="31" spans="1:9">
      <c r="A31" s="575">
        <v>45942</v>
      </c>
      <c r="B31" s="576" t="s">
        <v>491</v>
      </c>
      <c r="C31" s="579">
        <v>1</v>
      </c>
      <c r="D31" s="578" t="s">
        <v>577</v>
      </c>
      <c r="E31" s="578">
        <f>267*1</f>
        <v>267</v>
      </c>
      <c r="F31" s="578">
        <f>8+18+17</f>
        <v>43</v>
      </c>
      <c r="G31" s="577">
        <f t="shared" ref="G31:G32" si="20">+E31*F31</f>
        <v>11481</v>
      </c>
      <c r="H31" s="573">
        <f t="shared" ref="H31:H32" si="21">+SUM(G31/F31)</f>
        <v>267</v>
      </c>
      <c r="I31" s="573">
        <f>+'12'!I38</f>
        <v>42.546999999999997</v>
      </c>
    </row>
    <row r="32" spans="1:9">
      <c r="A32" s="575"/>
      <c r="B32" s="576" t="s">
        <v>525</v>
      </c>
      <c r="C32" s="579">
        <v>1</v>
      </c>
      <c r="D32" s="578" t="s">
        <v>539</v>
      </c>
      <c r="E32" s="578">
        <f>268*1</f>
        <v>268</v>
      </c>
      <c r="F32" s="578">
        <v>11</v>
      </c>
      <c r="G32" s="577">
        <f t="shared" si="20"/>
        <v>2948</v>
      </c>
      <c r="H32" s="573">
        <f t="shared" si="21"/>
        <v>268</v>
      </c>
      <c r="I32" s="573"/>
    </row>
    <row r="33" spans="1:10" ht="13.5" thickBot="1">
      <c r="A33" s="375"/>
      <c r="B33" s="390"/>
      <c r="C33" s="376"/>
      <c r="D33" s="377"/>
      <c r="E33" s="376"/>
      <c r="F33" s="376"/>
      <c r="G33" s="376"/>
      <c r="H33" s="392"/>
      <c r="I33" s="392"/>
    </row>
    <row r="34" spans="1:10">
      <c r="A34" s="575">
        <v>45943</v>
      </c>
      <c r="B34" s="576" t="s">
        <v>491</v>
      </c>
      <c r="C34" s="579">
        <v>1</v>
      </c>
      <c r="D34" s="578" t="s">
        <v>577</v>
      </c>
      <c r="E34" s="578">
        <f>267*1</f>
        <v>267</v>
      </c>
      <c r="F34" s="578">
        <v>50</v>
      </c>
      <c r="G34" s="577">
        <f t="shared" ref="G34" si="22">+E34*F34</f>
        <v>13350</v>
      </c>
      <c r="H34" s="573">
        <f t="shared" ref="H34" si="23">+SUM(G34/F34)</f>
        <v>267</v>
      </c>
      <c r="I34" s="573">
        <f>+'13'!I38</f>
        <v>40.814999999999998</v>
      </c>
    </row>
    <row r="35" spans="1:10" ht="13.5" thickBot="1">
      <c r="A35" s="375"/>
      <c r="B35" s="390"/>
      <c r="C35" s="376"/>
      <c r="D35" s="377"/>
      <c r="E35" s="376"/>
      <c r="F35" s="376"/>
      <c r="G35" s="376"/>
      <c r="H35" s="392"/>
      <c r="I35" s="392"/>
    </row>
    <row r="36" spans="1:10">
      <c r="A36" s="575">
        <v>45944</v>
      </c>
      <c r="B36" s="576" t="s">
        <v>491</v>
      </c>
      <c r="C36" s="579">
        <v>1</v>
      </c>
      <c r="D36" s="578" t="s">
        <v>577</v>
      </c>
      <c r="E36" s="578">
        <f>267*1</f>
        <v>267</v>
      </c>
      <c r="F36" s="578">
        <v>45</v>
      </c>
      <c r="G36" s="577">
        <f t="shared" ref="G36" si="24">+E36*F36</f>
        <v>12015</v>
      </c>
      <c r="H36" s="573">
        <f t="shared" ref="H36" si="25">+SUM(G36/F36)</f>
        <v>267</v>
      </c>
      <c r="I36" s="573">
        <f>+'14'!I38</f>
        <v>39.844999999999999</v>
      </c>
    </row>
    <row r="37" spans="1:10" ht="13.5" thickBot="1">
      <c r="A37" s="375"/>
      <c r="B37" s="390"/>
      <c r="C37" s="376"/>
      <c r="D37" s="377"/>
      <c r="E37" s="376"/>
      <c r="F37" s="376"/>
      <c r="G37" s="376"/>
      <c r="H37" s="392"/>
      <c r="I37" s="392"/>
    </row>
    <row r="38" spans="1:10">
      <c r="A38" s="584">
        <v>45945</v>
      </c>
      <c r="B38" s="576" t="s">
        <v>491</v>
      </c>
      <c r="C38" s="579">
        <v>1</v>
      </c>
      <c r="D38" s="578" t="s">
        <v>577</v>
      </c>
      <c r="E38" s="578">
        <f>267*1</f>
        <v>267</v>
      </c>
      <c r="F38" s="578">
        <v>20</v>
      </c>
      <c r="G38" s="577">
        <f t="shared" ref="G38" si="26">+E38*F38</f>
        <v>5340</v>
      </c>
      <c r="H38" s="573">
        <f t="shared" ref="H38" si="27">+SUM(G38/F38)</f>
        <v>267</v>
      </c>
      <c r="I38" s="573">
        <f>+'15'!I38</f>
        <v>34.211999999999996</v>
      </c>
    </row>
    <row r="39" spans="1:10">
      <c r="A39" s="584"/>
      <c r="B39" s="576" t="s">
        <v>463</v>
      </c>
      <c r="C39" s="579">
        <v>1</v>
      </c>
      <c r="D39" s="578" t="s">
        <v>578</v>
      </c>
      <c r="E39" s="578">
        <f>140*2</f>
        <v>280</v>
      </c>
      <c r="F39" s="578">
        <v>19</v>
      </c>
      <c r="G39" s="577">
        <f t="shared" ref="G39:G40" si="28">+E39*F39</f>
        <v>5320</v>
      </c>
      <c r="H39" s="573">
        <f>+SUM(F39*E39+F40*E40)/SUM(F39:F40)</f>
        <v>262.5</v>
      </c>
      <c r="I39" s="573"/>
    </row>
    <row r="40" spans="1:10">
      <c r="A40" s="584"/>
      <c r="B40" s="576" t="s">
        <v>463</v>
      </c>
      <c r="C40" s="579">
        <v>1</v>
      </c>
      <c r="D40" s="578" t="s">
        <v>579</v>
      </c>
      <c r="E40" s="578">
        <f>122.5*2</f>
        <v>245</v>
      </c>
      <c r="F40" s="578">
        <v>19</v>
      </c>
      <c r="G40" s="577">
        <f t="shared" si="28"/>
        <v>4655</v>
      </c>
      <c r="H40" s="573"/>
      <c r="I40" s="573"/>
    </row>
    <row r="41" spans="1:10" ht="13.5" thickBot="1">
      <c r="A41" s="375"/>
      <c r="B41" s="390"/>
      <c r="C41" s="376"/>
      <c r="D41" s="377"/>
      <c r="E41" s="376"/>
      <c r="F41" s="376"/>
      <c r="G41" s="376"/>
      <c r="H41" s="392"/>
      <c r="I41" s="392"/>
    </row>
    <row r="42" spans="1:10">
      <c r="A42" s="584">
        <v>45946</v>
      </c>
      <c r="B42" s="576" t="s">
        <v>463</v>
      </c>
      <c r="C42" s="579">
        <v>1</v>
      </c>
      <c r="D42" s="578" t="s">
        <v>578</v>
      </c>
      <c r="E42" s="578">
        <f>140*2</f>
        <v>280</v>
      </c>
      <c r="F42" s="578">
        <v>23</v>
      </c>
      <c r="G42" s="577">
        <f t="shared" ref="G42:G43" si="29">+E42*F42</f>
        <v>6440</v>
      </c>
      <c r="H42" s="573">
        <f>+SUM(F42*E42+F43*E43)/SUM(F42:F43)</f>
        <v>262.88888888888891</v>
      </c>
      <c r="I42" s="573">
        <f>+'16'!I38</f>
        <v>40.344999999999999</v>
      </c>
      <c r="J42" s="154"/>
    </row>
    <row r="43" spans="1:10">
      <c r="A43" s="584"/>
      <c r="B43" s="576" t="s">
        <v>463</v>
      </c>
      <c r="C43" s="579">
        <v>1</v>
      </c>
      <c r="D43" s="578" t="s">
        <v>579</v>
      </c>
      <c r="E43" s="578">
        <f>122.5*2</f>
        <v>245</v>
      </c>
      <c r="F43" s="578">
        <v>22</v>
      </c>
      <c r="G43" s="577">
        <f t="shared" si="29"/>
        <v>5390</v>
      </c>
      <c r="H43" s="573"/>
      <c r="I43" s="573"/>
      <c r="J43" s="154"/>
    </row>
    <row r="44" spans="1:10">
      <c r="A44" s="584"/>
      <c r="B44" s="576" t="s">
        <v>586</v>
      </c>
      <c r="C44" s="579">
        <v>1</v>
      </c>
      <c r="D44" s="578" t="s">
        <v>477</v>
      </c>
      <c r="E44" s="578">
        <f>129*2</f>
        <v>258</v>
      </c>
      <c r="F44" s="578">
        <v>28</v>
      </c>
      <c r="G44" s="577">
        <f t="shared" ref="G44" si="30">+E44*F44</f>
        <v>7224</v>
      </c>
      <c r="H44" s="573">
        <f t="shared" ref="H44:H47" si="31">+SUM(G44/F44)</f>
        <v>258</v>
      </c>
      <c r="I44" s="573"/>
      <c r="J44" s="154"/>
    </row>
    <row r="45" spans="1:10" ht="13.5" thickBot="1">
      <c r="A45" s="375"/>
      <c r="B45" s="390"/>
      <c r="C45" s="376"/>
      <c r="D45" s="377"/>
      <c r="E45" s="376"/>
      <c r="F45" s="376"/>
      <c r="G45" s="376"/>
      <c r="H45" s="392"/>
      <c r="I45" s="392"/>
    </row>
    <row r="46" spans="1:10">
      <c r="A46" s="584">
        <v>45947</v>
      </c>
      <c r="B46" s="576" t="s">
        <v>586</v>
      </c>
      <c r="C46" s="579">
        <v>1</v>
      </c>
      <c r="D46" s="578" t="s">
        <v>477</v>
      </c>
      <c r="E46" s="578">
        <f>129*2</f>
        <v>258</v>
      </c>
      <c r="F46" s="578">
        <v>13</v>
      </c>
      <c r="G46" s="577">
        <f t="shared" ref="G46" si="32">+E46*F46</f>
        <v>3354</v>
      </c>
      <c r="H46" s="573">
        <f t="shared" si="31"/>
        <v>258</v>
      </c>
      <c r="I46" s="573">
        <f>+'17'!I38</f>
        <v>37.143000000000001</v>
      </c>
    </row>
    <row r="47" spans="1:10">
      <c r="A47" s="584"/>
      <c r="B47" s="576" t="s">
        <v>597</v>
      </c>
      <c r="C47" s="579">
        <v>1</v>
      </c>
      <c r="D47" s="578" t="s">
        <v>477</v>
      </c>
      <c r="E47" s="578">
        <f>129*2</f>
        <v>258</v>
      </c>
      <c r="F47" s="578">
        <f>9+11</f>
        <v>20</v>
      </c>
      <c r="G47" s="577">
        <f t="shared" ref="G47:G49" si="33">+E47*F47</f>
        <v>5160</v>
      </c>
      <c r="H47" s="573">
        <f t="shared" si="31"/>
        <v>258</v>
      </c>
      <c r="I47" s="573"/>
    </row>
    <row r="48" spans="1:10">
      <c r="A48" s="584"/>
      <c r="B48" s="576" t="s">
        <v>389</v>
      </c>
      <c r="C48" s="579">
        <v>1</v>
      </c>
      <c r="D48" s="578" t="s">
        <v>605</v>
      </c>
      <c r="E48" s="578">
        <f>150+90+18</f>
        <v>258</v>
      </c>
      <c r="F48" s="578">
        <f>5+4+10+4+10+3</f>
        <v>36</v>
      </c>
      <c r="G48" s="577">
        <f t="shared" si="33"/>
        <v>9288</v>
      </c>
      <c r="H48" s="573">
        <f>+SUM(F48*E48+F49*E49)/SUM(F48:F49)</f>
        <v>258.2162162162162</v>
      </c>
      <c r="I48" s="573"/>
    </row>
    <row r="49" spans="1:9">
      <c r="A49" s="584"/>
      <c r="B49" s="576" t="s">
        <v>389</v>
      </c>
      <c r="C49" s="579">
        <v>1</v>
      </c>
      <c r="D49" s="578" t="s">
        <v>417</v>
      </c>
      <c r="E49" s="578">
        <f>133*2</f>
        <v>266</v>
      </c>
      <c r="F49" s="578">
        <v>1</v>
      </c>
      <c r="G49" s="579">
        <f t="shared" si="33"/>
        <v>266</v>
      </c>
      <c r="H49" s="573"/>
      <c r="I49" s="573"/>
    </row>
    <row r="50" spans="1:9" ht="13.5" thickBot="1">
      <c r="A50" s="375"/>
      <c r="B50" s="390"/>
      <c r="C50" s="376"/>
      <c r="D50" s="377"/>
      <c r="E50" s="376"/>
      <c r="F50" s="376"/>
      <c r="G50" s="376"/>
      <c r="H50" s="392"/>
      <c r="I50" s="392"/>
    </row>
    <row r="51" spans="1:9">
      <c r="A51" s="584">
        <v>45948</v>
      </c>
      <c r="B51" s="576" t="s">
        <v>389</v>
      </c>
      <c r="C51" s="579">
        <v>1</v>
      </c>
      <c r="D51" s="578" t="s">
        <v>605</v>
      </c>
      <c r="E51" s="578">
        <f>150+90+18</f>
        <v>258</v>
      </c>
      <c r="F51" s="578">
        <f>10+10+1+10+4</f>
        <v>35</v>
      </c>
      <c r="G51" s="577">
        <f t="shared" ref="G51:G53" si="34">+E51*F51</f>
        <v>9030</v>
      </c>
      <c r="H51" s="573">
        <f>+SUM(F51*E51+F52*E52+F53*E53)/SUM(F51:F53)</f>
        <v>259.4140625</v>
      </c>
      <c r="I51" s="573">
        <f>+'18'!I38</f>
        <v>37.339999999999996</v>
      </c>
    </row>
    <row r="52" spans="1:9">
      <c r="A52" s="584"/>
      <c r="B52" s="576" t="s">
        <v>389</v>
      </c>
      <c r="C52" s="579">
        <v>1</v>
      </c>
      <c r="D52" s="578" t="s">
        <v>619</v>
      </c>
      <c r="E52" s="578">
        <f>130*2</f>
        <v>260</v>
      </c>
      <c r="F52" s="578">
        <f>3+5+2+6</f>
        <v>16</v>
      </c>
      <c r="G52" s="579">
        <f t="shared" si="34"/>
        <v>4160</v>
      </c>
      <c r="H52" s="573"/>
      <c r="I52" s="573"/>
    </row>
    <row r="53" spans="1:9">
      <c r="A53" s="584"/>
      <c r="B53" s="576" t="s">
        <v>389</v>
      </c>
      <c r="C53" s="579">
        <v>1</v>
      </c>
      <c r="D53" s="578" t="s">
        <v>620</v>
      </c>
      <c r="E53" s="578">
        <f>140+122.5</f>
        <v>262.5</v>
      </c>
      <c r="F53" s="578">
        <v>13</v>
      </c>
      <c r="G53" s="579">
        <f t="shared" si="34"/>
        <v>3412.5</v>
      </c>
      <c r="H53" s="573"/>
      <c r="I53" s="573"/>
    </row>
    <row r="54" spans="1:9" ht="13.5" thickBot="1">
      <c r="A54" s="375"/>
      <c r="B54" s="390"/>
      <c r="C54" s="376"/>
      <c r="D54" s="377"/>
      <c r="E54" s="376"/>
      <c r="F54" s="376"/>
      <c r="G54" s="376"/>
      <c r="H54" s="392"/>
      <c r="I54" s="392"/>
    </row>
    <row r="55" spans="1:9">
      <c r="A55" s="584">
        <v>45949</v>
      </c>
      <c r="B55" s="576" t="s">
        <v>389</v>
      </c>
      <c r="C55" s="579">
        <v>1</v>
      </c>
      <c r="D55" s="578" t="s">
        <v>620</v>
      </c>
      <c r="E55" s="578">
        <f>140+122.5</f>
        <v>262.5</v>
      </c>
      <c r="F55" s="578">
        <v>5</v>
      </c>
      <c r="G55" s="577">
        <f t="shared" ref="G55" si="35">+E55*F55</f>
        <v>1312.5</v>
      </c>
      <c r="H55" s="573">
        <f t="shared" ref="H55" si="36">+SUM(G55/F55)</f>
        <v>262.5</v>
      </c>
      <c r="I55" s="573">
        <f>+'19'!I38</f>
        <v>1.0549999999999999</v>
      </c>
    </row>
    <row r="56" spans="1:9" ht="13.5" thickBot="1">
      <c r="A56" s="375"/>
      <c r="B56" s="390"/>
      <c r="C56" s="376"/>
      <c r="D56" s="377"/>
      <c r="E56" s="376"/>
      <c r="F56" s="376"/>
      <c r="G56" s="376"/>
      <c r="H56" s="392"/>
      <c r="I56" s="392"/>
    </row>
    <row r="57" spans="1:9">
      <c r="A57" s="584">
        <v>45950</v>
      </c>
      <c r="B57" s="576" t="s">
        <v>389</v>
      </c>
      <c r="C57" s="579">
        <v>1</v>
      </c>
      <c r="D57" s="578" t="s">
        <v>620</v>
      </c>
      <c r="E57" s="578">
        <f>140+122.5</f>
        <v>262.5</v>
      </c>
      <c r="F57" s="578">
        <v>0</v>
      </c>
      <c r="G57" s="577">
        <f t="shared" ref="G57" si="37">+E57*F57</f>
        <v>0</v>
      </c>
      <c r="H57" s="573">
        <f>+E57</f>
        <v>262.5</v>
      </c>
      <c r="I57" s="573">
        <f>+'20'!I38</f>
        <v>0</v>
      </c>
    </row>
    <row r="58" spans="1:9" ht="13.5" thickBot="1">
      <c r="A58" s="375"/>
      <c r="B58" s="390"/>
      <c r="C58" s="376"/>
      <c r="D58" s="377"/>
      <c r="E58" s="376"/>
      <c r="F58" s="376"/>
      <c r="G58" s="376"/>
      <c r="H58" s="392"/>
      <c r="I58" s="392"/>
    </row>
    <row r="59" spans="1:9">
      <c r="A59" s="584">
        <v>45951</v>
      </c>
      <c r="B59" s="576" t="s">
        <v>389</v>
      </c>
      <c r="C59" s="579">
        <v>1</v>
      </c>
      <c r="D59" s="578" t="s">
        <v>620</v>
      </c>
      <c r="E59" s="578">
        <f>140+122.5</f>
        <v>262.5</v>
      </c>
      <c r="F59" s="578">
        <v>0</v>
      </c>
      <c r="G59" s="577">
        <f t="shared" ref="G59" si="38">+E59*F59</f>
        <v>0</v>
      </c>
      <c r="H59" s="573">
        <f>+E59</f>
        <v>262.5</v>
      </c>
      <c r="I59" s="573">
        <f>+'21'!I38</f>
        <v>0</v>
      </c>
    </row>
    <row r="60" spans="1:9" ht="13.5" thickBot="1">
      <c r="A60" s="375"/>
      <c r="B60" s="390"/>
      <c r="C60" s="376"/>
      <c r="D60" s="377"/>
      <c r="E60" s="376"/>
      <c r="F60" s="376"/>
      <c r="G60" s="376"/>
      <c r="H60" s="392"/>
      <c r="I60" s="392"/>
    </row>
    <row r="61" spans="1:9">
      <c r="A61" s="584">
        <v>45952</v>
      </c>
      <c r="B61" s="576" t="s">
        <v>389</v>
      </c>
      <c r="C61" s="579">
        <v>1</v>
      </c>
      <c r="D61" s="578" t="s">
        <v>620</v>
      </c>
      <c r="E61" s="578">
        <f>140+122.5</f>
        <v>262.5</v>
      </c>
      <c r="F61" s="578">
        <v>0</v>
      </c>
      <c r="G61" s="577">
        <f t="shared" ref="G61" si="39">+E61*F61</f>
        <v>0</v>
      </c>
      <c r="H61" s="573">
        <f>+E61</f>
        <v>262.5</v>
      </c>
      <c r="I61" s="573">
        <f>+'22'!I38</f>
        <v>0</v>
      </c>
    </row>
    <row r="62" spans="1:9" ht="13.5" thickBot="1">
      <c r="A62" s="375"/>
      <c r="B62" s="390"/>
      <c r="C62" s="376"/>
      <c r="D62" s="377"/>
      <c r="E62" s="376"/>
      <c r="F62" s="376"/>
      <c r="G62" s="376"/>
      <c r="H62" s="392"/>
      <c r="I62" s="392"/>
    </row>
    <row r="63" spans="1:9">
      <c r="A63" s="584">
        <v>45953</v>
      </c>
      <c r="B63" s="576" t="s">
        <v>389</v>
      </c>
      <c r="C63" s="579">
        <v>1</v>
      </c>
      <c r="D63" s="578" t="s">
        <v>620</v>
      </c>
      <c r="E63" s="578">
        <f>140+122.5</f>
        <v>262.5</v>
      </c>
      <c r="F63" s="578">
        <v>0</v>
      </c>
      <c r="G63" s="577">
        <f t="shared" ref="G63" si="40">+E63*F63</f>
        <v>0</v>
      </c>
      <c r="H63" s="573">
        <f>+E63</f>
        <v>262.5</v>
      </c>
      <c r="I63" s="573">
        <f>+'22'!I40</f>
        <v>0</v>
      </c>
    </row>
    <row r="64" spans="1:9" ht="13.5" thickBot="1">
      <c r="A64" s="375"/>
      <c r="B64" s="390"/>
      <c r="C64" s="376"/>
      <c r="D64" s="377"/>
      <c r="E64" s="376"/>
      <c r="F64" s="376"/>
      <c r="G64" s="376"/>
      <c r="H64" s="392"/>
      <c r="I64" s="392"/>
    </row>
    <row r="65" spans="1:9">
      <c r="A65" s="584">
        <v>45954</v>
      </c>
      <c r="B65" s="576" t="s">
        <v>389</v>
      </c>
      <c r="C65" s="579">
        <v>1</v>
      </c>
      <c r="D65" s="578" t="s">
        <v>620</v>
      </c>
      <c r="E65" s="578">
        <f>140+122.5</f>
        <v>262.5</v>
      </c>
      <c r="F65" s="578">
        <v>0</v>
      </c>
      <c r="G65" s="577">
        <f t="shared" ref="G65" si="41">+E65*F65</f>
        <v>0</v>
      </c>
      <c r="H65" s="573">
        <f>+E65</f>
        <v>262.5</v>
      </c>
      <c r="I65" s="573">
        <f>+'22'!I42</f>
        <v>0</v>
      </c>
    </row>
    <row r="66" spans="1:9" ht="13.5" thickBot="1">
      <c r="A66" s="375"/>
      <c r="B66" s="390"/>
      <c r="C66" s="376"/>
      <c r="D66" s="377"/>
      <c r="E66" s="376"/>
      <c r="F66" s="376"/>
      <c r="G66" s="376"/>
      <c r="H66" s="392"/>
      <c r="I66" s="392"/>
    </row>
    <row r="67" spans="1:9">
      <c r="A67" s="584">
        <v>45955</v>
      </c>
      <c r="B67" s="576" t="s">
        <v>389</v>
      </c>
      <c r="C67" s="579">
        <v>1</v>
      </c>
      <c r="D67" s="578" t="s">
        <v>620</v>
      </c>
      <c r="E67" s="578">
        <f>140+122.5</f>
        <v>262.5</v>
      </c>
      <c r="F67" s="578">
        <v>0</v>
      </c>
      <c r="G67" s="577">
        <f t="shared" ref="G67" si="42">+E67*F67</f>
        <v>0</v>
      </c>
      <c r="H67" s="573">
        <f>+E67</f>
        <v>262.5</v>
      </c>
      <c r="I67" s="573">
        <f>+'25'!I38</f>
        <v>0</v>
      </c>
    </row>
    <row r="68" spans="1:9" ht="13.5" thickBot="1">
      <c r="A68" s="375"/>
      <c r="B68" s="390"/>
      <c r="C68" s="376"/>
      <c r="D68" s="377"/>
      <c r="E68" s="376"/>
      <c r="F68" s="376"/>
      <c r="G68" s="376"/>
      <c r="H68" s="392"/>
      <c r="I68" s="392"/>
    </row>
    <row r="69" spans="1:9">
      <c r="A69" s="584">
        <v>45956</v>
      </c>
      <c r="B69" s="576" t="s">
        <v>389</v>
      </c>
      <c r="C69" s="579">
        <v>1</v>
      </c>
      <c r="D69" s="578" t="s">
        <v>620</v>
      </c>
      <c r="E69" s="578">
        <f>140+122.5</f>
        <v>262.5</v>
      </c>
      <c r="F69" s="578">
        <v>0</v>
      </c>
      <c r="G69" s="577">
        <f t="shared" ref="G69" si="43">+E69*F69</f>
        <v>0</v>
      </c>
      <c r="H69" s="573">
        <f>+E69</f>
        <v>262.5</v>
      </c>
      <c r="I69" s="573">
        <f>+'26'!I38</f>
        <v>0</v>
      </c>
    </row>
    <row r="70" spans="1:9" ht="13.5" thickBot="1">
      <c r="A70" s="375"/>
      <c r="B70" s="390"/>
      <c r="C70" s="376"/>
      <c r="D70" s="377"/>
      <c r="E70" s="376"/>
      <c r="F70" s="376"/>
      <c r="G70" s="376"/>
      <c r="H70" s="392"/>
      <c r="I70" s="392"/>
    </row>
    <row r="71" spans="1:9">
      <c r="A71" s="584">
        <v>45957</v>
      </c>
      <c r="B71" s="576" t="s">
        <v>645</v>
      </c>
      <c r="C71" s="579">
        <v>1</v>
      </c>
      <c r="D71" s="578" t="s">
        <v>417</v>
      </c>
      <c r="E71" s="578">
        <f>133*2</f>
        <v>266</v>
      </c>
      <c r="F71" s="578">
        <v>20</v>
      </c>
      <c r="G71" s="577">
        <f t="shared" ref="G71" si="44">+E71*F71</f>
        <v>5320</v>
      </c>
      <c r="H71" s="573">
        <f t="shared" ref="H71" si="45">+SUM(G71/F71)</f>
        <v>266</v>
      </c>
      <c r="I71" s="573">
        <f>+'27'!I38</f>
        <v>20.222000000000001</v>
      </c>
    </row>
    <row r="72" spans="1:9" ht="13.5" thickBot="1">
      <c r="A72" s="375"/>
      <c r="B72" s="390"/>
      <c r="C72" s="376"/>
      <c r="D72" s="377"/>
      <c r="E72" s="376"/>
      <c r="F72" s="376"/>
      <c r="G72" s="376"/>
      <c r="H72" s="392"/>
      <c r="I72" s="392"/>
    </row>
    <row r="73" spans="1:9">
      <c r="A73" s="584">
        <v>45958</v>
      </c>
      <c r="B73" s="576" t="s">
        <v>645</v>
      </c>
      <c r="C73" s="579">
        <v>1</v>
      </c>
      <c r="D73" s="578" t="s">
        <v>417</v>
      </c>
      <c r="E73" s="578">
        <f>133*2</f>
        <v>266</v>
      </c>
      <c r="F73" s="578">
        <v>8</v>
      </c>
      <c r="G73" s="577">
        <f t="shared" ref="G73:G74" si="46">+E73*F73</f>
        <v>2128</v>
      </c>
      <c r="H73" s="573">
        <f t="shared" ref="H73:H74" si="47">+SUM(G73/F73)</f>
        <v>266</v>
      </c>
      <c r="I73" s="573">
        <f>+'28'!I38</f>
        <v>16.829999999999998</v>
      </c>
    </row>
    <row r="74" spans="1:9">
      <c r="A74" s="584"/>
      <c r="B74" s="576" t="s">
        <v>389</v>
      </c>
      <c r="C74" s="579">
        <v>1</v>
      </c>
      <c r="D74" s="578" t="s">
        <v>417</v>
      </c>
      <c r="E74" s="578">
        <f>133*2</f>
        <v>266</v>
      </c>
      <c r="F74" s="578">
        <f>27-8</f>
        <v>19</v>
      </c>
      <c r="G74" s="577">
        <f t="shared" si="46"/>
        <v>5054</v>
      </c>
      <c r="H74" s="573">
        <f t="shared" si="47"/>
        <v>266</v>
      </c>
      <c r="I74" s="573"/>
    </row>
    <row r="75" spans="1:9" ht="13.5" thickBot="1">
      <c r="A75" s="375"/>
      <c r="B75" s="390"/>
      <c r="C75" s="376"/>
      <c r="D75" s="377"/>
      <c r="E75" s="376"/>
      <c r="F75" s="376"/>
      <c r="G75" s="376"/>
      <c r="H75" s="392"/>
      <c r="I75" s="392"/>
    </row>
    <row r="76" spans="1:9">
      <c r="A76" s="584">
        <v>45959</v>
      </c>
      <c r="B76" s="576" t="s">
        <v>389</v>
      </c>
      <c r="C76" s="579">
        <v>1</v>
      </c>
      <c r="D76" s="578" t="s">
        <v>417</v>
      </c>
      <c r="E76" s="578">
        <f>133*2</f>
        <v>266</v>
      </c>
      <c r="F76" s="578">
        <v>26</v>
      </c>
      <c r="G76" s="577">
        <f t="shared" ref="G76" si="48">+E76*F76</f>
        <v>6916</v>
      </c>
      <c r="H76" s="573">
        <f t="shared" ref="H76" si="49">+SUM(G76/F76)</f>
        <v>266</v>
      </c>
      <c r="I76" s="573">
        <f>+'29'!I38</f>
        <v>7.3259999999999996</v>
      </c>
    </row>
    <row r="77" spans="1:9" ht="13.5" thickBot="1">
      <c r="A77" s="375"/>
      <c r="B77" s="390"/>
      <c r="C77" s="376"/>
      <c r="D77" s="377"/>
      <c r="E77" s="376"/>
      <c r="F77" s="376"/>
      <c r="G77" s="376"/>
      <c r="H77" s="392"/>
      <c r="I77" s="392"/>
    </row>
    <row r="78" spans="1:9">
      <c r="A78" s="584">
        <v>45960</v>
      </c>
      <c r="B78" s="576" t="s">
        <v>389</v>
      </c>
      <c r="C78" s="579">
        <v>1</v>
      </c>
      <c r="D78" s="578" t="s">
        <v>417</v>
      </c>
      <c r="E78" s="578">
        <f>133*2</f>
        <v>266</v>
      </c>
      <c r="F78" s="578">
        <v>0</v>
      </c>
      <c r="G78" s="577">
        <v>0</v>
      </c>
      <c r="H78" s="573">
        <f>+E78</f>
        <v>266</v>
      </c>
      <c r="I78" s="573">
        <f>+'30'!I38</f>
        <v>0</v>
      </c>
    </row>
    <row r="79" spans="1:9" ht="13.5" thickBot="1">
      <c r="A79" s="375"/>
      <c r="B79" s="390"/>
      <c r="C79" s="376"/>
      <c r="D79" s="377"/>
      <c r="E79" s="376"/>
      <c r="F79" s="376"/>
      <c r="G79" s="376"/>
      <c r="H79" s="392"/>
      <c r="I79" s="392"/>
    </row>
    <row r="80" spans="1:9">
      <c r="A80" s="584">
        <v>45961</v>
      </c>
      <c r="B80" s="576" t="s">
        <v>389</v>
      </c>
      <c r="C80" s="579">
        <v>1</v>
      </c>
      <c r="D80" s="578" t="s">
        <v>417</v>
      </c>
      <c r="E80" s="578">
        <f>133*2</f>
        <v>266</v>
      </c>
      <c r="F80" s="578">
        <v>0</v>
      </c>
      <c r="G80" s="577">
        <v>0</v>
      </c>
      <c r="H80" s="573">
        <f>+E80</f>
        <v>266</v>
      </c>
      <c r="I80" s="573">
        <f>+'31'!I38</f>
        <v>0</v>
      </c>
    </row>
    <row r="81" spans="1:9" ht="13.5" thickBot="1">
      <c r="A81" s="375"/>
      <c r="B81" s="390"/>
      <c r="C81" s="376"/>
      <c r="D81" s="377"/>
      <c r="E81" s="376"/>
      <c r="F81" s="376"/>
      <c r="G81" s="376"/>
      <c r="H81" s="392"/>
      <c r="I81" s="392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23"/>
  <sheetViews>
    <sheetView zoomScale="90" zoomScaleNormal="90" workbookViewId="0">
      <pane xSplit="6" ySplit="6" topLeftCell="W187" activePane="bottomRight" state="frozen"/>
      <selection pane="topRight" activeCell="F1" sqref="F1"/>
      <selection pane="bottomLeft" activeCell="A7" sqref="A7"/>
      <selection pane="bottomRight" activeCell="AA193" sqref="AA193"/>
    </sheetView>
  </sheetViews>
  <sheetFormatPr defaultColWidth="10.28515625" defaultRowHeight="12"/>
  <cols>
    <col min="1" max="1" width="12.28515625" style="31" customWidth="1"/>
    <col min="2" max="3" width="14.140625" style="31" customWidth="1"/>
    <col min="4" max="4" width="10.28515625" style="31" customWidth="1"/>
    <col min="5" max="5" width="7.5703125" style="31" bestFit="1" customWidth="1"/>
    <col min="6" max="6" width="7" style="59" customWidth="1"/>
    <col min="7" max="9" width="10.28515625" style="31" customWidth="1"/>
    <col min="10" max="11" width="10.28515625" style="88" customWidth="1"/>
    <col min="12" max="13" width="12.7109375" style="60" customWidth="1"/>
    <col min="14" max="15" width="10.28515625" style="31" customWidth="1"/>
    <col min="16" max="16" width="16.85546875" style="31" bestFit="1" customWidth="1"/>
    <col min="17" max="17" width="12.7109375" style="339" customWidth="1"/>
    <col min="18" max="18" width="12.7109375" style="31" bestFit="1" customWidth="1"/>
    <col min="19" max="19" width="12" style="31" bestFit="1" customWidth="1"/>
    <col min="20" max="20" width="10.7109375" style="31" customWidth="1"/>
    <col min="21" max="21" width="11.85546875" style="31" customWidth="1"/>
    <col min="22" max="22" width="12.28515625" style="31" customWidth="1"/>
    <col min="23" max="23" width="13" style="31" customWidth="1"/>
    <col min="24" max="24" width="10.28515625" style="31" customWidth="1"/>
    <col min="25" max="25" width="10.140625" style="31" customWidth="1"/>
    <col min="26" max="28" width="10.28515625" style="31" customWidth="1"/>
    <col min="29" max="29" width="12" style="31" customWidth="1"/>
    <col min="30" max="30" width="11.42578125" style="31" bestFit="1" customWidth="1"/>
    <col min="31" max="31" width="41.42578125" style="31" customWidth="1"/>
    <col min="32" max="38" width="10.28515625" style="31" customWidth="1"/>
    <col min="39" max="39" width="11.7109375" style="31" customWidth="1"/>
    <col min="40" max="41" width="10.28515625" style="31" customWidth="1"/>
    <col min="42" max="43" width="12.42578125" style="31" customWidth="1"/>
    <col min="44" max="44" width="29.7109375" style="31" customWidth="1"/>
    <col min="45" max="53" width="10.28515625" style="31" customWidth="1"/>
    <col min="54" max="16384" width="10.28515625" style="31"/>
  </cols>
  <sheetData>
    <row r="1" spans="1:58" s="24" customFormat="1" ht="15.75">
      <c r="A1" s="23" t="s">
        <v>188</v>
      </c>
      <c r="G1" s="25"/>
      <c r="H1" s="25"/>
      <c r="I1" s="25"/>
      <c r="J1" s="85"/>
      <c r="K1" s="85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95"/>
      <c r="G2" s="25"/>
      <c r="H2" s="25"/>
      <c r="I2" s="25"/>
      <c r="J2" s="85"/>
      <c r="K2" s="85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655" t="s">
        <v>8</v>
      </c>
      <c r="B3" s="655" t="s">
        <v>9</v>
      </c>
      <c r="C3" s="655" t="s">
        <v>183</v>
      </c>
      <c r="D3" s="655" t="s">
        <v>91</v>
      </c>
      <c r="E3" s="655" t="s">
        <v>92</v>
      </c>
      <c r="F3" s="655" t="s">
        <v>93</v>
      </c>
      <c r="G3" s="668" t="s">
        <v>94</v>
      </c>
      <c r="H3" s="669"/>
      <c r="I3" s="669"/>
      <c r="J3" s="669"/>
      <c r="K3" s="670"/>
      <c r="L3" s="674" t="s">
        <v>95</v>
      </c>
      <c r="M3" s="675"/>
      <c r="N3" s="676"/>
      <c r="O3" s="680" t="s">
        <v>96</v>
      </c>
      <c r="P3" s="667" t="s">
        <v>108</v>
      </c>
      <c r="Q3" s="680" t="s">
        <v>97</v>
      </c>
      <c r="R3" s="653" t="s">
        <v>98</v>
      </c>
      <c r="S3" s="653" t="s">
        <v>99</v>
      </c>
      <c r="T3" s="655" t="s">
        <v>155</v>
      </c>
      <c r="U3" s="655" t="s">
        <v>154</v>
      </c>
      <c r="V3" s="655" t="s">
        <v>156</v>
      </c>
      <c r="W3" s="653" t="s">
        <v>144</v>
      </c>
      <c r="X3" s="660" t="s">
        <v>101</v>
      </c>
      <c r="Y3" s="660" t="s">
        <v>296</v>
      </c>
      <c r="Z3" s="653" t="s">
        <v>102</v>
      </c>
      <c r="AA3" s="655" t="s">
        <v>157</v>
      </c>
      <c r="AB3" s="655" t="s">
        <v>168</v>
      </c>
      <c r="AC3" s="655" t="s">
        <v>166</v>
      </c>
      <c r="AD3" s="655" t="s">
        <v>126</v>
      </c>
      <c r="AE3" s="655" t="s">
        <v>127</v>
      </c>
      <c r="AF3" s="695" t="s">
        <v>128</v>
      </c>
      <c r="AG3" s="695"/>
      <c r="AH3" s="695"/>
      <c r="AI3" s="695"/>
      <c r="AJ3" s="695"/>
      <c r="AK3" s="695"/>
      <c r="AL3" s="695"/>
      <c r="AM3" s="692" t="s">
        <v>129</v>
      </c>
      <c r="AN3" s="700" t="s">
        <v>103</v>
      </c>
      <c r="AO3" s="700"/>
      <c r="AP3" s="700"/>
      <c r="AQ3" s="700"/>
      <c r="AR3" s="700"/>
      <c r="AS3" s="701" t="s">
        <v>104</v>
      </c>
      <c r="AT3" s="688" t="s">
        <v>292</v>
      </c>
      <c r="AU3" s="689"/>
      <c r="AV3" s="696" t="s">
        <v>130</v>
      </c>
      <c r="AW3" s="697"/>
      <c r="AX3" s="698" t="s">
        <v>130</v>
      </c>
      <c r="AY3" s="699"/>
      <c r="AZ3" s="682" t="s">
        <v>308</v>
      </c>
      <c r="BA3" s="687" t="s">
        <v>105</v>
      </c>
      <c r="BB3" s="651" t="s">
        <v>106</v>
      </c>
      <c r="BC3" s="651" t="s">
        <v>107</v>
      </c>
      <c r="BD3" s="645" t="s">
        <v>395</v>
      </c>
      <c r="BE3" s="648" t="s">
        <v>396</v>
      </c>
      <c r="BF3" s="651" t="s">
        <v>397</v>
      </c>
    </row>
    <row r="4" spans="1:58" ht="12" customHeight="1">
      <c r="A4" s="656"/>
      <c r="B4" s="656"/>
      <c r="C4" s="656"/>
      <c r="D4" s="656"/>
      <c r="E4" s="656"/>
      <c r="F4" s="656"/>
      <c r="G4" s="671"/>
      <c r="H4" s="672"/>
      <c r="I4" s="672"/>
      <c r="J4" s="672"/>
      <c r="K4" s="673"/>
      <c r="L4" s="677"/>
      <c r="M4" s="678"/>
      <c r="N4" s="679"/>
      <c r="O4" s="681"/>
      <c r="P4" s="663"/>
      <c r="Q4" s="681"/>
      <c r="R4" s="654"/>
      <c r="S4" s="654"/>
      <c r="T4" s="656"/>
      <c r="U4" s="656"/>
      <c r="V4" s="656"/>
      <c r="W4" s="654"/>
      <c r="X4" s="661"/>
      <c r="Y4" s="661"/>
      <c r="Z4" s="654"/>
      <c r="AA4" s="656"/>
      <c r="AB4" s="656"/>
      <c r="AC4" s="656"/>
      <c r="AD4" s="656"/>
      <c r="AE4" s="656"/>
      <c r="AF4" s="657" t="s">
        <v>131</v>
      </c>
      <c r="AG4" s="658"/>
      <c r="AH4" s="659"/>
      <c r="AI4" s="663" t="s">
        <v>381</v>
      </c>
      <c r="AJ4" s="663" t="s">
        <v>15</v>
      </c>
      <c r="AK4" s="663" t="s">
        <v>132</v>
      </c>
      <c r="AL4" s="663" t="s">
        <v>18</v>
      </c>
      <c r="AM4" s="693"/>
      <c r="AN4" s="666" t="s">
        <v>109</v>
      </c>
      <c r="AO4" s="666" t="s">
        <v>15</v>
      </c>
      <c r="AP4" s="666" t="s">
        <v>110</v>
      </c>
      <c r="AQ4" s="666" t="s">
        <v>18</v>
      </c>
      <c r="AR4" s="687" t="s">
        <v>111</v>
      </c>
      <c r="AS4" s="701"/>
      <c r="AT4" s="690"/>
      <c r="AU4" s="691"/>
      <c r="AV4" s="520" t="s">
        <v>6</v>
      </c>
      <c r="AW4" s="520" t="s">
        <v>133</v>
      </c>
      <c r="AX4" s="521" t="s">
        <v>6</v>
      </c>
      <c r="AY4" s="522" t="s">
        <v>133</v>
      </c>
      <c r="AZ4" s="683"/>
      <c r="BA4" s="687"/>
      <c r="BB4" s="651"/>
      <c r="BC4" s="651"/>
      <c r="BD4" s="646"/>
      <c r="BE4" s="649"/>
      <c r="BF4" s="651"/>
    </row>
    <row r="5" spans="1:58" s="34" customFormat="1" ht="48">
      <c r="A5" s="656"/>
      <c r="B5" s="656"/>
      <c r="C5" s="665"/>
      <c r="D5" s="656"/>
      <c r="E5" s="656"/>
      <c r="F5" s="656"/>
      <c r="G5" s="501" t="s">
        <v>112</v>
      </c>
      <c r="H5" s="500" t="s">
        <v>113</v>
      </c>
      <c r="I5" s="32" t="s">
        <v>114</v>
      </c>
      <c r="J5" s="86" t="s">
        <v>115</v>
      </c>
      <c r="K5" s="86" t="s">
        <v>100</v>
      </c>
      <c r="L5" s="33" t="s">
        <v>116</v>
      </c>
      <c r="M5" s="33" t="s">
        <v>117</v>
      </c>
      <c r="N5" s="500" t="s">
        <v>118</v>
      </c>
      <c r="O5" s="681"/>
      <c r="P5" s="664"/>
      <c r="Q5" s="681"/>
      <c r="R5" s="654"/>
      <c r="S5" s="654"/>
      <c r="T5" s="656"/>
      <c r="U5" s="656"/>
      <c r="V5" s="656"/>
      <c r="W5" s="654"/>
      <c r="X5" s="661"/>
      <c r="Y5" s="662"/>
      <c r="Z5" s="654"/>
      <c r="AA5" s="656"/>
      <c r="AB5" s="665"/>
      <c r="AC5" s="656"/>
      <c r="AD5" s="665"/>
      <c r="AE5" s="656"/>
      <c r="AF5" s="450" t="s">
        <v>297</v>
      </c>
      <c r="AG5" s="525" t="s">
        <v>298</v>
      </c>
      <c r="AH5" s="525" t="s">
        <v>299</v>
      </c>
      <c r="AI5" s="664"/>
      <c r="AJ5" s="664"/>
      <c r="AK5" s="664"/>
      <c r="AL5" s="664"/>
      <c r="AM5" s="694"/>
      <c r="AN5" s="667"/>
      <c r="AO5" s="667"/>
      <c r="AP5" s="667"/>
      <c r="AQ5" s="667"/>
      <c r="AR5" s="653"/>
      <c r="AS5" s="702"/>
      <c r="AT5" s="524" t="s">
        <v>293</v>
      </c>
      <c r="AU5" s="524" t="s">
        <v>294</v>
      </c>
      <c r="AV5" s="523" t="s">
        <v>295</v>
      </c>
      <c r="AW5" s="523" t="s">
        <v>295</v>
      </c>
      <c r="AX5" s="521" t="s">
        <v>17</v>
      </c>
      <c r="AY5" s="521" t="s">
        <v>17</v>
      </c>
      <c r="AZ5" s="684"/>
      <c r="BA5" s="653"/>
      <c r="BB5" s="655"/>
      <c r="BC5" s="655"/>
      <c r="BD5" s="647"/>
      <c r="BE5" s="650"/>
      <c r="BF5" s="652"/>
    </row>
    <row r="6" spans="1:58" ht="12.75" customHeight="1">
      <c r="A6" s="42">
        <f>+Report1!A9</f>
        <v>45931</v>
      </c>
      <c r="B6" s="43" t="s">
        <v>7</v>
      </c>
      <c r="C6" s="421">
        <f t="shared" ref="C6" si="0">(M6*E6*O6*Q6)/100000000</f>
        <v>38.673812120904977</v>
      </c>
      <c r="D6" s="43" t="s">
        <v>304</v>
      </c>
      <c r="E6" s="44">
        <v>12</v>
      </c>
      <c r="F6" s="44">
        <v>1</v>
      </c>
      <c r="G6" s="506">
        <v>1230</v>
      </c>
      <c r="H6" s="46">
        <v>0.23</v>
      </c>
      <c r="I6" s="47">
        <v>0.88</v>
      </c>
      <c r="J6" s="87">
        <f t="shared" ref="J6" si="1">E6*G6*(1-H6)*1440/1000000*2.74</f>
        <v>44.842533120000006</v>
      </c>
      <c r="K6" s="87">
        <f t="shared" ref="K6" si="2">(IF(G6&lt;L6,L6,G6)*(1-IF(H6&lt;N6,H6,N6))*E6*O6*Q6)/100000000</f>
        <v>43.53326208</v>
      </c>
      <c r="L6" s="37">
        <v>1092.6998491704373</v>
      </c>
      <c r="M6" s="37">
        <v>841.37888386123677</v>
      </c>
      <c r="N6" s="48">
        <f t="shared" ref="N6" si="3">1-(M6/L6)</f>
        <v>0.22999999999999998</v>
      </c>
      <c r="O6" s="49">
        <f>+'Trim Rwd'!H4</f>
        <v>266</v>
      </c>
      <c r="P6" s="50">
        <f t="shared" ref="P6" si="4">O6*(Q6-R6-S6)</f>
        <v>168910</v>
      </c>
      <c r="Q6" s="49">
        <v>1440</v>
      </c>
      <c r="R6" s="507">
        <v>777</v>
      </c>
      <c r="S6" s="507">
        <v>28</v>
      </c>
      <c r="T6" s="39">
        <f t="shared" ref="T6" si="5">E6*M6*O6*Q6/100000000</f>
        <v>38.673812120904977</v>
      </c>
      <c r="U6" s="39">
        <f>E6*M6*O6*(Q6-R6-S6)/100000000</f>
        <v>17.054076872760181</v>
      </c>
      <c r="V6" s="39">
        <f>E6*G6*(1-N6)*O6/100*(R6+S6)/1000000</f>
        <v>24.336302760000002</v>
      </c>
      <c r="W6" s="39">
        <f>+'1'!C34/1000</f>
        <v>8.9130000000000003</v>
      </c>
      <c r="X6" s="508">
        <f>SUM(W6:W10)/SUM(K6:K10)</f>
        <v>0.20473999820231253</v>
      </c>
      <c r="Y6" s="216">
        <v>0</v>
      </c>
      <c r="Z6" s="39">
        <f>+'1'!D25/1000</f>
        <v>2.0619999999999998</v>
      </c>
      <c r="AA6" s="51">
        <f>SUM(U6:U10)-SUM(W6:W10)-SUM(Z6:Z10)-SUM(Y6:Y10)</f>
        <v>6.0790768727601812</v>
      </c>
      <c r="AB6" s="51">
        <f>(SUM(K6:K10)-SUM(W6:W10)-SUM(Y6:Y10)-SUM(Z6:Z10)-SUM(AC6:AC10)-SUM(V6:V10))-AA6</f>
        <v>-2.7165675118552013</v>
      </c>
      <c r="AC6" s="39">
        <f>K6-T6</f>
        <v>4.8594499590950235</v>
      </c>
      <c r="AD6" s="39">
        <f>+AM6+BA6</f>
        <v>8</v>
      </c>
      <c r="AE6" s="235" t="s">
        <v>413</v>
      </c>
      <c r="AF6" s="39">
        <v>8</v>
      </c>
      <c r="AG6" s="39"/>
      <c r="AH6" s="39"/>
      <c r="AI6" s="509"/>
      <c r="AJ6" s="39"/>
      <c r="AK6" s="39"/>
      <c r="AL6" s="39"/>
      <c r="AM6" s="39">
        <f t="shared" ref="AM6:AM11" si="6">SUM(AF6:AL6)+AT6+AV6+AX6</f>
        <v>8</v>
      </c>
      <c r="AN6" s="39"/>
      <c r="AO6" s="39"/>
      <c r="AP6" s="39"/>
      <c r="AQ6" s="39"/>
      <c r="AR6" s="39">
        <f>SUM(AN6:AQ6)</f>
        <v>0</v>
      </c>
      <c r="AS6" s="39"/>
      <c r="AT6" s="39"/>
      <c r="AU6" s="39"/>
      <c r="AV6" s="39"/>
      <c r="AW6" s="39"/>
      <c r="AX6" s="39"/>
      <c r="AY6" s="39"/>
      <c r="AZ6" s="39"/>
      <c r="BA6" s="39">
        <f>+AR6+AS6+AU6+AW6+AY6+AZ6</f>
        <v>0</v>
      </c>
      <c r="BB6" s="35">
        <v>4</v>
      </c>
      <c r="BC6" s="53"/>
      <c r="BD6" s="53"/>
      <c r="BE6" s="35"/>
      <c r="BF6" s="53"/>
    </row>
    <row r="7" spans="1:58" ht="12.95" customHeight="1">
      <c r="A7" s="42"/>
      <c r="B7" s="43"/>
      <c r="C7" s="421"/>
      <c r="D7" s="43"/>
      <c r="E7" s="44"/>
      <c r="F7" s="44"/>
      <c r="G7" s="506"/>
      <c r="H7" s="46"/>
      <c r="I7" s="47"/>
      <c r="J7" s="87"/>
      <c r="K7" s="87"/>
      <c r="L7" s="37"/>
      <c r="M7" s="37"/>
      <c r="N7" s="48"/>
      <c r="O7" s="49"/>
      <c r="P7" s="50"/>
      <c r="Q7" s="49"/>
      <c r="R7" s="507"/>
      <c r="S7" s="507"/>
      <c r="T7" s="39"/>
      <c r="U7" s="39"/>
      <c r="V7" s="39"/>
      <c r="W7" s="39"/>
      <c r="X7" s="40"/>
      <c r="Y7" s="216"/>
      <c r="Z7" s="39"/>
      <c r="AA7" s="39"/>
      <c r="AB7" s="39"/>
      <c r="AC7" s="39"/>
      <c r="AD7" s="39">
        <f>+AM7+BA7</f>
        <v>0</v>
      </c>
      <c r="AE7" s="235" t="s">
        <v>286</v>
      </c>
      <c r="AF7" s="39"/>
      <c r="AG7" s="39">
        <v>0</v>
      </c>
      <c r="AH7" s="39"/>
      <c r="AI7" s="39"/>
      <c r="AJ7" s="39"/>
      <c r="AK7" s="39"/>
      <c r="AL7" s="39"/>
      <c r="AM7" s="39">
        <f t="shared" si="6"/>
        <v>0</v>
      </c>
      <c r="AN7" s="88"/>
      <c r="AO7" s="39"/>
      <c r="AP7" s="39"/>
      <c r="AQ7" s="39"/>
      <c r="AR7" s="39">
        <f t="shared" ref="AR7:AR8" si="7">SUM(AN7:AQ7)</f>
        <v>0</v>
      </c>
      <c r="AS7" s="39"/>
      <c r="AT7" s="39"/>
      <c r="AU7" s="39"/>
      <c r="AV7" s="39"/>
      <c r="AW7" s="39"/>
      <c r="AX7" s="39"/>
      <c r="AY7" s="39"/>
      <c r="AZ7" s="39"/>
      <c r="BA7" s="39">
        <f>+AR7+AS7+AU7+AW7+AY7+AZ7</f>
        <v>0</v>
      </c>
      <c r="BB7" s="52"/>
      <c r="BC7" s="53">
        <v>0</v>
      </c>
      <c r="BD7" s="53"/>
      <c r="BE7" s="52"/>
      <c r="BF7" s="53"/>
    </row>
    <row r="8" spans="1:58" ht="12.95" customHeight="1">
      <c r="A8" s="42"/>
      <c r="B8" s="43"/>
      <c r="C8" s="421"/>
      <c r="D8" s="43"/>
      <c r="E8" s="44"/>
      <c r="F8" s="44"/>
      <c r="G8" s="45"/>
      <c r="H8" s="46"/>
      <c r="I8" s="47"/>
      <c r="J8" s="87"/>
      <c r="K8" s="87"/>
      <c r="L8" s="37"/>
      <c r="M8" s="37"/>
      <c r="N8" s="48"/>
      <c r="O8" s="49"/>
      <c r="P8" s="50"/>
      <c r="Q8" s="49"/>
      <c r="R8" s="507"/>
      <c r="S8" s="507"/>
      <c r="T8" s="39"/>
      <c r="U8" s="39"/>
      <c r="V8" s="39"/>
      <c r="W8" s="39"/>
      <c r="X8" s="40"/>
      <c r="Y8" s="216"/>
      <c r="Z8" s="39"/>
      <c r="AA8" s="39"/>
      <c r="AB8" s="39"/>
      <c r="AC8" s="39"/>
      <c r="AD8" s="39">
        <f>+AM8+BA8</f>
        <v>20</v>
      </c>
      <c r="AE8" s="235" t="s">
        <v>414</v>
      </c>
      <c r="AF8" s="35"/>
      <c r="AG8" s="35"/>
      <c r="AH8" s="35">
        <v>20</v>
      </c>
      <c r="AI8" s="35"/>
      <c r="AJ8" s="39"/>
      <c r="AK8" s="39"/>
      <c r="AL8" s="39"/>
      <c r="AM8" s="39">
        <f t="shared" si="6"/>
        <v>20</v>
      </c>
      <c r="AN8" s="39"/>
      <c r="AO8" s="39"/>
      <c r="AP8" s="39"/>
      <c r="AQ8" s="39"/>
      <c r="AR8" s="39">
        <f t="shared" si="7"/>
        <v>0</v>
      </c>
      <c r="AS8" s="39"/>
      <c r="AT8" s="39"/>
      <c r="AU8" s="39"/>
      <c r="AV8" s="39"/>
      <c r="AW8" s="39"/>
      <c r="AX8" s="39"/>
      <c r="AY8" s="39"/>
      <c r="AZ8" s="39"/>
      <c r="BA8" s="39">
        <f>+AR8+AS8+AU8+AW8+AY8+AZ8</f>
        <v>0</v>
      </c>
      <c r="BB8" s="35"/>
      <c r="BC8" s="510"/>
      <c r="BD8" s="510"/>
      <c r="BE8" s="35"/>
      <c r="BF8" s="510"/>
    </row>
    <row r="9" spans="1:58" ht="12.95" customHeight="1">
      <c r="A9" s="42"/>
      <c r="B9" s="43"/>
      <c r="C9" s="421"/>
      <c r="D9" s="43"/>
      <c r="E9" s="44"/>
      <c r="F9" s="44"/>
      <c r="G9" s="45"/>
      <c r="H9" s="46"/>
      <c r="I9" s="47"/>
      <c r="J9" s="87"/>
      <c r="K9" s="87"/>
      <c r="L9" s="37"/>
      <c r="M9" s="37"/>
      <c r="N9" s="48"/>
      <c r="O9" s="49"/>
      <c r="P9" s="50"/>
      <c r="Q9" s="49"/>
      <c r="R9" s="507"/>
      <c r="S9" s="507"/>
      <c r="T9" s="39"/>
      <c r="U9" s="39"/>
      <c r="V9" s="39"/>
      <c r="W9" s="39"/>
      <c r="X9" s="40"/>
      <c r="Y9" s="216"/>
      <c r="Z9" s="39"/>
      <c r="AA9" s="39"/>
      <c r="AB9" s="39"/>
      <c r="AC9" s="39"/>
      <c r="AD9" s="39">
        <f>+AM9+BA9</f>
        <v>720</v>
      </c>
      <c r="AE9" s="235" t="s">
        <v>415</v>
      </c>
      <c r="AF9" s="35"/>
      <c r="AG9" s="35"/>
      <c r="AH9" s="35"/>
      <c r="AI9" s="35"/>
      <c r="AJ9" s="39"/>
      <c r="AK9" s="39"/>
      <c r="AL9" s="39"/>
      <c r="AM9" s="39">
        <f t="shared" ref="AM9" si="8">SUM(AF9:AL9)+AT9+AV9+AX9</f>
        <v>0</v>
      </c>
      <c r="AN9" s="39"/>
      <c r="AO9" s="39"/>
      <c r="AP9" s="39"/>
      <c r="AQ9" s="39"/>
      <c r="AR9" s="39">
        <f t="shared" ref="AR9" si="9">SUM(AN9:AQ9)</f>
        <v>0</v>
      </c>
      <c r="AS9" s="39"/>
      <c r="AT9" s="39"/>
      <c r="AU9" s="39">
        <f>480+240</f>
        <v>720</v>
      </c>
      <c r="AV9" s="39"/>
      <c r="AW9" s="39"/>
      <c r="AX9" s="39"/>
      <c r="AY9" s="39"/>
      <c r="AZ9" s="39"/>
      <c r="BA9" s="39">
        <f>+AR9+AS9+AU9+AW9+AY9+AZ9</f>
        <v>720</v>
      </c>
      <c r="BB9" s="35"/>
      <c r="BC9" s="510"/>
      <c r="BD9" s="510"/>
      <c r="BE9" s="35"/>
      <c r="BF9" s="510"/>
    </row>
    <row r="10" spans="1:58" ht="12.95" customHeight="1">
      <c r="A10" s="42"/>
      <c r="B10" s="43"/>
      <c r="C10" s="421"/>
      <c r="D10" s="43"/>
      <c r="E10" s="44"/>
      <c r="F10" s="44"/>
      <c r="G10" s="45"/>
      <c r="H10" s="46"/>
      <c r="I10" s="47"/>
      <c r="J10" s="87"/>
      <c r="K10" s="87"/>
      <c r="L10" s="37"/>
      <c r="M10" s="37"/>
      <c r="N10" s="48"/>
      <c r="O10" s="49"/>
      <c r="P10" s="50"/>
      <c r="Q10" s="49"/>
      <c r="R10" s="507"/>
      <c r="S10" s="507"/>
      <c r="T10" s="39"/>
      <c r="U10" s="39"/>
      <c r="V10" s="39"/>
      <c r="W10" s="39"/>
      <c r="X10" s="40"/>
      <c r="Y10" s="216"/>
      <c r="Z10" s="39"/>
      <c r="AA10" s="39"/>
      <c r="AB10" s="39"/>
      <c r="AC10" s="39"/>
      <c r="AD10" s="39">
        <f>+AM10+BA10</f>
        <v>57</v>
      </c>
      <c r="AE10" s="235" t="s">
        <v>416</v>
      </c>
      <c r="AF10" s="35"/>
      <c r="AG10" s="35"/>
      <c r="AH10" s="35"/>
      <c r="AI10" s="35"/>
      <c r="AJ10" s="39"/>
      <c r="AK10" s="39"/>
      <c r="AL10" s="39"/>
      <c r="AM10" s="39">
        <f t="shared" ref="AM10" si="10">SUM(AF10:AL10)+AT10+AV10+AX10</f>
        <v>0</v>
      </c>
      <c r="AN10" s="39"/>
      <c r="AO10" s="39"/>
      <c r="AP10" s="39">
        <f>777-720</f>
        <v>57</v>
      </c>
      <c r="AQ10" s="39"/>
      <c r="AR10" s="39">
        <f t="shared" ref="AR10" si="11">SUM(AN10:AQ10)</f>
        <v>57</v>
      </c>
      <c r="AS10" s="39"/>
      <c r="AT10" s="39"/>
      <c r="AU10" s="39"/>
      <c r="AV10" s="39"/>
      <c r="AW10" s="39"/>
      <c r="AX10" s="39"/>
      <c r="AY10" s="39"/>
      <c r="AZ10" s="39"/>
      <c r="BA10" s="39">
        <f>+AR10+AS10+AU10+AW10+AY10+AZ10</f>
        <v>57</v>
      </c>
      <c r="BB10" s="35"/>
      <c r="BC10" s="510"/>
      <c r="BD10" s="510"/>
      <c r="BE10" s="35"/>
      <c r="BF10" s="510"/>
    </row>
    <row r="11" spans="1:58" ht="12.95" customHeight="1">
      <c r="A11" s="42"/>
      <c r="B11" s="43"/>
      <c r="C11" s="421"/>
      <c r="D11" s="43"/>
      <c r="E11" s="44"/>
      <c r="F11" s="44"/>
      <c r="G11" s="506"/>
      <c r="H11" s="46"/>
      <c r="I11" s="47"/>
      <c r="J11" s="87"/>
      <c r="K11" s="87"/>
      <c r="L11" s="37"/>
      <c r="M11" s="37"/>
      <c r="N11" s="48"/>
      <c r="O11" s="49"/>
      <c r="P11" s="50"/>
      <c r="Q11" s="49"/>
      <c r="R11" s="507"/>
      <c r="S11" s="507"/>
      <c r="T11" s="39"/>
      <c r="U11" s="39"/>
      <c r="V11" s="39"/>
      <c r="W11" s="39"/>
      <c r="X11" s="508"/>
      <c r="Y11" s="216"/>
      <c r="Z11" s="39"/>
      <c r="AA11" s="51"/>
      <c r="AB11" s="51"/>
      <c r="AC11" s="39"/>
      <c r="AD11" s="39"/>
      <c r="AE11" s="235"/>
      <c r="AF11" s="39"/>
      <c r="AG11" s="39"/>
      <c r="AH11" s="39"/>
      <c r="AI11" s="509"/>
      <c r="AJ11" s="39"/>
      <c r="AK11" s="39"/>
      <c r="AL11" s="39"/>
      <c r="AM11" s="39">
        <f t="shared" si="6"/>
        <v>0</v>
      </c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5"/>
      <c r="BC11" s="53"/>
      <c r="BD11" s="53"/>
      <c r="BE11" s="52"/>
      <c r="BF11" s="53"/>
    </row>
    <row r="12" spans="1:58" ht="12.75" customHeight="1">
      <c r="A12" s="42">
        <v>45932</v>
      </c>
      <c r="B12" s="43" t="s">
        <v>7</v>
      </c>
      <c r="C12" s="421">
        <f t="shared" ref="C12" si="12">(M12*E12*O12*Q12)/100000000</f>
        <v>42.617132807586202</v>
      </c>
      <c r="D12" s="43" t="s">
        <v>304</v>
      </c>
      <c r="E12" s="44">
        <v>12</v>
      </c>
      <c r="F12" s="44">
        <v>1</v>
      </c>
      <c r="G12" s="506">
        <v>1230</v>
      </c>
      <c r="H12" s="46">
        <v>0.23</v>
      </c>
      <c r="I12" s="47">
        <v>0.88</v>
      </c>
      <c r="J12" s="87">
        <f t="shared" ref="J12" si="13">E12*G12*(1-H12)*1440/1000000*2.74</f>
        <v>44.842533120000006</v>
      </c>
      <c r="K12" s="87">
        <f t="shared" ref="K12" si="14">(IF(G12&lt;L12,L12,G12)*(1-IF(H12&lt;N12,H12,N12))*E12*O12*Q12)/100000000</f>
        <v>43.110006355862062</v>
      </c>
      <c r="L12" s="37">
        <v>1215.9375</v>
      </c>
      <c r="M12" s="37">
        <v>936.27187500000002</v>
      </c>
      <c r="N12" s="48">
        <f t="shared" ref="N12" si="15">1-(M12/L12)</f>
        <v>0.22999999999999998</v>
      </c>
      <c r="O12" s="49">
        <f>+'Trim Rwd'!H6</f>
        <v>263.41379310344826</v>
      </c>
      <c r="P12" s="50">
        <f t="shared" ref="P12" si="16">O12*(Q12-R12-S12)</f>
        <v>369569.55172413791</v>
      </c>
      <c r="Q12" s="49">
        <v>1440</v>
      </c>
      <c r="R12" s="507">
        <v>0</v>
      </c>
      <c r="S12" s="507">
        <v>37</v>
      </c>
      <c r="T12" s="39">
        <f t="shared" ref="T12" si="17">E12*M12*O12*Q12/100000000</f>
        <v>42.617132807586202</v>
      </c>
      <c r="U12" s="39">
        <f>E12*M12*O12*(Q12-R12-S12)/100000000</f>
        <v>41.522109256280167</v>
      </c>
      <c r="V12" s="39">
        <f>E12*G12*(1-N12)*O12/100*(R12+S12)/1000000</f>
        <v>1.1076876633103447</v>
      </c>
      <c r="W12" s="39">
        <f>+'2'!K7/1000</f>
        <v>36.587000000000003</v>
      </c>
      <c r="X12" s="508">
        <f>SUM(W12:W15)/SUM(K12:K15)</f>
        <v>0.84868927408601358</v>
      </c>
      <c r="Y12" s="216">
        <v>0</v>
      </c>
      <c r="Z12" s="39">
        <f>+'1'!D31/1000</f>
        <v>0</v>
      </c>
      <c r="AA12" s="51">
        <f>SUM(U12:U15)-SUM(W12:W15)-SUM(Z12:Z15)-SUM(Y12:Y15)</f>
        <v>4.9351092562801639</v>
      </c>
      <c r="AB12" s="51">
        <f>(SUM(K12:K15)-SUM(W12:W15)-SUM(Y12:Y15)-SUM(Z12:Z15)-SUM(AC12:AC15)-SUM(V12:V15))-AA12</f>
        <v>-1.2664112004309835E-2</v>
      </c>
      <c r="AC12" s="39">
        <f>K12-T12</f>
        <v>0.49287354827585972</v>
      </c>
      <c r="AD12" s="39">
        <f>+AM12+BA12</f>
        <v>8</v>
      </c>
      <c r="AE12" s="235" t="s">
        <v>413</v>
      </c>
      <c r="AF12" s="39">
        <v>8</v>
      </c>
      <c r="AG12" s="39"/>
      <c r="AH12" s="39"/>
      <c r="AI12" s="509"/>
      <c r="AJ12" s="39"/>
      <c r="AK12" s="39"/>
      <c r="AL12" s="39"/>
      <c r="AM12" s="39">
        <f t="shared" ref="AM12:AM14" si="18">SUM(AF12:AL12)+AT12+AV12+AX12</f>
        <v>8</v>
      </c>
      <c r="AN12" s="39"/>
      <c r="AO12" s="39"/>
      <c r="AP12" s="39"/>
      <c r="AQ12" s="39"/>
      <c r="AR12" s="39">
        <f>SUM(AN12:AQ12)</f>
        <v>0</v>
      </c>
      <c r="AS12" s="39"/>
      <c r="AT12" s="39"/>
      <c r="AU12" s="39"/>
      <c r="AV12" s="39"/>
      <c r="AW12" s="39"/>
      <c r="AX12" s="39"/>
      <c r="AY12" s="39"/>
      <c r="AZ12" s="39"/>
      <c r="BA12" s="39">
        <f>+AR12+AS12+AU12+AW12+AY12+AZ12</f>
        <v>0</v>
      </c>
      <c r="BB12" s="35">
        <v>4</v>
      </c>
      <c r="BC12" s="53"/>
      <c r="BD12" s="53"/>
      <c r="BE12" s="35"/>
      <c r="BF12" s="53"/>
    </row>
    <row r="13" spans="1:58" ht="12.95" customHeight="1">
      <c r="A13" s="42"/>
      <c r="B13" s="43"/>
      <c r="C13" s="421"/>
      <c r="D13" s="43"/>
      <c r="E13" s="44"/>
      <c r="F13" s="44"/>
      <c r="G13" s="506"/>
      <c r="H13" s="46"/>
      <c r="I13" s="47"/>
      <c r="J13" s="87"/>
      <c r="K13" s="87"/>
      <c r="L13" s="37"/>
      <c r="M13" s="37"/>
      <c r="N13" s="48"/>
      <c r="O13" s="49"/>
      <c r="P13" s="50"/>
      <c r="Q13" s="49"/>
      <c r="R13" s="507"/>
      <c r="S13" s="507"/>
      <c r="T13" s="39"/>
      <c r="U13" s="39"/>
      <c r="V13" s="39"/>
      <c r="W13" s="39"/>
      <c r="X13" s="40"/>
      <c r="Y13" s="216"/>
      <c r="Z13" s="39"/>
      <c r="AA13" s="39"/>
      <c r="AB13" s="39"/>
      <c r="AC13" s="39"/>
      <c r="AD13" s="39">
        <f>+AM13+BA13</f>
        <v>4</v>
      </c>
      <c r="AE13" s="235" t="s">
        <v>388</v>
      </c>
      <c r="AF13" s="39"/>
      <c r="AG13" s="39">
        <v>4</v>
      </c>
      <c r="AH13" s="39"/>
      <c r="AI13" s="39"/>
      <c r="AJ13" s="39"/>
      <c r="AK13" s="39"/>
      <c r="AL13" s="39"/>
      <c r="AM13" s="39">
        <f t="shared" si="18"/>
        <v>4</v>
      </c>
      <c r="AN13" s="88"/>
      <c r="AO13" s="39"/>
      <c r="AP13" s="39"/>
      <c r="AQ13" s="39"/>
      <c r="AR13" s="39">
        <f t="shared" ref="AR13:AR14" si="19">SUM(AN13:AQ13)</f>
        <v>0</v>
      </c>
      <c r="AS13" s="39"/>
      <c r="AT13" s="39"/>
      <c r="AU13" s="39"/>
      <c r="AV13" s="39"/>
      <c r="AW13" s="39"/>
      <c r="AX13" s="39"/>
      <c r="AY13" s="39"/>
      <c r="AZ13" s="39"/>
      <c r="BA13" s="39">
        <f>+AR13+AS13+AU13+AW13+AY13+AZ13</f>
        <v>0</v>
      </c>
      <c r="BB13" s="52"/>
      <c r="BC13" s="53">
        <v>5</v>
      </c>
      <c r="BD13" s="53"/>
      <c r="BE13" s="52"/>
      <c r="BF13" s="53"/>
    </row>
    <row r="14" spans="1:58" ht="12.95" customHeight="1">
      <c r="A14" s="42"/>
      <c r="B14" s="43"/>
      <c r="C14" s="421"/>
      <c r="D14" s="43"/>
      <c r="E14" s="44"/>
      <c r="F14" s="44"/>
      <c r="G14" s="45"/>
      <c r="H14" s="46"/>
      <c r="I14" s="47"/>
      <c r="J14" s="87"/>
      <c r="K14" s="87"/>
      <c r="L14" s="37"/>
      <c r="M14" s="37"/>
      <c r="N14" s="48"/>
      <c r="O14" s="49"/>
      <c r="P14" s="50"/>
      <c r="Q14" s="49"/>
      <c r="R14" s="507"/>
      <c r="S14" s="507"/>
      <c r="T14" s="39"/>
      <c r="U14" s="39"/>
      <c r="V14" s="39"/>
      <c r="W14" s="39"/>
      <c r="X14" s="40"/>
      <c r="Y14" s="216"/>
      <c r="Z14" s="39"/>
      <c r="AA14" s="39"/>
      <c r="AB14" s="39"/>
      <c r="AC14" s="39"/>
      <c r="AD14" s="39">
        <f>+AM14+BA14</f>
        <v>25</v>
      </c>
      <c r="AE14" s="235" t="s">
        <v>432</v>
      </c>
      <c r="AF14" s="35"/>
      <c r="AG14" s="35"/>
      <c r="AH14" s="35">
        <v>25</v>
      </c>
      <c r="AI14" s="35"/>
      <c r="AJ14" s="39"/>
      <c r="AK14" s="39"/>
      <c r="AL14" s="39"/>
      <c r="AM14" s="39">
        <f t="shared" si="18"/>
        <v>25</v>
      </c>
      <c r="AN14" s="39"/>
      <c r="AO14" s="39"/>
      <c r="AP14" s="39"/>
      <c r="AQ14" s="39"/>
      <c r="AR14" s="39">
        <f t="shared" si="19"/>
        <v>0</v>
      </c>
      <c r="AS14" s="39"/>
      <c r="AT14" s="39"/>
      <c r="AU14" s="39"/>
      <c r="AV14" s="39"/>
      <c r="AW14" s="39"/>
      <c r="AX14" s="39"/>
      <c r="AY14" s="39"/>
      <c r="AZ14" s="39"/>
      <c r="BA14" s="39">
        <f>+AR14+AS14+AU14+AW14+AY14+AZ14</f>
        <v>0</v>
      </c>
      <c r="BB14" s="35"/>
      <c r="BC14" s="510"/>
      <c r="BD14" s="510"/>
      <c r="BE14" s="35"/>
      <c r="BF14" s="510"/>
    </row>
    <row r="15" spans="1:58" ht="12.95" customHeight="1">
      <c r="A15" s="42"/>
      <c r="B15" s="43"/>
      <c r="C15" s="421"/>
      <c r="D15" s="43"/>
      <c r="E15" s="44"/>
      <c r="F15" s="44"/>
      <c r="G15" s="45"/>
      <c r="H15" s="46"/>
      <c r="I15" s="47"/>
      <c r="J15" s="87"/>
      <c r="K15" s="87"/>
      <c r="L15" s="37"/>
      <c r="M15" s="37"/>
      <c r="N15" s="48"/>
      <c r="O15" s="49"/>
      <c r="P15" s="50"/>
      <c r="Q15" s="36"/>
      <c r="R15" s="507"/>
      <c r="S15" s="507"/>
      <c r="T15" s="39"/>
      <c r="U15" s="39"/>
      <c r="V15" s="39"/>
      <c r="W15" s="39"/>
      <c r="X15" s="40"/>
      <c r="Y15" s="216"/>
      <c r="Z15" s="39"/>
      <c r="AA15" s="39"/>
      <c r="AB15" s="39"/>
      <c r="AC15" s="39"/>
      <c r="AD15" s="39"/>
      <c r="AE15" s="238"/>
      <c r="AF15" s="39"/>
      <c r="AG15" s="39"/>
      <c r="AH15" s="39"/>
      <c r="AI15" s="50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52"/>
      <c r="BC15" s="53"/>
      <c r="BD15" s="53"/>
      <c r="BE15" s="52"/>
      <c r="BF15" s="53"/>
    </row>
    <row r="16" spans="1:58" ht="12.75" customHeight="1">
      <c r="A16" s="42">
        <v>45933</v>
      </c>
      <c r="B16" s="43" t="s">
        <v>7</v>
      </c>
      <c r="C16" s="421">
        <f t="shared" ref="C16" si="20">(M16*E16*O16*Q16)/100000000</f>
        <v>42.296654400000001</v>
      </c>
      <c r="D16" s="43" t="s">
        <v>304</v>
      </c>
      <c r="E16" s="44">
        <v>12</v>
      </c>
      <c r="F16" s="44">
        <v>1</v>
      </c>
      <c r="G16" s="506">
        <v>1230</v>
      </c>
      <c r="H16" s="46">
        <v>0.23</v>
      </c>
      <c r="I16" s="47">
        <v>0.88</v>
      </c>
      <c r="J16" s="87">
        <f t="shared" ref="J16" si="21">E16*G16*(1-H16)*1440/1000000*2.74</f>
        <v>44.842533120000006</v>
      </c>
      <c r="K16" s="87">
        <f t="shared" ref="K16" si="22">(IF(G16&lt;L16,L16,G16)*(1-IF(H16&lt;N16,H16,N16))*E16*O16*Q16)/100000000</f>
        <v>42.551308799999994</v>
      </c>
      <c r="L16" s="37">
        <v>1222.6388888888889</v>
      </c>
      <c r="M16" s="37">
        <v>941.43194444444441</v>
      </c>
      <c r="N16" s="48">
        <f t="shared" ref="N16" si="23">1-(M16/L16)</f>
        <v>0.23000000000000009</v>
      </c>
      <c r="O16" s="49">
        <f>+'Trim Rwd'!H9</f>
        <v>260</v>
      </c>
      <c r="P16" s="50">
        <f t="shared" ref="P16" si="24">O16*(Q16-R16-S16)</f>
        <v>365300</v>
      </c>
      <c r="Q16" s="49">
        <v>1440</v>
      </c>
      <c r="R16" s="507">
        <v>0</v>
      </c>
      <c r="S16" s="507">
        <v>35</v>
      </c>
      <c r="T16" s="39">
        <f t="shared" ref="T16" si="25">E16*M16*O16*Q16/100000000</f>
        <v>42.296654400000001</v>
      </c>
      <c r="U16" s="39">
        <f>E16*M16*O16*(Q16-R16-S16)/100000000</f>
        <v>41.268610716666664</v>
      </c>
      <c r="V16" s="39">
        <f>E16*G16*(1-N16)*O16/100*(R16+S16)/1000000</f>
        <v>1.0342331999999999</v>
      </c>
      <c r="W16" s="39">
        <f>+'3'!K7/1000</f>
        <v>36.482999999999997</v>
      </c>
      <c r="X16" s="508">
        <f>SUM(W16:W19)/SUM(K16:K19)</f>
        <v>0.85738843360794581</v>
      </c>
      <c r="Y16" s="216">
        <v>0</v>
      </c>
      <c r="Z16" s="39">
        <f>+'3'!D16/1000</f>
        <v>0.11700000000000001</v>
      </c>
      <c r="AA16" s="51">
        <f>SUM(U16:U19)-SUM(W16:W19)-SUM(Z16:Z19)-SUM(Y16:Y19)</f>
        <v>4.6686107166666675</v>
      </c>
      <c r="AB16" s="51">
        <f>(SUM(K16:K19)-SUM(W16:W19)-SUM(Y16:Y19)-SUM(Z16:Z19)-SUM(AC16:AC19)-SUM(V16:V19))-AA16</f>
        <v>-6.1895166666632306E-3</v>
      </c>
      <c r="AC16" s="39">
        <f>K16-T16</f>
        <v>0.25465439999999262</v>
      </c>
      <c r="AD16" s="39">
        <f>+AM16+BA16</f>
        <v>0</v>
      </c>
      <c r="AE16" s="235" t="s">
        <v>386</v>
      </c>
      <c r="AF16" s="39">
        <v>0</v>
      </c>
      <c r="AG16" s="39"/>
      <c r="AH16" s="39"/>
      <c r="AI16" s="509"/>
      <c r="AJ16" s="39"/>
      <c r="AK16" s="39"/>
      <c r="AL16" s="39"/>
      <c r="AM16" s="39">
        <f t="shared" ref="AM16:AM18" si="26">SUM(AF16:AL16)+AT16+AV16+AX16</f>
        <v>0</v>
      </c>
      <c r="AN16" s="39"/>
      <c r="AO16" s="39"/>
      <c r="AP16" s="39"/>
      <c r="AQ16" s="39"/>
      <c r="AR16" s="39">
        <f>SUM(AN16:AQ16)</f>
        <v>0</v>
      </c>
      <c r="AS16" s="39"/>
      <c r="AT16" s="39"/>
      <c r="AU16" s="39"/>
      <c r="AV16" s="39"/>
      <c r="AW16" s="39"/>
      <c r="AX16" s="39"/>
      <c r="AY16" s="39"/>
      <c r="AZ16" s="39"/>
      <c r="BA16" s="39">
        <f>+AR16+AS16+AU16+AW16+AY16+AZ16</f>
        <v>0</v>
      </c>
      <c r="BB16" s="35">
        <v>0</v>
      </c>
      <c r="BC16" s="53"/>
      <c r="BD16" s="53"/>
      <c r="BE16" s="35"/>
      <c r="BF16" s="53"/>
    </row>
    <row r="17" spans="1:58" ht="12.95" customHeight="1">
      <c r="A17" s="42"/>
      <c r="B17" s="43"/>
      <c r="C17" s="421"/>
      <c r="D17" s="43"/>
      <c r="E17" s="44"/>
      <c r="F17" s="44"/>
      <c r="G17" s="506"/>
      <c r="H17" s="46"/>
      <c r="I17" s="47"/>
      <c r="J17" s="87"/>
      <c r="K17" s="87"/>
      <c r="L17" s="37"/>
      <c r="M17" s="37"/>
      <c r="N17" s="48"/>
      <c r="O17" s="49"/>
      <c r="P17" s="50"/>
      <c r="Q17" s="49"/>
      <c r="R17" s="507"/>
      <c r="S17" s="507"/>
      <c r="T17" s="39"/>
      <c r="U17" s="39"/>
      <c r="V17" s="39"/>
      <c r="W17" s="39"/>
      <c r="X17" s="40"/>
      <c r="Y17" s="216"/>
      <c r="Z17" s="39"/>
      <c r="AA17" s="39"/>
      <c r="AB17" s="39"/>
      <c r="AC17" s="39"/>
      <c r="AD17" s="39">
        <f>+AM17+BA17</f>
        <v>12</v>
      </c>
      <c r="AE17" s="235" t="s">
        <v>444</v>
      </c>
      <c r="AF17" s="39"/>
      <c r="AG17" s="39">
        <v>12</v>
      </c>
      <c r="AH17" s="39"/>
      <c r="AI17" s="39"/>
      <c r="AJ17" s="39"/>
      <c r="AK17" s="39"/>
      <c r="AL17" s="39"/>
      <c r="AM17" s="39">
        <f t="shared" si="26"/>
        <v>12</v>
      </c>
      <c r="AN17" s="88"/>
      <c r="AO17" s="39"/>
      <c r="AP17" s="39"/>
      <c r="AQ17" s="39"/>
      <c r="AR17" s="39">
        <f t="shared" ref="AR17:AR18" si="27">SUM(AN17:AQ17)</f>
        <v>0</v>
      </c>
      <c r="AS17" s="39"/>
      <c r="AT17" s="39"/>
      <c r="AU17" s="39"/>
      <c r="AV17" s="39"/>
      <c r="AW17" s="39"/>
      <c r="AX17" s="39"/>
      <c r="AY17" s="39"/>
      <c r="AZ17" s="39"/>
      <c r="BA17" s="39">
        <f>+AR17+AS17+AU17+AW17+AY17+AZ17</f>
        <v>0</v>
      </c>
      <c r="BB17" s="52"/>
      <c r="BC17" s="53">
        <v>9</v>
      </c>
      <c r="BD17" s="53"/>
      <c r="BE17" s="52"/>
      <c r="BF17" s="53"/>
    </row>
    <row r="18" spans="1:58" ht="12.95" customHeight="1">
      <c r="A18" s="42"/>
      <c r="B18" s="43"/>
      <c r="C18" s="421"/>
      <c r="D18" s="43"/>
      <c r="E18" s="44"/>
      <c r="F18" s="44"/>
      <c r="G18" s="45"/>
      <c r="H18" s="46"/>
      <c r="I18" s="47"/>
      <c r="J18" s="87"/>
      <c r="K18" s="87"/>
      <c r="L18" s="37"/>
      <c r="M18" s="37"/>
      <c r="N18" s="48"/>
      <c r="O18" s="49"/>
      <c r="P18" s="50"/>
      <c r="Q18" s="49"/>
      <c r="R18" s="507"/>
      <c r="S18" s="507"/>
      <c r="T18" s="39"/>
      <c r="U18" s="39"/>
      <c r="V18" s="39"/>
      <c r="W18" s="39"/>
      <c r="X18" s="40"/>
      <c r="Y18" s="216"/>
      <c r="Z18" s="39"/>
      <c r="AA18" s="39"/>
      <c r="AB18" s="39"/>
      <c r="AC18" s="39"/>
      <c r="AD18" s="39">
        <f>+AM18+BA18</f>
        <v>23</v>
      </c>
      <c r="AE18" s="235" t="s">
        <v>445</v>
      </c>
      <c r="AF18" s="35"/>
      <c r="AG18" s="35"/>
      <c r="AH18" s="35">
        <v>23</v>
      </c>
      <c r="AI18" s="35"/>
      <c r="AJ18" s="39"/>
      <c r="AK18" s="39"/>
      <c r="AL18" s="39"/>
      <c r="AM18" s="39">
        <f t="shared" si="26"/>
        <v>23</v>
      </c>
      <c r="AN18" s="39"/>
      <c r="AO18" s="39"/>
      <c r="AP18" s="39"/>
      <c r="AQ18" s="39"/>
      <c r="AR18" s="39">
        <f t="shared" si="27"/>
        <v>0</v>
      </c>
      <c r="AS18" s="39"/>
      <c r="AT18" s="39"/>
      <c r="AU18" s="39"/>
      <c r="AV18" s="39"/>
      <c r="AW18" s="39"/>
      <c r="AX18" s="39"/>
      <c r="AY18" s="39"/>
      <c r="AZ18" s="39"/>
      <c r="BA18" s="39">
        <f>+AR18+AS18+AU18+AW18+AY18+AZ18</f>
        <v>0</v>
      </c>
      <c r="BB18" s="35"/>
      <c r="BC18" s="510"/>
      <c r="BD18" s="510"/>
      <c r="BE18" s="35"/>
      <c r="BF18" s="510"/>
    </row>
    <row r="19" spans="1:58" ht="12.95" customHeight="1">
      <c r="A19" s="42"/>
      <c r="B19" s="43"/>
      <c r="C19" s="421"/>
      <c r="D19" s="43"/>
      <c r="E19" s="44"/>
      <c r="F19" s="44"/>
      <c r="G19" s="506"/>
      <c r="H19" s="46"/>
      <c r="I19" s="47"/>
      <c r="J19" s="87"/>
      <c r="K19" s="87"/>
      <c r="L19" s="37"/>
      <c r="M19" s="37"/>
      <c r="N19" s="48"/>
      <c r="O19" s="49"/>
      <c r="P19" s="50"/>
      <c r="Q19" s="49"/>
      <c r="R19" s="507"/>
      <c r="S19" s="507"/>
      <c r="T19" s="39"/>
      <c r="U19" s="39"/>
      <c r="V19" s="39"/>
      <c r="W19" s="39"/>
      <c r="X19" s="40"/>
      <c r="Y19" s="216"/>
      <c r="Z19" s="39"/>
      <c r="AA19" s="39"/>
      <c r="AB19" s="39"/>
      <c r="AC19" s="39"/>
      <c r="AD19" s="39"/>
      <c r="AE19" s="235"/>
      <c r="AF19" s="39"/>
      <c r="AG19" s="39"/>
      <c r="AH19" s="39"/>
      <c r="AI19" s="509"/>
      <c r="AJ19" s="39"/>
      <c r="AK19" s="39"/>
      <c r="AL19" s="39"/>
      <c r="AM19" s="39"/>
      <c r="AN19" s="88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52"/>
      <c r="BC19" s="53"/>
      <c r="BD19" s="53"/>
      <c r="BE19" s="52"/>
      <c r="BF19" s="53"/>
    </row>
    <row r="20" spans="1:58" ht="12.75" customHeight="1">
      <c r="A20" s="42">
        <v>45934</v>
      </c>
      <c r="B20" s="43" t="s">
        <v>7</v>
      </c>
      <c r="C20" s="421">
        <f t="shared" ref="C20" si="28">(M20*E20*O20*Q20)/100000000</f>
        <v>2.1235737600000002</v>
      </c>
      <c r="D20" s="43" t="s">
        <v>304</v>
      </c>
      <c r="E20" s="44">
        <v>12</v>
      </c>
      <c r="F20" s="44">
        <v>1</v>
      </c>
      <c r="G20" s="506">
        <v>1230</v>
      </c>
      <c r="H20" s="46">
        <v>0.23</v>
      </c>
      <c r="I20" s="47">
        <v>0.88</v>
      </c>
      <c r="J20" s="87">
        <f t="shared" ref="J20" si="29">E20*G20*(1-H20)*1440/1000000*2.74</f>
        <v>44.842533120000006</v>
      </c>
      <c r="K20" s="87">
        <f t="shared" ref="K20" si="30">(IF(G20&lt;L20,L20,G20)*(1-IF(H20&lt;N20,H20,N20))*E20*O20*Q20)/100000000</f>
        <v>2.1766631040000002</v>
      </c>
      <c r="L20" s="37">
        <v>1200</v>
      </c>
      <c r="M20" s="37">
        <v>924</v>
      </c>
      <c r="N20" s="48">
        <f t="shared" ref="N20" si="31">1-(M20/L20)</f>
        <v>0.22999999999999998</v>
      </c>
      <c r="O20" s="49">
        <f>+'Trim Rwd'!H11</f>
        <v>252</v>
      </c>
      <c r="P20" s="50">
        <f t="shared" ref="P20" si="32">O20*(Q20-R20-S20)</f>
        <v>17136</v>
      </c>
      <c r="Q20" s="49">
        <v>76</v>
      </c>
      <c r="R20" s="507">
        <v>0</v>
      </c>
      <c r="S20" s="507">
        <v>8</v>
      </c>
      <c r="T20" s="39">
        <f t="shared" ref="T20" si="33">E20*M20*O20*Q20/100000000</f>
        <v>2.1235737600000002</v>
      </c>
      <c r="U20" s="39">
        <f>E20*M20*O20*(Q20-R20-S20)/100000000</f>
        <v>1.9000396799999999</v>
      </c>
      <c r="V20" s="39">
        <f>E20*G20*(1-N20)*O20/100*(R20+S20)/1000000</f>
        <v>0.22912243200000004</v>
      </c>
      <c r="W20" s="39">
        <f>+'4'!K7/1000</f>
        <v>7.1980000000000004</v>
      </c>
      <c r="X20" s="508">
        <f>SUM(W20:W23)/SUM(K20:K23)</f>
        <v>0.91146147535282618</v>
      </c>
      <c r="Y20" s="216">
        <v>0</v>
      </c>
      <c r="Z20" s="39">
        <f>+'4'!D7/1000</f>
        <v>0.26300000000000001</v>
      </c>
      <c r="AA20" s="51">
        <f>SUM(U20:U23)-SUM(W20:W23)-SUM(Z20:Z23)-SUM(Y20:Y23)</f>
        <v>1.5814298065966579</v>
      </c>
      <c r="AB20" s="51">
        <f>(SUM(K20:K23)-SUM(W20:W23)-SUM(Y20:Y23)-SUM(Z20:Z23)-SUM(AC20:AC23)-SUM(V20:V23))-AA20</f>
        <v>0.4193253974033393</v>
      </c>
      <c r="AC20" s="39">
        <f>K20-T20</f>
        <v>5.3089343999999983E-2</v>
      </c>
      <c r="AD20" s="39">
        <f>+AM20+BA20</f>
        <v>9</v>
      </c>
      <c r="AE20" s="235" t="s">
        <v>458</v>
      </c>
      <c r="AF20" s="39">
        <v>9</v>
      </c>
      <c r="AG20" s="39"/>
      <c r="AH20" s="39"/>
      <c r="AI20" s="509"/>
      <c r="AJ20" s="39"/>
      <c r="AK20" s="39"/>
      <c r="AL20" s="39"/>
      <c r="AM20" s="39">
        <f t="shared" ref="AM20:AM22" si="34">SUM(AF20:AL20)+AT20+AV20+AX20</f>
        <v>9</v>
      </c>
      <c r="AN20" s="39"/>
      <c r="AO20" s="39"/>
      <c r="AP20" s="39"/>
      <c r="AQ20" s="39"/>
      <c r="AR20" s="39">
        <f>SUM(AN20:AQ20)</f>
        <v>0</v>
      </c>
      <c r="AS20" s="39"/>
      <c r="AT20" s="39"/>
      <c r="AU20" s="39"/>
      <c r="AV20" s="39"/>
      <c r="AW20" s="39"/>
      <c r="AX20" s="39"/>
      <c r="AY20" s="39"/>
      <c r="AZ20" s="39"/>
      <c r="BA20" s="39">
        <f>+AR20+AS20+AU20+AW20+AY20+AZ20</f>
        <v>0</v>
      </c>
      <c r="BB20" s="35">
        <v>3</v>
      </c>
      <c r="BC20" s="53"/>
      <c r="BD20" s="53"/>
      <c r="BE20" s="35"/>
      <c r="BF20" s="53"/>
    </row>
    <row r="21" spans="1:58" ht="12.95" customHeight="1">
      <c r="A21" s="42"/>
      <c r="B21" s="43" t="s">
        <v>7</v>
      </c>
      <c r="C21" s="421">
        <f t="shared" ref="C21:C22" si="35">(M21*E21*O21*Q21)/100000000</f>
        <v>12.456443999999998</v>
      </c>
      <c r="D21" s="43" t="s">
        <v>304</v>
      </c>
      <c r="E21" s="44">
        <v>12.5</v>
      </c>
      <c r="F21" s="44">
        <v>1</v>
      </c>
      <c r="G21" s="506">
        <v>1230</v>
      </c>
      <c r="H21" s="46">
        <v>0.23</v>
      </c>
      <c r="I21" s="47">
        <v>0.88</v>
      </c>
      <c r="J21" s="87">
        <f t="shared" ref="J21:J22" si="36">E21*G21*(1-H21)*1440/1000000*2.74</f>
        <v>46.710971999999998</v>
      </c>
      <c r="K21" s="87">
        <f t="shared" ref="K21:K22" si="37">(IF(G21&lt;L21,L21,G21)*(1-IF(H21&lt;N21,H21,N21))*E21*O21*Q21)/100000000</f>
        <v>12.897134249999997</v>
      </c>
      <c r="L21" s="37">
        <v>1187.9713603818616</v>
      </c>
      <c r="M21" s="37">
        <v>914.73794749403328</v>
      </c>
      <c r="N21" s="48">
        <f t="shared" ref="N21:N22" si="38">1-(M21/L21)</f>
        <v>0.23000000000000009</v>
      </c>
      <c r="O21" s="49">
        <f>+'Trim Rwd'!H12</f>
        <v>260</v>
      </c>
      <c r="P21" s="50">
        <f t="shared" ref="P21:P22" si="39">O21*(Q21-R21-S21)</f>
        <v>105040</v>
      </c>
      <c r="Q21" s="49">
        <v>419</v>
      </c>
      <c r="R21" s="507">
        <v>0</v>
      </c>
      <c r="S21" s="507">
        <v>15</v>
      </c>
      <c r="T21" s="39">
        <f t="shared" ref="T21:T22" si="40">E21*M21*O21*Q21/100000000</f>
        <v>12.456443999999998</v>
      </c>
      <c r="U21" s="39">
        <f t="shared" ref="U21:U22" si="41">E21*M21*O21*(Q21-R21-S21)/100000000</f>
        <v>12.010509250596657</v>
      </c>
      <c r="V21" s="39">
        <f t="shared" ref="V21:V22" si="42">E21*G21*(1-N21)*O21/100*(R21+S21)/1000000</f>
        <v>0.46171124999999996</v>
      </c>
      <c r="W21" s="39">
        <f>+'4'!K8/1000</f>
        <v>10.48</v>
      </c>
      <c r="X21" s="40"/>
      <c r="Y21" s="216"/>
      <c r="Z21" s="39"/>
      <c r="AA21" s="39"/>
      <c r="AB21" s="39"/>
      <c r="AC21" s="39"/>
      <c r="AD21" s="39">
        <f>+AM21+BA21</f>
        <v>9</v>
      </c>
      <c r="AE21" s="235" t="s">
        <v>471</v>
      </c>
      <c r="AF21" s="39"/>
      <c r="AG21" s="39">
        <v>9</v>
      </c>
      <c r="AH21" s="39"/>
      <c r="AI21" s="39"/>
      <c r="AJ21" s="39"/>
      <c r="AK21" s="39"/>
      <c r="AL21" s="39"/>
      <c r="AM21" s="39">
        <f t="shared" si="34"/>
        <v>9</v>
      </c>
      <c r="AN21" s="88"/>
      <c r="AO21" s="39"/>
      <c r="AP21" s="39"/>
      <c r="AQ21" s="39"/>
      <c r="AR21" s="39">
        <f t="shared" ref="AR21:AR22" si="43">SUM(AN21:AQ21)</f>
        <v>0</v>
      </c>
      <c r="AS21" s="39"/>
      <c r="AT21" s="39"/>
      <c r="AU21" s="39"/>
      <c r="AV21" s="39"/>
      <c r="AW21" s="39"/>
      <c r="AX21" s="39"/>
      <c r="AY21" s="39"/>
      <c r="AZ21" s="39"/>
      <c r="BA21" s="39">
        <f>+AR21+AS21+AU21+AW21+AY21+AZ21</f>
        <v>0</v>
      </c>
      <c r="BB21" s="52"/>
      <c r="BC21" s="53">
        <v>8</v>
      </c>
      <c r="BD21" s="53"/>
      <c r="BE21" s="52"/>
      <c r="BF21" s="53"/>
    </row>
    <row r="22" spans="1:58" ht="12.95" customHeight="1">
      <c r="A22" s="42"/>
      <c r="B22" s="43" t="s">
        <v>469</v>
      </c>
      <c r="C22" s="421">
        <f t="shared" si="35"/>
        <v>30.018618629999999</v>
      </c>
      <c r="D22" s="43" t="s">
        <v>304</v>
      </c>
      <c r="E22" s="44">
        <v>13</v>
      </c>
      <c r="F22" s="44">
        <v>1</v>
      </c>
      <c r="G22" s="506">
        <f>+L22</f>
        <v>1230</v>
      </c>
      <c r="H22" s="46">
        <f>+N22</f>
        <v>0.23000000000000009</v>
      </c>
      <c r="I22" s="47">
        <v>0.88</v>
      </c>
      <c r="J22" s="87">
        <f t="shared" si="36"/>
        <v>48.579410880000005</v>
      </c>
      <c r="K22" s="87">
        <f t="shared" si="37"/>
        <v>30.018618629999999</v>
      </c>
      <c r="L22" s="37">
        <v>1230</v>
      </c>
      <c r="M22" s="37">
        <v>947.09999999999991</v>
      </c>
      <c r="N22" s="48">
        <f t="shared" si="38"/>
        <v>0.23000000000000009</v>
      </c>
      <c r="O22" s="49">
        <f>+'Trim Rwd'!H13</f>
        <v>258</v>
      </c>
      <c r="P22" s="50">
        <f t="shared" si="39"/>
        <v>235812</v>
      </c>
      <c r="Q22" s="49">
        <v>945</v>
      </c>
      <c r="R22" s="507">
        <v>0</v>
      </c>
      <c r="S22" s="507">
        <f>54-S21-S20</f>
        <v>31</v>
      </c>
      <c r="T22" s="39">
        <f t="shared" si="40"/>
        <v>30.018618629999999</v>
      </c>
      <c r="U22" s="39">
        <f t="shared" si="41"/>
        <v>29.033880875999998</v>
      </c>
      <c r="V22" s="39">
        <f t="shared" si="42"/>
        <v>0.98473775399999997</v>
      </c>
      <c r="W22" s="39">
        <f>+'4'!K9/1000</f>
        <v>23.422000000000001</v>
      </c>
      <c r="X22" s="40"/>
      <c r="Y22" s="216"/>
      <c r="Z22" s="39"/>
      <c r="AA22" s="39"/>
      <c r="AB22" s="39"/>
      <c r="AC22" s="39"/>
      <c r="AD22" s="39">
        <f>+AM22+BA22</f>
        <v>36</v>
      </c>
      <c r="AE22" s="235" t="s">
        <v>432</v>
      </c>
      <c r="AF22" s="35"/>
      <c r="AG22" s="35"/>
      <c r="AH22" s="35">
        <v>36</v>
      </c>
      <c r="AI22" s="35"/>
      <c r="AJ22" s="39"/>
      <c r="AK22" s="39"/>
      <c r="AL22" s="39"/>
      <c r="AM22" s="39">
        <f t="shared" si="34"/>
        <v>36</v>
      </c>
      <c r="AN22" s="39"/>
      <c r="AO22" s="39"/>
      <c r="AP22" s="39"/>
      <c r="AQ22" s="39"/>
      <c r="AR22" s="39">
        <f t="shared" si="43"/>
        <v>0</v>
      </c>
      <c r="AS22" s="39"/>
      <c r="AT22" s="39"/>
      <c r="AU22" s="39"/>
      <c r="AV22" s="39"/>
      <c r="AW22" s="39"/>
      <c r="AX22" s="39"/>
      <c r="AY22" s="39"/>
      <c r="AZ22" s="39"/>
      <c r="BA22" s="39">
        <f>+AR22+AS22+AU22+AW22+AY22+AZ22</f>
        <v>0</v>
      </c>
      <c r="BB22" s="35"/>
      <c r="BC22" s="510"/>
      <c r="BD22" s="510"/>
      <c r="BE22" s="35"/>
      <c r="BF22" s="510"/>
    </row>
    <row r="23" spans="1:58" ht="12.95" customHeight="1">
      <c r="A23" s="42"/>
      <c r="B23" s="43"/>
      <c r="C23" s="421"/>
      <c r="D23" s="43"/>
      <c r="E23" s="44"/>
      <c r="F23" s="44"/>
      <c r="G23" s="506"/>
      <c r="H23" s="46"/>
      <c r="I23" s="47"/>
      <c r="J23" s="87"/>
      <c r="K23" s="87"/>
      <c r="L23" s="37"/>
      <c r="M23" s="37"/>
      <c r="N23" s="48"/>
      <c r="O23" s="49"/>
      <c r="P23" s="50"/>
      <c r="Q23" s="49"/>
      <c r="R23" s="507"/>
      <c r="S23" s="507"/>
      <c r="T23" s="39"/>
      <c r="U23" s="39"/>
      <c r="V23" s="39"/>
      <c r="W23" s="39"/>
      <c r="X23" s="40"/>
      <c r="Y23" s="216"/>
      <c r="Z23" s="39"/>
      <c r="AA23" s="39"/>
      <c r="AB23" s="39"/>
      <c r="AC23" s="39"/>
      <c r="AD23" s="39"/>
      <c r="AE23" s="235"/>
      <c r="AF23" s="39"/>
      <c r="AG23" s="39"/>
      <c r="AH23" s="39"/>
      <c r="AI23" s="509"/>
      <c r="AJ23" s="39"/>
      <c r="AK23" s="39"/>
      <c r="AL23" s="39"/>
      <c r="AM23" s="39"/>
      <c r="AN23" s="88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52"/>
      <c r="BC23" s="53"/>
      <c r="BD23" s="53"/>
      <c r="BE23" s="52"/>
      <c r="BF23" s="53"/>
    </row>
    <row r="24" spans="1:58" ht="12.75" customHeight="1">
      <c r="A24" s="42">
        <v>45935</v>
      </c>
      <c r="B24" s="43" t="s">
        <v>469</v>
      </c>
      <c r="C24" s="421">
        <f t="shared" ref="C24" si="44">(M24*E24*O24*Q24)/100000000</f>
        <v>43.387343999999999</v>
      </c>
      <c r="D24" s="43" t="s">
        <v>304</v>
      </c>
      <c r="E24" s="44">
        <v>13</v>
      </c>
      <c r="F24" s="44">
        <v>1</v>
      </c>
      <c r="G24" s="506">
        <f>+L24</f>
        <v>1166.6666666666667</v>
      </c>
      <c r="H24" s="46">
        <f>+N24</f>
        <v>0.22999999999999998</v>
      </c>
      <c r="I24" s="47">
        <v>0.88</v>
      </c>
      <c r="J24" s="87">
        <f t="shared" ref="J24" si="45">E24*G24*(1-H24)*1440/1000000*2.74</f>
        <v>46.078032000000007</v>
      </c>
      <c r="K24" s="87">
        <f t="shared" ref="K24" si="46">(IF(G24&lt;L24,L24,G24)*(1-IF(H24&lt;N24,H24,N24))*E24*O24*Q24)/100000000</f>
        <v>43.387343999999999</v>
      </c>
      <c r="L24" s="37">
        <v>1166.6666666666667</v>
      </c>
      <c r="M24" s="37">
        <v>898.33333333333337</v>
      </c>
      <c r="N24" s="48">
        <f t="shared" ref="N24" si="47">1-(M24/L24)</f>
        <v>0.22999999999999998</v>
      </c>
      <c r="O24" s="49">
        <f>+'Trim Rwd'!H15</f>
        <v>258</v>
      </c>
      <c r="P24" s="50">
        <f t="shared" ref="P24" si="48">O24*(Q24-R24-S24)</f>
        <v>358620</v>
      </c>
      <c r="Q24" s="49">
        <v>1440</v>
      </c>
      <c r="R24" s="507">
        <v>0</v>
      </c>
      <c r="S24" s="507">
        <v>50</v>
      </c>
      <c r="T24" s="39">
        <f t="shared" ref="T24" si="49">E24*M24*O24*Q24/100000000</f>
        <v>43.387343999999999</v>
      </c>
      <c r="U24" s="39">
        <f>E24*M24*O24*(Q24-R24-S24)/100000000</f>
        <v>41.880839000000002</v>
      </c>
      <c r="V24" s="39">
        <f>E24*G24*(1-N24)*O24/100*(R24+S24)/1000000</f>
        <v>1.506505</v>
      </c>
      <c r="W24" s="39">
        <f>+'5'!K9/1000</f>
        <v>40.323999999999998</v>
      </c>
      <c r="X24" s="508">
        <f>SUM(W24:W27)/SUM(K24:K27)</f>
        <v>0.92939544766787285</v>
      </c>
      <c r="Y24" s="216">
        <f>+SUM(RBP!AG3:AG4)</f>
        <v>0</v>
      </c>
      <c r="Z24" s="39">
        <f>+'5'!D25/1000</f>
        <v>0.25600000000000001</v>
      </c>
      <c r="AA24" s="51">
        <f>SUM(U24:U27)-SUM(W24:W27)-SUM(Z24:Z27)-SUM(Y24:Y27)</f>
        <v>1.3008390000000036</v>
      </c>
      <c r="AB24" s="51">
        <f>(SUM(K24:K27)-SUM(W24:W27)-SUM(Y24:Y27)-SUM(Z24:Z27)-SUM(AC24:AC27)-SUM(V24:V27))-AA24</f>
        <v>-3.1086244689504383E-15</v>
      </c>
      <c r="AC24" s="39">
        <f>K24-T24</f>
        <v>0</v>
      </c>
      <c r="AD24" s="39">
        <f>+AM24+BA24</f>
        <v>9</v>
      </c>
      <c r="AE24" s="235" t="s">
        <v>458</v>
      </c>
      <c r="AF24" s="39">
        <v>9</v>
      </c>
      <c r="AG24" s="39"/>
      <c r="AH24" s="39"/>
      <c r="AI24" s="509"/>
      <c r="AJ24" s="39"/>
      <c r="AK24" s="39"/>
      <c r="AL24" s="39"/>
      <c r="AM24" s="39">
        <f t="shared" ref="AM24:AM26" si="50">SUM(AF24:AL24)+AT24+AV24+AX24</f>
        <v>9</v>
      </c>
      <c r="AN24" s="39"/>
      <c r="AO24" s="39"/>
      <c r="AP24" s="39"/>
      <c r="AQ24" s="39"/>
      <c r="AR24" s="39">
        <f>SUM(AN24:AQ24)</f>
        <v>0</v>
      </c>
      <c r="AS24" s="39"/>
      <c r="AT24" s="39"/>
      <c r="AU24" s="39"/>
      <c r="AV24" s="39"/>
      <c r="AW24" s="39"/>
      <c r="AX24" s="39"/>
      <c r="AY24" s="39"/>
      <c r="AZ24" s="39"/>
      <c r="BA24" s="39">
        <f>+AR24+AS24+AU24+AW24+AY24+AZ24</f>
        <v>0</v>
      </c>
      <c r="BB24" s="35">
        <v>3</v>
      </c>
      <c r="BC24" s="53"/>
      <c r="BD24" s="53"/>
      <c r="BE24" s="35"/>
      <c r="BF24" s="53"/>
    </row>
    <row r="25" spans="1:58" ht="12.95" customHeight="1">
      <c r="A25" s="42"/>
      <c r="B25" s="43"/>
      <c r="C25" s="421"/>
      <c r="D25" s="43"/>
      <c r="E25" s="44"/>
      <c r="F25" s="44"/>
      <c r="G25" s="506"/>
      <c r="H25" s="46"/>
      <c r="I25" s="47"/>
      <c r="J25" s="87"/>
      <c r="K25" s="87"/>
      <c r="L25" s="37"/>
      <c r="M25" s="37"/>
      <c r="N25" s="48"/>
      <c r="O25" s="49"/>
      <c r="P25" s="50"/>
      <c r="Q25" s="49"/>
      <c r="R25" s="507"/>
      <c r="S25" s="507"/>
      <c r="T25" s="39"/>
      <c r="U25" s="39"/>
      <c r="V25" s="39"/>
      <c r="W25" s="39"/>
      <c r="X25" s="40"/>
      <c r="Y25" s="216"/>
      <c r="Z25" s="39"/>
      <c r="AA25" s="39"/>
      <c r="AB25" s="39"/>
      <c r="AC25" s="39"/>
      <c r="AD25" s="39">
        <f>+AM25+BA25</f>
        <v>11</v>
      </c>
      <c r="AE25" s="235" t="s">
        <v>471</v>
      </c>
      <c r="AF25" s="39"/>
      <c r="AG25" s="39">
        <v>11</v>
      </c>
      <c r="AH25" s="39"/>
      <c r="AI25" s="39"/>
      <c r="AJ25" s="39"/>
      <c r="AK25" s="39"/>
      <c r="AL25" s="39"/>
      <c r="AM25" s="39">
        <f t="shared" si="50"/>
        <v>11</v>
      </c>
      <c r="AN25" s="88"/>
      <c r="AO25" s="39"/>
      <c r="AP25" s="39"/>
      <c r="AQ25" s="39"/>
      <c r="AR25" s="39">
        <f t="shared" ref="AR25:AR26" si="51">SUM(AN25:AQ25)</f>
        <v>0</v>
      </c>
      <c r="AS25" s="39"/>
      <c r="AT25" s="39"/>
      <c r="AU25" s="39"/>
      <c r="AV25" s="39"/>
      <c r="AW25" s="39"/>
      <c r="AX25" s="39"/>
      <c r="AY25" s="39"/>
      <c r="AZ25" s="39"/>
      <c r="BA25" s="39">
        <f>+AR25+AS25+AU25+AW25+AY25+AZ25</f>
        <v>0</v>
      </c>
      <c r="BB25" s="52"/>
      <c r="BC25" s="53">
        <v>8</v>
      </c>
      <c r="BD25" s="53"/>
      <c r="BE25" s="52"/>
      <c r="BF25" s="53"/>
    </row>
    <row r="26" spans="1:58" ht="12.95" customHeight="1">
      <c r="A26" s="42"/>
      <c r="B26" s="43"/>
      <c r="C26" s="421"/>
      <c r="D26" s="43"/>
      <c r="E26" s="44"/>
      <c r="F26" s="44"/>
      <c r="G26" s="45"/>
      <c r="H26" s="46"/>
      <c r="I26" s="47"/>
      <c r="J26" s="87"/>
      <c r="K26" s="87"/>
      <c r="L26" s="37"/>
      <c r="M26" s="37"/>
      <c r="N26" s="48"/>
      <c r="O26" s="49"/>
      <c r="P26" s="50"/>
      <c r="Q26" s="49"/>
      <c r="R26" s="507"/>
      <c r="S26" s="507"/>
      <c r="T26" s="39"/>
      <c r="U26" s="39"/>
      <c r="V26" s="39"/>
      <c r="W26" s="39"/>
      <c r="X26" s="40"/>
      <c r="Y26" s="216"/>
      <c r="Z26" s="39"/>
      <c r="AA26" s="39"/>
      <c r="AB26" s="39"/>
      <c r="AC26" s="39"/>
      <c r="AD26" s="39">
        <f>+AM26+BA26</f>
        <v>30</v>
      </c>
      <c r="AE26" s="235" t="s">
        <v>472</v>
      </c>
      <c r="AF26" s="35"/>
      <c r="AG26" s="35"/>
      <c r="AH26" s="35">
        <v>30</v>
      </c>
      <c r="AI26" s="35"/>
      <c r="AJ26" s="39"/>
      <c r="AK26" s="39"/>
      <c r="AL26" s="39"/>
      <c r="AM26" s="39">
        <f t="shared" si="50"/>
        <v>30</v>
      </c>
      <c r="AN26" s="39"/>
      <c r="AO26" s="39"/>
      <c r="AP26" s="39"/>
      <c r="AQ26" s="39"/>
      <c r="AR26" s="39">
        <f t="shared" si="51"/>
        <v>0</v>
      </c>
      <c r="AS26" s="39"/>
      <c r="AT26" s="39"/>
      <c r="AU26" s="39"/>
      <c r="AV26" s="39"/>
      <c r="AW26" s="39"/>
      <c r="AX26" s="39"/>
      <c r="AY26" s="39"/>
      <c r="AZ26" s="39"/>
      <c r="BA26" s="39">
        <f>+AR26+AS26+AU26+AW26+AY26+AZ26</f>
        <v>0</v>
      </c>
      <c r="BB26" s="35"/>
      <c r="BC26" s="510"/>
      <c r="BD26" s="510"/>
      <c r="BE26" s="35"/>
      <c r="BF26" s="510"/>
    </row>
    <row r="27" spans="1:58" ht="12.95" customHeight="1">
      <c r="A27" s="42"/>
      <c r="B27" s="43"/>
      <c r="C27" s="421"/>
      <c r="D27" s="43"/>
      <c r="E27" s="44"/>
      <c r="F27" s="44"/>
      <c r="G27" s="45"/>
      <c r="H27" s="46"/>
      <c r="I27" s="47"/>
      <c r="J27" s="87"/>
      <c r="K27" s="87"/>
      <c r="L27" s="37"/>
      <c r="M27" s="37"/>
      <c r="N27" s="48"/>
      <c r="O27" s="49"/>
      <c r="P27" s="50"/>
      <c r="Q27" s="49"/>
      <c r="R27" s="507"/>
      <c r="S27" s="507"/>
      <c r="T27" s="39"/>
      <c r="U27" s="39"/>
      <c r="V27" s="39"/>
      <c r="W27" s="39"/>
      <c r="X27" s="40"/>
      <c r="Y27" s="216"/>
      <c r="Z27" s="39"/>
      <c r="AA27" s="39"/>
      <c r="AB27" s="39"/>
      <c r="AC27" s="39"/>
      <c r="AD27" s="39"/>
      <c r="AE27" s="235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52"/>
      <c r="BC27" s="53"/>
      <c r="BD27" s="53"/>
      <c r="BE27" s="52"/>
      <c r="BF27" s="53"/>
    </row>
    <row r="28" spans="1:58" ht="12.75" customHeight="1">
      <c r="A28" s="42">
        <v>45936</v>
      </c>
      <c r="B28" s="43" t="s">
        <v>469</v>
      </c>
      <c r="C28" s="421">
        <f t="shared" ref="C28" si="52">(M28*E28*O28*Q28)/100000000</f>
        <v>43.883199359999992</v>
      </c>
      <c r="D28" s="43" t="s">
        <v>304</v>
      </c>
      <c r="E28" s="44">
        <v>13</v>
      </c>
      <c r="F28" s="44">
        <v>1</v>
      </c>
      <c r="G28" s="506">
        <f>+L28</f>
        <v>1180</v>
      </c>
      <c r="H28" s="46">
        <f>+N28</f>
        <v>0.2300000000000002</v>
      </c>
      <c r="I28" s="47">
        <v>0.88</v>
      </c>
      <c r="J28" s="87">
        <f t="shared" ref="J28" si="53">E28*G28*(1-H28)*1440/1000000*2.74</f>
        <v>46.604638079999994</v>
      </c>
      <c r="K28" s="87">
        <f t="shared" ref="K28" si="54">(IF(G28&lt;L28,L28,G28)*(1-IF(H28&lt;N28,H28,N28))*E28*O28*Q28)/100000000</f>
        <v>43.883199359999992</v>
      </c>
      <c r="L28" s="37">
        <v>1180</v>
      </c>
      <c r="M28" s="37">
        <v>908.5999999999998</v>
      </c>
      <c r="N28" s="48">
        <f t="shared" ref="N28" si="55">1-(M28/L28)</f>
        <v>0.2300000000000002</v>
      </c>
      <c r="O28" s="49">
        <f>+'Trim Rwd'!H17</f>
        <v>258</v>
      </c>
      <c r="P28" s="50">
        <f t="shared" ref="P28" si="56">O28*(Q28-R28-S28)</f>
        <v>351912</v>
      </c>
      <c r="Q28" s="49">
        <v>1440</v>
      </c>
      <c r="R28" s="507">
        <v>0</v>
      </c>
      <c r="S28" s="507">
        <v>76</v>
      </c>
      <c r="T28" s="39">
        <f t="shared" ref="T28" si="57">E28*M28*O28*Q28/100000000</f>
        <v>43.883199359999992</v>
      </c>
      <c r="U28" s="39">
        <f>E28*M28*O28*(Q28-R28-S28)/100000000</f>
        <v>41.567141615999994</v>
      </c>
      <c r="V28" s="39">
        <f>E28*G28*(1-N28)*O28/100*(R28+S28)/1000000</f>
        <v>2.3160577439999996</v>
      </c>
      <c r="W28" s="39">
        <f>+'6'!K9/1000</f>
        <v>41.719000000000001</v>
      </c>
      <c r="X28" s="508">
        <f>SUM(W28:W31)/SUM(K28:K31)</f>
        <v>0.95068273527083169</v>
      </c>
      <c r="Y28" s="216">
        <v>0</v>
      </c>
      <c r="Z28" s="39">
        <f>+'5'!D29/1000</f>
        <v>0</v>
      </c>
      <c r="AA28" s="51">
        <f>SUM(U28:U31)-SUM(W28:W31)-SUM(Z28:Z31)-SUM(Y28:Y31)</f>
        <v>-0.15185838400000762</v>
      </c>
      <c r="AB28" s="51">
        <f>(SUM(K28:K31)-SUM(W28:W31)-SUM(Y28:Y31)-SUM(Z28:Z31)-SUM(AC28:AC31)-SUM(V28:V31))-AA28</f>
        <v>-1.3322676295501878E-15</v>
      </c>
      <c r="AC28" s="39">
        <f>K28-T28</f>
        <v>0</v>
      </c>
      <c r="AD28" s="39">
        <f>+AM28+BA28</f>
        <v>27</v>
      </c>
      <c r="AE28" s="235" t="s">
        <v>485</v>
      </c>
      <c r="AF28" s="39">
        <v>27</v>
      </c>
      <c r="AG28" s="39"/>
      <c r="AH28" s="39"/>
      <c r="AI28" s="509"/>
      <c r="AJ28" s="39"/>
      <c r="AK28" s="39"/>
      <c r="AL28" s="39"/>
      <c r="AM28" s="39">
        <f t="shared" ref="AM28:AM30" si="58">SUM(AF28:AL28)+AT28+AV28+AX28</f>
        <v>27</v>
      </c>
      <c r="AN28" s="39"/>
      <c r="AO28" s="39"/>
      <c r="AP28" s="39"/>
      <c r="AQ28" s="39"/>
      <c r="AR28" s="39">
        <f>SUM(AN28:AQ28)</f>
        <v>0</v>
      </c>
      <c r="AS28" s="39"/>
      <c r="AT28" s="39"/>
      <c r="AU28" s="39"/>
      <c r="AV28" s="39"/>
      <c r="AW28" s="39"/>
      <c r="AX28" s="39"/>
      <c r="AY28" s="39"/>
      <c r="AZ28" s="39"/>
      <c r="BA28" s="39">
        <f>+AR28+AS28+AU28+AW28+AY28+AZ28</f>
        <v>0</v>
      </c>
      <c r="BB28" s="35">
        <v>9</v>
      </c>
      <c r="BC28" s="53"/>
      <c r="BD28" s="53"/>
      <c r="BE28" s="35"/>
      <c r="BF28" s="53"/>
    </row>
    <row r="29" spans="1:58" ht="12.95" customHeight="1">
      <c r="A29" s="42"/>
      <c r="B29" s="43"/>
      <c r="C29" s="421"/>
      <c r="D29" s="43"/>
      <c r="E29" s="44"/>
      <c r="F29" s="44"/>
      <c r="G29" s="506"/>
      <c r="H29" s="46"/>
      <c r="I29" s="47"/>
      <c r="J29" s="87"/>
      <c r="K29" s="87"/>
      <c r="L29" s="37"/>
      <c r="M29" s="37"/>
      <c r="N29" s="48"/>
      <c r="O29" s="49"/>
      <c r="P29" s="50"/>
      <c r="Q29" s="49"/>
      <c r="R29" s="507"/>
      <c r="S29" s="507"/>
      <c r="T29" s="39"/>
      <c r="U29" s="39"/>
      <c r="V29" s="39"/>
      <c r="W29" s="39"/>
      <c r="X29" s="40"/>
      <c r="Y29" s="216"/>
      <c r="Z29" s="39"/>
      <c r="AA29" s="39"/>
      <c r="AB29" s="39"/>
      <c r="AC29" s="39"/>
      <c r="AD29" s="39">
        <f>+AM29+BA29</f>
        <v>0</v>
      </c>
      <c r="AE29" s="235" t="s">
        <v>286</v>
      </c>
      <c r="AF29" s="39"/>
      <c r="AG29" s="39">
        <v>0</v>
      </c>
      <c r="AH29" s="39"/>
      <c r="AI29" s="39"/>
      <c r="AJ29" s="39"/>
      <c r="AK29" s="39"/>
      <c r="AL29" s="39"/>
      <c r="AM29" s="39">
        <f t="shared" si="58"/>
        <v>0</v>
      </c>
      <c r="AN29" s="88"/>
      <c r="AO29" s="39"/>
      <c r="AP29" s="39"/>
      <c r="AQ29" s="39"/>
      <c r="AR29" s="39">
        <f t="shared" ref="AR29:AR30" si="59">SUM(AN29:AQ29)</f>
        <v>0</v>
      </c>
      <c r="AS29" s="39"/>
      <c r="AT29" s="39"/>
      <c r="AU29" s="39"/>
      <c r="AV29" s="39"/>
      <c r="AW29" s="39"/>
      <c r="AX29" s="39"/>
      <c r="AY29" s="39"/>
      <c r="AZ29" s="39"/>
      <c r="BA29" s="39">
        <f>+AR29+AS29+AU29+AW29+AY29+AZ29</f>
        <v>0</v>
      </c>
      <c r="BB29" s="52"/>
      <c r="BC29" s="53">
        <v>0</v>
      </c>
      <c r="BD29" s="53"/>
      <c r="BE29" s="52"/>
      <c r="BF29" s="53"/>
    </row>
    <row r="30" spans="1:58" ht="12.95" customHeight="1">
      <c r="A30" s="42"/>
      <c r="B30" s="43"/>
      <c r="C30" s="421"/>
      <c r="D30" s="43"/>
      <c r="E30" s="44"/>
      <c r="F30" s="44"/>
      <c r="G30" s="45"/>
      <c r="H30" s="46"/>
      <c r="I30" s="47"/>
      <c r="J30" s="87"/>
      <c r="K30" s="87"/>
      <c r="L30" s="37"/>
      <c r="M30" s="37"/>
      <c r="N30" s="48"/>
      <c r="O30" s="49"/>
      <c r="P30" s="50"/>
      <c r="Q30" s="49"/>
      <c r="R30" s="507"/>
      <c r="S30" s="507"/>
      <c r="T30" s="39"/>
      <c r="U30" s="39"/>
      <c r="V30" s="39"/>
      <c r="W30" s="39"/>
      <c r="X30" s="40"/>
      <c r="Y30" s="216"/>
      <c r="Z30" s="39"/>
      <c r="AA30" s="39"/>
      <c r="AB30" s="39"/>
      <c r="AC30" s="39"/>
      <c r="AD30" s="39">
        <f>+AM30+BA30</f>
        <v>49</v>
      </c>
      <c r="AE30" s="235" t="s">
        <v>432</v>
      </c>
      <c r="AF30" s="35"/>
      <c r="AG30" s="35"/>
      <c r="AH30" s="35">
        <v>49</v>
      </c>
      <c r="AI30" s="35"/>
      <c r="AJ30" s="39"/>
      <c r="AK30" s="39"/>
      <c r="AL30" s="39"/>
      <c r="AM30" s="39">
        <f t="shared" si="58"/>
        <v>49</v>
      </c>
      <c r="AN30" s="39"/>
      <c r="AO30" s="39"/>
      <c r="AP30" s="39"/>
      <c r="AQ30" s="39"/>
      <c r="AR30" s="39">
        <f t="shared" si="59"/>
        <v>0</v>
      </c>
      <c r="AS30" s="39"/>
      <c r="AT30" s="39"/>
      <c r="AU30" s="39"/>
      <c r="AV30" s="39"/>
      <c r="AW30" s="39"/>
      <c r="AX30" s="39"/>
      <c r="AY30" s="39"/>
      <c r="AZ30" s="39"/>
      <c r="BA30" s="39">
        <f>+AR30+AS30+AU30+AW30+AY30+AZ30</f>
        <v>0</v>
      </c>
      <c r="BB30" s="35"/>
      <c r="BC30" s="510"/>
      <c r="BD30" s="510"/>
      <c r="BE30" s="35"/>
      <c r="BF30" s="510"/>
    </row>
    <row r="31" spans="1:58" ht="12.95" customHeight="1">
      <c r="A31" s="42"/>
      <c r="B31" s="43"/>
      <c r="C31" s="421"/>
      <c r="D31" s="43"/>
      <c r="E31" s="44"/>
      <c r="F31" s="44"/>
      <c r="G31" s="45"/>
      <c r="H31" s="46"/>
      <c r="I31" s="47"/>
      <c r="J31" s="87"/>
      <c r="K31" s="87"/>
      <c r="L31" s="37"/>
      <c r="M31" s="37"/>
      <c r="N31" s="48"/>
      <c r="O31" s="49"/>
      <c r="P31" s="50"/>
      <c r="Q31" s="49"/>
      <c r="R31" s="507"/>
      <c r="S31" s="507"/>
      <c r="T31" s="39"/>
      <c r="U31" s="39"/>
      <c r="V31" s="39"/>
      <c r="W31" s="39"/>
      <c r="X31" s="40"/>
      <c r="Y31" s="216"/>
      <c r="Z31" s="39"/>
      <c r="AA31" s="39"/>
      <c r="AB31" s="39"/>
      <c r="AC31" s="39"/>
      <c r="AD31" s="39"/>
      <c r="AE31" s="235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52"/>
      <c r="BC31" s="53"/>
      <c r="BD31" s="53"/>
      <c r="BE31" s="52"/>
      <c r="BF31" s="53"/>
    </row>
    <row r="32" spans="1:58" ht="12.75" customHeight="1">
      <c r="A32" s="42">
        <v>45937</v>
      </c>
      <c r="B32" s="43" t="s">
        <v>469</v>
      </c>
      <c r="C32" s="421">
        <f t="shared" ref="C32" si="60">(M32*E32*O32*Q32)/100000000</f>
        <v>3.19981662</v>
      </c>
      <c r="D32" s="43" t="s">
        <v>304</v>
      </c>
      <c r="E32" s="44">
        <v>13</v>
      </c>
      <c r="F32" s="44">
        <v>1</v>
      </c>
      <c r="G32" s="506">
        <f>+L32</f>
        <v>1180</v>
      </c>
      <c r="H32" s="46">
        <f>+N32</f>
        <v>0.23000000000000009</v>
      </c>
      <c r="I32" s="47">
        <v>0.88</v>
      </c>
      <c r="J32" s="87">
        <f t="shared" ref="J32" si="61">E32*G32*(1-H32)*1440/1000000*2.74</f>
        <v>46.604638080000001</v>
      </c>
      <c r="K32" s="87">
        <f t="shared" ref="K32" si="62">(IF(G32&lt;L32,L32,G32)*(1-IF(H32&lt;N32,H32,N32))*E32*O32*Q32)/100000000</f>
        <v>3.19981662</v>
      </c>
      <c r="L32" s="37">
        <v>1180</v>
      </c>
      <c r="M32" s="37">
        <v>908.59999999999991</v>
      </c>
      <c r="N32" s="48">
        <f t="shared" ref="N32" si="63">1-(M32/L32)</f>
        <v>0.23000000000000009</v>
      </c>
      <c r="O32" s="49">
        <f>+'Trim Rwd'!H19</f>
        <v>258</v>
      </c>
      <c r="P32" s="50">
        <f t="shared" ref="P32" si="64">O32*(Q32-R32-S32)</f>
        <v>22962</v>
      </c>
      <c r="Q32" s="49">
        <v>105</v>
      </c>
      <c r="R32" s="507">
        <v>0</v>
      </c>
      <c r="S32" s="507">
        <v>16</v>
      </c>
      <c r="T32" s="39">
        <f t="shared" ref="T32" si="65">E32*M32*O32*Q32/100000000</f>
        <v>3.19981662</v>
      </c>
      <c r="U32" s="39">
        <f>E32*M32*O32*(Q32-R32-S32)/100000000</f>
        <v>2.7122255159999997</v>
      </c>
      <c r="V32" s="39">
        <f>E32*G32*(1-N32)*O32/100*(R32+S32)/1000000</f>
        <v>0.487591104</v>
      </c>
      <c r="W32" s="39">
        <f>+'7'!K9/1000</f>
        <v>6.74</v>
      </c>
      <c r="X32" s="508">
        <f>SUM(W32:W35)/SUM(K32:K35)</f>
        <v>0.96700039420516659</v>
      </c>
      <c r="Y32" s="216">
        <v>0</v>
      </c>
      <c r="Z32" s="39">
        <f>+'5'!D33/1000</f>
        <v>1.9355814305156511E-5</v>
      </c>
      <c r="AA32" s="51">
        <f>SUM(U32:U35)-SUM(W32:W35)-SUM(Z32:Z35)-SUM(Y32:Y35)</f>
        <v>-1.6657587634098077</v>
      </c>
      <c r="AB32" s="51">
        <f>(SUM(K32:K35)-SUM(W32:W35)-SUM(Y32:Y35)-SUM(Z32:Z35)-SUM(AC32:AC35)-SUM(V32:V35))-AA32</f>
        <v>0.49433311109550093</v>
      </c>
      <c r="AC32" s="39">
        <f>K32-T32</f>
        <v>0</v>
      </c>
      <c r="AD32" s="39">
        <f>+AM32+BA32</f>
        <v>24</v>
      </c>
      <c r="AE32" s="235" t="s">
        <v>485</v>
      </c>
      <c r="AF32" s="39">
        <v>24</v>
      </c>
      <c r="AG32" s="39"/>
      <c r="AH32" s="39"/>
      <c r="AI32" s="509"/>
      <c r="AJ32" s="39"/>
      <c r="AK32" s="39"/>
      <c r="AL32" s="39"/>
      <c r="AM32" s="39">
        <f t="shared" ref="AM32:AM34" si="66">SUM(AF32:AL32)+AT32+AV32+AX32</f>
        <v>24</v>
      </c>
      <c r="AN32" s="39"/>
      <c r="AO32" s="39"/>
      <c r="AP32" s="39"/>
      <c r="AQ32" s="39"/>
      <c r="AR32" s="39">
        <f>SUM(AN32:AQ32)</f>
        <v>0</v>
      </c>
      <c r="AS32" s="39"/>
      <c r="AT32" s="39"/>
      <c r="AU32" s="39"/>
      <c r="AV32" s="39"/>
      <c r="AW32" s="39"/>
      <c r="AX32" s="39"/>
      <c r="AY32" s="39"/>
      <c r="AZ32" s="39"/>
      <c r="BA32" s="39">
        <f>+AR32+AS32+AU32+AW32+AY32+AZ32</f>
        <v>0</v>
      </c>
      <c r="BB32" s="35">
        <v>9</v>
      </c>
      <c r="BC32" s="53"/>
      <c r="BD32" s="53"/>
      <c r="BE32" s="35"/>
      <c r="BF32" s="53"/>
    </row>
    <row r="33" spans="1:58" ht="12.95" customHeight="1">
      <c r="A33" s="42"/>
      <c r="B33" s="43" t="s">
        <v>469</v>
      </c>
      <c r="C33" s="421">
        <f t="shared" ref="C33" si="67">(M33*E33*O33*Q33)/100000000</f>
        <v>40.096471800000003</v>
      </c>
      <c r="D33" s="43" t="s">
        <v>304</v>
      </c>
      <c r="E33" s="44">
        <v>12.5</v>
      </c>
      <c r="F33" s="44">
        <v>1</v>
      </c>
      <c r="G33" s="506">
        <v>1230</v>
      </c>
      <c r="H33" s="46">
        <f>+N33</f>
        <v>0.23000000000000009</v>
      </c>
      <c r="I33" s="47">
        <v>0.88</v>
      </c>
      <c r="J33" s="87">
        <f t="shared" ref="J33" si="68">E33*G33*(1-H33)*1440/1000000*2.74</f>
        <v>46.710971999999991</v>
      </c>
      <c r="K33" s="87">
        <f t="shared" ref="K33" si="69">(IF(G33&lt;L33,L33,G33)*(1-IF(H33&lt;N33,H33,N33))*E33*O33*Q33)/100000000</f>
        <v>40.618159312499998</v>
      </c>
      <c r="L33" s="37">
        <v>1214.2022471910113</v>
      </c>
      <c r="M33" s="37">
        <v>934.93573033707867</v>
      </c>
      <c r="N33" s="48">
        <f t="shared" ref="N33" si="70">1-(M33/L33)</f>
        <v>0.23000000000000009</v>
      </c>
      <c r="O33" s="49">
        <f>+'Trim Rwd'!H20</f>
        <v>257</v>
      </c>
      <c r="P33" s="50">
        <f t="shared" ref="P33" si="71">O33*(Q33-R33-S33)</f>
        <v>325105</v>
      </c>
      <c r="Q33" s="49">
        <v>1335</v>
      </c>
      <c r="R33" s="507">
        <v>0</v>
      </c>
      <c r="S33" s="507">
        <v>70</v>
      </c>
      <c r="T33" s="39">
        <f t="shared" ref="T33" si="72">E33*M33*O33*Q33/100000000</f>
        <v>40.096471800000003</v>
      </c>
      <c r="U33" s="39">
        <f>E33*M33*O33*(Q33-R33-S33)/100000000</f>
        <v>37.994035076404501</v>
      </c>
      <c r="V33" s="39">
        <f>E33*G33*(1-N33)*O33/100*(R33+S33)/1000000</f>
        <v>2.1297911249999997</v>
      </c>
      <c r="W33" s="39">
        <f>+'7'!K10/1000</f>
        <v>35.631999999999998</v>
      </c>
      <c r="X33" s="40"/>
      <c r="Y33" s="216"/>
      <c r="Z33" s="39"/>
      <c r="AA33" s="39"/>
      <c r="AB33" s="39"/>
      <c r="AC33" s="39"/>
      <c r="AD33" s="39">
        <f>+AM33+BA33</f>
        <v>0</v>
      </c>
      <c r="AE33" s="235" t="s">
        <v>286</v>
      </c>
      <c r="AF33" s="39"/>
      <c r="AG33" s="39">
        <v>0</v>
      </c>
      <c r="AH33" s="39"/>
      <c r="AI33" s="39"/>
      <c r="AJ33" s="39"/>
      <c r="AK33" s="39"/>
      <c r="AL33" s="39"/>
      <c r="AM33" s="39">
        <f t="shared" si="66"/>
        <v>0</v>
      </c>
      <c r="AN33" s="88"/>
      <c r="AO33" s="39"/>
      <c r="AP33" s="39"/>
      <c r="AQ33" s="39"/>
      <c r="AR33" s="39">
        <f t="shared" ref="AR33:AR34" si="73">SUM(AN33:AQ33)</f>
        <v>0</v>
      </c>
      <c r="AS33" s="39"/>
      <c r="AT33" s="39"/>
      <c r="AU33" s="39"/>
      <c r="AV33" s="39"/>
      <c r="AW33" s="39"/>
      <c r="AX33" s="39"/>
      <c r="AY33" s="39"/>
      <c r="AZ33" s="39"/>
      <c r="BA33" s="39">
        <f>+AR33+AS33+AU33+AW33+AY33+AZ33</f>
        <v>0</v>
      </c>
      <c r="BB33" s="52"/>
      <c r="BC33" s="53">
        <v>0</v>
      </c>
      <c r="BD33" s="53"/>
      <c r="BE33" s="52"/>
      <c r="BF33" s="53"/>
    </row>
    <row r="34" spans="1:58" ht="12.95" customHeight="1">
      <c r="A34" s="42"/>
      <c r="B34" s="43"/>
      <c r="C34" s="421"/>
      <c r="D34" s="43"/>
      <c r="E34" s="44"/>
      <c r="F34" s="44"/>
      <c r="G34" s="45"/>
      <c r="H34" s="46"/>
      <c r="I34" s="47"/>
      <c r="J34" s="87"/>
      <c r="K34" s="87"/>
      <c r="L34" s="37"/>
      <c r="M34" s="37"/>
      <c r="N34" s="48"/>
      <c r="O34" s="49"/>
      <c r="P34" s="50"/>
      <c r="Q34" s="49"/>
      <c r="R34" s="507"/>
      <c r="S34" s="507"/>
      <c r="T34" s="39"/>
      <c r="U34" s="39"/>
      <c r="V34" s="39"/>
      <c r="W34" s="39"/>
      <c r="X34" s="40"/>
      <c r="Y34" s="216"/>
      <c r="Z34" s="39"/>
      <c r="AA34" s="39"/>
      <c r="AB34" s="39"/>
      <c r="AC34" s="39"/>
      <c r="AD34" s="39">
        <f>+AM34+BA34</f>
        <v>62</v>
      </c>
      <c r="AE34" s="235" t="s">
        <v>496</v>
      </c>
      <c r="AF34" s="35"/>
      <c r="AG34" s="35"/>
      <c r="AH34" s="35">
        <v>62</v>
      </c>
      <c r="AI34" s="35"/>
      <c r="AJ34" s="39"/>
      <c r="AK34" s="39"/>
      <c r="AL34" s="39"/>
      <c r="AM34" s="39">
        <f t="shared" si="66"/>
        <v>62</v>
      </c>
      <c r="AN34" s="39"/>
      <c r="AO34" s="39"/>
      <c r="AP34" s="39"/>
      <c r="AQ34" s="39"/>
      <c r="AR34" s="39">
        <f t="shared" si="73"/>
        <v>0</v>
      </c>
      <c r="AS34" s="39"/>
      <c r="AT34" s="39"/>
      <c r="AU34" s="39"/>
      <c r="AV34" s="39"/>
      <c r="AW34" s="39"/>
      <c r="AX34" s="39"/>
      <c r="AY34" s="39"/>
      <c r="AZ34" s="39"/>
      <c r="BA34" s="39">
        <f>+AR34+AS34+AU34+AW34+AY34+AZ34</f>
        <v>0</v>
      </c>
      <c r="BB34" s="35"/>
      <c r="BC34" s="510"/>
      <c r="BD34" s="510"/>
      <c r="BE34" s="35"/>
      <c r="BF34" s="510"/>
    </row>
    <row r="35" spans="1:58" ht="12.95" customHeight="1">
      <c r="A35" s="42"/>
      <c r="B35" s="43"/>
      <c r="C35" s="421"/>
      <c r="D35" s="43"/>
      <c r="E35" s="44"/>
      <c r="F35" s="44"/>
      <c r="G35" s="45"/>
      <c r="H35" s="46"/>
      <c r="I35" s="47"/>
      <c r="J35" s="87"/>
      <c r="K35" s="87"/>
      <c r="L35" s="37"/>
      <c r="M35" s="37"/>
      <c r="N35" s="48"/>
      <c r="O35" s="49"/>
      <c r="P35" s="50"/>
      <c r="Q35" s="49"/>
      <c r="R35" s="507"/>
      <c r="S35" s="507"/>
      <c r="T35" s="39"/>
      <c r="U35" s="39"/>
      <c r="V35" s="39"/>
      <c r="W35" s="39"/>
      <c r="X35" s="40"/>
      <c r="Y35" s="216"/>
      <c r="Z35" s="39"/>
      <c r="AA35" s="39"/>
      <c r="AB35" s="39"/>
      <c r="AC35" s="39"/>
      <c r="AD35" s="39"/>
      <c r="AE35" s="235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52"/>
      <c r="BC35" s="53"/>
      <c r="BD35" s="53"/>
      <c r="BE35" s="52"/>
      <c r="BF35" s="53"/>
    </row>
    <row r="36" spans="1:58" ht="12.75" customHeight="1">
      <c r="A36" s="42">
        <v>45938</v>
      </c>
      <c r="B36" s="43" t="s">
        <v>469</v>
      </c>
      <c r="C36" s="421">
        <f t="shared" ref="C36" si="74">(M36*E36*O36*Q36)/100000000</f>
        <v>43.456643999999997</v>
      </c>
      <c r="D36" s="43" t="s">
        <v>304</v>
      </c>
      <c r="E36" s="44">
        <v>12.5</v>
      </c>
      <c r="F36" s="44">
        <v>1</v>
      </c>
      <c r="G36" s="506">
        <v>1230</v>
      </c>
      <c r="H36" s="46">
        <f>+N36</f>
        <v>0.22999999999999998</v>
      </c>
      <c r="I36" s="47">
        <v>0.88</v>
      </c>
      <c r="J36" s="87">
        <f t="shared" ref="J36" si="75">E36*G36*(1-H36)*1440/1000000*2.74</f>
        <v>46.710971999999998</v>
      </c>
      <c r="K36" s="87">
        <f t="shared" ref="K36" si="76">(IF(G36&lt;L36,L36,G36)*(1-IF(H36&lt;N36,H36,N36))*E36*O36*Q36)/100000000</f>
        <v>43.812846</v>
      </c>
      <c r="L36" s="37">
        <v>1220</v>
      </c>
      <c r="M36" s="37">
        <v>939.4</v>
      </c>
      <c r="N36" s="48">
        <f t="shared" ref="N36" si="77">1-(M36/L36)</f>
        <v>0.22999999999999998</v>
      </c>
      <c r="O36" s="49">
        <f>+'Trim Rwd'!H22</f>
        <v>257</v>
      </c>
      <c r="P36" s="50">
        <f t="shared" ref="P36" si="78">O36*(Q36-R36-S36)</f>
        <v>349520</v>
      </c>
      <c r="Q36" s="49">
        <v>1440</v>
      </c>
      <c r="R36" s="507">
        <v>0</v>
      </c>
      <c r="S36" s="507">
        <v>80</v>
      </c>
      <c r="T36" s="39">
        <f t="shared" ref="T36" si="79">E36*M36*O36*Q36/100000000</f>
        <v>43.456643999999997</v>
      </c>
      <c r="U36" s="39">
        <f>E36*M36*O36*(Q36-R36-S36)/100000000</f>
        <v>41.042386</v>
      </c>
      <c r="V36" s="39">
        <f>E36*G36*(1-N36)*O36/100*(R36+S36)/1000000</f>
        <v>2.4340470000000001</v>
      </c>
      <c r="W36" s="39">
        <f>+'8'!K10/1000</f>
        <v>43.186999999999998</v>
      </c>
      <c r="X36" s="508">
        <f>SUM(W36:W39)/SUM(K36:K39)</f>
        <v>0.98571546801593302</v>
      </c>
      <c r="Y36" s="216">
        <f>+SUM(RBP!AG15:AG16)</f>
        <v>0</v>
      </c>
      <c r="Z36" s="39">
        <v>0</v>
      </c>
      <c r="AA36" s="51">
        <f>SUM(U36:U39)-SUM(W36:W39)-SUM(Z36:Z39)-SUM(Y36:Y39)</f>
        <v>-2.1446139999999971</v>
      </c>
      <c r="AB36" s="51">
        <f>(SUM(K36:K39)-SUM(W36:W39)-SUM(Y36:Y39)-SUM(Z36:Z39)-SUM(AC36:AC39)-SUM(V36:V39))-AA36</f>
        <v>-1.9789000000003387E-2</v>
      </c>
      <c r="AC36" s="39">
        <f>K36-T36</f>
        <v>0.35620200000000324</v>
      </c>
      <c r="AD36" s="39">
        <f>+AM36+BA36</f>
        <v>17</v>
      </c>
      <c r="AE36" s="235" t="s">
        <v>501</v>
      </c>
      <c r="AF36" s="39">
        <v>17</v>
      </c>
      <c r="AG36" s="39"/>
      <c r="AH36" s="39"/>
      <c r="AI36" s="509"/>
      <c r="AJ36" s="39"/>
      <c r="AK36" s="39"/>
      <c r="AL36" s="39"/>
      <c r="AM36" s="39">
        <f t="shared" ref="AM36:AM38" si="80">SUM(AF36:AL36)+AT36+AV36+AX36</f>
        <v>17</v>
      </c>
      <c r="AN36" s="39"/>
      <c r="AO36" s="39"/>
      <c r="AP36" s="39"/>
      <c r="AQ36" s="39"/>
      <c r="AR36" s="39">
        <f>SUM(AN36:AQ36)</f>
        <v>0</v>
      </c>
      <c r="AS36" s="39"/>
      <c r="AT36" s="39"/>
      <c r="AU36" s="39"/>
      <c r="AV36" s="39"/>
      <c r="AW36" s="39"/>
      <c r="AX36" s="39"/>
      <c r="AY36" s="39"/>
      <c r="AZ36" s="39"/>
      <c r="BA36" s="39">
        <f>+AR36+AS36+AU36+AW36+AY36+AZ36</f>
        <v>0</v>
      </c>
      <c r="BB36" s="35">
        <v>8</v>
      </c>
      <c r="BC36" s="53"/>
      <c r="BD36" s="53"/>
      <c r="BE36" s="35"/>
      <c r="BF36" s="53"/>
    </row>
    <row r="37" spans="1:58" ht="12.95" customHeight="1">
      <c r="A37" s="42"/>
      <c r="B37" s="43"/>
      <c r="C37" s="421"/>
      <c r="D37" s="43"/>
      <c r="E37" s="44"/>
      <c r="F37" s="44"/>
      <c r="G37" s="506"/>
      <c r="H37" s="46"/>
      <c r="I37" s="47"/>
      <c r="J37" s="87"/>
      <c r="K37" s="87"/>
      <c r="L37" s="37"/>
      <c r="M37" s="37"/>
      <c r="N37" s="48"/>
      <c r="O37" s="49"/>
      <c r="P37" s="50"/>
      <c r="Q37" s="49"/>
      <c r="R37" s="507"/>
      <c r="S37" s="507"/>
      <c r="T37" s="39"/>
      <c r="U37" s="39"/>
      <c r="V37" s="39"/>
      <c r="W37" s="39"/>
      <c r="X37" s="40"/>
      <c r="Y37" s="216"/>
      <c r="Z37" s="39"/>
      <c r="AA37" s="39"/>
      <c r="AB37" s="39"/>
      <c r="AC37" s="39"/>
      <c r="AD37" s="39">
        <f>+AM37+BA37</f>
        <v>14</v>
      </c>
      <c r="AE37" s="235" t="s">
        <v>460</v>
      </c>
      <c r="AF37" s="39"/>
      <c r="AG37" s="39">
        <v>14</v>
      </c>
      <c r="AH37" s="39"/>
      <c r="AI37" s="39"/>
      <c r="AJ37" s="39"/>
      <c r="AK37" s="39"/>
      <c r="AL37" s="39"/>
      <c r="AM37" s="39">
        <f t="shared" si="80"/>
        <v>14</v>
      </c>
      <c r="AN37" s="88"/>
      <c r="AO37" s="39"/>
      <c r="AP37" s="39"/>
      <c r="AQ37" s="39"/>
      <c r="AR37" s="39">
        <f t="shared" ref="AR37:AR38" si="81">SUM(AN37:AQ37)</f>
        <v>0</v>
      </c>
      <c r="AS37" s="39"/>
      <c r="AT37" s="39"/>
      <c r="AU37" s="39"/>
      <c r="AV37" s="39"/>
      <c r="AW37" s="39"/>
      <c r="AX37" s="39"/>
      <c r="AY37" s="39"/>
      <c r="AZ37" s="39"/>
      <c r="BA37" s="39">
        <f>+AR37+AS37+AU37+AW37+AY37+AZ37</f>
        <v>0</v>
      </c>
      <c r="BB37" s="52"/>
      <c r="BC37" s="53">
        <v>7</v>
      </c>
      <c r="BD37" s="53"/>
      <c r="BE37" s="52"/>
      <c r="BF37" s="53"/>
    </row>
    <row r="38" spans="1:58" ht="12.95" customHeight="1">
      <c r="A38" s="42"/>
      <c r="B38" s="43"/>
      <c r="C38" s="421"/>
      <c r="D38" s="43"/>
      <c r="E38" s="44"/>
      <c r="F38" s="44"/>
      <c r="G38" s="45"/>
      <c r="H38" s="46"/>
      <c r="I38" s="47"/>
      <c r="J38" s="87"/>
      <c r="K38" s="87"/>
      <c r="L38" s="37"/>
      <c r="M38" s="37"/>
      <c r="N38" s="48"/>
      <c r="O38" s="49"/>
      <c r="P38" s="50"/>
      <c r="Q38" s="49"/>
      <c r="R38" s="507"/>
      <c r="S38" s="507"/>
      <c r="T38" s="39"/>
      <c r="U38" s="39"/>
      <c r="V38" s="39"/>
      <c r="W38" s="39"/>
      <c r="X38" s="40"/>
      <c r="Y38" s="216"/>
      <c r="Z38" s="39"/>
      <c r="AA38" s="39"/>
      <c r="AB38" s="39"/>
      <c r="AC38" s="39"/>
      <c r="AD38" s="39">
        <f>+AM38+BA38</f>
        <v>49</v>
      </c>
      <c r="AE38" s="235" t="s">
        <v>472</v>
      </c>
      <c r="AF38" s="35"/>
      <c r="AG38" s="35"/>
      <c r="AH38" s="35">
        <v>49</v>
      </c>
      <c r="AI38" s="35"/>
      <c r="AJ38" s="39"/>
      <c r="AK38" s="39"/>
      <c r="AL38" s="39"/>
      <c r="AM38" s="39">
        <f t="shared" si="80"/>
        <v>49</v>
      </c>
      <c r="AN38" s="39"/>
      <c r="AO38" s="39"/>
      <c r="AP38" s="39"/>
      <c r="AQ38" s="39"/>
      <c r="AR38" s="39">
        <f t="shared" si="81"/>
        <v>0</v>
      </c>
      <c r="AS38" s="39"/>
      <c r="AT38" s="39"/>
      <c r="AU38" s="39"/>
      <c r="AV38" s="39"/>
      <c r="AW38" s="39"/>
      <c r="AX38" s="39"/>
      <c r="AY38" s="39"/>
      <c r="AZ38" s="39"/>
      <c r="BA38" s="39">
        <f>+AR38+AS38+AU38+AW38+AY38+AZ38</f>
        <v>0</v>
      </c>
      <c r="BB38" s="35"/>
      <c r="BC38" s="510"/>
      <c r="BD38" s="510"/>
      <c r="BE38" s="35"/>
      <c r="BF38" s="510"/>
    </row>
    <row r="39" spans="1:58" ht="12.95" customHeight="1">
      <c r="A39" s="42"/>
      <c r="B39" s="43"/>
      <c r="C39" s="421"/>
      <c r="D39" s="43"/>
      <c r="E39" s="44"/>
      <c r="F39" s="44"/>
      <c r="G39" s="506"/>
      <c r="H39" s="46"/>
      <c r="I39" s="47"/>
      <c r="J39" s="87"/>
      <c r="K39" s="87"/>
      <c r="L39" s="37"/>
      <c r="M39" s="37"/>
      <c r="N39" s="48"/>
      <c r="O39" s="49"/>
      <c r="P39" s="50"/>
      <c r="Q39" s="49"/>
      <c r="R39" s="507"/>
      <c r="S39" s="507"/>
      <c r="T39" s="39"/>
      <c r="U39" s="39"/>
      <c r="V39" s="39"/>
      <c r="W39" s="39"/>
      <c r="X39" s="508"/>
      <c r="Y39" s="216"/>
      <c r="Z39" s="39"/>
      <c r="AA39" s="51"/>
      <c r="AB39" s="51"/>
      <c r="AC39" s="39"/>
      <c r="AD39" s="39"/>
      <c r="AE39" s="235"/>
      <c r="AF39" s="39"/>
      <c r="AG39" s="39"/>
      <c r="AH39" s="39"/>
      <c r="AI39" s="50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5"/>
      <c r="BC39" s="53"/>
      <c r="BD39" s="53"/>
      <c r="BE39" s="35"/>
      <c r="BF39" s="53"/>
    </row>
    <row r="40" spans="1:58" ht="12.75" customHeight="1">
      <c r="A40" s="42">
        <v>45939</v>
      </c>
      <c r="B40" s="43" t="s">
        <v>469</v>
      </c>
      <c r="C40" s="421">
        <f t="shared" ref="C40" si="82">(M40*E40*O40*Q40)/100000000</f>
        <v>43.456643999999997</v>
      </c>
      <c r="D40" s="43" t="s">
        <v>304</v>
      </c>
      <c r="E40" s="44">
        <v>12.5</v>
      </c>
      <c r="F40" s="44">
        <v>1</v>
      </c>
      <c r="G40" s="506">
        <v>1230</v>
      </c>
      <c r="H40" s="46">
        <f>+N40</f>
        <v>0.22999999999999998</v>
      </c>
      <c r="I40" s="47">
        <v>0.88</v>
      </c>
      <c r="J40" s="87">
        <f t="shared" ref="J40" si="83">E40*G40*(1-H40)*1440/1000000*2.74</f>
        <v>46.710971999999998</v>
      </c>
      <c r="K40" s="87">
        <f t="shared" ref="K40" si="84">(IF(G40&lt;L40,L40,G40)*(1-IF(H40&lt;N40,H40,N40))*E40*O40*Q40)/100000000</f>
        <v>43.812846</v>
      </c>
      <c r="L40" s="37">
        <v>1220</v>
      </c>
      <c r="M40" s="37">
        <v>939.4</v>
      </c>
      <c r="N40" s="48">
        <f t="shared" ref="N40" si="85">1-(M40/L40)</f>
        <v>0.22999999999999998</v>
      </c>
      <c r="O40" s="49">
        <f>+'Trim Rwd'!H24</f>
        <v>257</v>
      </c>
      <c r="P40" s="50">
        <f t="shared" ref="P40" si="86">O40*(Q40-R40-S40)</f>
        <v>352861</v>
      </c>
      <c r="Q40" s="49">
        <v>1440</v>
      </c>
      <c r="R40" s="507">
        <v>0</v>
      </c>
      <c r="S40" s="507">
        <v>67</v>
      </c>
      <c r="T40" s="39">
        <f t="shared" ref="T40" si="87">E40*M40*O40*Q40/100000000</f>
        <v>43.456643999999997</v>
      </c>
      <c r="U40" s="39">
        <f>E40*M40*O40*(Q40-R40-S40)/100000000</f>
        <v>41.434702925000003</v>
      </c>
      <c r="V40" s="39">
        <f>E40*G40*(1-N40)*O40/100*(R40+S40)/1000000</f>
        <v>2.0385143625</v>
      </c>
      <c r="W40" s="39">
        <f>+'9'!K10/1000</f>
        <v>36.542999999999999</v>
      </c>
      <c r="X40" s="508">
        <f>SUM(W40:W43)/SUM(K40:K43)</f>
        <v>0.83407044591442425</v>
      </c>
      <c r="Y40" s="216">
        <v>0</v>
      </c>
      <c r="Z40" s="39">
        <v>0</v>
      </c>
      <c r="AA40" s="51">
        <f>SUM(U40:U43)-SUM(W40:W43)-SUM(Z40:Z43)-SUM(Y40:Y43)</f>
        <v>4.8917029250000041</v>
      </c>
      <c r="AB40" s="51">
        <f>(SUM(K40:K43)-SUM(W40:W43)-SUM(Y40:Y43)-SUM(Z40:Z43)-SUM(AC40:AC43)-SUM(V40:V43))-AA40</f>
        <v>-1.6573287500006195E-2</v>
      </c>
      <c r="AC40" s="39">
        <f>K40-T40</f>
        <v>0.35620200000000324</v>
      </c>
      <c r="AD40" s="39">
        <f>+AM40+BA40</f>
        <v>19</v>
      </c>
      <c r="AE40" s="235" t="s">
        <v>507</v>
      </c>
      <c r="AF40" s="39">
        <v>19</v>
      </c>
      <c r="AG40" s="39"/>
      <c r="AH40" s="39"/>
      <c r="AI40" s="509"/>
      <c r="AJ40" s="39"/>
      <c r="AK40" s="39"/>
      <c r="AL40" s="39"/>
      <c r="AM40" s="39">
        <f t="shared" ref="AM40:AM42" si="88">SUM(AF40:AL40)+AT40+AV40+AX40</f>
        <v>19</v>
      </c>
      <c r="AN40" s="39"/>
      <c r="AO40" s="39"/>
      <c r="AP40" s="39"/>
      <c r="AQ40" s="39"/>
      <c r="AR40" s="39">
        <f>SUM(AN40:AQ40)</f>
        <v>0</v>
      </c>
      <c r="AS40" s="39"/>
      <c r="AT40" s="39"/>
      <c r="AU40" s="39"/>
      <c r="AV40" s="39"/>
      <c r="AW40" s="39"/>
      <c r="AX40" s="39"/>
      <c r="AY40" s="39"/>
      <c r="AZ40" s="39"/>
      <c r="BA40" s="39">
        <f>+AR40+AS40+AU40+AW40+AY40+AZ40</f>
        <v>0</v>
      </c>
      <c r="BB40" s="35">
        <v>5</v>
      </c>
      <c r="BC40" s="53"/>
      <c r="BD40" s="53"/>
      <c r="BE40" s="35"/>
      <c r="BF40" s="53"/>
    </row>
    <row r="41" spans="1:58" ht="12.95" customHeight="1">
      <c r="A41" s="42"/>
      <c r="B41" s="43"/>
      <c r="C41" s="421"/>
      <c r="D41" s="43"/>
      <c r="E41" s="44"/>
      <c r="F41" s="44"/>
      <c r="G41" s="506"/>
      <c r="H41" s="46"/>
      <c r="I41" s="47"/>
      <c r="J41" s="87"/>
      <c r="K41" s="87"/>
      <c r="L41" s="37"/>
      <c r="M41" s="37"/>
      <c r="N41" s="48"/>
      <c r="O41" s="49"/>
      <c r="P41" s="50"/>
      <c r="Q41" s="49"/>
      <c r="R41" s="507"/>
      <c r="S41" s="507"/>
      <c r="T41" s="39"/>
      <c r="U41" s="39"/>
      <c r="V41" s="39"/>
      <c r="W41" s="39"/>
      <c r="X41" s="40"/>
      <c r="Y41" s="216"/>
      <c r="Z41" s="39"/>
      <c r="AA41" s="39"/>
      <c r="AB41" s="39"/>
      <c r="AC41" s="39"/>
      <c r="AD41" s="39">
        <f>+AM41+BA41</f>
        <v>12</v>
      </c>
      <c r="AE41" s="235" t="s">
        <v>508</v>
      </c>
      <c r="AF41" s="39"/>
      <c r="AG41" s="39">
        <v>12</v>
      </c>
      <c r="AH41" s="39"/>
      <c r="AI41" s="39"/>
      <c r="AJ41" s="39"/>
      <c r="AK41" s="39"/>
      <c r="AL41" s="39"/>
      <c r="AM41" s="39">
        <f t="shared" si="88"/>
        <v>12</v>
      </c>
      <c r="AN41" s="88"/>
      <c r="AO41" s="39"/>
      <c r="AP41" s="39"/>
      <c r="AQ41" s="39"/>
      <c r="AR41" s="39">
        <f t="shared" ref="AR41:AR42" si="89">SUM(AN41:AQ41)</f>
        <v>0</v>
      </c>
      <c r="AS41" s="39"/>
      <c r="AT41" s="39"/>
      <c r="AU41" s="39"/>
      <c r="AV41" s="39"/>
      <c r="AW41" s="39"/>
      <c r="AX41" s="39"/>
      <c r="AY41" s="39"/>
      <c r="AZ41" s="39"/>
      <c r="BA41" s="39">
        <f>+AR41+AS41+AU41+AW41+AY41+AZ41</f>
        <v>0</v>
      </c>
      <c r="BB41" s="52"/>
      <c r="BC41" s="53">
        <v>13</v>
      </c>
      <c r="BD41" s="53"/>
      <c r="BE41" s="52"/>
      <c r="BF41" s="53"/>
    </row>
    <row r="42" spans="1:58" ht="12.95" customHeight="1">
      <c r="A42" s="42"/>
      <c r="B42" s="43"/>
      <c r="C42" s="421"/>
      <c r="D42" s="43"/>
      <c r="E42" s="44"/>
      <c r="F42" s="44"/>
      <c r="G42" s="45"/>
      <c r="H42" s="46"/>
      <c r="I42" s="47"/>
      <c r="J42" s="87"/>
      <c r="K42" s="87"/>
      <c r="L42" s="37"/>
      <c r="M42" s="37"/>
      <c r="N42" s="48"/>
      <c r="O42" s="49"/>
      <c r="P42" s="50"/>
      <c r="Q42" s="49"/>
      <c r="R42" s="507"/>
      <c r="S42" s="507"/>
      <c r="T42" s="39"/>
      <c r="U42" s="39"/>
      <c r="V42" s="39"/>
      <c r="W42" s="39"/>
      <c r="X42" s="40"/>
      <c r="Y42" s="216"/>
      <c r="Z42" s="39"/>
      <c r="AA42" s="39"/>
      <c r="AB42" s="39"/>
      <c r="AC42" s="39"/>
      <c r="AD42" s="39">
        <f>+AM42+BA42</f>
        <v>36</v>
      </c>
      <c r="AE42" s="235" t="s">
        <v>472</v>
      </c>
      <c r="AF42" s="35"/>
      <c r="AG42" s="35"/>
      <c r="AH42" s="35">
        <v>36</v>
      </c>
      <c r="AI42" s="35"/>
      <c r="AJ42" s="39"/>
      <c r="AK42" s="39"/>
      <c r="AL42" s="39"/>
      <c r="AM42" s="39">
        <f t="shared" si="88"/>
        <v>36</v>
      </c>
      <c r="AN42" s="39"/>
      <c r="AO42" s="39"/>
      <c r="AP42" s="39"/>
      <c r="AQ42" s="39"/>
      <c r="AR42" s="39">
        <f t="shared" si="89"/>
        <v>0</v>
      </c>
      <c r="AS42" s="39"/>
      <c r="AT42" s="39"/>
      <c r="AU42" s="39"/>
      <c r="AV42" s="39"/>
      <c r="AW42" s="39"/>
      <c r="AX42" s="39"/>
      <c r="AY42" s="39"/>
      <c r="AZ42" s="39"/>
      <c r="BA42" s="39">
        <f>+AR42+AS42+AU42+AW42+AY42+AZ42</f>
        <v>0</v>
      </c>
      <c r="BB42" s="35"/>
      <c r="BC42" s="510"/>
      <c r="BD42" s="510"/>
      <c r="BE42" s="35"/>
      <c r="BF42" s="510"/>
    </row>
    <row r="43" spans="1:58" ht="12.95" customHeight="1">
      <c r="A43" s="42"/>
      <c r="B43" s="43"/>
      <c r="C43" s="421"/>
      <c r="D43" s="43"/>
      <c r="E43" s="44"/>
      <c r="F43" s="44"/>
      <c r="G43" s="45"/>
      <c r="H43" s="46"/>
      <c r="I43" s="47"/>
      <c r="J43" s="87"/>
      <c r="K43" s="87"/>
      <c r="L43" s="37"/>
      <c r="M43" s="37"/>
      <c r="N43" s="48"/>
      <c r="O43" s="49"/>
      <c r="P43" s="50"/>
      <c r="Q43" s="49"/>
      <c r="R43" s="507"/>
      <c r="S43" s="507"/>
      <c r="T43" s="39"/>
      <c r="U43" s="39"/>
      <c r="V43" s="39"/>
      <c r="W43" s="39"/>
      <c r="X43" s="40"/>
      <c r="Y43" s="216"/>
      <c r="Z43" s="39"/>
      <c r="AA43" s="51"/>
      <c r="AB43" s="51"/>
      <c r="AC43" s="39"/>
      <c r="AD43" s="39"/>
      <c r="AE43" s="235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5"/>
      <c r="BC43" s="53"/>
      <c r="BD43" s="53"/>
      <c r="BE43" s="53"/>
      <c r="BF43" s="53"/>
    </row>
    <row r="44" spans="1:58" ht="12.75" customHeight="1">
      <c r="A44" s="42">
        <v>45940</v>
      </c>
      <c r="B44" s="43" t="s">
        <v>469</v>
      </c>
      <c r="C44" s="421">
        <f t="shared" ref="C44" si="90">(M44*E44*O44*Q44)/100000000</f>
        <v>43.280769262499987</v>
      </c>
      <c r="D44" s="43" t="s">
        <v>304</v>
      </c>
      <c r="E44" s="44">
        <v>12.5</v>
      </c>
      <c r="F44" s="44">
        <v>1</v>
      </c>
      <c r="G44" s="506">
        <v>1230</v>
      </c>
      <c r="H44" s="46">
        <f>+N44</f>
        <v>0.23000000000000009</v>
      </c>
      <c r="I44" s="47">
        <v>0.88</v>
      </c>
      <c r="J44" s="87">
        <f t="shared" ref="J44" si="91">E44*G44*(1-H44)*1440/1000000*2.74</f>
        <v>46.710971999999991</v>
      </c>
      <c r="K44" s="87">
        <f t="shared" ref="K44" si="92">(IF(G44&lt;L44,L44,G44)*(1-IF(H44&lt;N44,H44,N44))*E44*O44*Q44)/100000000</f>
        <v>43.812845999999993</v>
      </c>
      <c r="L44" s="37">
        <v>1215.0625</v>
      </c>
      <c r="M44" s="37">
        <v>935.59812499999987</v>
      </c>
      <c r="N44" s="48">
        <f t="shared" ref="N44" si="93">1-(M44/L44)</f>
        <v>0.23000000000000009</v>
      </c>
      <c r="O44" s="49">
        <f>+'Trim Rwd'!H26</f>
        <v>257</v>
      </c>
      <c r="P44" s="50">
        <f t="shared" ref="P44" si="94">O44*(Q44-R44-S44)</f>
        <v>348749</v>
      </c>
      <c r="Q44" s="49">
        <v>1440</v>
      </c>
      <c r="R44" s="507">
        <v>0</v>
      </c>
      <c r="S44" s="507">
        <v>83</v>
      </c>
      <c r="T44" s="39">
        <f t="shared" ref="T44" si="95">E44*M44*O44*Q44/100000000</f>
        <v>43.280769262499987</v>
      </c>
      <c r="U44" s="39">
        <f>E44*M44*O44*(Q44-R44-S44)/100000000</f>
        <v>40.786113811953122</v>
      </c>
      <c r="V44" s="39">
        <f>E44*G44*(1-N44)*O44/100*(R44+S44)/1000000</f>
        <v>2.5253237624999998</v>
      </c>
      <c r="W44" s="39">
        <f>+'10'!K10/1000</f>
        <v>35.942</v>
      </c>
      <c r="X44" s="508">
        <f>SUM(W44:W47)/SUM(K44:K47)</f>
        <v>0.82035300788266541</v>
      </c>
      <c r="Y44" s="216">
        <f>+SUM(RBP!AG23:AG24)</f>
        <v>0</v>
      </c>
      <c r="Z44" s="39">
        <v>0</v>
      </c>
      <c r="AA44" s="51">
        <f>SUM(U44:U47)-SUM(W44:W47)-SUM(Z44:Z47)-SUM(Y44:Y47)</f>
        <v>4.8441138119531217</v>
      </c>
      <c r="AB44" s="51">
        <f>(SUM(K44:K47)-SUM(W44:W47)-SUM(Y44:Y47)-SUM(Z44:Z47)-SUM(AC44:AC47)-SUM(V44:V47))-AA44</f>
        <v>-3.0668311953133909E-2</v>
      </c>
      <c r="AC44" s="39">
        <f>K44-T44</f>
        <v>0.53207673750000595</v>
      </c>
      <c r="AD44" s="39">
        <f>+AM44+BA44</f>
        <v>23</v>
      </c>
      <c r="AE44" s="235" t="s">
        <v>516</v>
      </c>
      <c r="AF44" s="39">
        <v>23</v>
      </c>
      <c r="AG44" s="39"/>
      <c r="AH44" s="39"/>
      <c r="AI44" s="509"/>
      <c r="AJ44" s="39"/>
      <c r="AK44" s="39"/>
      <c r="AL44" s="39"/>
      <c r="AM44" s="39">
        <f t="shared" ref="AM44:AM46" si="96">SUM(AF44:AL44)+AT44+AV44+AX44</f>
        <v>23</v>
      </c>
      <c r="AN44" s="39"/>
      <c r="AO44" s="39"/>
      <c r="AP44" s="39"/>
      <c r="AQ44" s="39"/>
      <c r="AR44" s="39">
        <f>SUM(AN44:AQ44)</f>
        <v>0</v>
      </c>
      <c r="AS44" s="39"/>
      <c r="AT44" s="39"/>
      <c r="AU44" s="39"/>
      <c r="AV44" s="39"/>
      <c r="AW44" s="39"/>
      <c r="AX44" s="39"/>
      <c r="AY44" s="39"/>
      <c r="AZ44" s="39"/>
      <c r="BA44" s="39">
        <f>+AR44+AS44+AU44+AW44+AY44+AZ44</f>
        <v>0</v>
      </c>
      <c r="BB44" s="35">
        <v>6</v>
      </c>
      <c r="BC44" s="53"/>
      <c r="BD44" s="53"/>
      <c r="BE44" s="35"/>
      <c r="BF44" s="53"/>
    </row>
    <row r="45" spans="1:58" ht="12.95" customHeight="1">
      <c r="A45" s="42"/>
      <c r="B45" s="43"/>
      <c r="C45" s="421"/>
      <c r="D45" s="43"/>
      <c r="E45" s="44"/>
      <c r="F45" s="44"/>
      <c r="G45" s="506"/>
      <c r="H45" s="46"/>
      <c r="I45" s="47"/>
      <c r="J45" s="87"/>
      <c r="K45" s="87"/>
      <c r="L45" s="37"/>
      <c r="M45" s="37"/>
      <c r="N45" s="48"/>
      <c r="O45" s="49"/>
      <c r="P45" s="50"/>
      <c r="Q45" s="49"/>
      <c r="R45" s="507"/>
      <c r="S45" s="507"/>
      <c r="T45" s="39"/>
      <c r="U45" s="39"/>
      <c r="V45" s="39"/>
      <c r="W45" s="39"/>
      <c r="X45" s="40"/>
      <c r="Y45" s="216"/>
      <c r="Z45" s="39"/>
      <c r="AA45" s="39"/>
      <c r="AB45" s="39"/>
      <c r="AC45" s="39"/>
      <c r="AD45" s="39">
        <f>+AM45+BA45</f>
        <v>8</v>
      </c>
      <c r="AE45" s="235" t="s">
        <v>444</v>
      </c>
      <c r="AF45" s="39"/>
      <c r="AG45" s="39">
        <v>8</v>
      </c>
      <c r="AH45" s="39"/>
      <c r="AI45" s="39"/>
      <c r="AJ45" s="39"/>
      <c r="AK45" s="39"/>
      <c r="AL45" s="39"/>
      <c r="AM45" s="39">
        <f t="shared" si="96"/>
        <v>8</v>
      </c>
      <c r="AN45" s="88"/>
      <c r="AO45" s="39"/>
      <c r="AP45" s="39"/>
      <c r="AQ45" s="39"/>
      <c r="AR45" s="39">
        <f t="shared" ref="AR45:AR46" si="97">SUM(AN45:AQ45)</f>
        <v>0</v>
      </c>
      <c r="AS45" s="39"/>
      <c r="AT45" s="39"/>
      <c r="AU45" s="39"/>
      <c r="AV45" s="39"/>
      <c r="AW45" s="39"/>
      <c r="AX45" s="39"/>
      <c r="AY45" s="39"/>
      <c r="AZ45" s="39"/>
      <c r="BA45" s="39">
        <f>+AR45+AS45+AU45+AW45+AY45+AZ45</f>
        <v>0</v>
      </c>
      <c r="BB45" s="52"/>
      <c r="BC45" s="53">
        <v>9</v>
      </c>
      <c r="BD45" s="53"/>
      <c r="BE45" s="52"/>
      <c r="BF45" s="53"/>
    </row>
    <row r="46" spans="1:58" ht="12.95" customHeight="1">
      <c r="A46" s="42"/>
      <c r="B46" s="43"/>
      <c r="C46" s="421"/>
      <c r="D46" s="43"/>
      <c r="E46" s="44"/>
      <c r="F46" s="44"/>
      <c r="G46" s="45"/>
      <c r="H46" s="46"/>
      <c r="I46" s="47"/>
      <c r="J46" s="87"/>
      <c r="K46" s="87"/>
      <c r="L46" s="37"/>
      <c r="M46" s="37"/>
      <c r="N46" s="48"/>
      <c r="O46" s="49"/>
      <c r="P46" s="50"/>
      <c r="Q46" s="49"/>
      <c r="R46" s="507"/>
      <c r="S46" s="507"/>
      <c r="T46" s="39"/>
      <c r="U46" s="39"/>
      <c r="V46" s="39"/>
      <c r="W46" s="39"/>
      <c r="X46" s="40"/>
      <c r="Y46" s="216"/>
      <c r="Z46" s="39"/>
      <c r="AA46" s="39"/>
      <c r="AB46" s="39"/>
      <c r="AC46" s="39"/>
      <c r="AD46" s="39">
        <f>+AM46+BA46</f>
        <v>52</v>
      </c>
      <c r="AE46" s="235" t="s">
        <v>496</v>
      </c>
      <c r="AF46" s="35"/>
      <c r="AG46" s="35"/>
      <c r="AH46" s="35">
        <v>52</v>
      </c>
      <c r="AI46" s="35"/>
      <c r="AJ46" s="39"/>
      <c r="AK46" s="39"/>
      <c r="AL46" s="39"/>
      <c r="AM46" s="39">
        <f t="shared" si="96"/>
        <v>52</v>
      </c>
      <c r="AN46" s="39"/>
      <c r="AO46" s="39"/>
      <c r="AP46" s="39"/>
      <c r="AQ46" s="39"/>
      <c r="AR46" s="39">
        <f t="shared" si="97"/>
        <v>0</v>
      </c>
      <c r="AS46" s="39"/>
      <c r="AT46" s="39"/>
      <c r="AU46" s="39"/>
      <c r="AV46" s="39"/>
      <c r="AW46" s="39"/>
      <c r="AX46" s="39"/>
      <c r="AY46" s="39"/>
      <c r="AZ46" s="39"/>
      <c r="BA46" s="39">
        <f>+AR46+AS46+AU46+AW46+AY46+AZ46</f>
        <v>0</v>
      </c>
      <c r="BB46" s="35"/>
      <c r="BC46" s="510"/>
      <c r="BD46" s="510"/>
      <c r="BE46" s="35"/>
      <c r="BF46" s="510"/>
    </row>
    <row r="47" spans="1:58" ht="12.95" customHeight="1">
      <c r="A47" s="42"/>
      <c r="B47" s="43"/>
      <c r="C47" s="421"/>
      <c r="D47" s="43"/>
      <c r="E47" s="44"/>
      <c r="F47" s="44"/>
      <c r="G47" s="45"/>
      <c r="H47" s="46"/>
      <c r="I47" s="47"/>
      <c r="J47" s="87"/>
      <c r="K47" s="87"/>
      <c r="L47" s="37"/>
      <c r="M47" s="37"/>
      <c r="N47" s="48"/>
      <c r="O47" s="49"/>
      <c r="P47" s="50"/>
      <c r="Q47" s="49"/>
      <c r="R47" s="507"/>
      <c r="S47" s="507"/>
      <c r="T47" s="39"/>
      <c r="U47" s="39"/>
      <c r="V47" s="39"/>
      <c r="W47" s="39"/>
      <c r="X47" s="40"/>
      <c r="Y47" s="216"/>
      <c r="Z47" s="39"/>
      <c r="AA47" s="51"/>
      <c r="AB47" s="51"/>
      <c r="AC47" s="39"/>
      <c r="AD47" s="39"/>
      <c r="AE47" s="235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5"/>
      <c r="BC47" s="53"/>
      <c r="BD47" s="53"/>
      <c r="BE47" s="53"/>
      <c r="BF47" s="53"/>
    </row>
    <row r="48" spans="1:58" ht="12.75" customHeight="1">
      <c r="A48" s="42">
        <v>45941</v>
      </c>
      <c r="B48" s="43" t="s">
        <v>469</v>
      </c>
      <c r="C48" s="421">
        <f t="shared" ref="C48" si="98">(M48*E48*O48*Q48)/100000000</f>
        <v>37.444993162499998</v>
      </c>
      <c r="D48" s="43" t="s">
        <v>304</v>
      </c>
      <c r="E48" s="44">
        <v>12.5</v>
      </c>
      <c r="F48" s="44">
        <v>1</v>
      </c>
      <c r="G48" s="506">
        <v>1230</v>
      </c>
      <c r="H48" s="46">
        <f>+N48</f>
        <v>0.22999999999999998</v>
      </c>
      <c r="I48" s="47">
        <v>0.88</v>
      </c>
      <c r="J48" s="87">
        <f t="shared" ref="J48" si="99">E48*G48*(1-H48)*1440/1000000*2.74</f>
        <v>46.710971999999998</v>
      </c>
      <c r="K48" s="87">
        <f t="shared" ref="K48" si="100">(IF(G48&lt;L48,L48,G48)*(1-IF(H48&lt;N48,H48,N48))*E48*O48*Q48)/100000000</f>
        <v>38.640496124999999</v>
      </c>
      <c r="L48" s="37">
        <v>1191.9448818897638</v>
      </c>
      <c r="M48" s="37">
        <v>917.79755905511809</v>
      </c>
      <c r="N48" s="48">
        <f t="shared" ref="N48" si="101">1-(M48/L48)</f>
        <v>0.22999999999999998</v>
      </c>
      <c r="O48" s="49">
        <f>+'Trim Rwd'!H28</f>
        <v>257</v>
      </c>
      <c r="P48" s="50">
        <f t="shared" ref="P48" si="102">O48*(Q48-R48-S48)</f>
        <v>313540</v>
      </c>
      <c r="Q48" s="49">
        <v>1270</v>
      </c>
      <c r="R48" s="507">
        <v>0</v>
      </c>
      <c r="S48" s="507">
        <v>50</v>
      </c>
      <c r="T48" s="39">
        <f t="shared" ref="T48" si="103">E48*M48*O48*Q48/100000000</f>
        <v>37.444993162499998</v>
      </c>
      <c r="U48" s="39">
        <f>E48*M48*O48*(Q48-R48-S48)/100000000</f>
        <v>35.970780833267717</v>
      </c>
      <c r="V48" s="39">
        <f>E48*G48*(1-N48)*O48/100*(R48+S48)/1000000</f>
        <v>1.521279375</v>
      </c>
      <c r="W48" s="39">
        <f>+'11'!K10/1000</f>
        <v>36.798000000000002</v>
      </c>
      <c r="X48" s="508">
        <f>SUM(W48:W51)/SUM(K48:K51)</f>
        <v>0.91753522389796827</v>
      </c>
      <c r="Y48" s="216">
        <f>+SUM(RBP!AG27:AG28)</f>
        <v>0</v>
      </c>
      <c r="Z48" s="39">
        <v>0</v>
      </c>
      <c r="AA48" s="51">
        <f>SUM(U48:U51)-SUM(W48:W51)-SUM(Z48:Z51)-SUM(Y48:Y51)</f>
        <v>0.49059939326772195</v>
      </c>
      <c r="AB48" s="51">
        <f>(SUM(K48:K51)-SUM(W48:W51)-SUM(Y48:Y51)-SUM(Z48:Z51)-SUM(AC48:AC51)-SUM(V48:V51))-AA48</f>
        <v>7.1053418232279952E-2</v>
      </c>
      <c r="AC48" s="39">
        <f>K48-T48</f>
        <v>1.1955029625000009</v>
      </c>
      <c r="AD48" s="39">
        <f>+AM48+BA48</f>
        <v>6</v>
      </c>
      <c r="AE48" s="235" t="s">
        <v>458</v>
      </c>
      <c r="AF48" s="39">
        <v>6</v>
      </c>
      <c r="AG48" s="39"/>
      <c r="AH48" s="39"/>
      <c r="AI48" s="509"/>
      <c r="AJ48" s="39"/>
      <c r="AK48" s="39"/>
      <c r="AL48" s="39"/>
      <c r="AM48" s="39">
        <f t="shared" ref="AM48:AM50" si="104">SUM(AF48:AL48)+AT48+AV48+AX48</f>
        <v>6</v>
      </c>
      <c r="AN48" s="39"/>
      <c r="AO48" s="39"/>
      <c r="AP48" s="39"/>
      <c r="AQ48" s="39"/>
      <c r="AR48" s="39">
        <f>SUM(AN48:AQ48)</f>
        <v>0</v>
      </c>
      <c r="AS48" s="39"/>
      <c r="AT48" s="39"/>
      <c r="AU48" s="39"/>
      <c r="AV48" s="39"/>
      <c r="AW48" s="39"/>
      <c r="AX48" s="39"/>
      <c r="AY48" s="39"/>
      <c r="AZ48" s="39"/>
      <c r="BA48" s="39">
        <f>+AR48+AS48+AU48+AW48+AY48+AZ48</f>
        <v>0</v>
      </c>
      <c r="BB48" s="35">
        <v>3</v>
      </c>
      <c r="BC48" s="53"/>
      <c r="BD48" s="53"/>
      <c r="BE48" s="35"/>
      <c r="BF48" s="53"/>
    </row>
    <row r="49" spans="1:58" ht="12.95" customHeight="1">
      <c r="A49" s="42"/>
      <c r="B49" s="43" t="s">
        <v>469</v>
      </c>
      <c r="C49" s="421">
        <f t="shared" ref="C49" si="105">(M49*E49*O49*Q49)/100000000</f>
        <v>5.0516927999999997</v>
      </c>
      <c r="D49" s="43" t="s">
        <v>304</v>
      </c>
      <c r="E49" s="44">
        <v>12</v>
      </c>
      <c r="F49" s="44">
        <v>1</v>
      </c>
      <c r="G49" s="506">
        <v>1230</v>
      </c>
      <c r="H49" s="46">
        <f>+N49</f>
        <v>0.22999999999999998</v>
      </c>
      <c r="I49" s="47">
        <v>0.88</v>
      </c>
      <c r="J49" s="87">
        <f t="shared" ref="J49" si="106">E49*G49*(1-H49)*1440/1000000*2.74</f>
        <v>44.842533120000006</v>
      </c>
      <c r="K49" s="87">
        <f t="shared" ref="K49" si="107">(IF(G49&lt;L49,L49,G49)*(1-IF(H49&lt;N49,H49,N49))*E49*O49*Q49)/100000000</f>
        <v>5.1779851199999998</v>
      </c>
      <c r="L49" s="37">
        <v>1200</v>
      </c>
      <c r="M49" s="37">
        <v>924</v>
      </c>
      <c r="N49" s="48">
        <f t="shared" ref="N49" si="108">1-(M49/L49)</f>
        <v>0.22999999999999998</v>
      </c>
      <c r="O49" s="49">
        <f>+'Trim Rwd'!H29</f>
        <v>268</v>
      </c>
      <c r="P49" s="50">
        <f t="shared" ref="P49" si="109">O49*(Q49-R49-S49)</f>
        <v>42612</v>
      </c>
      <c r="Q49" s="49">
        <v>170</v>
      </c>
      <c r="R49" s="507">
        <v>0</v>
      </c>
      <c r="S49" s="507">
        <v>11</v>
      </c>
      <c r="T49" s="39">
        <f t="shared" ref="T49" si="110">E49*M49*O49*Q49/100000000</f>
        <v>5.0516927999999997</v>
      </c>
      <c r="U49" s="39">
        <f>E49*M49*O49*(Q49-R49-S49)/100000000</f>
        <v>4.7248185600000001</v>
      </c>
      <c r="V49" s="39">
        <f>E49*G49*(1-N49)*O49/100*(R49+S49)/1000000</f>
        <v>0.33504609600000002</v>
      </c>
      <c r="W49" s="39">
        <f>+'11'!K11/1000</f>
        <v>3.407</v>
      </c>
      <c r="X49" s="40"/>
      <c r="Y49" s="216"/>
      <c r="Z49" s="39"/>
      <c r="AA49" s="39"/>
      <c r="AB49" s="39"/>
      <c r="AC49" s="39"/>
      <c r="AD49" s="39">
        <f>+AM49+BA49</f>
        <v>14</v>
      </c>
      <c r="AE49" s="235" t="s">
        <v>537</v>
      </c>
      <c r="AF49" s="39"/>
      <c r="AG49" s="39">
        <v>14</v>
      </c>
      <c r="AH49" s="39"/>
      <c r="AI49" s="39"/>
      <c r="AJ49" s="39"/>
      <c r="AK49" s="39"/>
      <c r="AL49" s="39"/>
      <c r="AM49" s="39">
        <f t="shared" si="104"/>
        <v>14</v>
      </c>
      <c r="AN49" s="88"/>
      <c r="AO49" s="39"/>
      <c r="AP49" s="39"/>
      <c r="AQ49" s="39"/>
      <c r="AR49" s="39">
        <f t="shared" ref="AR49:AR50" si="111">SUM(AN49:AQ49)</f>
        <v>0</v>
      </c>
      <c r="AS49" s="39"/>
      <c r="AT49" s="39"/>
      <c r="AU49" s="39"/>
      <c r="AV49" s="39"/>
      <c r="AW49" s="39"/>
      <c r="AX49" s="39"/>
      <c r="AY49" s="39"/>
      <c r="AZ49" s="39"/>
      <c r="BA49" s="39">
        <f>+AR49+AS49+AU49+AW49+AY49+AZ49</f>
        <v>0</v>
      </c>
      <c r="BB49" s="52"/>
      <c r="BC49" s="53">
        <v>6</v>
      </c>
      <c r="BD49" s="53"/>
      <c r="BE49" s="52"/>
      <c r="BF49" s="53"/>
    </row>
    <row r="50" spans="1:58" ht="12.95" customHeight="1">
      <c r="A50" s="42"/>
      <c r="B50" s="43"/>
      <c r="C50" s="421"/>
      <c r="D50" s="43"/>
      <c r="E50" s="44"/>
      <c r="F50" s="44"/>
      <c r="G50" s="45"/>
      <c r="H50" s="46"/>
      <c r="I50" s="47"/>
      <c r="J50" s="87"/>
      <c r="K50" s="87"/>
      <c r="L50" s="37"/>
      <c r="M50" s="37"/>
      <c r="N50" s="48"/>
      <c r="O50" s="49"/>
      <c r="P50" s="50"/>
      <c r="Q50" s="49"/>
      <c r="R50" s="507"/>
      <c r="S50" s="507"/>
      <c r="T50" s="39"/>
      <c r="U50" s="39"/>
      <c r="V50" s="39"/>
      <c r="W50" s="39"/>
      <c r="X50" s="40"/>
      <c r="Y50" s="216"/>
      <c r="Z50" s="39"/>
      <c r="AA50" s="39"/>
      <c r="AB50" s="39"/>
      <c r="AC50" s="39"/>
      <c r="AD50" s="39">
        <f>+AM50+BA50</f>
        <v>41</v>
      </c>
      <c r="AE50" s="235" t="s">
        <v>432</v>
      </c>
      <c r="AF50" s="35"/>
      <c r="AG50" s="35"/>
      <c r="AH50" s="35">
        <v>41</v>
      </c>
      <c r="AI50" s="35"/>
      <c r="AJ50" s="39"/>
      <c r="AK50" s="39"/>
      <c r="AL50" s="39"/>
      <c r="AM50" s="39">
        <f t="shared" si="104"/>
        <v>41</v>
      </c>
      <c r="AN50" s="39"/>
      <c r="AO50" s="39"/>
      <c r="AP50" s="39"/>
      <c r="AQ50" s="39"/>
      <c r="AR50" s="39">
        <f t="shared" si="111"/>
        <v>0</v>
      </c>
      <c r="AS50" s="39"/>
      <c r="AT50" s="39"/>
      <c r="AU50" s="39"/>
      <c r="AV50" s="39"/>
      <c r="AW50" s="39"/>
      <c r="AX50" s="39"/>
      <c r="AY50" s="39"/>
      <c r="AZ50" s="39"/>
      <c r="BA50" s="39">
        <f>+AR50+AS50+AU50+AW50+AY50+AZ50</f>
        <v>0</v>
      </c>
      <c r="BB50" s="35"/>
      <c r="BC50" s="510"/>
      <c r="BD50" s="510"/>
      <c r="BE50" s="35"/>
      <c r="BF50" s="510"/>
    </row>
    <row r="51" spans="1:58" ht="12.95" customHeight="1">
      <c r="A51" s="42"/>
      <c r="B51" s="43"/>
      <c r="C51" s="421"/>
      <c r="D51" s="43"/>
      <c r="E51" s="44"/>
      <c r="F51" s="44"/>
      <c r="G51" s="506"/>
      <c r="H51" s="46"/>
      <c r="I51" s="47"/>
      <c r="J51" s="87"/>
      <c r="K51" s="87"/>
      <c r="L51" s="37"/>
      <c r="M51" s="37"/>
      <c r="N51" s="48"/>
      <c r="O51" s="49"/>
      <c r="P51" s="50"/>
      <c r="Q51" s="49"/>
      <c r="R51" s="507"/>
      <c r="S51" s="507"/>
      <c r="T51" s="39"/>
      <c r="U51" s="39"/>
      <c r="V51" s="39"/>
      <c r="W51" s="39"/>
      <c r="X51" s="40"/>
      <c r="Y51" s="216"/>
      <c r="Z51" s="39"/>
      <c r="AA51" s="39"/>
      <c r="AB51" s="39"/>
      <c r="AC51" s="39"/>
      <c r="AD51" s="39"/>
      <c r="AE51" s="235"/>
      <c r="AF51" s="39"/>
      <c r="AG51" s="39"/>
      <c r="AH51" s="39"/>
      <c r="AI51" s="509"/>
      <c r="AJ51" s="39"/>
      <c r="AK51" s="39"/>
      <c r="AL51" s="39"/>
      <c r="AM51" s="39"/>
      <c r="AN51" s="88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52"/>
      <c r="BC51" s="53"/>
      <c r="BD51" s="53"/>
      <c r="BE51" s="35"/>
      <c r="BF51" s="53"/>
    </row>
    <row r="52" spans="1:58" ht="12.75" customHeight="1">
      <c r="A52" s="42">
        <v>45942</v>
      </c>
      <c r="B52" s="43" t="s">
        <v>469</v>
      </c>
      <c r="C52" s="421">
        <f t="shared" ref="C52" si="112">(M52*E52*O52*Q52)/100000000</f>
        <v>4.3385126400000003</v>
      </c>
      <c r="D52" s="43" t="s">
        <v>304</v>
      </c>
      <c r="E52" s="44">
        <v>12</v>
      </c>
      <c r="F52" s="44">
        <v>1</v>
      </c>
      <c r="G52" s="506">
        <v>1230</v>
      </c>
      <c r="H52" s="46">
        <f>+N52</f>
        <v>0.22999999999999998</v>
      </c>
      <c r="I52" s="47">
        <v>0.88</v>
      </c>
      <c r="J52" s="87">
        <f t="shared" ref="J52" si="113">E52*G52*(1-H52)*1440/1000000*2.74</f>
        <v>44.842533120000006</v>
      </c>
      <c r="K52" s="87">
        <f t="shared" ref="K52" si="114">(IF(G52&lt;L52,L52,G52)*(1-IF(H52&lt;N52,H52,N52))*E52*O52*Q52)/100000000</f>
        <v>4.4469754560000005</v>
      </c>
      <c r="L52" s="37">
        <v>1200</v>
      </c>
      <c r="M52" s="37">
        <v>924</v>
      </c>
      <c r="N52" s="48">
        <f t="shared" ref="N52" si="115">1-(M52/L52)</f>
        <v>0.22999999999999998</v>
      </c>
      <c r="O52" s="49">
        <f>+'Trim Rwd'!H32</f>
        <v>268</v>
      </c>
      <c r="P52" s="50">
        <f t="shared" ref="P52" si="116">O52*(Q52-R52-S52)</f>
        <v>35644</v>
      </c>
      <c r="Q52" s="49">
        <v>146</v>
      </c>
      <c r="R52" s="507">
        <v>0</v>
      </c>
      <c r="S52" s="507">
        <v>13</v>
      </c>
      <c r="T52" s="39">
        <f t="shared" ref="T52" si="117">E52*M52*O52*Q52/100000000</f>
        <v>4.3385126400000003</v>
      </c>
      <c r="U52" s="39">
        <f>E52*M52*O52*(Q52-R52-S52)/100000000</f>
        <v>3.95220672</v>
      </c>
      <c r="V52" s="39">
        <f>E52*G52*(1-N52)*O52/100*(R52+S52)/1000000</f>
        <v>0.39596356800000004</v>
      </c>
      <c r="W52" s="39">
        <f>+'12'!K11/1000</f>
        <v>7.7210000000000001</v>
      </c>
      <c r="X52" s="508">
        <f>SUM(W52:W55)/SUM(K52:K55)</f>
        <v>0.87740189909938571</v>
      </c>
      <c r="Y52" s="216">
        <f>+SUM(RBP!AG31:AG32)</f>
        <v>0</v>
      </c>
      <c r="Z52" s="39">
        <v>0</v>
      </c>
      <c r="AA52" s="51">
        <f>SUM(U52:U55)-SUM(W52:W55)-SUM(Z52:Z55)-SUM(Y52:Y55)</f>
        <v>0.94414351683153797</v>
      </c>
      <c r="AB52" s="51">
        <f>(SUM(K52:K55)-SUM(W52:W55)-SUM(Y52:Y55)-SUM(Z52:Z55)-SUM(AC52:AC55)-SUM(V52:V55))-AA52</f>
        <v>1.9713222551684635</v>
      </c>
      <c r="AC52" s="39">
        <f>K52-T52</f>
        <v>0.10846281600000029</v>
      </c>
      <c r="AD52" s="39">
        <f>+AM52+BA52</f>
        <v>23</v>
      </c>
      <c r="AE52" s="235" t="s">
        <v>485</v>
      </c>
      <c r="AF52" s="39">
        <v>23</v>
      </c>
      <c r="AG52" s="39"/>
      <c r="AH52" s="39"/>
      <c r="AI52" s="509"/>
      <c r="AJ52" s="39"/>
      <c r="AK52" s="39"/>
      <c r="AL52" s="39"/>
      <c r="AM52" s="39">
        <f t="shared" ref="AM52:AM54" si="118">SUM(AF52:AL52)+AT52+AV52+AX52</f>
        <v>23</v>
      </c>
      <c r="AN52" s="39"/>
      <c r="AO52" s="39"/>
      <c r="AP52" s="39"/>
      <c r="AQ52" s="39"/>
      <c r="AR52" s="39">
        <f>SUM(AN52:AQ52)</f>
        <v>0</v>
      </c>
      <c r="AS52" s="39"/>
      <c r="AT52" s="39"/>
      <c r="AU52" s="39"/>
      <c r="AV52" s="39"/>
      <c r="AW52" s="39"/>
      <c r="AX52" s="39"/>
      <c r="AY52" s="39"/>
      <c r="AZ52" s="39"/>
      <c r="BA52" s="39">
        <f>+AR52+AS52+AU52+AW52+AY52+AZ52</f>
        <v>0</v>
      </c>
      <c r="BB52" s="35">
        <v>9</v>
      </c>
      <c r="BC52" s="53"/>
      <c r="BD52" s="53"/>
      <c r="BE52" s="35"/>
      <c r="BF52" s="53"/>
    </row>
    <row r="53" spans="1:58" ht="12.95" customHeight="1">
      <c r="A53" s="42"/>
      <c r="B53" s="43" t="s">
        <v>469</v>
      </c>
      <c r="C53" s="421">
        <f t="shared" ref="C53" si="119">(M53*E53*O53*Q53)/100000000</f>
        <v>39.870779587500003</v>
      </c>
      <c r="D53" s="43" t="s">
        <v>304</v>
      </c>
      <c r="E53" s="44">
        <v>12.5</v>
      </c>
      <c r="F53" s="44">
        <v>1</v>
      </c>
      <c r="G53" s="506">
        <v>1230</v>
      </c>
      <c r="H53" s="46">
        <f>+N53</f>
        <v>0.20999999999999996</v>
      </c>
      <c r="I53" s="47">
        <v>0.88</v>
      </c>
      <c r="J53" s="87">
        <f t="shared" ref="J53" si="120">E53*G53*(1-H53)*1440/1000000*2.74</f>
        <v>47.924244000000009</v>
      </c>
      <c r="K53" s="87">
        <f t="shared" ref="K53" si="121">(IF(G53&lt;L53,L53,G53)*(1-IF(H53&lt;N53,H53,N53))*E53*O53*Q53)/100000000</f>
        <v>41.965050824999999</v>
      </c>
      <c r="L53" s="37">
        <v>1168.6166924265842</v>
      </c>
      <c r="M53" s="37">
        <v>923.20718701700162</v>
      </c>
      <c r="N53" s="48">
        <f t="shared" ref="N53" si="122">1-(M53/L53)</f>
        <v>0.20999999999999996</v>
      </c>
      <c r="O53" s="49">
        <f>+'Trim Rwd'!H31</f>
        <v>267</v>
      </c>
      <c r="P53" s="50">
        <f t="shared" ref="P53" si="123">O53*(Q53-R53-S53)</f>
        <v>326808</v>
      </c>
      <c r="Q53" s="49">
        <v>1294</v>
      </c>
      <c r="R53" s="507">
        <v>0</v>
      </c>
      <c r="S53" s="507">
        <v>70</v>
      </c>
      <c r="T53" s="39">
        <f t="shared" ref="T53" si="124">E53*M53*O53*Q53/100000000</f>
        <v>39.870779587500003</v>
      </c>
      <c r="U53" s="39">
        <f>E53*M53*O53*(Q53-R53-S53)/100000000</f>
        <v>37.713936796831533</v>
      </c>
      <c r="V53" s="39">
        <f>E53*G53*(1-N53)*O53/100*(R53+S53)/1000000</f>
        <v>2.2701341249999998</v>
      </c>
      <c r="W53" s="39">
        <f>+'12'!K10/1000</f>
        <v>33.000999999999998</v>
      </c>
      <c r="X53" s="40"/>
      <c r="Y53" s="216"/>
      <c r="Z53" s="39"/>
      <c r="AA53" s="39"/>
      <c r="AB53" s="39"/>
      <c r="AC53" s="39"/>
      <c r="AD53" s="39">
        <f>+AM53+BA53</f>
        <v>8</v>
      </c>
      <c r="AE53" s="235" t="s">
        <v>286</v>
      </c>
      <c r="AF53" s="39"/>
      <c r="AG53" s="39">
        <v>8</v>
      </c>
      <c r="AH53" s="39"/>
      <c r="AI53" s="39"/>
      <c r="AJ53" s="39"/>
      <c r="AK53" s="39"/>
      <c r="AL53" s="39"/>
      <c r="AM53" s="39">
        <f t="shared" si="118"/>
        <v>8</v>
      </c>
      <c r="AN53" s="88"/>
      <c r="AO53" s="39"/>
      <c r="AP53" s="39"/>
      <c r="AQ53" s="39"/>
      <c r="AR53" s="39">
        <f t="shared" ref="AR53:AR54" si="125">SUM(AN53:AQ53)</f>
        <v>0</v>
      </c>
      <c r="AS53" s="39"/>
      <c r="AT53" s="39"/>
      <c r="AU53" s="39"/>
      <c r="AV53" s="39"/>
      <c r="AW53" s="39"/>
      <c r="AX53" s="39"/>
      <c r="AY53" s="39"/>
      <c r="AZ53" s="39"/>
      <c r="BA53" s="39">
        <f>+AR53+AS53+AU53+AW53+AY53+AZ53</f>
        <v>0</v>
      </c>
      <c r="BB53" s="52"/>
      <c r="BC53" s="53">
        <v>0</v>
      </c>
      <c r="BD53" s="53"/>
      <c r="BE53" s="52"/>
      <c r="BF53" s="53"/>
    </row>
    <row r="54" spans="1:58" ht="12.95" customHeight="1">
      <c r="A54" s="42"/>
      <c r="B54" s="43"/>
      <c r="C54" s="421"/>
      <c r="D54" s="43"/>
      <c r="E54" s="44"/>
      <c r="F54" s="44"/>
      <c r="G54" s="45"/>
      <c r="H54" s="46"/>
      <c r="I54" s="47"/>
      <c r="J54" s="87"/>
      <c r="K54" s="87"/>
      <c r="L54" s="37"/>
      <c r="M54" s="37"/>
      <c r="N54" s="48"/>
      <c r="O54" s="49"/>
      <c r="P54" s="50"/>
      <c r="Q54" s="49"/>
      <c r="R54" s="507"/>
      <c r="S54" s="507"/>
      <c r="T54" s="39"/>
      <c r="U54" s="39"/>
      <c r="V54" s="39"/>
      <c r="W54" s="39"/>
      <c r="X54" s="40"/>
      <c r="Y54" s="216"/>
      <c r="Z54" s="39"/>
      <c r="AA54" s="39"/>
      <c r="AB54" s="39"/>
      <c r="AC54" s="39"/>
      <c r="AD54" s="39">
        <f>+AM54+BA54</f>
        <v>52</v>
      </c>
      <c r="AE54" s="235" t="s">
        <v>538</v>
      </c>
      <c r="AF54" s="35"/>
      <c r="AG54" s="35"/>
      <c r="AH54" s="35">
        <v>52</v>
      </c>
      <c r="AI54" s="35"/>
      <c r="AJ54" s="39"/>
      <c r="AK54" s="39"/>
      <c r="AL54" s="39"/>
      <c r="AM54" s="39">
        <f t="shared" si="118"/>
        <v>52</v>
      </c>
      <c r="AN54" s="39"/>
      <c r="AO54" s="39"/>
      <c r="AP54" s="39"/>
      <c r="AQ54" s="39"/>
      <c r="AR54" s="39">
        <f t="shared" si="125"/>
        <v>0</v>
      </c>
      <c r="AS54" s="39"/>
      <c r="AT54" s="39"/>
      <c r="AU54" s="39"/>
      <c r="AV54" s="39"/>
      <c r="AW54" s="39"/>
      <c r="AX54" s="39"/>
      <c r="AY54" s="39"/>
      <c r="AZ54" s="39"/>
      <c r="BA54" s="39">
        <f>+AR54+AS54+AU54+AW54+AY54+AZ54</f>
        <v>0</v>
      </c>
      <c r="BB54" s="35"/>
      <c r="BC54" s="510"/>
      <c r="BD54" s="510"/>
      <c r="BE54" s="35"/>
      <c r="BF54" s="510"/>
    </row>
    <row r="55" spans="1:58" ht="13.5" customHeight="1">
      <c r="A55" s="42"/>
      <c r="B55" s="43"/>
      <c r="C55" s="421"/>
      <c r="D55" s="43"/>
      <c r="E55" s="44"/>
      <c r="F55" s="44"/>
      <c r="G55" s="506"/>
      <c r="H55" s="46"/>
      <c r="I55" s="47"/>
      <c r="J55" s="87"/>
      <c r="K55" s="87"/>
      <c r="L55" s="37"/>
      <c r="M55" s="37"/>
      <c r="N55" s="48"/>
      <c r="O55" s="49"/>
      <c r="P55" s="50"/>
      <c r="Q55" s="49"/>
      <c r="R55" s="507"/>
      <c r="S55" s="507"/>
      <c r="T55" s="39"/>
      <c r="U55" s="39"/>
      <c r="V55" s="39"/>
      <c r="W55" s="39"/>
      <c r="X55" s="508"/>
      <c r="Y55" s="216"/>
      <c r="Z55" s="39"/>
      <c r="AA55" s="51"/>
      <c r="AB55" s="51"/>
      <c r="AC55" s="39"/>
      <c r="AD55" s="39"/>
      <c r="AE55" s="235"/>
      <c r="AF55" s="39"/>
      <c r="AG55" s="39"/>
      <c r="AH55" s="39"/>
      <c r="AI55" s="50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5"/>
      <c r="BC55" s="53"/>
      <c r="BD55" s="53"/>
      <c r="BE55" s="35"/>
      <c r="BF55" s="53"/>
    </row>
    <row r="56" spans="1:58" ht="12.75" customHeight="1">
      <c r="A56" s="42">
        <v>45943</v>
      </c>
      <c r="B56" s="43" t="s">
        <v>469</v>
      </c>
      <c r="C56" s="421">
        <f t="shared" ref="C56" si="126">(M56*E56*O56*Q56)/100000000</f>
        <v>44.600901524999998</v>
      </c>
      <c r="D56" s="43" t="s">
        <v>304</v>
      </c>
      <c r="E56" s="44">
        <v>12.5</v>
      </c>
      <c r="F56" s="44">
        <v>1</v>
      </c>
      <c r="G56" s="506">
        <v>1230</v>
      </c>
      <c r="H56" s="46">
        <f>+N56</f>
        <v>0.21666338409594477</v>
      </c>
      <c r="I56" s="47">
        <v>0.88</v>
      </c>
      <c r="J56" s="87">
        <f t="shared" ref="J56" si="127">E56*G56*(1-H56)*1440/1000000*2.74</f>
        <v>47.520019132557245</v>
      </c>
      <c r="K56" s="87">
        <f t="shared" ref="K56" si="128">(IF(G56&lt;L56,L56,G56)*(1-IF(H56&lt;N56,H56,N56))*E56*O56*Q56)/100000000</f>
        <v>46.306004045229137</v>
      </c>
      <c r="L56" s="37">
        <v>1184.7083333333333</v>
      </c>
      <c r="M56" s="37">
        <v>928.02541666666673</v>
      </c>
      <c r="N56" s="48">
        <f t="shared" ref="N56" si="129">1-(M56/L56)</f>
        <v>0.21666338409594477</v>
      </c>
      <c r="O56" s="49">
        <f>+'Trim Rwd'!H34</f>
        <v>267</v>
      </c>
      <c r="P56" s="50">
        <f t="shared" ref="P56" si="130">O56*(Q56-R56-S56)</f>
        <v>360717</v>
      </c>
      <c r="Q56" s="49">
        <v>1440</v>
      </c>
      <c r="R56" s="507">
        <v>0</v>
      </c>
      <c r="S56" s="507">
        <v>89</v>
      </c>
      <c r="T56" s="39">
        <f t="shared" ref="T56" si="131">E56*M56*O56*Q56/100000000</f>
        <v>44.600901524999998</v>
      </c>
      <c r="U56" s="39">
        <f>E56*M56*O56*(Q56-R56-S56)/100000000</f>
        <v>41.844318027968747</v>
      </c>
      <c r="V56" s="39">
        <f>E56*G56*(1-N56)*O56/100*(R56+S56)/1000000</f>
        <v>2.8619683055731899</v>
      </c>
      <c r="W56" s="39">
        <f>+'13'!K10/1000</f>
        <v>39.529000000000003</v>
      </c>
      <c r="X56" s="508">
        <f>SUM(W56:W59)/SUM(K56:K59)</f>
        <v>0.85364740091566238</v>
      </c>
      <c r="Y56" s="216">
        <f>+SUM(RBP!AG35:AG36)</f>
        <v>0</v>
      </c>
      <c r="Z56" s="39">
        <v>0</v>
      </c>
      <c r="AA56" s="51">
        <f>SUM(U56:U59)-SUM(W56:W59)-SUM(Z56:Z59)-SUM(Y56:Y59)</f>
        <v>2.3153180279687433</v>
      </c>
      <c r="AB56" s="51">
        <f>(SUM(K56:K59)-SUM(W56:W59)-SUM(Y56:Y59)-SUM(Z56:Z59)-SUM(AC56:AC59)-SUM(V56:V59))-AA56</f>
        <v>-0.1053848085419391</v>
      </c>
      <c r="AC56" s="39">
        <f>K56-T56</f>
        <v>1.7051025202291399</v>
      </c>
      <c r="AD56" s="39">
        <f>+AM56+BA56</f>
        <v>38</v>
      </c>
      <c r="AE56" s="235" t="s">
        <v>553</v>
      </c>
      <c r="AF56" s="39">
        <v>38</v>
      </c>
      <c r="AG56" s="39"/>
      <c r="AH56" s="39"/>
      <c r="AI56" s="509"/>
      <c r="AJ56" s="39"/>
      <c r="AK56" s="39"/>
      <c r="AL56" s="39"/>
      <c r="AM56" s="39">
        <f t="shared" ref="AM56:AM58" si="132">SUM(AF56:AL56)+AT56+AV56+AX56</f>
        <v>38</v>
      </c>
      <c r="AN56" s="39"/>
      <c r="AO56" s="39"/>
      <c r="AP56" s="39"/>
      <c r="AQ56" s="39"/>
      <c r="AR56" s="39">
        <f>SUM(AN56:AQ56)</f>
        <v>0</v>
      </c>
      <c r="AS56" s="39"/>
      <c r="AT56" s="39"/>
      <c r="AU56" s="39"/>
      <c r="AV56" s="39"/>
      <c r="AW56" s="39"/>
      <c r="AX56" s="39"/>
      <c r="AY56" s="39"/>
      <c r="AZ56" s="39"/>
      <c r="BA56" s="39">
        <f>+AR56+AS56+AU56+AW56+AY56+AZ56</f>
        <v>0</v>
      </c>
      <c r="BB56" s="35">
        <v>11</v>
      </c>
      <c r="BC56" s="53"/>
      <c r="BD56" s="53"/>
      <c r="BE56" s="35"/>
      <c r="BF56" s="53"/>
    </row>
    <row r="57" spans="1:58" ht="12.95" customHeight="1">
      <c r="A57" s="42"/>
      <c r="B57" s="43"/>
      <c r="C57" s="421"/>
      <c r="D57" s="43"/>
      <c r="E57" s="44"/>
      <c r="F57" s="44"/>
      <c r="G57" s="506"/>
      <c r="H57" s="46"/>
      <c r="I57" s="47"/>
      <c r="J57" s="87"/>
      <c r="K57" s="87"/>
      <c r="L57" s="37"/>
      <c r="M57" s="37"/>
      <c r="N57" s="48"/>
      <c r="O57" s="49"/>
      <c r="P57" s="50"/>
      <c r="Q57" s="49"/>
      <c r="R57" s="507"/>
      <c r="S57" s="507"/>
      <c r="T57" s="39"/>
      <c r="U57" s="39"/>
      <c r="V57" s="39"/>
      <c r="W57" s="39"/>
      <c r="X57" s="40"/>
      <c r="Y57" s="216"/>
      <c r="Z57" s="39"/>
      <c r="AA57" s="39"/>
      <c r="AB57" s="39"/>
      <c r="AC57" s="39"/>
      <c r="AD57" s="39">
        <f>+AM57+BA57</f>
        <v>0</v>
      </c>
      <c r="AE57" s="235" t="s">
        <v>286</v>
      </c>
      <c r="AF57" s="39"/>
      <c r="AG57" s="39">
        <v>0</v>
      </c>
      <c r="AH57" s="39"/>
      <c r="AI57" s="39"/>
      <c r="AJ57" s="39"/>
      <c r="AK57" s="39"/>
      <c r="AL57" s="39"/>
      <c r="AM57" s="39">
        <f t="shared" si="132"/>
        <v>0</v>
      </c>
      <c r="AN57" s="88"/>
      <c r="AO57" s="39"/>
      <c r="AP57" s="39"/>
      <c r="AQ57" s="39"/>
      <c r="AR57" s="39">
        <f t="shared" ref="AR57:AR58" si="133">SUM(AN57:AQ57)</f>
        <v>0</v>
      </c>
      <c r="AS57" s="39"/>
      <c r="AT57" s="39"/>
      <c r="AU57" s="39"/>
      <c r="AV57" s="39"/>
      <c r="AW57" s="39"/>
      <c r="AX57" s="39"/>
      <c r="AY57" s="39"/>
      <c r="AZ57" s="39"/>
      <c r="BA57" s="39">
        <f>+AR57+AS57+AU57+AW57+AY57+AZ57</f>
        <v>0</v>
      </c>
      <c r="BB57" s="52"/>
      <c r="BC57" s="53">
        <v>0</v>
      </c>
      <c r="BD57" s="53"/>
      <c r="BE57" s="52"/>
      <c r="BF57" s="53"/>
    </row>
    <row r="58" spans="1:58" ht="12.95" customHeight="1">
      <c r="A58" s="42"/>
      <c r="B58" s="43"/>
      <c r="C58" s="421"/>
      <c r="D58" s="43"/>
      <c r="E58" s="44"/>
      <c r="F58" s="44"/>
      <c r="G58" s="45"/>
      <c r="H58" s="46"/>
      <c r="I58" s="47"/>
      <c r="J58" s="87"/>
      <c r="K58" s="87"/>
      <c r="L58" s="37"/>
      <c r="M58" s="37"/>
      <c r="N58" s="48"/>
      <c r="O58" s="49"/>
      <c r="P58" s="50"/>
      <c r="Q58" s="49"/>
      <c r="R58" s="507"/>
      <c r="S58" s="507"/>
      <c r="T58" s="39"/>
      <c r="U58" s="39"/>
      <c r="V58" s="39"/>
      <c r="W58" s="39"/>
      <c r="X58" s="40"/>
      <c r="Y58" s="216"/>
      <c r="Z58" s="39"/>
      <c r="AA58" s="39"/>
      <c r="AB58" s="39"/>
      <c r="AC58" s="39"/>
      <c r="AD58" s="39">
        <f>+AM58+BA58</f>
        <v>51</v>
      </c>
      <c r="AE58" s="235" t="s">
        <v>472</v>
      </c>
      <c r="AF58" s="35"/>
      <c r="AG58" s="35"/>
      <c r="AH58" s="35">
        <v>51</v>
      </c>
      <c r="AI58" s="35"/>
      <c r="AJ58" s="39"/>
      <c r="AK58" s="39"/>
      <c r="AL58" s="39"/>
      <c r="AM58" s="39">
        <f t="shared" si="132"/>
        <v>51</v>
      </c>
      <c r="AN58" s="39"/>
      <c r="AO58" s="39"/>
      <c r="AP58" s="39"/>
      <c r="AQ58" s="39"/>
      <c r="AR58" s="39">
        <f t="shared" si="133"/>
        <v>0</v>
      </c>
      <c r="AS58" s="39"/>
      <c r="AT58" s="39"/>
      <c r="AU58" s="39"/>
      <c r="AV58" s="39"/>
      <c r="AW58" s="39"/>
      <c r="AX58" s="39"/>
      <c r="AY58" s="39"/>
      <c r="AZ58" s="39"/>
      <c r="BA58" s="39">
        <f>+AR58+AS58+AU58+AW58+AY58+AZ58</f>
        <v>0</v>
      </c>
      <c r="BB58" s="35"/>
      <c r="BC58" s="510"/>
      <c r="BD58" s="510"/>
      <c r="BE58" s="35"/>
      <c r="BF58" s="510"/>
    </row>
    <row r="59" spans="1:58" ht="12.75" customHeight="1">
      <c r="A59" s="42"/>
      <c r="B59" s="43"/>
      <c r="C59" s="421"/>
      <c r="D59" s="43"/>
      <c r="E59" s="44"/>
      <c r="F59" s="44"/>
      <c r="G59" s="45"/>
      <c r="H59" s="46"/>
      <c r="I59" s="47"/>
      <c r="J59" s="87"/>
      <c r="K59" s="87"/>
      <c r="L59" s="37"/>
      <c r="M59" s="37"/>
      <c r="N59" s="48"/>
      <c r="O59" s="49"/>
      <c r="P59" s="50"/>
      <c r="Q59" s="49"/>
      <c r="R59" s="507"/>
      <c r="S59" s="507"/>
      <c r="T59" s="39"/>
      <c r="U59" s="39"/>
      <c r="V59" s="39"/>
      <c r="W59" s="39"/>
      <c r="X59" s="40"/>
      <c r="Y59" s="216"/>
      <c r="Z59" s="39"/>
      <c r="AA59" s="39"/>
      <c r="AB59" s="39"/>
      <c r="AC59" s="39"/>
      <c r="AD59" s="39"/>
      <c r="AE59" s="238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5"/>
      <c r="BC59" s="53"/>
      <c r="BD59" s="53"/>
      <c r="BE59" s="53"/>
      <c r="BF59" s="53"/>
    </row>
    <row r="60" spans="1:58" ht="12.75" customHeight="1">
      <c r="A60" s="42">
        <v>45944</v>
      </c>
      <c r="B60" s="43" t="s">
        <v>469</v>
      </c>
      <c r="C60" s="421">
        <f t="shared" ref="C60" si="134">(M60*E60*O60*Q60)/100000000</f>
        <v>44.898179325000001</v>
      </c>
      <c r="D60" s="43" t="s">
        <v>304</v>
      </c>
      <c r="E60" s="44">
        <v>12.5</v>
      </c>
      <c r="F60" s="44">
        <v>1</v>
      </c>
      <c r="G60" s="506">
        <v>1230</v>
      </c>
      <c r="H60" s="46">
        <f>+N60</f>
        <v>0.21260532630962825</v>
      </c>
      <c r="I60" s="47">
        <v>0.88</v>
      </c>
      <c r="J60" s="87">
        <f t="shared" ref="J60" si="135">E60*G60*(1-H60)*1440/1000000*2.74</f>
        <v>47.766195526883244</v>
      </c>
      <c r="K60" s="87">
        <f t="shared" ref="K60" si="136">(IF(G60&lt;L60,L60,G60)*(1-IF(H60&lt;N60,H60,N60))*E60*O60*Q60)/100000000</f>
        <v>46.545891261597887</v>
      </c>
      <c r="L60" s="37">
        <v>1186.4583333333333</v>
      </c>
      <c r="M60" s="37">
        <v>934.21097222222227</v>
      </c>
      <c r="N60" s="48">
        <f t="shared" ref="N60" si="137">1-(M60/L60)</f>
        <v>0.21260532630962825</v>
      </c>
      <c r="O60" s="49">
        <f>+'Trim Rwd'!H36</f>
        <v>267</v>
      </c>
      <c r="P60" s="50">
        <f t="shared" ref="P60" si="138">O60*(Q60-R60-S60)</f>
        <v>362853</v>
      </c>
      <c r="Q60" s="49">
        <v>1440</v>
      </c>
      <c r="R60" s="507">
        <v>0</v>
      </c>
      <c r="S60" s="507">
        <v>81</v>
      </c>
      <c r="T60" s="39">
        <f t="shared" ref="T60" si="139">E60*M60*O60*Q60/100000000</f>
        <v>44.898179325000001</v>
      </c>
      <c r="U60" s="39">
        <f>E60*M60*O60*(Q60-R60-S60)/100000000</f>
        <v>42.372656737968754</v>
      </c>
      <c r="V60" s="39">
        <f>E60*G60*(1-N60)*O60/100*(R60+S60)/1000000</f>
        <v>2.6182063834648819</v>
      </c>
      <c r="W60" s="39">
        <f>+'14'!K10/1000</f>
        <v>34.832999999999998</v>
      </c>
      <c r="X60" s="508">
        <f>SUM(W60:W63)/SUM(K60:K63)</f>
        <v>0.74835821284914428</v>
      </c>
      <c r="Y60" s="216">
        <v>0</v>
      </c>
      <c r="Z60" s="39">
        <v>0</v>
      </c>
      <c r="AA60" s="51">
        <f>SUM(U60:U63)-SUM(W60:W63)-SUM(Z60:Z63)-SUM(Y60:Y63)</f>
        <v>7.5396567379687554</v>
      </c>
      <c r="AB60" s="51">
        <f>(SUM(K60:K63)-SUM(W60:W63)-SUM(Y60:Y63)-SUM(Z60:Z63)-SUM(AC60:AC63)-SUM(V60:V63))-AA60</f>
        <v>-9.2683796433634669E-2</v>
      </c>
      <c r="AC60" s="39">
        <f>K60-T60</f>
        <v>1.6477119365978865</v>
      </c>
      <c r="AD60" s="39">
        <f>+AM60+BA60</f>
        <v>15</v>
      </c>
      <c r="AE60" s="235" t="s">
        <v>516</v>
      </c>
      <c r="AF60" s="39">
        <v>15</v>
      </c>
      <c r="AG60" s="39"/>
      <c r="AH60" s="39"/>
      <c r="AI60" s="509"/>
      <c r="AJ60" s="39"/>
      <c r="AK60" s="39"/>
      <c r="AL60" s="39"/>
      <c r="AM60" s="39">
        <f t="shared" ref="AM60:AM62" si="140">SUM(AF60:AL60)+AT60+AV60+AX60</f>
        <v>15</v>
      </c>
      <c r="AN60" s="39"/>
      <c r="AO60" s="39"/>
      <c r="AP60" s="39"/>
      <c r="AQ60" s="39"/>
      <c r="AR60" s="39">
        <f>SUM(AN60:AQ60)</f>
        <v>0</v>
      </c>
      <c r="AS60" s="39"/>
      <c r="AT60" s="39"/>
      <c r="AU60" s="39"/>
      <c r="AV60" s="39"/>
      <c r="AW60" s="39"/>
      <c r="AX60" s="39"/>
      <c r="AY60" s="39"/>
      <c r="AZ60" s="39"/>
      <c r="BA60" s="39">
        <f>+AR60+AS60+AU60+AW60+AY60+AZ60</f>
        <v>0</v>
      </c>
      <c r="BB60" s="35">
        <v>6</v>
      </c>
      <c r="BC60" s="53"/>
      <c r="BD60" s="53"/>
      <c r="BE60" s="35"/>
      <c r="BF60" s="53"/>
    </row>
    <row r="61" spans="1:58" ht="12.95" customHeight="1">
      <c r="A61" s="42"/>
      <c r="B61" s="43"/>
      <c r="C61" s="421"/>
      <c r="D61" s="43"/>
      <c r="E61" s="44"/>
      <c r="F61" s="44"/>
      <c r="G61" s="506"/>
      <c r="H61" s="46"/>
      <c r="I61" s="47"/>
      <c r="J61" s="87"/>
      <c r="K61" s="87"/>
      <c r="L61" s="37"/>
      <c r="M61" s="37"/>
      <c r="N61" s="48"/>
      <c r="O61" s="49"/>
      <c r="P61" s="50"/>
      <c r="Q61" s="49"/>
      <c r="R61" s="507"/>
      <c r="S61" s="507"/>
      <c r="T61" s="39"/>
      <c r="U61" s="39"/>
      <c r="V61" s="39"/>
      <c r="W61" s="39"/>
      <c r="X61" s="40"/>
      <c r="Y61" s="216"/>
      <c r="Z61" s="39"/>
      <c r="AA61" s="39"/>
      <c r="AB61" s="39"/>
      <c r="AC61" s="39"/>
      <c r="AD61" s="39">
        <f>+AM61+BA61</f>
        <v>12</v>
      </c>
      <c r="AE61" s="235" t="s">
        <v>537</v>
      </c>
      <c r="AF61" s="39"/>
      <c r="AG61" s="39">
        <v>12</v>
      </c>
      <c r="AH61" s="39"/>
      <c r="AI61" s="39"/>
      <c r="AJ61" s="39"/>
      <c r="AK61" s="39"/>
      <c r="AL61" s="39"/>
      <c r="AM61" s="39">
        <f t="shared" si="140"/>
        <v>12</v>
      </c>
      <c r="AN61" s="88"/>
      <c r="AO61" s="39"/>
      <c r="AP61" s="39"/>
      <c r="AQ61" s="39"/>
      <c r="AR61" s="39">
        <f t="shared" ref="AR61:AR62" si="141">SUM(AN61:AQ61)</f>
        <v>0</v>
      </c>
      <c r="AS61" s="39"/>
      <c r="AT61" s="39"/>
      <c r="AU61" s="39"/>
      <c r="AV61" s="39"/>
      <c r="AW61" s="39"/>
      <c r="AX61" s="39"/>
      <c r="AY61" s="39"/>
      <c r="AZ61" s="39"/>
      <c r="BA61" s="39">
        <f>+AR61+AS61+AU61+AW61+AY61+AZ61</f>
        <v>0</v>
      </c>
      <c r="BB61" s="52"/>
      <c r="BC61" s="53">
        <v>6</v>
      </c>
      <c r="BD61" s="53"/>
      <c r="BE61" s="52"/>
      <c r="BF61" s="53"/>
    </row>
    <row r="62" spans="1:58" ht="12.95" customHeight="1">
      <c r="A62" s="42"/>
      <c r="B62" s="43"/>
      <c r="C62" s="421"/>
      <c r="D62" s="43"/>
      <c r="E62" s="44"/>
      <c r="F62" s="44"/>
      <c r="G62" s="45"/>
      <c r="H62" s="46"/>
      <c r="I62" s="47"/>
      <c r="J62" s="87"/>
      <c r="K62" s="87"/>
      <c r="L62" s="37"/>
      <c r="M62" s="37"/>
      <c r="N62" s="48"/>
      <c r="O62" s="49"/>
      <c r="P62" s="50"/>
      <c r="Q62" s="49"/>
      <c r="R62" s="507"/>
      <c r="S62" s="507"/>
      <c r="T62" s="39"/>
      <c r="U62" s="39"/>
      <c r="V62" s="39"/>
      <c r="W62" s="39"/>
      <c r="X62" s="40"/>
      <c r="Y62" s="216"/>
      <c r="Z62" s="39"/>
      <c r="AA62" s="39"/>
      <c r="AB62" s="39"/>
      <c r="AC62" s="39"/>
      <c r="AD62" s="39">
        <f>+AM62+BA62</f>
        <v>54</v>
      </c>
      <c r="AE62" s="235" t="s">
        <v>496</v>
      </c>
      <c r="AF62" s="35"/>
      <c r="AG62" s="35"/>
      <c r="AH62" s="35">
        <v>54</v>
      </c>
      <c r="AI62" s="35"/>
      <c r="AJ62" s="39"/>
      <c r="AK62" s="39"/>
      <c r="AL62" s="39"/>
      <c r="AM62" s="39">
        <f t="shared" si="140"/>
        <v>54</v>
      </c>
      <c r="AN62" s="39"/>
      <c r="AO62" s="39"/>
      <c r="AP62" s="39"/>
      <c r="AQ62" s="39"/>
      <c r="AR62" s="39">
        <f t="shared" si="141"/>
        <v>0</v>
      </c>
      <c r="AS62" s="39"/>
      <c r="AT62" s="39"/>
      <c r="AU62" s="39"/>
      <c r="AV62" s="39"/>
      <c r="AW62" s="39"/>
      <c r="AX62" s="39"/>
      <c r="AY62" s="39"/>
      <c r="AZ62" s="39"/>
      <c r="BA62" s="39">
        <f>+AR62+AS62+AU62+AW62+AY62+AZ62</f>
        <v>0</v>
      </c>
      <c r="BB62" s="35"/>
      <c r="BC62" s="510"/>
      <c r="BD62" s="510"/>
      <c r="BE62" s="35"/>
      <c r="BF62" s="510"/>
    </row>
    <row r="63" spans="1:58" ht="12.95" customHeight="1">
      <c r="A63" s="42"/>
      <c r="B63" s="43"/>
      <c r="C63" s="421"/>
      <c r="D63" s="43"/>
      <c r="E63" s="44"/>
      <c r="F63" s="44"/>
      <c r="G63" s="45"/>
      <c r="H63" s="46"/>
      <c r="I63" s="47"/>
      <c r="J63" s="87"/>
      <c r="K63" s="87"/>
      <c r="L63" s="37"/>
      <c r="M63" s="37"/>
      <c r="N63" s="48"/>
      <c r="O63" s="49"/>
      <c r="P63" s="50"/>
      <c r="Q63" s="36"/>
      <c r="R63" s="507"/>
      <c r="S63" s="507"/>
      <c r="T63" s="39"/>
      <c r="U63" s="39"/>
      <c r="V63" s="39"/>
      <c r="W63" s="39"/>
      <c r="X63" s="40"/>
      <c r="Y63" s="216"/>
      <c r="Z63" s="39"/>
      <c r="AA63" s="39"/>
      <c r="AB63" s="39"/>
      <c r="AC63" s="39"/>
      <c r="AD63" s="39"/>
      <c r="AE63" s="238"/>
      <c r="AF63" s="39"/>
      <c r="AG63" s="39"/>
      <c r="AH63" s="39"/>
      <c r="AI63" s="50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52"/>
      <c r="BC63" s="53"/>
      <c r="BD63" s="53"/>
      <c r="BE63" s="52"/>
      <c r="BF63" s="53"/>
    </row>
    <row r="64" spans="1:58" ht="12.75" customHeight="1">
      <c r="A64" s="42">
        <v>45945</v>
      </c>
      <c r="B64" s="43" t="s">
        <v>469</v>
      </c>
      <c r="C64" s="421">
        <f t="shared" ref="C64" si="142">(M64*E64*O64*Q64)/100000000</f>
        <v>12.149534624999998</v>
      </c>
      <c r="D64" s="43" t="s">
        <v>304</v>
      </c>
      <c r="E64" s="44">
        <v>12.5</v>
      </c>
      <c r="F64" s="44">
        <v>1</v>
      </c>
      <c r="G64" s="506">
        <v>1230</v>
      </c>
      <c r="H64" s="46">
        <f>+N64</f>
        <v>0.22923777260215972</v>
      </c>
      <c r="I64" s="47">
        <v>0.88</v>
      </c>
      <c r="J64" s="87">
        <f t="shared" ref="J64" si="143">E64*G64*(1-H64)*1440/1000000*2.74</f>
        <v>46.757211457971628</v>
      </c>
      <c r="K64" s="87">
        <f t="shared" ref="K64" si="144">(IF(G64&lt;L64,L64,G64)*(1-IF(H64&lt;N64,H64,N64))*E64*O64*Q64)/100000000</f>
        <v>12.656301154986238</v>
      </c>
      <c r="L64" s="37">
        <v>1180.75</v>
      </c>
      <c r="M64" s="37">
        <v>910.07749999999987</v>
      </c>
      <c r="N64" s="48">
        <f t="shared" ref="N64" si="145">1-(M64/L64)</f>
        <v>0.22923777260215972</v>
      </c>
      <c r="O64" s="49">
        <f>+'Trim Rwd'!H38</f>
        <v>267</v>
      </c>
      <c r="P64" s="50">
        <f t="shared" ref="P64" si="146">O64*(Q64-R64-S64)</f>
        <v>97989</v>
      </c>
      <c r="Q64" s="49">
        <v>400</v>
      </c>
      <c r="R64" s="507">
        <v>0</v>
      </c>
      <c r="S64" s="507">
        <v>33</v>
      </c>
      <c r="T64" s="39">
        <f t="shared" ref="T64" si="147">E64*M64*O64*Q64/100000000</f>
        <v>12.149534624999998</v>
      </c>
      <c r="U64" s="39">
        <f>E64*M64*O64*(Q64-R64-S64)/100000000</f>
        <v>11.147198018437498</v>
      </c>
      <c r="V64" s="39">
        <f>E64*G64*(1-N64)*O64/100*(R64+S64)/1000000</f>
        <v>1.0441448452863646</v>
      </c>
      <c r="W64" s="39">
        <f>+'15'!K10/1000</f>
        <v>15.006</v>
      </c>
      <c r="X64" s="508">
        <f>SUM(W64:W67)/SUM(K64:K67)</f>
        <v>0.77149255241027948</v>
      </c>
      <c r="Y64" s="216">
        <f>+SUM(RBP!AG43:AG44)</f>
        <v>0</v>
      </c>
      <c r="Z64" s="39">
        <v>0</v>
      </c>
      <c r="AA64" s="51">
        <f>SUM(U64:U67)-SUM(W64:W67)-SUM(Z64:Z67)-SUM(Y64:Y67)</f>
        <v>3.8370858227397022</v>
      </c>
      <c r="AB64" s="51">
        <f>(SUM(K64:K67)-SUM(W64:W67)-SUM(Y64:Y67)-SUM(Z64:Z67)-SUM(AC64:AC67)-SUM(V64:V67))-AA64</f>
        <v>0.62851209685383935</v>
      </c>
      <c r="AC64" s="39">
        <f>K64-T64</f>
        <v>0.5067665299862405</v>
      </c>
      <c r="AD64" s="39">
        <f>+AM64+BA64</f>
        <v>18</v>
      </c>
      <c r="AE64" s="235" t="s">
        <v>516</v>
      </c>
      <c r="AF64" s="39">
        <v>18</v>
      </c>
      <c r="AG64" s="39"/>
      <c r="AH64" s="39"/>
      <c r="AI64" s="509"/>
      <c r="AJ64" s="39"/>
      <c r="AK64" s="39"/>
      <c r="AL64" s="39"/>
      <c r="AM64" s="39">
        <f t="shared" ref="AM64:AM66" si="148">SUM(AF64:AL64)+AT64+AV64+AX64</f>
        <v>18</v>
      </c>
      <c r="AN64" s="39"/>
      <c r="AO64" s="39"/>
      <c r="AP64" s="39"/>
      <c r="AQ64" s="39"/>
      <c r="AR64" s="39">
        <f>SUM(AN64:AQ64)</f>
        <v>0</v>
      </c>
      <c r="AS64" s="39"/>
      <c r="AT64" s="39"/>
      <c r="AU64" s="39"/>
      <c r="AV64" s="39"/>
      <c r="AW64" s="39"/>
      <c r="AX64" s="39"/>
      <c r="AY64" s="39"/>
      <c r="AZ64" s="39"/>
      <c r="BA64" s="39">
        <f>+AR64+AS64+AU64+AW64+AY64+AZ64</f>
        <v>0</v>
      </c>
      <c r="BB64" s="35">
        <v>6</v>
      </c>
      <c r="BC64" s="53"/>
      <c r="BD64" s="53"/>
      <c r="BE64" s="35"/>
      <c r="BF64" s="53"/>
    </row>
    <row r="65" spans="1:58" ht="12.95" customHeight="1">
      <c r="A65" s="42"/>
      <c r="B65" s="43" t="s">
        <v>7</v>
      </c>
      <c r="C65" s="421">
        <f t="shared" ref="C65" si="149">(M65*E65*O65*Q65)/100000000</f>
        <v>31.513137670514165</v>
      </c>
      <c r="D65" s="43" t="s">
        <v>304</v>
      </c>
      <c r="E65" s="44">
        <v>12.5</v>
      </c>
      <c r="F65" s="44">
        <v>1</v>
      </c>
      <c r="G65" s="506">
        <v>1230</v>
      </c>
      <c r="H65" s="46">
        <f>+N65</f>
        <v>0.2308250594322474</v>
      </c>
      <c r="I65" s="47">
        <v>0.88</v>
      </c>
      <c r="J65" s="87">
        <f t="shared" ref="J65" si="150">E65*G65*(1-H65)*1440/1000000*2.74</f>
        <v>46.66092092462592</v>
      </c>
      <c r="K65" s="87">
        <f t="shared" ref="K65" si="151">(IF(G65&lt;L65,L65,G65)*(1-IF(H65&lt;N65,H65,N65))*E65*O65*Q65)/100000000</f>
        <v>32.285156661655705</v>
      </c>
      <c r="L65" s="37">
        <v>1200.5876180482687</v>
      </c>
      <c r="M65" s="37">
        <v>923.46190975865682</v>
      </c>
      <c r="N65" s="48">
        <f t="shared" ref="N65" si="152">1-(M65/L65)</f>
        <v>0.2308250594322474</v>
      </c>
      <c r="O65" s="49">
        <f>+'Trim Rwd'!H39</f>
        <v>262.5</v>
      </c>
      <c r="P65" s="50">
        <f t="shared" ref="P65" si="153">O65*(Q65-R65-S65)</f>
        <v>237037.5</v>
      </c>
      <c r="Q65" s="49">
        <f>953+87</f>
        <v>1040</v>
      </c>
      <c r="R65" s="507">
        <v>87</v>
      </c>
      <c r="S65" s="507">
        <v>50</v>
      </c>
      <c r="T65" s="39">
        <f t="shared" ref="T65" si="154">E65*M65*O65*Q65/100000000</f>
        <v>31.513137670514165</v>
      </c>
      <c r="U65" s="39">
        <f>E65*M65*O65*(Q65-R65-S65)/100000000</f>
        <v>27.361887804302203</v>
      </c>
      <c r="V65" s="39">
        <f>E65*G65*(1-N65)*O65/100*(R65+S65)/1000000</f>
        <v>4.2529485217757994</v>
      </c>
      <c r="W65" s="39">
        <f>+'15'!K8/1000</f>
        <v>19.666</v>
      </c>
      <c r="X65" s="40"/>
      <c r="Y65" s="216"/>
      <c r="Z65" s="39"/>
      <c r="AA65" s="39"/>
      <c r="AB65" s="39"/>
      <c r="AC65" s="39"/>
      <c r="AD65" s="39">
        <f>+AM65+BA65</f>
        <v>6</v>
      </c>
      <c r="AE65" s="235" t="s">
        <v>442</v>
      </c>
      <c r="AF65" s="39"/>
      <c r="AG65" s="39">
        <v>6</v>
      </c>
      <c r="AH65" s="39"/>
      <c r="AI65" s="39"/>
      <c r="AJ65" s="39"/>
      <c r="AK65" s="39"/>
      <c r="AL65" s="39"/>
      <c r="AM65" s="39">
        <f t="shared" si="148"/>
        <v>6</v>
      </c>
      <c r="AN65" s="88"/>
      <c r="AO65" s="39"/>
      <c r="AP65" s="39"/>
      <c r="AQ65" s="39"/>
      <c r="AR65" s="39">
        <f t="shared" ref="AR65:AR66" si="155">SUM(AN65:AQ65)</f>
        <v>0</v>
      </c>
      <c r="AS65" s="39"/>
      <c r="AT65" s="39"/>
      <c r="AU65" s="39"/>
      <c r="AV65" s="39"/>
      <c r="AW65" s="39"/>
      <c r="AX65" s="39"/>
      <c r="AY65" s="39"/>
      <c r="AZ65" s="39"/>
      <c r="BA65" s="39">
        <f>+AR65+AS65+AU65+AW65+AY65+AZ65</f>
        <v>0</v>
      </c>
      <c r="BB65" s="52"/>
      <c r="BC65" s="53">
        <v>2</v>
      </c>
      <c r="BD65" s="53"/>
      <c r="BE65" s="52"/>
      <c r="BF65" s="53"/>
    </row>
    <row r="66" spans="1:58" ht="12.95" customHeight="1">
      <c r="A66" s="42"/>
      <c r="B66" s="43"/>
      <c r="C66" s="421"/>
      <c r="D66" s="43"/>
      <c r="E66" s="44"/>
      <c r="F66" s="44"/>
      <c r="G66" s="45"/>
      <c r="H66" s="46"/>
      <c r="I66" s="47"/>
      <c r="J66" s="87"/>
      <c r="K66" s="87"/>
      <c r="L66" s="37"/>
      <c r="M66" s="37"/>
      <c r="N66" s="48"/>
      <c r="O66" s="49"/>
      <c r="P66" s="50"/>
      <c r="Q66" s="49"/>
      <c r="R66" s="507"/>
      <c r="S66" s="507"/>
      <c r="T66" s="39"/>
      <c r="U66" s="39"/>
      <c r="V66" s="39"/>
      <c r="W66" s="39"/>
      <c r="X66" s="40"/>
      <c r="Y66" s="216"/>
      <c r="Z66" s="39"/>
      <c r="AA66" s="39"/>
      <c r="AB66" s="39"/>
      <c r="AC66" s="39"/>
      <c r="AD66" s="39">
        <f>+AM66+BA66</f>
        <v>59</v>
      </c>
      <c r="AE66" s="235" t="s">
        <v>496</v>
      </c>
      <c r="AF66" s="35"/>
      <c r="AG66" s="35"/>
      <c r="AH66" s="35">
        <v>59</v>
      </c>
      <c r="AI66" s="35"/>
      <c r="AJ66" s="39"/>
      <c r="AK66" s="39"/>
      <c r="AL66" s="39"/>
      <c r="AM66" s="39">
        <f t="shared" si="148"/>
        <v>59</v>
      </c>
      <c r="AN66" s="39"/>
      <c r="AO66" s="39"/>
      <c r="AP66" s="39"/>
      <c r="AQ66" s="39"/>
      <c r="AR66" s="39">
        <f t="shared" si="155"/>
        <v>0</v>
      </c>
      <c r="AS66" s="39"/>
      <c r="AT66" s="39"/>
      <c r="AU66" s="39"/>
      <c r="AV66" s="39"/>
      <c r="AW66" s="39"/>
      <c r="AX66" s="39"/>
      <c r="AY66" s="39"/>
      <c r="AZ66" s="39"/>
      <c r="BA66" s="39">
        <f>+AR66+AS66+AU66+AW66+AY66+AZ66</f>
        <v>0</v>
      </c>
      <c r="BB66" s="35"/>
      <c r="BC66" s="510"/>
      <c r="BD66" s="510"/>
      <c r="BE66" s="35"/>
      <c r="BF66" s="510"/>
    </row>
    <row r="67" spans="1:58" ht="12.95" customHeight="1">
      <c r="A67" s="42"/>
      <c r="B67" s="43"/>
      <c r="C67" s="421"/>
      <c r="D67" s="43"/>
      <c r="E67" s="44"/>
      <c r="F67" s="44"/>
      <c r="G67" s="45"/>
      <c r="H67" s="46"/>
      <c r="I67" s="47"/>
      <c r="J67" s="87"/>
      <c r="K67" s="87"/>
      <c r="L67" s="37"/>
      <c r="M67" s="37"/>
      <c r="N67" s="48"/>
      <c r="O67" s="49"/>
      <c r="P67" s="50"/>
      <c r="Q67" s="49"/>
      <c r="R67" s="507"/>
      <c r="S67" s="507"/>
      <c r="T67" s="39"/>
      <c r="U67" s="39"/>
      <c r="V67" s="39"/>
      <c r="W67" s="39"/>
      <c r="X67" s="40"/>
      <c r="Y67" s="216"/>
      <c r="Z67" s="39"/>
      <c r="AA67" s="39"/>
      <c r="AB67" s="39"/>
      <c r="AC67" s="39"/>
      <c r="AD67" s="39">
        <f>+AM67+BA67</f>
        <v>87</v>
      </c>
      <c r="AE67" s="235" t="s">
        <v>576</v>
      </c>
      <c r="AF67" s="35"/>
      <c r="AG67" s="35"/>
      <c r="AH67" s="35"/>
      <c r="AI67" s="35"/>
      <c r="AJ67" s="39"/>
      <c r="AK67" s="39"/>
      <c r="AL67" s="39"/>
      <c r="AM67" s="39">
        <f t="shared" ref="AM67" si="156">SUM(AF67:AL67)+AT67+AV67+AX67</f>
        <v>0</v>
      </c>
      <c r="AN67" s="39"/>
      <c r="AO67" s="39"/>
      <c r="AP67" s="39">
        <v>87</v>
      </c>
      <c r="AQ67" s="39"/>
      <c r="AR67" s="39">
        <f t="shared" ref="AR67" si="157">SUM(AN67:AQ67)</f>
        <v>87</v>
      </c>
      <c r="AS67" s="39"/>
      <c r="AT67" s="39"/>
      <c r="AU67" s="39"/>
      <c r="AV67" s="39"/>
      <c r="AW67" s="39"/>
      <c r="AX67" s="39"/>
      <c r="AY67" s="39"/>
      <c r="AZ67" s="39"/>
      <c r="BA67" s="39">
        <f>+AR67+AS67+AU67+AW67+AY67+AZ67</f>
        <v>87</v>
      </c>
      <c r="BB67" s="35"/>
      <c r="BC67" s="510"/>
      <c r="BD67" s="510"/>
      <c r="BE67" s="35"/>
      <c r="BF67" s="510"/>
    </row>
    <row r="68" spans="1:58" ht="12.95" customHeight="1">
      <c r="A68" s="42"/>
      <c r="B68" s="43"/>
      <c r="C68" s="421"/>
      <c r="D68" s="43"/>
      <c r="E68" s="44"/>
      <c r="F68" s="44"/>
      <c r="G68" s="45"/>
      <c r="H68" s="46"/>
      <c r="I68" s="47"/>
      <c r="J68" s="87"/>
      <c r="K68" s="87"/>
      <c r="L68" s="37"/>
      <c r="M68" s="37"/>
      <c r="N68" s="48"/>
      <c r="O68" s="49"/>
      <c r="P68" s="50"/>
      <c r="Q68" s="49"/>
      <c r="R68" s="507"/>
      <c r="S68" s="507"/>
      <c r="T68" s="39"/>
      <c r="U68" s="39"/>
      <c r="V68" s="39"/>
      <c r="W68" s="39"/>
      <c r="X68" s="40"/>
      <c r="Y68" s="216"/>
      <c r="Z68" s="39"/>
      <c r="AA68" s="39"/>
      <c r="AB68" s="39"/>
      <c r="AC68" s="39"/>
      <c r="AD68" s="39"/>
      <c r="AE68" s="235"/>
      <c r="AF68" s="35"/>
      <c r="AG68" s="35"/>
      <c r="AH68" s="35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5"/>
      <c r="BC68" s="510"/>
      <c r="BD68" s="53"/>
      <c r="BE68" s="52"/>
      <c r="BF68" s="53"/>
    </row>
    <row r="69" spans="1:58" ht="12.75" customHeight="1">
      <c r="A69" s="42">
        <v>45946</v>
      </c>
      <c r="B69" s="43" t="s">
        <v>7</v>
      </c>
      <c r="C69" s="421">
        <f t="shared" ref="C69" si="158">(M69*E69*O69*Q69)/100000000</f>
        <v>24.180865041666671</v>
      </c>
      <c r="D69" s="43" t="s">
        <v>304</v>
      </c>
      <c r="E69" s="44">
        <v>12.5</v>
      </c>
      <c r="F69" s="44">
        <v>1</v>
      </c>
      <c r="G69" s="506">
        <v>1230</v>
      </c>
      <c r="H69" s="46">
        <f>+N69</f>
        <v>0.22999999999999998</v>
      </c>
      <c r="I69" s="47">
        <v>0.88</v>
      </c>
      <c r="J69" s="87">
        <f t="shared" ref="J69" si="159">E69*G69*(1-H69)*1440/1000000*2.74</f>
        <v>46.710971999999998</v>
      </c>
      <c r="K69" s="87">
        <f t="shared" ref="K69" si="160">(IF(G69&lt;L69,L69,G69)*(1-IF(H69&lt;N69,H69,N69))*E69*O69*Q69)/100000000</f>
        <v>24.275751499999998</v>
      </c>
      <c r="L69" s="37">
        <v>1225.1923076923076</v>
      </c>
      <c r="M69" s="37">
        <v>943.39807692307693</v>
      </c>
      <c r="N69" s="48">
        <f t="shared" ref="N69" si="161">1-(M69/L69)</f>
        <v>0.22999999999999998</v>
      </c>
      <c r="O69" s="49">
        <f>+'Trim Rwd'!H42</f>
        <v>262.88888888888891</v>
      </c>
      <c r="P69" s="50">
        <f t="shared" ref="P69" si="162">O69*(Q69-R69-S69)</f>
        <v>196903.77777777781</v>
      </c>
      <c r="Q69" s="49">
        <v>780</v>
      </c>
      <c r="R69" s="507">
        <v>0</v>
      </c>
      <c r="S69" s="507">
        <v>31</v>
      </c>
      <c r="T69" s="39">
        <f t="shared" ref="T69" si="163">E69*M69*O69*Q69/100000000</f>
        <v>24.180865041666671</v>
      </c>
      <c r="U69" s="39">
        <f>E69*M69*O69*(Q69-R69-S69)/100000000</f>
        <v>23.21983066180556</v>
      </c>
      <c r="V69" s="39">
        <f>E69*G69*(1-N69)*O69/100*(R69+S69)/1000000</f>
        <v>0.96480550833333345</v>
      </c>
      <c r="W69" s="39">
        <f>+'16'!K8/1000</f>
        <v>24.206</v>
      </c>
      <c r="X69" s="508">
        <f>SUM(W69:W72)/SUM(K69:K72)</f>
        <v>0.84942606328376835</v>
      </c>
      <c r="Y69" s="216">
        <f>+SUM(RBP!AG48:AG49)</f>
        <v>0</v>
      </c>
      <c r="Z69" s="39">
        <f>+'16'!D16/1000</f>
        <v>0.25</v>
      </c>
      <c r="AA69" s="51">
        <f>SUM(U69:U72)-SUM(W69:W72)-SUM(Z69:Z72)-SUM(Y69:Y72)</f>
        <v>4.2922430818055544</v>
      </c>
      <c r="AB69" s="51">
        <f>(SUM(K69:K72)-SUM(W69:W72)-SUM(Y69:Y72)-SUM(Z69:Z72)-SUM(AC69:AC72)-SUM(V69:V72))-AA69</f>
        <v>-3.7711284722243832E-3</v>
      </c>
      <c r="AC69" s="39">
        <f>K69-T69</f>
        <v>9.4886458333327539E-2</v>
      </c>
      <c r="AD69" s="39">
        <f>+AM69+BA69</f>
        <v>21</v>
      </c>
      <c r="AE69" s="235" t="s">
        <v>516</v>
      </c>
      <c r="AF69" s="39">
        <v>21</v>
      </c>
      <c r="AG69" s="39"/>
      <c r="AH69" s="39"/>
      <c r="AI69" s="509"/>
      <c r="AJ69" s="39"/>
      <c r="AK69" s="39"/>
      <c r="AL69" s="39"/>
      <c r="AM69" s="39">
        <f t="shared" ref="AM69:AM71" si="164">SUM(AF69:AL69)+AT69+AV69+AX69</f>
        <v>21</v>
      </c>
      <c r="AN69" s="39"/>
      <c r="AO69" s="39"/>
      <c r="AP69" s="39"/>
      <c r="AQ69" s="39"/>
      <c r="AR69" s="39">
        <f>SUM(AN69:AQ69)</f>
        <v>0</v>
      </c>
      <c r="AS69" s="39"/>
      <c r="AT69" s="39"/>
      <c r="AU69" s="39"/>
      <c r="AV69" s="39"/>
      <c r="AW69" s="39"/>
      <c r="AX69" s="39"/>
      <c r="AY69" s="39"/>
      <c r="AZ69" s="39"/>
      <c r="BA69" s="39">
        <f>+AR69+AS69+AU69+AW69+AY69+AZ69</f>
        <v>0</v>
      </c>
      <c r="BB69" s="35">
        <v>6</v>
      </c>
      <c r="BC69" s="53"/>
      <c r="BD69" s="53"/>
      <c r="BE69" s="35"/>
      <c r="BF69" s="53"/>
    </row>
    <row r="70" spans="1:58" ht="12.95" customHeight="1">
      <c r="A70" s="42"/>
      <c r="B70" s="43" t="s">
        <v>7</v>
      </c>
      <c r="C70" s="421">
        <f t="shared" ref="C70" si="165">(M70*E70*O70*Q70)/100000000</f>
        <v>20.965384439999994</v>
      </c>
      <c r="D70" s="43" t="s">
        <v>304</v>
      </c>
      <c r="E70" s="44">
        <v>13</v>
      </c>
      <c r="F70" s="44">
        <v>1</v>
      </c>
      <c r="G70" s="506">
        <v>1230</v>
      </c>
      <c r="H70" s="46">
        <f>+N70</f>
        <v>0.2300000000000002</v>
      </c>
      <c r="I70" s="47">
        <v>0.88</v>
      </c>
      <c r="J70" s="87">
        <f t="shared" ref="J70" si="166">E70*G70*(1-H70)*1440/1000000*2.74</f>
        <v>48.57941087999999</v>
      </c>
      <c r="K70" s="87">
        <f t="shared" ref="K70" si="167">(IF(G70&lt;L70,L70,G70)*(1-IF(H70&lt;N70,H70,N70))*E70*O70*Q70)/100000000</f>
        <v>20.965384439999994</v>
      </c>
      <c r="L70" s="37">
        <v>1230</v>
      </c>
      <c r="M70" s="37">
        <v>947.0999999999998</v>
      </c>
      <c r="N70" s="48">
        <f t="shared" ref="N70" si="168">1-(M70/L70)</f>
        <v>0.2300000000000002</v>
      </c>
      <c r="O70" s="49">
        <f>+'Trim Rwd'!H44</f>
        <v>258</v>
      </c>
      <c r="P70" s="50">
        <f t="shared" ref="P70" si="169">O70*(Q70-R70-S70)</f>
        <v>162540</v>
      </c>
      <c r="Q70" s="49">
        <v>660</v>
      </c>
      <c r="R70" s="507">
        <v>0</v>
      </c>
      <c r="S70" s="507">
        <v>30</v>
      </c>
      <c r="T70" s="39">
        <f t="shared" ref="T70" si="170">E70*M70*O70*Q70/100000000</f>
        <v>20.965384439999994</v>
      </c>
      <c r="U70" s="39">
        <f>E70*M70*O70*(Q70-R70-S70)/100000000</f>
        <v>20.012412419999997</v>
      </c>
      <c r="V70" s="39">
        <f>E70*G70*(1-N70)*O70/100*(R70+S70)/1000000</f>
        <v>0.95297201999999981</v>
      </c>
      <c r="W70" s="39">
        <f>+'16'!K12/1000</f>
        <v>14.223000000000001</v>
      </c>
      <c r="X70" s="40"/>
      <c r="Y70" s="216"/>
      <c r="Z70" s="39">
        <f>+'16'!D25/1000</f>
        <v>0.26100000000000001</v>
      </c>
      <c r="AA70" s="39"/>
      <c r="AB70" s="39"/>
      <c r="AC70" s="39"/>
      <c r="AD70" s="39">
        <f>+AM70+BA70</f>
        <v>10</v>
      </c>
      <c r="AE70" s="235" t="s">
        <v>388</v>
      </c>
      <c r="AF70" s="39"/>
      <c r="AG70" s="39">
        <v>10</v>
      </c>
      <c r="AH70" s="39"/>
      <c r="AI70" s="39"/>
      <c r="AJ70" s="39"/>
      <c r="AK70" s="39"/>
      <c r="AL70" s="39"/>
      <c r="AM70" s="39">
        <f t="shared" si="164"/>
        <v>10</v>
      </c>
      <c r="AN70" s="88"/>
      <c r="AO70" s="39"/>
      <c r="AP70" s="39"/>
      <c r="AQ70" s="39"/>
      <c r="AR70" s="39">
        <f t="shared" ref="AR70:AR71" si="171">SUM(AN70:AQ70)</f>
        <v>0</v>
      </c>
      <c r="AS70" s="39"/>
      <c r="AT70" s="39"/>
      <c r="AU70" s="39"/>
      <c r="AV70" s="39"/>
      <c r="AW70" s="39"/>
      <c r="AX70" s="39"/>
      <c r="AY70" s="39"/>
      <c r="AZ70" s="39"/>
      <c r="BA70" s="39">
        <f>+AR70+AS70+AU70+AW70+AY70+AZ70</f>
        <v>0</v>
      </c>
      <c r="BB70" s="52"/>
      <c r="BC70" s="53">
        <v>5</v>
      </c>
      <c r="BD70" s="53"/>
      <c r="BE70" s="52"/>
      <c r="BF70" s="53"/>
    </row>
    <row r="71" spans="1:58" ht="12.95" customHeight="1">
      <c r="A71" s="42"/>
      <c r="B71" s="43"/>
      <c r="C71" s="421"/>
      <c r="D71" s="43"/>
      <c r="E71" s="44"/>
      <c r="F71" s="44"/>
      <c r="G71" s="45"/>
      <c r="H71" s="46"/>
      <c r="I71" s="47"/>
      <c r="J71" s="87"/>
      <c r="K71" s="87"/>
      <c r="L71" s="37"/>
      <c r="M71" s="37"/>
      <c r="N71" s="48"/>
      <c r="O71" s="49"/>
      <c r="P71" s="50"/>
      <c r="Q71" s="49"/>
      <c r="R71" s="507"/>
      <c r="S71" s="507"/>
      <c r="T71" s="39"/>
      <c r="U71" s="39"/>
      <c r="V71" s="39"/>
      <c r="W71" s="39"/>
      <c r="X71" s="40"/>
      <c r="Y71" s="216"/>
      <c r="Z71" s="39"/>
      <c r="AA71" s="39"/>
      <c r="AB71" s="39"/>
      <c r="AC71" s="39"/>
      <c r="AD71" s="39">
        <f>+AM71+BA71</f>
        <v>30</v>
      </c>
      <c r="AE71" s="235" t="s">
        <v>496</v>
      </c>
      <c r="AF71" s="35"/>
      <c r="AG71" s="35"/>
      <c r="AH71" s="35">
        <v>30</v>
      </c>
      <c r="AI71" s="35"/>
      <c r="AJ71" s="39"/>
      <c r="AK71" s="39"/>
      <c r="AL71" s="39"/>
      <c r="AM71" s="39">
        <f t="shared" si="164"/>
        <v>30</v>
      </c>
      <c r="AN71" s="39"/>
      <c r="AO71" s="39"/>
      <c r="AP71" s="39"/>
      <c r="AQ71" s="39"/>
      <c r="AR71" s="39">
        <f t="shared" si="171"/>
        <v>0</v>
      </c>
      <c r="AS71" s="39"/>
      <c r="AT71" s="39"/>
      <c r="AU71" s="39"/>
      <c r="AV71" s="39"/>
      <c r="AW71" s="39"/>
      <c r="AX71" s="39"/>
      <c r="AY71" s="39"/>
      <c r="AZ71" s="39"/>
      <c r="BA71" s="39">
        <f>+AR71+AS71+AU71+AW71+AY71+AZ71</f>
        <v>0</v>
      </c>
      <c r="BB71" s="35"/>
      <c r="BC71" s="510"/>
      <c r="BD71" s="510"/>
      <c r="BE71" s="35"/>
      <c r="BF71" s="510"/>
    </row>
    <row r="72" spans="1:58" ht="12.95" customHeight="1">
      <c r="A72" s="42"/>
      <c r="B72" s="43"/>
      <c r="C72" s="421"/>
      <c r="D72" s="43"/>
      <c r="E72" s="44"/>
      <c r="F72" s="44"/>
      <c r="G72" s="45"/>
      <c r="H72" s="46"/>
      <c r="I72" s="47"/>
      <c r="J72" s="87"/>
      <c r="K72" s="87"/>
      <c r="L72" s="37"/>
      <c r="M72" s="37"/>
      <c r="N72" s="48"/>
      <c r="O72" s="49"/>
      <c r="P72" s="50"/>
      <c r="Q72" s="49"/>
      <c r="R72" s="507"/>
      <c r="S72" s="507"/>
      <c r="T72" s="39"/>
      <c r="U72" s="39"/>
      <c r="V72" s="39"/>
      <c r="W72" s="39"/>
      <c r="X72" s="40"/>
      <c r="Y72" s="216"/>
      <c r="Z72" s="39"/>
      <c r="AA72" s="39"/>
      <c r="AB72" s="39"/>
      <c r="AC72" s="39"/>
      <c r="AD72" s="39"/>
      <c r="AE72" s="235"/>
      <c r="AF72" s="35"/>
      <c r="AG72" s="35"/>
      <c r="AH72" s="35"/>
      <c r="AI72" s="35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5"/>
      <c r="BC72" s="510"/>
      <c r="BD72" s="510"/>
      <c r="BE72" s="35"/>
      <c r="BF72" s="510"/>
    </row>
    <row r="73" spans="1:58" ht="12.75" customHeight="1">
      <c r="A73" s="42">
        <v>45947</v>
      </c>
      <c r="B73" s="43" t="s">
        <v>7</v>
      </c>
      <c r="C73" s="421">
        <f t="shared" ref="C73" si="172">(M73*E73*O73*Q73)/100000000</f>
        <v>4.0759149599999995</v>
      </c>
      <c r="D73" s="43" t="s">
        <v>304</v>
      </c>
      <c r="E73" s="44">
        <v>13</v>
      </c>
      <c r="F73" s="44">
        <v>1</v>
      </c>
      <c r="G73" s="506">
        <v>1230</v>
      </c>
      <c r="H73" s="46">
        <f>+N73</f>
        <v>0.24</v>
      </c>
      <c r="I73" s="47">
        <v>0.88</v>
      </c>
      <c r="J73" s="87">
        <f t="shared" ref="J73" si="173">E73*G73*(1-H73)*1440/1000000*2.74</f>
        <v>47.948509440000002</v>
      </c>
      <c r="K73" s="87">
        <f t="shared" ref="K73" si="174">(IF(G73&lt;L73,L73,G73)*(1-IF(H73&lt;N73,H73,N73))*E73*O73*Q73)/100000000</f>
        <v>4.0759149599999995</v>
      </c>
      <c r="L73" s="37">
        <v>1230</v>
      </c>
      <c r="M73" s="37">
        <v>934.8</v>
      </c>
      <c r="N73" s="48">
        <f t="shared" ref="N73" si="175">1-(M73/L73)</f>
        <v>0.24</v>
      </c>
      <c r="O73" s="49">
        <f>+'Trim Rwd'!H46</f>
        <v>258</v>
      </c>
      <c r="P73" s="50">
        <f t="shared" ref="P73" si="176">O73*(Q73-R73-S73)</f>
        <v>30702</v>
      </c>
      <c r="Q73" s="49">
        <v>130</v>
      </c>
      <c r="R73" s="507">
        <v>0</v>
      </c>
      <c r="S73" s="507">
        <v>11</v>
      </c>
      <c r="T73" s="39">
        <f t="shared" ref="T73" si="177">E73*M73*O73*Q73/100000000</f>
        <v>4.0759149599999995</v>
      </c>
      <c r="U73" s="39">
        <f>E73*M73*O73*(Q73-R73-S73)/100000000</f>
        <v>3.7310298479999995</v>
      </c>
      <c r="V73" s="39">
        <f>E73*G73*(1-N73)*O73/100*(R73+S73)/1000000</f>
        <v>0.34488511199999994</v>
      </c>
      <c r="W73" s="39">
        <f>+'17'!K12/1000</f>
        <v>13.881</v>
      </c>
      <c r="X73" s="508">
        <f>SUM(W73:W76)/SUM(K73:K76)</f>
        <v>0.86844313177403887</v>
      </c>
      <c r="Y73" s="216">
        <f>+SUM(RBP!AG52:AG53)</f>
        <v>0</v>
      </c>
      <c r="Z73" s="39">
        <f>+'16'!D20/1000</f>
        <v>0</v>
      </c>
      <c r="AA73" s="51">
        <f>SUM(U73:U76)-SUM(W73:W76)-SUM(Z73:Z76)-SUM(Y73:Y76)</f>
        <v>2.369704994945943</v>
      </c>
      <c r="AB73" s="51">
        <f>(SUM(K73:K76)-SUM(W73:W76)-SUM(Y73:Y76)-SUM(Z73:Z76)-SUM(AC73:AC76)-SUM(V73:V76))-AA73</f>
        <v>0.27569528969754042</v>
      </c>
      <c r="AC73" s="39">
        <f>K73-T73</f>
        <v>0</v>
      </c>
      <c r="AD73" s="39">
        <f>+AM73+BA73</f>
        <v>0</v>
      </c>
      <c r="AE73" s="235" t="s">
        <v>386</v>
      </c>
      <c r="AF73" s="39">
        <v>0</v>
      </c>
      <c r="AG73" s="39"/>
      <c r="AH73" s="39"/>
      <c r="AI73" s="509"/>
      <c r="AJ73" s="39"/>
      <c r="AK73" s="39"/>
      <c r="AL73" s="39"/>
      <c r="AM73" s="39">
        <f t="shared" ref="AM73:AM75" si="178">SUM(AF73:AL73)+AT73+AV73+AX73</f>
        <v>0</v>
      </c>
      <c r="AN73" s="39"/>
      <c r="AO73" s="39"/>
      <c r="AP73" s="39"/>
      <c r="AQ73" s="39"/>
      <c r="AR73" s="39">
        <f>SUM(AN73:AQ73)</f>
        <v>0</v>
      </c>
      <c r="AS73" s="39"/>
      <c r="AT73" s="39"/>
      <c r="AU73" s="39"/>
      <c r="AV73" s="39"/>
      <c r="AW73" s="39"/>
      <c r="AX73" s="39"/>
      <c r="AY73" s="39"/>
      <c r="AZ73" s="39"/>
      <c r="BA73" s="39">
        <f>+AR73+AS73+AU73+AW73+AY73+AZ73</f>
        <v>0</v>
      </c>
      <c r="BB73" s="35">
        <v>0</v>
      </c>
      <c r="BC73" s="53"/>
      <c r="BD73" s="53"/>
      <c r="BE73" s="35"/>
      <c r="BF73" s="53"/>
    </row>
    <row r="74" spans="1:58" ht="12.95" customHeight="1">
      <c r="A74" s="42"/>
      <c r="B74" s="43" t="s">
        <v>7</v>
      </c>
      <c r="C74" s="421">
        <f t="shared" ref="C74" si="179">(M74*E74*O74*Q74)/100000000</f>
        <v>13.498351019999999</v>
      </c>
      <c r="D74" s="43" t="s">
        <v>304</v>
      </c>
      <c r="E74" s="44">
        <v>11</v>
      </c>
      <c r="F74" s="44">
        <v>1</v>
      </c>
      <c r="G74" s="506">
        <v>1230</v>
      </c>
      <c r="H74" s="46">
        <f>+N74</f>
        <v>0.22699658703071679</v>
      </c>
      <c r="I74" s="47">
        <v>0.88</v>
      </c>
      <c r="J74" s="87">
        <f t="shared" ref="J74" si="180">E74*G74*(1-H74)*1440/1000000*2.74</f>
        <v>41.265989461843006</v>
      </c>
      <c r="K74" s="87">
        <f t="shared" ref="K74" si="181">(IF(G74&lt;L74,L74,G74)*(1-IF(H74&lt;N74,H74,N74))*E74*O74*Q74)/100000000</f>
        <v>13.599703826293517</v>
      </c>
      <c r="L74" s="37">
        <v>1220.8333333333333</v>
      </c>
      <c r="M74" s="37">
        <v>943.70833333333326</v>
      </c>
      <c r="N74" s="48">
        <f t="shared" ref="N74" si="182">1-(M74/L74)</f>
        <v>0.22699658703071679</v>
      </c>
      <c r="O74" s="49">
        <f>+'Trim Rwd'!H47</f>
        <v>258</v>
      </c>
      <c r="P74" s="50">
        <f t="shared" ref="P74" si="183">O74*(Q74-R74-S74)</f>
        <v>122292</v>
      </c>
      <c r="Q74" s="49">
        <v>504</v>
      </c>
      <c r="R74" s="507">
        <v>0</v>
      </c>
      <c r="S74" s="507">
        <v>30</v>
      </c>
      <c r="T74" s="39">
        <f t="shared" ref="T74" si="184">E74*M74*O74*Q74/100000000</f>
        <v>13.498351019999999</v>
      </c>
      <c r="U74" s="39">
        <f>E74*M74*O74*(Q74-R74-S74)/100000000</f>
        <v>12.694877744999999</v>
      </c>
      <c r="V74" s="39">
        <f>E74*G74*(1-N74)*O74/100*(R74+S74)/1000000</f>
        <v>0.80950618013651876</v>
      </c>
      <c r="W74" s="39">
        <f>+'17'!K13/1000</f>
        <v>11.154</v>
      </c>
      <c r="X74" s="40"/>
      <c r="Y74" s="216"/>
      <c r="Z74" s="39">
        <f>+'16'!D29/1000</f>
        <v>0</v>
      </c>
      <c r="AA74" s="39"/>
      <c r="AB74" s="39"/>
      <c r="AC74" s="39"/>
      <c r="AD74" s="39">
        <f>+AM74+BA74</f>
        <v>40</v>
      </c>
      <c r="AE74" s="235" t="s">
        <v>603</v>
      </c>
      <c r="AF74" s="39"/>
      <c r="AG74" s="39">
        <v>40</v>
      </c>
      <c r="AH74" s="39"/>
      <c r="AI74" s="39"/>
      <c r="AJ74" s="39"/>
      <c r="AK74" s="39"/>
      <c r="AL74" s="39"/>
      <c r="AM74" s="39">
        <f t="shared" si="178"/>
        <v>40</v>
      </c>
      <c r="AN74" s="88"/>
      <c r="AO74" s="39"/>
      <c r="AP74" s="39"/>
      <c r="AQ74" s="39"/>
      <c r="AR74" s="39">
        <f t="shared" ref="AR74:AR75" si="185">SUM(AN74:AQ74)</f>
        <v>0</v>
      </c>
      <c r="AS74" s="39"/>
      <c r="AT74" s="39"/>
      <c r="AU74" s="39"/>
      <c r="AV74" s="39"/>
      <c r="AW74" s="39"/>
      <c r="AX74" s="39"/>
      <c r="AY74" s="39"/>
      <c r="AZ74" s="39"/>
      <c r="BA74" s="39">
        <f>+AR74+AS74+AU74+AW74+AY74+AZ74</f>
        <v>0</v>
      </c>
      <c r="BB74" s="52"/>
      <c r="BC74" s="53">
        <v>15</v>
      </c>
      <c r="BD74" s="53"/>
      <c r="BE74" s="52"/>
      <c r="BF74" s="53"/>
    </row>
    <row r="75" spans="1:58" ht="12.95" customHeight="1">
      <c r="A75" s="42"/>
      <c r="B75" s="43" t="s">
        <v>7</v>
      </c>
      <c r="C75" s="421">
        <f t="shared" ref="C75" si="186">(M75*E75*O75*Q75)/100000000</f>
        <v>23.461207283027026</v>
      </c>
      <c r="D75" s="43" t="s">
        <v>304</v>
      </c>
      <c r="E75" s="44">
        <v>12</v>
      </c>
      <c r="F75" s="44">
        <v>1</v>
      </c>
      <c r="G75" s="506">
        <v>1230</v>
      </c>
      <c r="H75" s="46">
        <f>+N75</f>
        <v>0.22999999999999998</v>
      </c>
      <c r="I75" s="47">
        <v>0.88</v>
      </c>
      <c r="J75" s="87">
        <f t="shared" ref="J75" si="187">E75*G75*(1-H75)*1440/1000000*2.74</f>
        <v>44.842533120000006</v>
      </c>
      <c r="K75" s="87">
        <f t="shared" ref="K75" si="188">(IF(G75&lt;L75,L75,G75)*(1-IF(H75&lt;N75,H75,N75))*E75*O75*Q75)/100000000</f>
        <v>23.653512260756756</v>
      </c>
      <c r="L75" s="37">
        <v>1220</v>
      </c>
      <c r="M75" s="37">
        <v>939.4</v>
      </c>
      <c r="N75" s="48">
        <f t="shared" ref="N75" si="189">1-(M75/L75)</f>
        <v>0.22999999999999998</v>
      </c>
      <c r="O75" s="49">
        <f>+'Trim Rwd'!H48</f>
        <v>258.2162162162162</v>
      </c>
      <c r="P75" s="50">
        <f t="shared" ref="P75" si="190">O75*(Q75-R75-S75)</f>
        <v>195211.45945945944</v>
      </c>
      <c r="Q75" s="49">
        <v>806</v>
      </c>
      <c r="R75" s="507">
        <v>0</v>
      </c>
      <c r="S75" s="507">
        <f>91-S73-S74</f>
        <v>50</v>
      </c>
      <c r="T75" s="39">
        <f t="shared" ref="T75" si="191">E75*M75*O75*Q75/100000000</f>
        <v>23.461207283027026</v>
      </c>
      <c r="U75" s="39">
        <f>E75*M75*O75*(Q75-R75-S75)/100000000</f>
        <v>22.005797401945941</v>
      </c>
      <c r="V75" s="39">
        <f>E75*G75*(1-N75)*O75/100*(R75+S75)/1000000</f>
        <v>1.4673394702702702</v>
      </c>
      <c r="W75" s="39">
        <f>+'17'!K7/1000</f>
        <v>10.856999999999999</v>
      </c>
      <c r="X75" s="40"/>
      <c r="Y75" s="216"/>
      <c r="Z75" s="39">
        <f>+'17'!D25/1000</f>
        <v>0.17</v>
      </c>
      <c r="AA75" s="39"/>
      <c r="AB75" s="39"/>
      <c r="AC75" s="39"/>
      <c r="AD75" s="39">
        <f>+AM75+BA75</f>
        <v>51</v>
      </c>
      <c r="AE75" s="235" t="s">
        <v>604</v>
      </c>
      <c r="AF75" s="35"/>
      <c r="AG75" s="35"/>
      <c r="AH75" s="35">
        <v>51</v>
      </c>
      <c r="AI75" s="35"/>
      <c r="AJ75" s="39"/>
      <c r="AK75" s="39"/>
      <c r="AL75" s="39"/>
      <c r="AM75" s="39">
        <f t="shared" si="178"/>
        <v>51</v>
      </c>
      <c r="AN75" s="39"/>
      <c r="AO75" s="39"/>
      <c r="AP75" s="39"/>
      <c r="AQ75" s="39"/>
      <c r="AR75" s="39">
        <f t="shared" si="185"/>
        <v>0</v>
      </c>
      <c r="AS75" s="39"/>
      <c r="AT75" s="39"/>
      <c r="AU75" s="39"/>
      <c r="AV75" s="39"/>
      <c r="AW75" s="39"/>
      <c r="AX75" s="39"/>
      <c r="AY75" s="39"/>
      <c r="AZ75" s="39"/>
      <c r="BA75" s="39">
        <f>+AR75+AS75+AU75+AW75+AY75+AZ75</f>
        <v>0</v>
      </c>
      <c r="BB75" s="35"/>
      <c r="BC75" s="510"/>
      <c r="BD75" s="510"/>
      <c r="BE75" s="35"/>
      <c r="BF75" s="510"/>
    </row>
    <row r="76" spans="1:58" ht="12.95" customHeight="1">
      <c r="A76" s="42"/>
      <c r="B76" s="43"/>
      <c r="C76" s="421"/>
      <c r="D76" s="43"/>
      <c r="E76" s="44"/>
      <c r="F76" s="44"/>
      <c r="G76" s="45"/>
      <c r="H76" s="46"/>
      <c r="I76" s="47"/>
      <c r="J76" s="87"/>
      <c r="K76" s="87"/>
      <c r="L76" s="37"/>
      <c r="M76" s="37"/>
      <c r="N76" s="48"/>
      <c r="O76" s="49"/>
      <c r="P76" s="50"/>
      <c r="Q76" s="49"/>
      <c r="R76" s="507"/>
      <c r="S76" s="507"/>
      <c r="T76" s="39"/>
      <c r="U76" s="39"/>
      <c r="V76" s="39"/>
      <c r="W76" s="39"/>
      <c r="X76" s="40"/>
      <c r="Y76" s="216"/>
      <c r="Z76" s="39"/>
      <c r="AA76" s="39"/>
      <c r="AB76" s="39"/>
      <c r="AC76" s="39"/>
      <c r="AD76" s="39"/>
      <c r="AE76" s="235"/>
      <c r="AF76" s="35"/>
      <c r="AG76" s="35"/>
      <c r="AH76" s="35"/>
      <c r="AI76" s="35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5"/>
      <c r="BC76" s="510"/>
      <c r="BD76" s="510"/>
      <c r="BE76" s="35"/>
      <c r="BF76" s="510"/>
    </row>
    <row r="77" spans="1:58" ht="12.75" customHeight="1">
      <c r="A77" s="42">
        <v>45948</v>
      </c>
      <c r="B77" s="43" t="s">
        <v>7</v>
      </c>
      <c r="C77" s="421">
        <f t="shared" ref="C77" si="192">(M77*E77*O77*Q77)/100000000</f>
        <v>42.225304274999999</v>
      </c>
      <c r="D77" s="43" t="s">
        <v>304</v>
      </c>
      <c r="E77" s="44">
        <v>12</v>
      </c>
      <c r="F77" s="44">
        <v>1</v>
      </c>
      <c r="G77" s="506">
        <v>1230</v>
      </c>
      <c r="H77" s="46">
        <f>+N77</f>
        <v>0.22999999999999998</v>
      </c>
      <c r="I77" s="47">
        <v>0.88</v>
      </c>
      <c r="J77" s="87">
        <f t="shared" ref="J77" si="193">E77*G77*(1-H77)*1440/1000000*2.74</f>
        <v>44.842533120000006</v>
      </c>
      <c r="K77" s="87">
        <f t="shared" ref="K77" si="194">(IF(G77&lt;L77,L77,G77)*(1-IF(H77&lt;N77,H77,N77))*E77*O77*Q77)/100000000</f>
        <v>42.455414924999999</v>
      </c>
      <c r="L77" s="37">
        <v>1223.3333333333333</v>
      </c>
      <c r="M77" s="37">
        <v>941.9666666666667</v>
      </c>
      <c r="N77" s="48">
        <f t="shared" ref="N77" si="195">1-(M77/L77)</f>
        <v>0.22999999999999998</v>
      </c>
      <c r="O77" s="49">
        <f>+'Trim Rwd'!H51</f>
        <v>259.4140625</v>
      </c>
      <c r="P77" s="50">
        <f t="shared" ref="P77" si="196">O77*(Q77-R77-S77)</f>
        <v>354100.1953125</v>
      </c>
      <c r="Q77" s="49">
        <v>1440</v>
      </c>
      <c r="R77" s="507">
        <v>0</v>
      </c>
      <c r="S77" s="507">
        <v>75</v>
      </c>
      <c r="T77" s="39">
        <f t="shared" ref="T77" si="197">E77*M77*O77*Q77/100000000</f>
        <v>42.225304274999999</v>
      </c>
      <c r="U77" s="39">
        <f>E77*M77*O77*(Q77-R77-S77)/100000000</f>
        <v>40.026069677343749</v>
      </c>
      <c r="V77" s="39">
        <f>E77*G77*(1-N77)*O77/100*(R77+S77)/1000000</f>
        <v>2.2112195273437498</v>
      </c>
      <c r="W77" s="39">
        <f>+'18'!K7/1000</f>
        <v>27.89</v>
      </c>
      <c r="X77" s="508">
        <f>SUM(W77:W80)/SUM(K77:K80)</f>
        <v>0.83094229705022715</v>
      </c>
      <c r="Y77" s="216">
        <f>+SUM(RBP!AG56:AG57)</f>
        <v>0</v>
      </c>
      <c r="Z77" s="39">
        <f>+'16'!D24/1000</f>
        <v>1.9823963206724287E-5</v>
      </c>
      <c r="AA77" s="51">
        <f>SUM(U77:U80)-SUM(W77:W80)-SUM(Z77:Z80)-SUM(Y77:Y80)</f>
        <v>4.7480303772220473</v>
      </c>
      <c r="AB77" s="51">
        <f>(SUM(K77:K80)-SUM(W77:W80)-SUM(Y77:Y80)-SUM(Z77:Z80)-SUM(AC77:AC80)-SUM(V77:V80))-AA77</f>
        <v>-1.1984929687499424E-2</v>
      </c>
      <c r="AC77" s="39">
        <f>K77-T77</f>
        <v>0.23011065000000031</v>
      </c>
      <c r="AD77" s="39">
        <f>+AM77+BA77</f>
        <v>15</v>
      </c>
      <c r="AE77" s="235" t="s">
        <v>516</v>
      </c>
      <c r="AF77" s="39">
        <v>15</v>
      </c>
      <c r="AG77" s="39"/>
      <c r="AH77" s="39"/>
      <c r="AI77" s="509"/>
      <c r="AJ77" s="39"/>
      <c r="AK77" s="39"/>
      <c r="AL77" s="39"/>
      <c r="AM77" s="39">
        <f t="shared" ref="AM77:AM79" si="198">SUM(AF77:AL77)+AT77+AV77+AX77</f>
        <v>15</v>
      </c>
      <c r="AN77" s="39"/>
      <c r="AO77" s="39"/>
      <c r="AP77" s="39"/>
      <c r="AQ77" s="39"/>
      <c r="AR77" s="39">
        <f>SUM(AN77:AQ77)</f>
        <v>0</v>
      </c>
      <c r="AS77" s="39"/>
      <c r="AT77" s="39"/>
      <c r="AU77" s="39"/>
      <c r="AV77" s="39"/>
      <c r="AW77" s="39"/>
      <c r="AX77" s="39"/>
      <c r="AY77" s="39"/>
      <c r="AZ77" s="39"/>
      <c r="BA77" s="39">
        <f>+AR77+AS77+AU77+AW77+AY77+AZ77</f>
        <v>0</v>
      </c>
      <c r="BB77" s="35">
        <v>6</v>
      </c>
      <c r="BC77" s="53"/>
      <c r="BD77" s="53"/>
      <c r="BE77" s="35"/>
      <c r="BF77" s="53"/>
    </row>
    <row r="78" spans="1:58" ht="12.95" customHeight="1">
      <c r="A78" s="42"/>
      <c r="B78" s="43" t="s">
        <v>7</v>
      </c>
      <c r="C78" s="421"/>
      <c r="D78" s="43"/>
      <c r="E78" s="44">
        <v>13</v>
      </c>
      <c r="F78" s="44"/>
      <c r="G78" s="506"/>
      <c r="H78" s="46"/>
      <c r="I78" s="47"/>
      <c r="J78" s="87"/>
      <c r="K78" s="87"/>
      <c r="L78" s="37"/>
      <c r="M78" s="37"/>
      <c r="N78" s="48"/>
      <c r="O78" s="49"/>
      <c r="P78" s="50"/>
      <c r="Q78" s="49"/>
      <c r="R78" s="507"/>
      <c r="S78" s="507"/>
      <c r="T78" s="39"/>
      <c r="U78" s="39"/>
      <c r="V78" s="39"/>
      <c r="W78" s="39">
        <f>+'18'!K12/1000</f>
        <v>7.3879999999999999</v>
      </c>
      <c r="X78" s="40"/>
      <c r="Y78" s="216"/>
      <c r="Z78" s="39">
        <f>+'16'!D33/1000</f>
        <v>1.9476158495634655E-5</v>
      </c>
      <c r="AA78" s="39"/>
      <c r="AB78" s="39"/>
      <c r="AC78" s="39"/>
      <c r="AD78" s="39">
        <f>+AM78+BA78</f>
        <v>0</v>
      </c>
      <c r="AE78" s="235" t="s">
        <v>286</v>
      </c>
      <c r="AF78" s="39"/>
      <c r="AG78" s="39">
        <v>0</v>
      </c>
      <c r="AH78" s="39"/>
      <c r="AI78" s="39"/>
      <c r="AJ78" s="39"/>
      <c r="AK78" s="39"/>
      <c r="AL78" s="39"/>
      <c r="AM78" s="39">
        <f t="shared" si="198"/>
        <v>0</v>
      </c>
      <c r="AN78" s="88"/>
      <c r="AO78" s="39"/>
      <c r="AP78" s="39"/>
      <c r="AQ78" s="39"/>
      <c r="AR78" s="39">
        <f t="shared" ref="AR78:AR79" si="199">SUM(AN78:AQ78)</f>
        <v>0</v>
      </c>
      <c r="AS78" s="39"/>
      <c r="AT78" s="39"/>
      <c r="AU78" s="39"/>
      <c r="AV78" s="39"/>
      <c r="AW78" s="39"/>
      <c r="AX78" s="39"/>
      <c r="AY78" s="39"/>
      <c r="AZ78" s="39"/>
      <c r="BA78" s="39">
        <f>+AR78+AS78+AU78+AW78+AY78+AZ78</f>
        <v>0</v>
      </c>
      <c r="BB78" s="52"/>
      <c r="BC78" s="53">
        <v>0</v>
      </c>
      <c r="BD78" s="53"/>
      <c r="BE78" s="52"/>
      <c r="BF78" s="53"/>
    </row>
    <row r="79" spans="1:58" ht="12.95" customHeight="1">
      <c r="A79" s="42"/>
      <c r="B79" s="43"/>
      <c r="C79" s="421"/>
      <c r="D79" s="43"/>
      <c r="E79" s="44"/>
      <c r="F79" s="44"/>
      <c r="G79" s="45"/>
      <c r="H79" s="46"/>
      <c r="I79" s="47"/>
      <c r="J79" s="87"/>
      <c r="K79" s="87"/>
      <c r="L79" s="37"/>
      <c r="M79" s="37"/>
      <c r="N79" s="48"/>
      <c r="O79" s="49"/>
      <c r="P79" s="50"/>
      <c r="Q79" s="49"/>
      <c r="R79" s="507"/>
      <c r="S79" s="507"/>
      <c r="T79" s="39"/>
      <c r="U79" s="39"/>
      <c r="V79" s="39"/>
      <c r="W79" s="39"/>
      <c r="X79" s="40"/>
      <c r="Y79" s="216"/>
      <c r="Z79" s="39"/>
      <c r="AA79" s="39"/>
      <c r="AB79" s="39"/>
      <c r="AC79" s="39"/>
      <c r="AD79" s="39">
        <f>+AM79+BA79</f>
        <v>60</v>
      </c>
      <c r="AE79" s="235" t="s">
        <v>432</v>
      </c>
      <c r="AF79" s="35"/>
      <c r="AG79" s="35"/>
      <c r="AH79" s="35">
        <v>60</v>
      </c>
      <c r="AI79" s="35"/>
      <c r="AJ79" s="39"/>
      <c r="AK79" s="39"/>
      <c r="AL79" s="39"/>
      <c r="AM79" s="39">
        <f t="shared" si="198"/>
        <v>60</v>
      </c>
      <c r="AN79" s="39"/>
      <c r="AO79" s="39"/>
      <c r="AP79" s="39"/>
      <c r="AQ79" s="39"/>
      <c r="AR79" s="39">
        <f t="shared" si="199"/>
        <v>0</v>
      </c>
      <c r="AS79" s="39"/>
      <c r="AT79" s="39"/>
      <c r="AU79" s="39"/>
      <c r="AV79" s="39"/>
      <c r="AW79" s="39"/>
      <c r="AX79" s="39"/>
      <c r="AY79" s="39"/>
      <c r="AZ79" s="39"/>
      <c r="BA79" s="39">
        <f>+AR79+AS79+AU79+AW79+AY79+AZ79</f>
        <v>0</v>
      </c>
      <c r="BB79" s="35"/>
      <c r="BC79" s="510"/>
      <c r="BD79" s="510"/>
      <c r="BE79" s="35"/>
      <c r="BF79" s="510"/>
    </row>
    <row r="80" spans="1:58" ht="12.95" customHeight="1">
      <c r="A80" s="42"/>
      <c r="B80" s="43"/>
      <c r="C80" s="421"/>
      <c r="D80" s="43"/>
      <c r="E80" s="44"/>
      <c r="F80" s="44"/>
      <c r="G80" s="45"/>
      <c r="H80" s="46"/>
      <c r="I80" s="47"/>
      <c r="J80" s="87"/>
      <c r="K80" s="87"/>
      <c r="L80" s="37"/>
      <c r="M80" s="37"/>
      <c r="N80" s="48"/>
      <c r="O80" s="49"/>
      <c r="P80" s="50"/>
      <c r="Q80" s="49"/>
      <c r="R80" s="507"/>
      <c r="S80" s="507"/>
      <c r="T80" s="39"/>
      <c r="U80" s="39"/>
      <c r="V80" s="39"/>
      <c r="W80" s="39"/>
      <c r="X80" s="40"/>
      <c r="Y80" s="216"/>
      <c r="Z80" s="39"/>
      <c r="AA80" s="39"/>
      <c r="AB80" s="39"/>
      <c r="AC80" s="39"/>
      <c r="AD80" s="39"/>
      <c r="AE80" s="235"/>
      <c r="AF80" s="35"/>
      <c r="AG80" s="35"/>
      <c r="AH80" s="35"/>
      <c r="AI80" s="35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5"/>
      <c r="BC80" s="510"/>
      <c r="BD80" s="510"/>
      <c r="BE80" s="35"/>
      <c r="BF80" s="510"/>
    </row>
    <row r="81" spans="1:58" ht="12.75" customHeight="1">
      <c r="A81" s="42">
        <v>45949</v>
      </c>
      <c r="B81" s="43" t="s">
        <v>7</v>
      </c>
      <c r="C81" s="421">
        <f t="shared" ref="C81" si="200">(M81*E81*O81*Q81)/100000000</f>
        <v>42.727607999999996</v>
      </c>
      <c r="D81" s="43" t="s">
        <v>304</v>
      </c>
      <c r="E81" s="44">
        <v>12</v>
      </c>
      <c r="F81" s="44">
        <v>1</v>
      </c>
      <c r="G81" s="506">
        <v>1230</v>
      </c>
      <c r="H81" s="46">
        <f>+N81</f>
        <v>0.22999999999999998</v>
      </c>
      <c r="I81" s="47">
        <v>0.88</v>
      </c>
      <c r="J81" s="87">
        <f t="shared" ref="J81" si="201">E81*G81*(1-H81)*1440/1000000*2.74</f>
        <v>44.842533120000006</v>
      </c>
      <c r="K81" s="87">
        <f t="shared" ref="K81" si="202">(IF(G81&lt;L81,L81,G81)*(1-IF(H81&lt;N81,H81,N81))*E81*O81*Q81)/100000000</f>
        <v>42.960456000000001</v>
      </c>
      <c r="L81" s="37">
        <v>1223.3333333333333</v>
      </c>
      <c r="M81" s="37">
        <v>941.9666666666667</v>
      </c>
      <c r="N81" s="48">
        <f t="shared" ref="N81" si="203">1-(M81/L81)</f>
        <v>0.22999999999999998</v>
      </c>
      <c r="O81" s="49">
        <f>+'Trim Rwd'!H55</f>
        <v>262.5</v>
      </c>
      <c r="P81" s="50">
        <f t="shared" ref="P81" si="204">O81*(Q81-R81-S81)</f>
        <v>6825</v>
      </c>
      <c r="Q81" s="49">
        <v>1440</v>
      </c>
      <c r="R81" s="507">
        <v>1414</v>
      </c>
      <c r="S81" s="507">
        <v>0</v>
      </c>
      <c r="T81" s="39">
        <f t="shared" ref="T81" si="205">E81*M81*O81*Q81/100000000</f>
        <v>42.727607999999996</v>
      </c>
      <c r="U81" s="39">
        <f>E81*M81*O81*(Q81-R81-S81)/100000000</f>
        <v>0.77147069999999995</v>
      </c>
      <c r="V81" s="39">
        <f>E81*G81*(1-N81)*O81/100*(R81+S81)/1000000</f>
        <v>42.184781100000002</v>
      </c>
      <c r="W81" s="39">
        <f>+'19'!K7/1000</f>
        <v>2.8210000000000002</v>
      </c>
      <c r="X81" s="508">
        <f>SUM(W81:W84)/SUM(K81:K84)</f>
        <v>6.5665038564767561E-2</v>
      </c>
      <c r="Y81" s="216">
        <v>0</v>
      </c>
      <c r="Z81" s="39">
        <f>+'19'!D7/1000</f>
        <v>0.26</v>
      </c>
      <c r="AA81" s="51">
        <f>SUM(U81:U84)-SUM(W81:W84)-SUM(Z81:Z84)-SUM(Y81:Y84)</f>
        <v>-2.3095293000000003</v>
      </c>
      <c r="AB81" s="51">
        <f>(SUM(K81:K84)-SUM(W81:W84)-SUM(Y81:Y84)-SUM(Z81:Z84)-SUM(AC81:AC84)-SUM(V81:V84))-AA81</f>
        <v>-0.22864380000000128</v>
      </c>
      <c r="AC81" s="39">
        <f>K81-T81</f>
        <v>0.23284800000000416</v>
      </c>
      <c r="AD81" s="39">
        <f>+AM81+BA81</f>
        <v>0</v>
      </c>
      <c r="AE81" s="235" t="s">
        <v>386</v>
      </c>
      <c r="AF81" s="39">
        <v>0</v>
      </c>
      <c r="AG81" s="39"/>
      <c r="AH81" s="39"/>
      <c r="AI81" s="509"/>
      <c r="AJ81" s="39"/>
      <c r="AK81" s="39"/>
      <c r="AL81" s="39"/>
      <c r="AM81" s="39">
        <f t="shared" ref="AM81:AM83" si="206">SUM(AF81:AL81)+AT81+AV81+AX81</f>
        <v>0</v>
      </c>
      <c r="AN81" s="39"/>
      <c r="AO81" s="39"/>
      <c r="AP81" s="39"/>
      <c r="AQ81" s="39"/>
      <c r="AR81" s="39">
        <f>SUM(AN81:AQ81)</f>
        <v>0</v>
      </c>
      <c r="AS81" s="39"/>
      <c r="AT81" s="39"/>
      <c r="AU81" s="39"/>
      <c r="AV81" s="39"/>
      <c r="AW81" s="39"/>
      <c r="AX81" s="39"/>
      <c r="AY81" s="39"/>
      <c r="AZ81" s="39"/>
      <c r="BA81" s="39">
        <f>+AR81+AS81+AU81+AW81+AY81+AZ81</f>
        <v>0</v>
      </c>
      <c r="BB81" s="35">
        <v>0</v>
      </c>
      <c r="BC81" s="53"/>
      <c r="BD81" s="53"/>
      <c r="BE81" s="35"/>
      <c r="BF81" s="53"/>
    </row>
    <row r="82" spans="1:58" ht="12.95" customHeight="1">
      <c r="A82" s="42"/>
      <c r="B82" s="43"/>
      <c r="C82" s="421"/>
      <c r="D82" s="43"/>
      <c r="E82" s="44"/>
      <c r="F82" s="44"/>
      <c r="G82" s="506"/>
      <c r="H82" s="46"/>
      <c r="I82" s="47"/>
      <c r="J82" s="87"/>
      <c r="K82" s="87"/>
      <c r="L82" s="37"/>
      <c r="M82" s="37"/>
      <c r="N82" s="48"/>
      <c r="O82" s="49"/>
      <c r="P82" s="50"/>
      <c r="Q82" s="49"/>
      <c r="R82" s="507"/>
      <c r="S82" s="507"/>
      <c r="T82" s="39"/>
      <c r="U82" s="39"/>
      <c r="V82" s="39"/>
      <c r="W82" s="39"/>
      <c r="X82" s="40"/>
      <c r="Y82" s="216"/>
      <c r="Z82" s="39"/>
      <c r="AA82" s="39"/>
      <c r="AB82" s="39"/>
      <c r="AC82" s="39"/>
      <c r="AD82" s="39">
        <f>+AM82+BA82</f>
        <v>0</v>
      </c>
      <c r="AE82" s="235" t="s">
        <v>286</v>
      </c>
      <c r="AF82" s="39"/>
      <c r="AG82" s="39">
        <v>0</v>
      </c>
      <c r="AH82" s="39"/>
      <c r="AI82" s="39"/>
      <c r="AJ82" s="39"/>
      <c r="AK82" s="39"/>
      <c r="AL82" s="39"/>
      <c r="AM82" s="39">
        <f t="shared" si="206"/>
        <v>0</v>
      </c>
      <c r="AN82" s="88"/>
      <c r="AO82" s="39"/>
      <c r="AP82" s="39"/>
      <c r="AQ82" s="39"/>
      <c r="AR82" s="39">
        <f t="shared" ref="AR82:AR83" si="207">SUM(AN82:AQ82)</f>
        <v>0</v>
      </c>
      <c r="AS82" s="39"/>
      <c r="AT82" s="39"/>
      <c r="AU82" s="39"/>
      <c r="AV82" s="39"/>
      <c r="AW82" s="39"/>
      <c r="AX82" s="39"/>
      <c r="AY82" s="39"/>
      <c r="AZ82" s="39"/>
      <c r="BA82" s="39">
        <f>+AR82+AS82+AU82+AW82+AY82+AZ82</f>
        <v>0</v>
      </c>
      <c r="BB82" s="52"/>
      <c r="BC82" s="53">
        <v>0</v>
      </c>
      <c r="BD82" s="53"/>
      <c r="BE82" s="52"/>
      <c r="BF82" s="53"/>
    </row>
    <row r="83" spans="1:58" ht="12.95" customHeight="1">
      <c r="A83" s="42"/>
      <c r="B83" s="43"/>
      <c r="C83" s="421"/>
      <c r="D83" s="43"/>
      <c r="E83" s="44"/>
      <c r="F83" s="44"/>
      <c r="G83" s="45"/>
      <c r="H83" s="46"/>
      <c r="I83" s="47"/>
      <c r="J83" s="87"/>
      <c r="K83" s="87"/>
      <c r="L83" s="37"/>
      <c r="M83" s="37"/>
      <c r="N83" s="48"/>
      <c r="O83" s="49"/>
      <c r="P83" s="50"/>
      <c r="Q83" s="49"/>
      <c r="R83" s="507"/>
      <c r="S83" s="507"/>
      <c r="T83" s="39"/>
      <c r="U83" s="39"/>
      <c r="V83" s="39"/>
      <c r="W83" s="39"/>
      <c r="X83" s="40"/>
      <c r="Y83" s="216"/>
      <c r="Z83" s="39"/>
      <c r="AA83" s="39"/>
      <c r="AB83" s="39"/>
      <c r="AC83" s="39"/>
      <c r="AD83" s="39">
        <f>+AM83+BA83</f>
        <v>0</v>
      </c>
      <c r="AE83" s="235" t="s">
        <v>400</v>
      </c>
      <c r="AF83" s="35"/>
      <c r="AG83" s="35"/>
      <c r="AH83" s="35">
        <v>0</v>
      </c>
      <c r="AI83" s="35"/>
      <c r="AJ83" s="39"/>
      <c r="AK83" s="39"/>
      <c r="AL83" s="39"/>
      <c r="AM83" s="39">
        <f t="shared" si="206"/>
        <v>0</v>
      </c>
      <c r="AN83" s="39"/>
      <c r="AO83" s="39"/>
      <c r="AP83" s="39"/>
      <c r="AQ83" s="39"/>
      <c r="AR83" s="39">
        <f t="shared" si="207"/>
        <v>0</v>
      </c>
      <c r="AS83" s="39"/>
      <c r="AT83" s="39"/>
      <c r="AU83" s="39"/>
      <c r="AV83" s="39"/>
      <c r="AW83" s="39"/>
      <c r="AX83" s="39"/>
      <c r="AY83" s="39"/>
      <c r="AZ83" s="39"/>
      <c r="BA83" s="39">
        <f>+AR83+AS83+AU83+AW83+AY83+AZ83</f>
        <v>0</v>
      </c>
      <c r="BB83" s="35"/>
      <c r="BC83" s="510"/>
      <c r="BD83" s="510"/>
      <c r="BE83" s="35"/>
      <c r="BF83" s="510"/>
    </row>
    <row r="84" spans="1:58" ht="12.95" customHeight="1">
      <c r="A84" s="42"/>
      <c r="B84" s="43"/>
      <c r="C84" s="421"/>
      <c r="D84" s="43"/>
      <c r="E84" s="44"/>
      <c r="F84" s="44"/>
      <c r="G84" s="45"/>
      <c r="H84" s="46"/>
      <c r="I84" s="47"/>
      <c r="J84" s="87"/>
      <c r="K84" s="87"/>
      <c r="L84" s="37"/>
      <c r="M84" s="37"/>
      <c r="N84" s="48"/>
      <c r="O84" s="49"/>
      <c r="P84" s="50"/>
      <c r="Q84" s="49"/>
      <c r="R84" s="507"/>
      <c r="S84" s="507"/>
      <c r="T84" s="39"/>
      <c r="U84" s="39"/>
      <c r="V84" s="39"/>
      <c r="W84" s="39"/>
      <c r="X84" s="40"/>
      <c r="Y84" s="216"/>
      <c r="Z84" s="39"/>
      <c r="AA84" s="39"/>
      <c r="AB84" s="39"/>
      <c r="AC84" s="39"/>
      <c r="AD84" s="39">
        <f>+AM84+BA84</f>
        <v>1414</v>
      </c>
      <c r="AE84" s="235" t="s">
        <v>618</v>
      </c>
      <c r="AF84" s="35"/>
      <c r="AG84" s="35"/>
      <c r="AH84" s="35"/>
      <c r="AI84" s="35"/>
      <c r="AJ84" s="39"/>
      <c r="AK84" s="39"/>
      <c r="AL84" s="39"/>
      <c r="AM84" s="39">
        <f t="shared" ref="AM84" si="208">SUM(AF84:AL84)+AT84+AV84+AX84</f>
        <v>0</v>
      </c>
      <c r="AN84" s="39"/>
      <c r="AO84" s="39"/>
      <c r="AP84" s="39"/>
      <c r="AQ84" s="39"/>
      <c r="AR84" s="39">
        <f t="shared" ref="AR84" si="209">SUM(AN84:AQ84)</f>
        <v>0</v>
      </c>
      <c r="AS84" s="39"/>
      <c r="AT84" s="39"/>
      <c r="AU84" s="39"/>
      <c r="AV84" s="39"/>
      <c r="AW84" s="39"/>
      <c r="AX84" s="39"/>
      <c r="AY84" s="39"/>
      <c r="AZ84" s="39">
        <v>1414</v>
      </c>
      <c r="BA84" s="39">
        <f>+AR84+AS84+AU84+AW84+AY84+AZ84</f>
        <v>1414</v>
      </c>
      <c r="BB84" s="35"/>
      <c r="BC84" s="510"/>
      <c r="BD84" s="510"/>
      <c r="BE84" s="35"/>
      <c r="BF84" s="510"/>
    </row>
    <row r="85" spans="1:58" ht="12.95" customHeight="1">
      <c r="A85" s="42"/>
      <c r="B85" s="43"/>
      <c r="C85" s="421"/>
      <c r="D85" s="43"/>
      <c r="E85" s="44"/>
      <c r="F85" s="44"/>
      <c r="G85" s="45"/>
      <c r="H85" s="46"/>
      <c r="I85" s="47"/>
      <c r="J85" s="87"/>
      <c r="K85" s="87"/>
      <c r="L85" s="37"/>
      <c r="M85" s="37"/>
      <c r="N85" s="48"/>
      <c r="O85" s="49"/>
      <c r="P85" s="50"/>
      <c r="Q85" s="49"/>
      <c r="R85" s="507"/>
      <c r="S85" s="507"/>
      <c r="T85" s="39"/>
      <c r="U85" s="39"/>
      <c r="V85" s="39"/>
      <c r="W85" s="39"/>
      <c r="X85" s="40"/>
      <c r="Y85" s="216"/>
      <c r="Z85" s="39"/>
      <c r="AA85" s="39"/>
      <c r="AB85" s="39"/>
      <c r="AC85" s="39"/>
      <c r="AD85" s="39"/>
      <c r="AE85" s="235"/>
      <c r="AF85" s="35"/>
      <c r="AG85" s="35"/>
      <c r="AH85" s="35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5"/>
      <c r="BC85" s="510"/>
      <c r="BD85" s="53"/>
      <c r="BE85" s="53"/>
      <c r="BF85" s="53"/>
    </row>
    <row r="86" spans="1:58" ht="12.75" customHeight="1">
      <c r="A86" s="42">
        <v>45950</v>
      </c>
      <c r="B86" s="43" t="s">
        <v>399</v>
      </c>
      <c r="C86" s="421">
        <f t="shared" ref="C86" si="210">(M86*E86*O86*Q86)/100000000</f>
        <v>42.727607999999996</v>
      </c>
      <c r="D86" s="43" t="s">
        <v>304</v>
      </c>
      <c r="E86" s="44">
        <v>12</v>
      </c>
      <c r="F86" s="44">
        <v>1</v>
      </c>
      <c r="G86" s="506">
        <v>1230</v>
      </c>
      <c r="H86" s="46">
        <f>+N86</f>
        <v>0.22999999999999998</v>
      </c>
      <c r="I86" s="47">
        <v>0.88</v>
      </c>
      <c r="J86" s="87">
        <f t="shared" ref="J86" si="211">E86*G86*(1-H86)*1440/1000000*2.74</f>
        <v>44.842533120000006</v>
      </c>
      <c r="K86" s="87">
        <f t="shared" ref="K86" si="212">(IF(G86&lt;L86,L86,G86)*(1-IF(H86&lt;N86,H86,N86))*E86*O86*Q86)/100000000</f>
        <v>42.960456000000001</v>
      </c>
      <c r="L86" s="37">
        <v>1223.3333333333333</v>
      </c>
      <c r="M86" s="37">
        <v>941.9666666666667</v>
      </c>
      <c r="N86" s="48">
        <f t="shared" ref="N86" si="213">1-(M86/L86)</f>
        <v>0.22999999999999998</v>
      </c>
      <c r="O86" s="49">
        <f>+'Trim Rwd'!H57</f>
        <v>262.5</v>
      </c>
      <c r="P86" s="50">
        <f t="shared" ref="P86" si="214">O86*(Q86-R86-S86)</f>
        <v>0</v>
      </c>
      <c r="Q86" s="49">
        <v>1440</v>
      </c>
      <c r="R86" s="507">
        <v>1440</v>
      </c>
      <c r="S86" s="507">
        <v>0</v>
      </c>
      <c r="T86" s="39">
        <f t="shared" ref="T86" si="215">E86*M86*O86*Q86/100000000</f>
        <v>42.727607999999996</v>
      </c>
      <c r="U86" s="39">
        <f>E86*M86*O86*(Q86-R86-S86)/100000000</f>
        <v>0</v>
      </c>
      <c r="V86" s="39">
        <f>E86*G86*(1-N86)*O86/100*(R86+S86)/1000000</f>
        <v>42.960456000000001</v>
      </c>
      <c r="W86" s="39">
        <f>+'19'!K12/1000</f>
        <v>0</v>
      </c>
      <c r="X86" s="508">
        <f>SUM(W86:W89)/SUM(K86:K89)</f>
        <v>0</v>
      </c>
      <c r="Y86" s="216">
        <f>+'19'!D12/1000</f>
        <v>0</v>
      </c>
      <c r="Z86" s="39">
        <f>+'19'!D12/1000</f>
        <v>0</v>
      </c>
      <c r="AA86" s="51">
        <f>SUM(U86:U89)-SUM(W86:W89)-SUM(Z86:Z89)-SUM(Y86:Y89)</f>
        <v>0</v>
      </c>
      <c r="AB86" s="51">
        <f>(SUM(K86:K89)-SUM(W86:W89)-SUM(Y86:Y89)-SUM(Z86:Z89)-SUM(AC86:AC89)-SUM(V86:V89))-AA86</f>
        <v>-0.23284800000000416</v>
      </c>
      <c r="AC86" s="39">
        <f>K86-T86</f>
        <v>0.23284800000000416</v>
      </c>
      <c r="AD86" s="39">
        <f>+AM86+BA86</f>
        <v>0</v>
      </c>
      <c r="AE86" s="235" t="s">
        <v>386</v>
      </c>
      <c r="AF86" s="39">
        <v>0</v>
      </c>
      <c r="AG86" s="39"/>
      <c r="AH86" s="39"/>
      <c r="AI86" s="509"/>
      <c r="AJ86" s="39"/>
      <c r="AK86" s="39"/>
      <c r="AL86" s="39"/>
      <c r="AM86" s="39">
        <f t="shared" ref="AM86:AM88" si="216">SUM(AF86:AL86)+AT86+AV86+AX86</f>
        <v>0</v>
      </c>
      <c r="AN86" s="39"/>
      <c r="AO86" s="39"/>
      <c r="AP86" s="39"/>
      <c r="AQ86" s="39"/>
      <c r="AR86" s="39">
        <f>SUM(AN86:AQ86)</f>
        <v>0</v>
      </c>
      <c r="AS86" s="39"/>
      <c r="AT86" s="39"/>
      <c r="AU86" s="39"/>
      <c r="AV86" s="39"/>
      <c r="AW86" s="39"/>
      <c r="AX86" s="39"/>
      <c r="AY86" s="39"/>
      <c r="AZ86" s="39"/>
      <c r="BA86" s="39">
        <f>+AR86+AS86+AU86+AW86+AY86+AZ86</f>
        <v>0</v>
      </c>
      <c r="BB86" s="35">
        <v>0</v>
      </c>
      <c r="BC86" s="53"/>
      <c r="BD86" s="53"/>
      <c r="BE86" s="35"/>
      <c r="BF86" s="53"/>
    </row>
    <row r="87" spans="1:58" ht="12.95" customHeight="1">
      <c r="A87" s="42"/>
      <c r="B87" s="43"/>
      <c r="C87" s="421"/>
      <c r="D87" s="43"/>
      <c r="E87" s="44"/>
      <c r="F87" s="44"/>
      <c r="G87" s="506"/>
      <c r="H87" s="46"/>
      <c r="I87" s="47"/>
      <c r="J87" s="87"/>
      <c r="K87" s="87"/>
      <c r="L87" s="37"/>
      <c r="M87" s="37"/>
      <c r="N87" s="48"/>
      <c r="O87" s="49"/>
      <c r="P87" s="50"/>
      <c r="Q87" s="49"/>
      <c r="R87" s="507"/>
      <c r="S87" s="507"/>
      <c r="T87" s="39"/>
      <c r="U87" s="39"/>
      <c r="V87" s="39"/>
      <c r="W87" s="39"/>
      <c r="X87" s="40"/>
      <c r="Y87" s="216"/>
      <c r="Z87" s="39"/>
      <c r="AA87" s="39"/>
      <c r="AB87" s="39"/>
      <c r="AC87" s="39"/>
      <c r="AD87" s="39">
        <f>+AM87+BA87</f>
        <v>0</v>
      </c>
      <c r="AE87" s="235" t="s">
        <v>286</v>
      </c>
      <c r="AF87" s="39"/>
      <c r="AG87" s="39">
        <v>0</v>
      </c>
      <c r="AH87" s="39"/>
      <c r="AI87" s="39"/>
      <c r="AJ87" s="39"/>
      <c r="AK87" s="39"/>
      <c r="AL87" s="39"/>
      <c r="AM87" s="39">
        <f t="shared" si="216"/>
        <v>0</v>
      </c>
      <c r="AN87" s="88"/>
      <c r="AO87" s="39"/>
      <c r="AP87" s="39"/>
      <c r="AQ87" s="39"/>
      <c r="AR87" s="39">
        <f t="shared" ref="AR87:AR88" si="217">SUM(AN87:AQ87)</f>
        <v>0</v>
      </c>
      <c r="AS87" s="39"/>
      <c r="AT87" s="39"/>
      <c r="AU87" s="39"/>
      <c r="AV87" s="39"/>
      <c r="AW87" s="39"/>
      <c r="AX87" s="39"/>
      <c r="AY87" s="39"/>
      <c r="AZ87" s="39"/>
      <c r="BA87" s="39">
        <f>+AR87+AS87+AU87+AW87+AY87+AZ87</f>
        <v>0</v>
      </c>
      <c r="BB87" s="52"/>
      <c r="BC87" s="53">
        <v>0</v>
      </c>
      <c r="BD87" s="53"/>
      <c r="BE87" s="52"/>
      <c r="BF87" s="53"/>
    </row>
    <row r="88" spans="1:58" ht="12.95" customHeight="1">
      <c r="A88" s="42"/>
      <c r="B88" s="43"/>
      <c r="C88" s="421"/>
      <c r="D88" s="43"/>
      <c r="E88" s="44"/>
      <c r="F88" s="44"/>
      <c r="G88" s="45"/>
      <c r="H88" s="46"/>
      <c r="I88" s="47"/>
      <c r="J88" s="87"/>
      <c r="K88" s="87"/>
      <c r="L88" s="37"/>
      <c r="M88" s="37"/>
      <c r="N88" s="48"/>
      <c r="O88" s="49"/>
      <c r="P88" s="50"/>
      <c r="Q88" s="49"/>
      <c r="R88" s="507"/>
      <c r="S88" s="507"/>
      <c r="T88" s="39"/>
      <c r="U88" s="39"/>
      <c r="V88" s="39"/>
      <c r="W88" s="39"/>
      <c r="X88" s="40"/>
      <c r="Y88" s="216"/>
      <c r="Z88" s="39"/>
      <c r="AA88" s="39"/>
      <c r="AB88" s="39"/>
      <c r="AC88" s="39"/>
      <c r="AD88" s="39">
        <f>+AM88+BA88</f>
        <v>0</v>
      </c>
      <c r="AE88" s="235" t="s">
        <v>400</v>
      </c>
      <c r="AF88" s="35"/>
      <c r="AG88" s="35"/>
      <c r="AH88" s="35">
        <v>0</v>
      </c>
      <c r="AI88" s="35"/>
      <c r="AJ88" s="39"/>
      <c r="AK88" s="39"/>
      <c r="AL88" s="39"/>
      <c r="AM88" s="39">
        <f t="shared" si="216"/>
        <v>0</v>
      </c>
      <c r="AN88" s="39"/>
      <c r="AO88" s="39"/>
      <c r="AP88" s="39"/>
      <c r="AQ88" s="39"/>
      <c r="AR88" s="39">
        <f t="shared" si="217"/>
        <v>0</v>
      </c>
      <c r="AS88" s="39"/>
      <c r="AT88" s="39"/>
      <c r="AU88" s="39"/>
      <c r="AV88" s="39"/>
      <c r="AW88" s="39"/>
      <c r="AX88" s="39"/>
      <c r="AY88" s="39"/>
      <c r="AZ88" s="39"/>
      <c r="BA88" s="39">
        <f>+AR88+AS88+AU88+AW88+AY88+AZ88</f>
        <v>0</v>
      </c>
      <c r="BB88" s="35"/>
      <c r="BC88" s="510"/>
      <c r="BD88" s="510"/>
      <c r="BE88" s="35"/>
      <c r="BF88" s="510"/>
    </row>
    <row r="89" spans="1:58" ht="12.95" customHeight="1">
      <c r="A89" s="42"/>
      <c r="B89" s="43"/>
      <c r="C89" s="421"/>
      <c r="D89" s="43"/>
      <c r="E89" s="44"/>
      <c r="F89" s="44"/>
      <c r="G89" s="45"/>
      <c r="H89" s="46"/>
      <c r="I89" s="47"/>
      <c r="J89" s="87"/>
      <c r="K89" s="87"/>
      <c r="L89" s="37"/>
      <c r="M89" s="37"/>
      <c r="N89" s="48"/>
      <c r="O89" s="49"/>
      <c r="P89" s="50"/>
      <c r="Q89" s="49"/>
      <c r="R89" s="507"/>
      <c r="S89" s="507"/>
      <c r="T89" s="39"/>
      <c r="U89" s="39"/>
      <c r="V89" s="39"/>
      <c r="W89" s="39"/>
      <c r="X89" s="40"/>
      <c r="Y89" s="216"/>
      <c r="Z89" s="39"/>
      <c r="AA89" s="39"/>
      <c r="AB89" s="39"/>
      <c r="AC89" s="39"/>
      <c r="AD89" s="39">
        <f>+AM89+BA89</f>
        <v>1440</v>
      </c>
      <c r="AE89" s="235" t="s">
        <v>618</v>
      </c>
      <c r="AF89" s="35"/>
      <c r="AG89" s="35"/>
      <c r="AH89" s="35"/>
      <c r="AI89" s="35"/>
      <c r="AJ89" s="39"/>
      <c r="AK89" s="39"/>
      <c r="AL89" s="39"/>
      <c r="AM89" s="39">
        <f t="shared" ref="AM89" si="218">SUM(AF89:AL89)+AT89+AV89+AX89</f>
        <v>0</v>
      </c>
      <c r="AN89" s="39"/>
      <c r="AO89" s="39"/>
      <c r="AP89" s="39"/>
      <c r="AQ89" s="39"/>
      <c r="AR89" s="39">
        <f t="shared" ref="AR89" si="219">SUM(AN89:AQ89)</f>
        <v>0</v>
      </c>
      <c r="AS89" s="39"/>
      <c r="AT89" s="39"/>
      <c r="AU89" s="39"/>
      <c r="AV89" s="39"/>
      <c r="AW89" s="39"/>
      <c r="AX89" s="39"/>
      <c r="AY89" s="39"/>
      <c r="AZ89" s="39">
        <v>1440</v>
      </c>
      <c r="BA89" s="39">
        <f>+AR89+AS89+AU89+AW89+AY89+AZ89</f>
        <v>1440</v>
      </c>
      <c r="BB89" s="35"/>
      <c r="BC89" s="510"/>
      <c r="BD89" s="510"/>
      <c r="BE89" s="35"/>
      <c r="BF89" s="510"/>
    </row>
    <row r="90" spans="1:58" ht="12.95" customHeight="1">
      <c r="A90" s="42"/>
      <c r="B90" s="43"/>
      <c r="C90" s="421"/>
      <c r="D90" s="43"/>
      <c r="E90" s="44"/>
      <c r="F90" s="44"/>
      <c r="G90" s="45"/>
      <c r="H90" s="46"/>
      <c r="I90" s="47"/>
      <c r="J90" s="87"/>
      <c r="K90" s="87"/>
      <c r="L90" s="37"/>
      <c r="M90" s="37"/>
      <c r="N90" s="48"/>
      <c r="O90" s="49"/>
      <c r="P90" s="50"/>
      <c r="Q90" s="49"/>
      <c r="R90" s="507"/>
      <c r="S90" s="507"/>
      <c r="T90" s="39"/>
      <c r="U90" s="39"/>
      <c r="V90" s="39"/>
      <c r="W90" s="39"/>
      <c r="X90" s="40"/>
      <c r="Y90" s="216"/>
      <c r="Z90" s="39"/>
      <c r="AA90" s="39"/>
      <c r="AB90" s="39"/>
      <c r="AC90" s="39"/>
      <c r="AD90" s="39"/>
      <c r="AE90" s="235"/>
      <c r="AF90" s="35"/>
      <c r="AG90" s="35"/>
      <c r="AH90" s="35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5"/>
      <c r="BC90" s="510"/>
      <c r="BD90" s="510"/>
      <c r="BE90" s="35"/>
      <c r="BF90" s="510"/>
    </row>
    <row r="91" spans="1:58" ht="12.75" customHeight="1">
      <c r="A91" s="42">
        <v>45951</v>
      </c>
      <c r="B91" s="43" t="s">
        <v>399</v>
      </c>
      <c r="C91" s="421">
        <f t="shared" ref="C91" si="220">(M91*E91*O91*Q91)/100000000</f>
        <v>42.727607999999996</v>
      </c>
      <c r="D91" s="43" t="s">
        <v>304</v>
      </c>
      <c r="E91" s="44">
        <v>12</v>
      </c>
      <c r="F91" s="44">
        <v>1</v>
      </c>
      <c r="G91" s="506">
        <v>1230</v>
      </c>
      <c r="H91" s="46">
        <f>+N91</f>
        <v>0.22999999999999998</v>
      </c>
      <c r="I91" s="47">
        <v>0.88</v>
      </c>
      <c r="J91" s="87">
        <f t="shared" ref="J91" si="221">E91*G91*(1-H91)*1440/1000000*2.74</f>
        <v>44.842533120000006</v>
      </c>
      <c r="K91" s="87">
        <f t="shared" ref="K91" si="222">(IF(G91&lt;L91,L91,G91)*(1-IF(H91&lt;N91,H91,N91))*E91*O91*Q91)/100000000</f>
        <v>42.960456000000001</v>
      </c>
      <c r="L91" s="37">
        <v>1223.3333333333333</v>
      </c>
      <c r="M91" s="37">
        <v>941.9666666666667</v>
      </c>
      <c r="N91" s="48">
        <f t="shared" ref="N91" si="223">1-(M91/L91)</f>
        <v>0.22999999999999998</v>
      </c>
      <c r="O91" s="49">
        <f>+'Trim Rwd'!H59</f>
        <v>262.5</v>
      </c>
      <c r="P91" s="50">
        <f t="shared" ref="P91" si="224">O91*(Q91-R91-S91)</f>
        <v>0</v>
      </c>
      <c r="Q91" s="49">
        <v>1440</v>
      </c>
      <c r="R91" s="507">
        <v>1440</v>
      </c>
      <c r="S91" s="507">
        <v>0</v>
      </c>
      <c r="T91" s="39">
        <f t="shared" ref="T91" si="225">E91*M91*O91*Q91/100000000</f>
        <v>42.727607999999996</v>
      </c>
      <c r="U91" s="39">
        <f>E91*M91*O91*(Q91-R91-S91)/100000000</f>
        <v>0</v>
      </c>
      <c r="V91" s="39">
        <f>E91*G91*(1-N91)*O91/100*(R91+S91)/1000000</f>
        <v>42.960456000000001</v>
      </c>
      <c r="W91" s="39">
        <f>+'19'!K17/1000</f>
        <v>0</v>
      </c>
      <c r="X91" s="508">
        <f>SUM(W91:W94)/SUM(K91:K94)</f>
        <v>0</v>
      </c>
      <c r="Y91" s="216">
        <f>+'19'!D17/1000</f>
        <v>0</v>
      </c>
      <c r="Z91" s="39">
        <f>+'19'!D17/1000</f>
        <v>0</v>
      </c>
      <c r="AA91" s="51">
        <f>SUM(U91:U94)-SUM(W91:W94)-SUM(Z91:Z94)-SUM(Y91:Y94)</f>
        <v>0</v>
      </c>
      <c r="AB91" s="51">
        <f>(SUM(K91:K94)-SUM(W91:W94)-SUM(Y91:Y94)-SUM(Z91:Z94)-SUM(AC91:AC94)-SUM(V91:V94))-AA91</f>
        <v>-0.23284800000000416</v>
      </c>
      <c r="AC91" s="39">
        <f>K91-T91</f>
        <v>0.23284800000000416</v>
      </c>
      <c r="AD91" s="39">
        <f>+AM91+BA91</f>
        <v>0</v>
      </c>
      <c r="AE91" s="235" t="s">
        <v>386</v>
      </c>
      <c r="AF91" s="39">
        <v>0</v>
      </c>
      <c r="AG91" s="39"/>
      <c r="AH91" s="39"/>
      <c r="AI91" s="509"/>
      <c r="AJ91" s="39"/>
      <c r="AK91" s="39"/>
      <c r="AL91" s="39"/>
      <c r="AM91" s="39">
        <f t="shared" ref="AM91:AM93" si="226">SUM(AF91:AL91)+AT91+AV91+AX91</f>
        <v>0</v>
      </c>
      <c r="AN91" s="39"/>
      <c r="AO91" s="39"/>
      <c r="AP91" s="39"/>
      <c r="AQ91" s="39"/>
      <c r="AR91" s="39">
        <f>SUM(AN91:AQ91)</f>
        <v>0</v>
      </c>
      <c r="AS91" s="39"/>
      <c r="AT91" s="39"/>
      <c r="AU91" s="39"/>
      <c r="AV91" s="39"/>
      <c r="AW91" s="39"/>
      <c r="AX91" s="39"/>
      <c r="AY91" s="39"/>
      <c r="AZ91" s="39"/>
      <c r="BA91" s="39">
        <f>+AR91+AS91+AU91+AW91+AY91+AZ91</f>
        <v>0</v>
      </c>
      <c r="BB91" s="35">
        <v>0</v>
      </c>
      <c r="BC91" s="53"/>
      <c r="BD91" s="53"/>
      <c r="BE91" s="35"/>
      <c r="BF91" s="53"/>
    </row>
    <row r="92" spans="1:58" ht="12.95" customHeight="1">
      <c r="A92" s="42"/>
      <c r="B92" s="43"/>
      <c r="C92" s="421"/>
      <c r="D92" s="43"/>
      <c r="E92" s="44"/>
      <c r="F92" s="44"/>
      <c r="G92" s="506"/>
      <c r="H92" s="46"/>
      <c r="I92" s="47"/>
      <c r="J92" s="87"/>
      <c r="K92" s="87"/>
      <c r="L92" s="37"/>
      <c r="M92" s="37"/>
      <c r="N92" s="48"/>
      <c r="O92" s="49"/>
      <c r="P92" s="50"/>
      <c r="Q92" s="49"/>
      <c r="R92" s="507"/>
      <c r="S92" s="507"/>
      <c r="T92" s="39"/>
      <c r="U92" s="39"/>
      <c r="V92" s="39"/>
      <c r="W92" s="39"/>
      <c r="X92" s="40"/>
      <c r="Y92" s="216"/>
      <c r="Z92" s="39"/>
      <c r="AA92" s="39"/>
      <c r="AB92" s="39"/>
      <c r="AC92" s="39"/>
      <c r="AD92" s="39">
        <f>+AM92+BA92</f>
        <v>0</v>
      </c>
      <c r="AE92" s="235" t="s">
        <v>286</v>
      </c>
      <c r="AF92" s="39"/>
      <c r="AG92" s="39">
        <v>0</v>
      </c>
      <c r="AH92" s="39"/>
      <c r="AI92" s="39"/>
      <c r="AJ92" s="39"/>
      <c r="AK92" s="39"/>
      <c r="AL92" s="39"/>
      <c r="AM92" s="39">
        <f t="shared" si="226"/>
        <v>0</v>
      </c>
      <c r="AN92" s="88"/>
      <c r="AO92" s="39"/>
      <c r="AP92" s="39"/>
      <c r="AQ92" s="39"/>
      <c r="AR92" s="39">
        <f t="shared" ref="AR92:AR93" si="227">SUM(AN92:AQ92)</f>
        <v>0</v>
      </c>
      <c r="AS92" s="39"/>
      <c r="AT92" s="39"/>
      <c r="AU92" s="39"/>
      <c r="AV92" s="39"/>
      <c r="AW92" s="39"/>
      <c r="AX92" s="39"/>
      <c r="AY92" s="39"/>
      <c r="AZ92" s="39"/>
      <c r="BA92" s="39">
        <f>+AR92+AS92+AU92+AW92+AY92+AZ92</f>
        <v>0</v>
      </c>
      <c r="BB92" s="52"/>
      <c r="BC92" s="53">
        <v>0</v>
      </c>
      <c r="BD92" s="53"/>
      <c r="BE92" s="52"/>
      <c r="BF92" s="53"/>
    </row>
    <row r="93" spans="1:58" ht="12.95" customHeight="1">
      <c r="A93" s="42"/>
      <c r="B93" s="43"/>
      <c r="C93" s="421"/>
      <c r="D93" s="43"/>
      <c r="E93" s="44"/>
      <c r="F93" s="44"/>
      <c r="G93" s="45"/>
      <c r="H93" s="46"/>
      <c r="I93" s="47"/>
      <c r="J93" s="87"/>
      <c r="K93" s="87"/>
      <c r="L93" s="37"/>
      <c r="M93" s="37"/>
      <c r="N93" s="48"/>
      <c r="O93" s="49"/>
      <c r="P93" s="50"/>
      <c r="Q93" s="49"/>
      <c r="R93" s="507"/>
      <c r="S93" s="507"/>
      <c r="T93" s="39"/>
      <c r="U93" s="39"/>
      <c r="V93" s="39"/>
      <c r="W93" s="39"/>
      <c r="X93" s="40"/>
      <c r="Y93" s="216"/>
      <c r="Z93" s="39"/>
      <c r="AA93" s="39"/>
      <c r="AB93" s="39"/>
      <c r="AC93" s="39"/>
      <c r="AD93" s="39">
        <f>+AM93+BA93</f>
        <v>0</v>
      </c>
      <c r="AE93" s="235" t="s">
        <v>400</v>
      </c>
      <c r="AF93" s="35"/>
      <c r="AG93" s="35"/>
      <c r="AH93" s="35">
        <v>0</v>
      </c>
      <c r="AI93" s="35"/>
      <c r="AJ93" s="39"/>
      <c r="AK93" s="39"/>
      <c r="AL93" s="39"/>
      <c r="AM93" s="39">
        <f t="shared" si="226"/>
        <v>0</v>
      </c>
      <c r="AN93" s="39"/>
      <c r="AO93" s="39"/>
      <c r="AP93" s="39"/>
      <c r="AQ93" s="39"/>
      <c r="AR93" s="39">
        <f t="shared" si="227"/>
        <v>0</v>
      </c>
      <c r="AS93" s="39"/>
      <c r="AT93" s="39"/>
      <c r="AU93" s="39"/>
      <c r="AV93" s="39"/>
      <c r="AW93" s="39"/>
      <c r="AX93" s="39"/>
      <c r="AY93" s="39"/>
      <c r="AZ93" s="39"/>
      <c r="BA93" s="39">
        <f>+AR93+AS93+AU93+AW93+AY93+AZ93</f>
        <v>0</v>
      </c>
      <c r="BB93" s="35"/>
      <c r="BC93" s="510"/>
      <c r="BD93" s="510"/>
      <c r="BE93" s="35"/>
      <c r="BF93" s="510"/>
    </row>
    <row r="94" spans="1:58" ht="12.95" customHeight="1">
      <c r="A94" s="42"/>
      <c r="B94" s="43"/>
      <c r="C94" s="421"/>
      <c r="D94" s="43"/>
      <c r="E94" s="44"/>
      <c r="F94" s="44"/>
      <c r="G94" s="45"/>
      <c r="H94" s="46"/>
      <c r="I94" s="47"/>
      <c r="J94" s="87"/>
      <c r="K94" s="87"/>
      <c r="L94" s="37"/>
      <c r="M94" s="37"/>
      <c r="N94" s="48"/>
      <c r="O94" s="49"/>
      <c r="P94" s="50"/>
      <c r="Q94" s="49"/>
      <c r="R94" s="507"/>
      <c r="S94" s="507"/>
      <c r="T94" s="39"/>
      <c r="U94" s="39"/>
      <c r="V94" s="39"/>
      <c r="W94" s="39"/>
      <c r="X94" s="40"/>
      <c r="Y94" s="216"/>
      <c r="Z94" s="39"/>
      <c r="AA94" s="39"/>
      <c r="AB94" s="39"/>
      <c r="AC94" s="39"/>
      <c r="AD94" s="39">
        <f>+AM94+BA94</f>
        <v>1440</v>
      </c>
      <c r="AE94" s="235" t="s">
        <v>625</v>
      </c>
      <c r="AF94" s="35"/>
      <c r="AG94" s="35"/>
      <c r="AH94" s="35"/>
      <c r="AI94" s="35"/>
      <c r="AJ94" s="39"/>
      <c r="AK94" s="39"/>
      <c r="AL94" s="39"/>
      <c r="AM94" s="39">
        <f t="shared" ref="AM94" si="228">SUM(AF94:AL94)+AT94+AV94+AX94</f>
        <v>0</v>
      </c>
      <c r="AN94" s="39"/>
      <c r="AO94" s="39"/>
      <c r="AP94" s="39"/>
      <c r="AQ94" s="39"/>
      <c r="AR94" s="39">
        <f t="shared" ref="AR94" si="229">SUM(AN94:AQ94)</f>
        <v>0</v>
      </c>
      <c r="AS94" s="39"/>
      <c r="AT94" s="39"/>
      <c r="AU94" s="39"/>
      <c r="AV94" s="39"/>
      <c r="AW94" s="39"/>
      <c r="AX94" s="39"/>
      <c r="AY94" s="39"/>
      <c r="AZ94" s="39">
        <v>1440</v>
      </c>
      <c r="BA94" s="39">
        <f>+AR94+AS94+AU94+AW94+AY94+AZ94</f>
        <v>1440</v>
      </c>
      <c r="BB94" s="35"/>
      <c r="BC94" s="510"/>
      <c r="BD94" s="510"/>
      <c r="BE94" s="35"/>
      <c r="BF94" s="510"/>
    </row>
    <row r="95" spans="1:58" ht="12.95" customHeight="1">
      <c r="A95" s="42"/>
      <c r="B95" s="43"/>
      <c r="C95" s="421"/>
      <c r="D95" s="43"/>
      <c r="E95" s="44"/>
      <c r="F95" s="44"/>
      <c r="G95" s="45"/>
      <c r="H95" s="46"/>
      <c r="I95" s="47"/>
      <c r="J95" s="87"/>
      <c r="K95" s="87"/>
      <c r="L95" s="37"/>
      <c r="M95" s="37"/>
      <c r="N95" s="48"/>
      <c r="O95" s="49"/>
      <c r="P95" s="50"/>
      <c r="Q95" s="49"/>
      <c r="R95" s="507"/>
      <c r="S95" s="507"/>
      <c r="T95" s="39"/>
      <c r="U95" s="39"/>
      <c r="V95" s="39"/>
      <c r="W95" s="39"/>
      <c r="X95" s="40"/>
      <c r="Y95" s="216"/>
      <c r="Z95" s="39"/>
      <c r="AA95" s="39"/>
      <c r="AB95" s="39"/>
      <c r="AC95" s="39"/>
      <c r="AD95" s="39"/>
      <c r="AE95" s="235"/>
      <c r="AF95" s="35"/>
      <c r="AG95" s="35"/>
      <c r="AH95" s="35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5"/>
      <c r="BC95" s="510"/>
      <c r="BD95" s="510"/>
      <c r="BE95" s="35"/>
      <c r="BF95" s="510"/>
    </row>
    <row r="96" spans="1:58" ht="12.75" customHeight="1">
      <c r="A96" s="42">
        <v>45952</v>
      </c>
      <c r="B96" s="43" t="s">
        <v>399</v>
      </c>
      <c r="C96" s="421">
        <f t="shared" ref="C96" si="230">(M96*E96*O96*Q96)/100000000</f>
        <v>42.727607999999996</v>
      </c>
      <c r="D96" s="43" t="s">
        <v>304</v>
      </c>
      <c r="E96" s="44">
        <v>12</v>
      </c>
      <c r="F96" s="44">
        <v>1</v>
      </c>
      <c r="G96" s="506">
        <v>1230</v>
      </c>
      <c r="H96" s="46">
        <f>+N96</f>
        <v>0.22999999999999998</v>
      </c>
      <c r="I96" s="47">
        <v>0.88</v>
      </c>
      <c r="J96" s="87">
        <f t="shared" ref="J96" si="231">E96*G96*(1-H96)*1440/1000000*2.74</f>
        <v>44.842533120000006</v>
      </c>
      <c r="K96" s="87">
        <f t="shared" ref="K96" si="232">(IF(G96&lt;L96,L96,G96)*(1-IF(H96&lt;N96,H96,N96))*E96*O96*Q96)/100000000</f>
        <v>42.960456000000001</v>
      </c>
      <c r="L96" s="37">
        <v>1223.3333333333333</v>
      </c>
      <c r="M96" s="37">
        <v>941.9666666666667</v>
      </c>
      <c r="N96" s="48">
        <f t="shared" ref="N96" si="233">1-(M96/L96)</f>
        <v>0.22999999999999998</v>
      </c>
      <c r="O96" s="49">
        <f>+'Trim Rwd'!H61</f>
        <v>262.5</v>
      </c>
      <c r="P96" s="50">
        <f t="shared" ref="P96" si="234">O96*(Q96-R96-S96)</f>
        <v>0</v>
      </c>
      <c r="Q96" s="49">
        <v>1440</v>
      </c>
      <c r="R96" s="507">
        <v>1440</v>
      </c>
      <c r="S96" s="507">
        <v>0</v>
      </c>
      <c r="T96" s="39">
        <f t="shared" ref="T96" si="235">E96*M96*O96*Q96/100000000</f>
        <v>42.727607999999996</v>
      </c>
      <c r="U96" s="39">
        <f>E96*M96*O96*(Q96-R96-S96)/100000000</f>
        <v>0</v>
      </c>
      <c r="V96" s="39">
        <f>E96*G96*(1-N96)*O96/100*(R96+S96)/1000000</f>
        <v>42.960456000000001</v>
      </c>
      <c r="W96" s="39">
        <f>+'19'!K22/1000</f>
        <v>0</v>
      </c>
      <c r="X96" s="508">
        <f>SUM(W96:W99)/SUM(K96:K99)</f>
        <v>0</v>
      </c>
      <c r="Y96" s="216">
        <f>+'19'!D22/1000</f>
        <v>0</v>
      </c>
      <c r="Z96" s="39">
        <f>+'19'!D22/1000</f>
        <v>0</v>
      </c>
      <c r="AA96" s="51">
        <f>SUM(U96:U99)-SUM(W96:W99)-SUM(Z96:Z99)-SUM(Y96:Y99)</f>
        <v>0</v>
      </c>
      <c r="AB96" s="51">
        <f>(SUM(K96:K99)-SUM(W96:W99)-SUM(Y96:Y99)-SUM(Z96:Z99)-SUM(AC96:AC99)-SUM(V96:V99))-AA96</f>
        <v>-0.23284800000000416</v>
      </c>
      <c r="AC96" s="39">
        <f>K96-T96</f>
        <v>0.23284800000000416</v>
      </c>
      <c r="AD96" s="39">
        <f>+AM96+BA96</f>
        <v>0</v>
      </c>
      <c r="AE96" s="235" t="s">
        <v>386</v>
      </c>
      <c r="AF96" s="39">
        <v>0</v>
      </c>
      <c r="AG96" s="39"/>
      <c r="AH96" s="39"/>
      <c r="AI96" s="509"/>
      <c r="AJ96" s="39"/>
      <c r="AK96" s="39"/>
      <c r="AL96" s="39"/>
      <c r="AM96" s="39">
        <f t="shared" ref="AM96:AM98" si="236">SUM(AF96:AL96)+AT96+AV96+AX96</f>
        <v>0</v>
      </c>
      <c r="AN96" s="39"/>
      <c r="AO96" s="39"/>
      <c r="AP96" s="39"/>
      <c r="AQ96" s="39"/>
      <c r="AR96" s="39">
        <f>SUM(AN96:AQ96)</f>
        <v>0</v>
      </c>
      <c r="AS96" s="39"/>
      <c r="AT96" s="39"/>
      <c r="AU96" s="39"/>
      <c r="AV96" s="39"/>
      <c r="AW96" s="39"/>
      <c r="AX96" s="39"/>
      <c r="AY96" s="39"/>
      <c r="AZ96" s="39"/>
      <c r="BA96" s="39">
        <f>+AR96+AS96+AU96+AW96+AY96+AZ96</f>
        <v>0</v>
      </c>
      <c r="BB96" s="35">
        <v>0</v>
      </c>
      <c r="BC96" s="53"/>
      <c r="BD96" s="53"/>
      <c r="BE96" s="35"/>
      <c r="BF96" s="53"/>
    </row>
    <row r="97" spans="1:58" ht="12.95" customHeight="1">
      <c r="A97" s="42"/>
      <c r="B97" s="43"/>
      <c r="C97" s="421"/>
      <c r="D97" s="43"/>
      <c r="E97" s="44"/>
      <c r="F97" s="44"/>
      <c r="G97" s="506"/>
      <c r="H97" s="46"/>
      <c r="I97" s="47"/>
      <c r="J97" s="87"/>
      <c r="K97" s="87"/>
      <c r="L97" s="37"/>
      <c r="M97" s="37"/>
      <c r="N97" s="48"/>
      <c r="O97" s="49"/>
      <c r="P97" s="50"/>
      <c r="Q97" s="49"/>
      <c r="R97" s="507"/>
      <c r="S97" s="507"/>
      <c r="T97" s="39"/>
      <c r="U97" s="39"/>
      <c r="V97" s="39"/>
      <c r="W97" s="39"/>
      <c r="X97" s="40"/>
      <c r="Y97" s="216"/>
      <c r="Z97" s="39"/>
      <c r="AA97" s="39"/>
      <c r="AB97" s="39"/>
      <c r="AC97" s="39"/>
      <c r="AD97" s="39">
        <f>+AM97+BA97</f>
        <v>0</v>
      </c>
      <c r="AE97" s="235" t="s">
        <v>286</v>
      </c>
      <c r="AF97" s="39"/>
      <c r="AG97" s="39">
        <v>0</v>
      </c>
      <c r="AH97" s="39"/>
      <c r="AI97" s="39"/>
      <c r="AJ97" s="39"/>
      <c r="AK97" s="39"/>
      <c r="AL97" s="39"/>
      <c r="AM97" s="39">
        <f t="shared" si="236"/>
        <v>0</v>
      </c>
      <c r="AN97" s="88"/>
      <c r="AO97" s="39"/>
      <c r="AP97" s="39"/>
      <c r="AQ97" s="39"/>
      <c r="AR97" s="39">
        <f t="shared" ref="AR97:AR98" si="237">SUM(AN97:AQ97)</f>
        <v>0</v>
      </c>
      <c r="AS97" s="39"/>
      <c r="AT97" s="39"/>
      <c r="AU97" s="39"/>
      <c r="AV97" s="39"/>
      <c r="AW97" s="39"/>
      <c r="AX97" s="39"/>
      <c r="AY97" s="39"/>
      <c r="AZ97" s="39"/>
      <c r="BA97" s="39">
        <f>+AR97+AS97+AU97+AW97+AY97+AZ97</f>
        <v>0</v>
      </c>
      <c r="BB97" s="52"/>
      <c r="BC97" s="53">
        <v>0</v>
      </c>
      <c r="BD97" s="53"/>
      <c r="BE97" s="52"/>
      <c r="BF97" s="53"/>
    </row>
    <row r="98" spans="1:58" ht="12.95" customHeight="1">
      <c r="A98" s="42"/>
      <c r="B98" s="43"/>
      <c r="C98" s="421"/>
      <c r="D98" s="43"/>
      <c r="E98" s="44"/>
      <c r="F98" s="44"/>
      <c r="G98" s="45"/>
      <c r="H98" s="46"/>
      <c r="I98" s="47"/>
      <c r="J98" s="87"/>
      <c r="K98" s="87"/>
      <c r="L98" s="37"/>
      <c r="M98" s="37"/>
      <c r="N98" s="48"/>
      <c r="O98" s="49"/>
      <c r="P98" s="50"/>
      <c r="Q98" s="49"/>
      <c r="R98" s="507"/>
      <c r="S98" s="507"/>
      <c r="T98" s="39"/>
      <c r="U98" s="39"/>
      <c r="V98" s="39"/>
      <c r="W98" s="39"/>
      <c r="X98" s="40"/>
      <c r="Y98" s="216"/>
      <c r="Z98" s="39"/>
      <c r="AA98" s="39"/>
      <c r="AB98" s="39"/>
      <c r="AC98" s="39"/>
      <c r="AD98" s="39">
        <f>+AM98+BA98</f>
        <v>0</v>
      </c>
      <c r="AE98" s="235" t="s">
        <v>400</v>
      </c>
      <c r="AF98" s="35"/>
      <c r="AG98" s="35"/>
      <c r="AH98" s="35">
        <v>0</v>
      </c>
      <c r="AI98" s="35"/>
      <c r="AJ98" s="39"/>
      <c r="AK98" s="39"/>
      <c r="AL98" s="39"/>
      <c r="AM98" s="39">
        <f t="shared" si="236"/>
        <v>0</v>
      </c>
      <c r="AN98" s="39"/>
      <c r="AO98" s="39"/>
      <c r="AP98" s="39"/>
      <c r="AQ98" s="39"/>
      <c r="AR98" s="39">
        <f t="shared" si="237"/>
        <v>0</v>
      </c>
      <c r="AS98" s="39"/>
      <c r="AT98" s="39"/>
      <c r="AU98" s="39"/>
      <c r="AV98" s="39"/>
      <c r="AW98" s="39"/>
      <c r="AX98" s="39"/>
      <c r="AY98" s="39"/>
      <c r="AZ98" s="39"/>
      <c r="BA98" s="39">
        <f>+AR98+AS98+AU98+AW98+AY98+AZ98</f>
        <v>0</v>
      </c>
      <c r="BB98" s="35"/>
      <c r="BC98" s="510"/>
      <c r="BD98" s="510"/>
      <c r="BE98" s="35"/>
      <c r="BF98" s="510"/>
    </row>
    <row r="99" spans="1:58" ht="12.95" customHeight="1">
      <c r="A99" s="42"/>
      <c r="B99" s="43"/>
      <c r="C99" s="421"/>
      <c r="D99" s="43"/>
      <c r="E99" s="44"/>
      <c r="F99" s="44"/>
      <c r="G99" s="45"/>
      <c r="H99" s="46"/>
      <c r="I99" s="47"/>
      <c r="J99" s="87"/>
      <c r="K99" s="87"/>
      <c r="L99" s="37"/>
      <c r="M99" s="37"/>
      <c r="N99" s="48"/>
      <c r="O99" s="49"/>
      <c r="P99" s="50"/>
      <c r="Q99" s="49"/>
      <c r="R99" s="507"/>
      <c r="S99" s="507"/>
      <c r="T99" s="39"/>
      <c r="U99" s="39"/>
      <c r="V99" s="39"/>
      <c r="W99" s="39"/>
      <c r="X99" s="40"/>
      <c r="Y99" s="216"/>
      <c r="Z99" s="39"/>
      <c r="AA99" s="39"/>
      <c r="AB99" s="39"/>
      <c r="AC99" s="39"/>
      <c r="AD99" s="39">
        <f>+AM99+BA99</f>
        <v>1440</v>
      </c>
      <c r="AE99" s="235" t="s">
        <v>625</v>
      </c>
      <c r="AF99" s="35"/>
      <c r="AG99" s="35"/>
      <c r="AH99" s="35"/>
      <c r="AI99" s="35"/>
      <c r="AJ99" s="39"/>
      <c r="AK99" s="39"/>
      <c r="AL99" s="39"/>
      <c r="AM99" s="39">
        <f t="shared" ref="AM99" si="238">SUM(AF99:AL99)+AT99+AV99+AX99</f>
        <v>0</v>
      </c>
      <c r="AN99" s="39"/>
      <c r="AO99" s="39"/>
      <c r="AP99" s="39"/>
      <c r="AQ99" s="39"/>
      <c r="AR99" s="39">
        <f t="shared" ref="AR99" si="239">SUM(AN99:AQ99)</f>
        <v>0</v>
      </c>
      <c r="AS99" s="39"/>
      <c r="AT99" s="39"/>
      <c r="AU99" s="39"/>
      <c r="AV99" s="39"/>
      <c r="AW99" s="39"/>
      <c r="AX99" s="39"/>
      <c r="AY99" s="39"/>
      <c r="AZ99" s="39">
        <v>1440</v>
      </c>
      <c r="BA99" s="39">
        <f>+AR99+AS99+AU99+AW99+AY99+AZ99</f>
        <v>1440</v>
      </c>
      <c r="BB99" s="35"/>
      <c r="BC99" s="510"/>
      <c r="BD99" s="510"/>
      <c r="BE99" s="35"/>
      <c r="BF99" s="510"/>
    </row>
    <row r="100" spans="1:58" ht="12.95" customHeight="1">
      <c r="A100" s="42"/>
      <c r="B100" s="43"/>
      <c r="C100" s="421"/>
      <c r="D100" s="43"/>
      <c r="E100" s="44"/>
      <c r="F100" s="44"/>
      <c r="G100" s="45"/>
      <c r="H100" s="46"/>
      <c r="I100" s="47"/>
      <c r="J100" s="87"/>
      <c r="K100" s="87"/>
      <c r="L100" s="37"/>
      <c r="M100" s="37"/>
      <c r="N100" s="48"/>
      <c r="O100" s="49"/>
      <c r="P100" s="50"/>
      <c r="Q100" s="49"/>
      <c r="R100" s="507"/>
      <c r="S100" s="507"/>
      <c r="T100" s="39"/>
      <c r="U100" s="39"/>
      <c r="V100" s="39"/>
      <c r="W100" s="39"/>
      <c r="X100" s="40"/>
      <c r="Y100" s="216"/>
      <c r="Z100" s="39"/>
      <c r="AA100" s="39"/>
      <c r="AB100" s="39"/>
      <c r="AC100" s="39"/>
      <c r="AD100" s="39"/>
      <c r="AE100" s="235"/>
      <c r="AF100" s="35"/>
      <c r="AG100" s="35"/>
      <c r="AH100" s="35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5"/>
      <c r="BC100" s="510"/>
      <c r="BD100" s="53"/>
      <c r="BE100" s="53"/>
      <c r="BF100" s="53"/>
    </row>
    <row r="101" spans="1:58" ht="12.75" customHeight="1">
      <c r="A101" s="42">
        <v>45953</v>
      </c>
      <c r="B101" s="43" t="s">
        <v>399</v>
      </c>
      <c r="C101" s="421">
        <f t="shared" ref="C101" si="240">(M101*E101*O101*Q101)/100000000</f>
        <v>42.727607999999996</v>
      </c>
      <c r="D101" s="43" t="s">
        <v>304</v>
      </c>
      <c r="E101" s="44">
        <v>12</v>
      </c>
      <c r="F101" s="44">
        <v>1</v>
      </c>
      <c r="G101" s="506">
        <v>1230</v>
      </c>
      <c r="H101" s="46">
        <f>+N101</f>
        <v>0.22999999999999998</v>
      </c>
      <c r="I101" s="47">
        <v>0.88</v>
      </c>
      <c r="J101" s="87">
        <f t="shared" ref="J101" si="241">E101*G101*(1-H101)*1440/1000000*2.74</f>
        <v>44.842533120000006</v>
      </c>
      <c r="K101" s="87">
        <f t="shared" ref="K101" si="242">(IF(G101&lt;L101,L101,G101)*(1-IF(H101&lt;N101,H101,N101))*E101*O101*Q101)/100000000</f>
        <v>42.960456000000001</v>
      </c>
      <c r="L101" s="37">
        <v>1223.3333333333333</v>
      </c>
      <c r="M101" s="37">
        <v>941.9666666666667</v>
      </c>
      <c r="N101" s="48">
        <f t="shared" ref="N101" si="243">1-(M101/L101)</f>
        <v>0.22999999999999998</v>
      </c>
      <c r="O101" s="49">
        <f>+'Trim Rwd'!H63</f>
        <v>262.5</v>
      </c>
      <c r="P101" s="50">
        <f t="shared" ref="P101" si="244">O101*(Q101-R101-S101)</f>
        <v>0</v>
      </c>
      <c r="Q101" s="49">
        <v>1440</v>
      </c>
      <c r="R101" s="507">
        <v>1440</v>
      </c>
      <c r="S101" s="507">
        <v>0</v>
      </c>
      <c r="T101" s="39">
        <f t="shared" ref="T101" si="245">E101*M101*O101*Q101/100000000</f>
        <v>42.727607999999996</v>
      </c>
      <c r="U101" s="39">
        <f>E101*M101*O101*(Q101-R101-S101)/100000000</f>
        <v>0</v>
      </c>
      <c r="V101" s="39">
        <f>E101*G101*(1-N101)*O101/100*(R101+S101)/1000000</f>
        <v>42.960456000000001</v>
      </c>
      <c r="W101" s="39">
        <f>+'19'!K27/1000</f>
        <v>0</v>
      </c>
      <c r="X101" s="508">
        <f>SUM(W101:W104)/SUM(K101:K104)</f>
        <v>0</v>
      </c>
      <c r="Y101" s="216">
        <f>+'19'!D27/1000</f>
        <v>0</v>
      </c>
      <c r="Z101" s="39">
        <f>+'19'!D27/1000</f>
        <v>0</v>
      </c>
      <c r="AA101" s="51">
        <f>SUM(U101:U104)-SUM(W101:W104)-SUM(Z101:Z104)-SUM(Y101:Y104)</f>
        <v>0</v>
      </c>
      <c r="AB101" s="51">
        <f>(SUM(K101:K104)-SUM(W101:W104)-SUM(Y101:Y104)-SUM(Z101:Z104)-SUM(AC101:AC104)-SUM(V101:V104))-AA101</f>
        <v>-0.23284800000000416</v>
      </c>
      <c r="AC101" s="39">
        <f>K101-T101</f>
        <v>0.23284800000000416</v>
      </c>
      <c r="AD101" s="39">
        <f>+AM101+BA101</f>
        <v>0</v>
      </c>
      <c r="AE101" s="235" t="s">
        <v>386</v>
      </c>
      <c r="AF101" s="39">
        <v>0</v>
      </c>
      <c r="AG101" s="39"/>
      <c r="AH101" s="39"/>
      <c r="AI101" s="509"/>
      <c r="AJ101" s="39"/>
      <c r="AK101" s="39"/>
      <c r="AL101" s="39"/>
      <c r="AM101" s="39">
        <f t="shared" ref="AM101:AM103" si="246">SUM(AF101:AL101)+AT101+AV101+AX101</f>
        <v>0</v>
      </c>
      <c r="AN101" s="39"/>
      <c r="AO101" s="39"/>
      <c r="AP101" s="39"/>
      <c r="AQ101" s="39"/>
      <c r="AR101" s="39">
        <f>SUM(AN101:AQ101)</f>
        <v>0</v>
      </c>
      <c r="AS101" s="39"/>
      <c r="AT101" s="39"/>
      <c r="AU101" s="39"/>
      <c r="AV101" s="39"/>
      <c r="AW101" s="39"/>
      <c r="AX101" s="39"/>
      <c r="AY101" s="39"/>
      <c r="AZ101" s="39"/>
      <c r="BA101" s="39">
        <f>+AR101+AS101+AU101+AW101+AY101+AZ101</f>
        <v>0</v>
      </c>
      <c r="BB101" s="35">
        <v>0</v>
      </c>
      <c r="BC101" s="53"/>
      <c r="BD101" s="53"/>
      <c r="BE101" s="35"/>
      <c r="BF101" s="53"/>
    </row>
    <row r="102" spans="1:58" ht="12.95" customHeight="1">
      <c r="A102" s="42"/>
      <c r="B102" s="43"/>
      <c r="C102" s="421"/>
      <c r="D102" s="43"/>
      <c r="E102" s="44"/>
      <c r="F102" s="44"/>
      <c r="G102" s="506"/>
      <c r="H102" s="46"/>
      <c r="I102" s="47"/>
      <c r="J102" s="87"/>
      <c r="K102" s="87"/>
      <c r="L102" s="37"/>
      <c r="M102" s="37"/>
      <c r="N102" s="48"/>
      <c r="O102" s="49"/>
      <c r="P102" s="50"/>
      <c r="Q102" s="49"/>
      <c r="R102" s="507"/>
      <c r="S102" s="507"/>
      <c r="T102" s="39"/>
      <c r="U102" s="39"/>
      <c r="V102" s="39"/>
      <c r="W102" s="39"/>
      <c r="X102" s="40"/>
      <c r="Y102" s="216"/>
      <c r="Z102" s="39"/>
      <c r="AA102" s="39"/>
      <c r="AB102" s="39"/>
      <c r="AC102" s="39"/>
      <c r="AD102" s="39">
        <f>+AM102+BA102</f>
        <v>0</v>
      </c>
      <c r="AE102" s="235" t="s">
        <v>286</v>
      </c>
      <c r="AF102" s="39"/>
      <c r="AG102" s="39">
        <v>0</v>
      </c>
      <c r="AH102" s="39"/>
      <c r="AI102" s="39"/>
      <c r="AJ102" s="39"/>
      <c r="AK102" s="39"/>
      <c r="AL102" s="39"/>
      <c r="AM102" s="39">
        <f t="shared" si="246"/>
        <v>0</v>
      </c>
      <c r="AN102" s="88"/>
      <c r="AO102" s="39"/>
      <c r="AP102" s="39"/>
      <c r="AQ102" s="39"/>
      <c r="AR102" s="39">
        <f t="shared" ref="AR102:AR103" si="247">SUM(AN102:AQ102)</f>
        <v>0</v>
      </c>
      <c r="AS102" s="39"/>
      <c r="AT102" s="39"/>
      <c r="AU102" s="39"/>
      <c r="AV102" s="39"/>
      <c r="AW102" s="39"/>
      <c r="AX102" s="39"/>
      <c r="AY102" s="39"/>
      <c r="AZ102" s="39"/>
      <c r="BA102" s="39">
        <f>+AR102+AS102+AU102+AW102+AY102+AZ102</f>
        <v>0</v>
      </c>
      <c r="BB102" s="52"/>
      <c r="BC102" s="53">
        <v>0</v>
      </c>
      <c r="BD102" s="53"/>
      <c r="BE102" s="52"/>
      <c r="BF102" s="53"/>
    </row>
    <row r="103" spans="1:58" ht="12.95" customHeight="1">
      <c r="A103" s="42"/>
      <c r="B103" s="43"/>
      <c r="C103" s="421"/>
      <c r="D103" s="43"/>
      <c r="E103" s="44"/>
      <c r="F103" s="44"/>
      <c r="G103" s="45"/>
      <c r="H103" s="46"/>
      <c r="I103" s="47"/>
      <c r="J103" s="87"/>
      <c r="K103" s="87"/>
      <c r="L103" s="37"/>
      <c r="M103" s="37"/>
      <c r="N103" s="48"/>
      <c r="O103" s="49"/>
      <c r="P103" s="50"/>
      <c r="Q103" s="49"/>
      <c r="R103" s="507"/>
      <c r="S103" s="507"/>
      <c r="T103" s="39"/>
      <c r="U103" s="39"/>
      <c r="V103" s="39"/>
      <c r="W103" s="39"/>
      <c r="X103" s="40"/>
      <c r="Y103" s="216"/>
      <c r="Z103" s="39"/>
      <c r="AA103" s="39"/>
      <c r="AB103" s="39"/>
      <c r="AC103" s="39"/>
      <c r="AD103" s="39">
        <f>+AM103+BA103</f>
        <v>0</v>
      </c>
      <c r="AE103" s="235" t="s">
        <v>400</v>
      </c>
      <c r="AF103" s="35"/>
      <c r="AG103" s="35"/>
      <c r="AH103" s="35">
        <v>0</v>
      </c>
      <c r="AI103" s="35"/>
      <c r="AJ103" s="39"/>
      <c r="AK103" s="39"/>
      <c r="AL103" s="39"/>
      <c r="AM103" s="39">
        <f t="shared" si="246"/>
        <v>0</v>
      </c>
      <c r="AN103" s="39"/>
      <c r="AO103" s="39"/>
      <c r="AP103" s="39"/>
      <c r="AQ103" s="39"/>
      <c r="AR103" s="39">
        <f t="shared" si="247"/>
        <v>0</v>
      </c>
      <c r="AS103" s="39"/>
      <c r="AT103" s="39"/>
      <c r="AU103" s="39"/>
      <c r="AV103" s="39"/>
      <c r="AW103" s="39"/>
      <c r="AX103" s="39"/>
      <c r="AY103" s="39"/>
      <c r="AZ103" s="39"/>
      <c r="BA103" s="39">
        <f>+AR103+AS103+AU103+AW103+AY103+AZ103</f>
        <v>0</v>
      </c>
      <c r="BB103" s="35"/>
      <c r="BC103" s="510"/>
      <c r="BD103" s="510"/>
      <c r="BE103" s="35"/>
      <c r="BF103" s="510"/>
    </row>
    <row r="104" spans="1:58" ht="12.95" customHeight="1">
      <c r="A104" s="42"/>
      <c r="B104" s="43"/>
      <c r="C104" s="421"/>
      <c r="D104" s="43"/>
      <c r="E104" s="44"/>
      <c r="F104" s="44"/>
      <c r="G104" s="45"/>
      <c r="H104" s="46"/>
      <c r="I104" s="47"/>
      <c r="J104" s="87"/>
      <c r="K104" s="87"/>
      <c r="L104" s="37"/>
      <c r="M104" s="37"/>
      <c r="N104" s="48"/>
      <c r="O104" s="49"/>
      <c r="P104" s="50"/>
      <c r="Q104" s="49"/>
      <c r="R104" s="507"/>
      <c r="S104" s="507"/>
      <c r="T104" s="39"/>
      <c r="U104" s="39"/>
      <c r="V104" s="39"/>
      <c r="W104" s="39"/>
      <c r="X104" s="40"/>
      <c r="Y104" s="216"/>
      <c r="Z104" s="39"/>
      <c r="AA104" s="39"/>
      <c r="AB104" s="39"/>
      <c r="AC104" s="39"/>
      <c r="AD104" s="39">
        <f>+AM104+BA104</f>
        <v>1440</v>
      </c>
      <c r="AE104" s="235" t="s">
        <v>625</v>
      </c>
      <c r="AF104" s="35"/>
      <c r="AG104" s="35"/>
      <c r="AH104" s="35"/>
      <c r="AI104" s="35"/>
      <c r="AJ104" s="39"/>
      <c r="AK104" s="39"/>
      <c r="AL104" s="39"/>
      <c r="AM104" s="39">
        <f t="shared" ref="AM104" si="248">SUM(AF104:AL104)+AT104+AV104+AX104</f>
        <v>0</v>
      </c>
      <c r="AN104" s="39"/>
      <c r="AO104" s="39"/>
      <c r="AP104" s="39"/>
      <c r="AQ104" s="39"/>
      <c r="AR104" s="39">
        <f t="shared" ref="AR104" si="249">SUM(AN104:AQ104)</f>
        <v>0</v>
      </c>
      <c r="AS104" s="39"/>
      <c r="AT104" s="39"/>
      <c r="AU104" s="39"/>
      <c r="AV104" s="39"/>
      <c r="AW104" s="39"/>
      <c r="AX104" s="39"/>
      <c r="AY104" s="39"/>
      <c r="AZ104" s="39">
        <v>1440</v>
      </c>
      <c r="BA104" s="39">
        <f>+AR104+AS104+AU104+AW104+AY104+AZ104</f>
        <v>1440</v>
      </c>
      <c r="BB104" s="35"/>
      <c r="BC104" s="510"/>
      <c r="BD104" s="510"/>
      <c r="BE104" s="35"/>
      <c r="BF104" s="510"/>
    </row>
    <row r="105" spans="1:58" ht="12.95" customHeight="1">
      <c r="A105" s="42"/>
      <c r="B105" s="43"/>
      <c r="C105" s="421"/>
      <c r="D105" s="43"/>
      <c r="E105" s="44"/>
      <c r="F105" s="44"/>
      <c r="G105" s="45"/>
      <c r="H105" s="46"/>
      <c r="I105" s="47"/>
      <c r="J105" s="87"/>
      <c r="K105" s="87"/>
      <c r="L105" s="37"/>
      <c r="M105" s="37"/>
      <c r="N105" s="48"/>
      <c r="O105" s="49"/>
      <c r="P105" s="50"/>
      <c r="Q105" s="49"/>
      <c r="R105" s="507"/>
      <c r="S105" s="507"/>
      <c r="T105" s="39"/>
      <c r="U105" s="39"/>
      <c r="V105" s="39"/>
      <c r="W105" s="39"/>
      <c r="X105" s="40"/>
      <c r="Y105" s="216"/>
      <c r="Z105" s="39"/>
      <c r="AA105" s="39"/>
      <c r="AB105" s="39"/>
      <c r="AC105" s="39"/>
      <c r="AD105" s="39"/>
      <c r="AE105" s="235"/>
      <c r="AF105" s="35"/>
      <c r="AG105" s="35"/>
      <c r="AH105" s="35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5"/>
      <c r="BC105" s="510"/>
      <c r="BD105" s="53"/>
      <c r="BE105" s="53"/>
      <c r="BF105" s="53"/>
    </row>
    <row r="106" spans="1:58" ht="12.75" customHeight="1">
      <c r="A106" s="42">
        <v>45954</v>
      </c>
      <c r="B106" s="43" t="s">
        <v>399</v>
      </c>
      <c r="C106" s="421">
        <f t="shared" ref="C106" si="250">(M106*E106*O106*Q106)/100000000</f>
        <v>42.727607999999996</v>
      </c>
      <c r="D106" s="43" t="s">
        <v>304</v>
      </c>
      <c r="E106" s="44">
        <v>12</v>
      </c>
      <c r="F106" s="44">
        <v>1</v>
      </c>
      <c r="G106" s="506">
        <v>1230</v>
      </c>
      <c r="H106" s="46">
        <f>+N106</f>
        <v>0.22999999999999998</v>
      </c>
      <c r="I106" s="47">
        <v>0.88</v>
      </c>
      <c r="J106" s="87">
        <f t="shared" ref="J106" si="251">E106*G106*(1-H106)*1440/1000000*2.74</f>
        <v>44.842533120000006</v>
      </c>
      <c r="K106" s="87">
        <f t="shared" ref="K106" si="252">(IF(G106&lt;L106,L106,G106)*(1-IF(H106&lt;N106,H106,N106))*E106*O106*Q106)/100000000</f>
        <v>42.960456000000001</v>
      </c>
      <c r="L106" s="37">
        <v>1223.3333333333333</v>
      </c>
      <c r="M106" s="37">
        <v>941.9666666666667</v>
      </c>
      <c r="N106" s="48">
        <f t="shared" ref="N106" si="253">1-(M106/L106)</f>
        <v>0.22999999999999998</v>
      </c>
      <c r="O106" s="49">
        <f>+'Trim Rwd'!H65</f>
        <v>262.5</v>
      </c>
      <c r="P106" s="50">
        <f t="shared" ref="P106" si="254">O106*(Q106-R106-S106)</f>
        <v>0</v>
      </c>
      <c r="Q106" s="49">
        <v>1440</v>
      </c>
      <c r="R106" s="507">
        <v>1440</v>
      </c>
      <c r="S106" s="507">
        <v>0</v>
      </c>
      <c r="T106" s="39">
        <f t="shared" ref="T106" si="255">E106*M106*O106*Q106/100000000</f>
        <v>42.727607999999996</v>
      </c>
      <c r="U106" s="39">
        <f>E106*M106*O106*(Q106-R106-S106)/100000000</f>
        <v>0</v>
      </c>
      <c r="V106" s="39">
        <f>E106*G106*(1-N106)*O106/100*(R106+S106)/1000000</f>
        <v>42.960456000000001</v>
      </c>
      <c r="W106" s="39">
        <f>+'19'!K32/1000</f>
        <v>0</v>
      </c>
      <c r="X106" s="508">
        <f>SUM(W106:W109)/SUM(K106:K109)</f>
        <v>0</v>
      </c>
      <c r="Y106" s="216">
        <f>+'19'!D32/1000</f>
        <v>0</v>
      </c>
      <c r="Z106" s="39">
        <f>+'19'!D32/1000</f>
        <v>0</v>
      </c>
      <c r="AA106" s="51">
        <f>SUM(U106:U109)-SUM(W106:W109)-SUM(Z106:Z109)-SUM(Y106:Y109)</f>
        <v>0</v>
      </c>
      <c r="AB106" s="51">
        <f>(SUM(K106:K109)-SUM(W106:W109)-SUM(Y106:Y109)-SUM(Z106:Z109)-SUM(AC106:AC109)-SUM(V106:V109))-AA106</f>
        <v>-0.23284800000000416</v>
      </c>
      <c r="AC106" s="39">
        <f>K106-T106</f>
        <v>0.23284800000000416</v>
      </c>
      <c r="AD106" s="39">
        <f>+AM106+BA106</f>
        <v>0</v>
      </c>
      <c r="AE106" s="235" t="s">
        <v>386</v>
      </c>
      <c r="AF106" s="39">
        <v>0</v>
      </c>
      <c r="AG106" s="39"/>
      <c r="AH106" s="39"/>
      <c r="AI106" s="509"/>
      <c r="AJ106" s="39"/>
      <c r="AK106" s="39"/>
      <c r="AL106" s="39"/>
      <c r="AM106" s="39">
        <f t="shared" ref="AM106:AM108" si="256">SUM(AF106:AL106)+AT106+AV106+AX106</f>
        <v>0</v>
      </c>
      <c r="AN106" s="39"/>
      <c r="AO106" s="39"/>
      <c r="AP106" s="39"/>
      <c r="AQ106" s="39"/>
      <c r="AR106" s="39">
        <f>SUM(AN106:AQ106)</f>
        <v>0</v>
      </c>
      <c r="AS106" s="39"/>
      <c r="AT106" s="39"/>
      <c r="AU106" s="39"/>
      <c r="AV106" s="39"/>
      <c r="AW106" s="39"/>
      <c r="AX106" s="39"/>
      <c r="AY106" s="39"/>
      <c r="AZ106" s="39"/>
      <c r="BA106" s="39">
        <f>+AR106+AS106+AU106+AW106+AY106+AZ106</f>
        <v>0</v>
      </c>
      <c r="BB106" s="35">
        <v>0</v>
      </c>
      <c r="BC106" s="53"/>
      <c r="BD106" s="53"/>
      <c r="BE106" s="35"/>
      <c r="BF106" s="53"/>
    </row>
    <row r="107" spans="1:58" ht="12.95" customHeight="1">
      <c r="A107" s="42"/>
      <c r="B107" s="43"/>
      <c r="C107" s="421"/>
      <c r="D107" s="43"/>
      <c r="E107" s="44"/>
      <c r="F107" s="44"/>
      <c r="G107" s="506"/>
      <c r="H107" s="46"/>
      <c r="I107" s="47"/>
      <c r="J107" s="87"/>
      <c r="K107" s="87"/>
      <c r="L107" s="37"/>
      <c r="M107" s="37"/>
      <c r="N107" s="48"/>
      <c r="O107" s="49"/>
      <c r="P107" s="50"/>
      <c r="Q107" s="49"/>
      <c r="R107" s="507"/>
      <c r="S107" s="507"/>
      <c r="T107" s="39"/>
      <c r="U107" s="39"/>
      <c r="V107" s="39"/>
      <c r="W107" s="39"/>
      <c r="X107" s="40"/>
      <c r="Y107" s="216"/>
      <c r="Z107" s="39"/>
      <c r="AA107" s="39"/>
      <c r="AB107" s="39"/>
      <c r="AC107" s="39"/>
      <c r="AD107" s="39">
        <f>+AM107+BA107</f>
        <v>0</v>
      </c>
      <c r="AE107" s="235" t="s">
        <v>286</v>
      </c>
      <c r="AF107" s="39"/>
      <c r="AG107" s="39">
        <v>0</v>
      </c>
      <c r="AH107" s="39"/>
      <c r="AI107" s="39"/>
      <c r="AJ107" s="39"/>
      <c r="AK107" s="39"/>
      <c r="AL107" s="39"/>
      <c r="AM107" s="39">
        <f t="shared" si="256"/>
        <v>0</v>
      </c>
      <c r="AN107" s="88"/>
      <c r="AO107" s="39"/>
      <c r="AP107" s="39"/>
      <c r="AQ107" s="39"/>
      <c r="AR107" s="39">
        <f t="shared" ref="AR107:AR108" si="257">SUM(AN107:AQ107)</f>
        <v>0</v>
      </c>
      <c r="AS107" s="39"/>
      <c r="AT107" s="39"/>
      <c r="AU107" s="39"/>
      <c r="AV107" s="39"/>
      <c r="AW107" s="39"/>
      <c r="AX107" s="39"/>
      <c r="AY107" s="39"/>
      <c r="AZ107" s="39"/>
      <c r="BA107" s="39">
        <f>+AR107+AS107+AU107+AW107+AY107+AZ107</f>
        <v>0</v>
      </c>
      <c r="BB107" s="52"/>
      <c r="BC107" s="53">
        <v>0</v>
      </c>
      <c r="BD107" s="53"/>
      <c r="BE107" s="52"/>
      <c r="BF107" s="53"/>
    </row>
    <row r="108" spans="1:58" ht="12.95" customHeight="1">
      <c r="A108" s="42"/>
      <c r="B108" s="43"/>
      <c r="C108" s="421"/>
      <c r="D108" s="43"/>
      <c r="E108" s="44"/>
      <c r="F108" s="44"/>
      <c r="G108" s="45"/>
      <c r="H108" s="46"/>
      <c r="I108" s="47"/>
      <c r="J108" s="87"/>
      <c r="K108" s="87"/>
      <c r="L108" s="37"/>
      <c r="M108" s="37"/>
      <c r="N108" s="48"/>
      <c r="O108" s="49"/>
      <c r="P108" s="50"/>
      <c r="Q108" s="49"/>
      <c r="R108" s="507"/>
      <c r="S108" s="507"/>
      <c r="T108" s="39"/>
      <c r="U108" s="39"/>
      <c r="V108" s="39"/>
      <c r="W108" s="39"/>
      <c r="X108" s="40"/>
      <c r="Y108" s="216"/>
      <c r="Z108" s="39"/>
      <c r="AA108" s="39"/>
      <c r="AB108" s="39"/>
      <c r="AC108" s="39"/>
      <c r="AD108" s="39">
        <f>+AM108+BA108</f>
        <v>0</v>
      </c>
      <c r="AE108" s="235" t="s">
        <v>400</v>
      </c>
      <c r="AF108" s="35"/>
      <c r="AG108" s="35"/>
      <c r="AH108" s="35">
        <v>0</v>
      </c>
      <c r="AI108" s="35"/>
      <c r="AJ108" s="39"/>
      <c r="AK108" s="39"/>
      <c r="AL108" s="39"/>
      <c r="AM108" s="39">
        <f t="shared" si="256"/>
        <v>0</v>
      </c>
      <c r="AN108" s="39"/>
      <c r="AO108" s="39"/>
      <c r="AP108" s="39"/>
      <c r="AQ108" s="39"/>
      <c r="AR108" s="39">
        <f t="shared" si="257"/>
        <v>0</v>
      </c>
      <c r="AS108" s="39"/>
      <c r="AT108" s="39"/>
      <c r="AU108" s="39"/>
      <c r="AV108" s="39"/>
      <c r="AW108" s="39"/>
      <c r="AX108" s="39"/>
      <c r="AY108" s="39"/>
      <c r="AZ108" s="39"/>
      <c r="BA108" s="39">
        <f>+AR108+AS108+AU108+AW108+AY108+AZ108</f>
        <v>0</v>
      </c>
      <c r="BB108" s="35"/>
      <c r="BC108" s="510"/>
      <c r="BD108" s="510"/>
      <c r="BE108" s="35"/>
      <c r="BF108" s="510"/>
    </row>
    <row r="109" spans="1:58" ht="12.95" customHeight="1">
      <c r="A109" s="42"/>
      <c r="B109" s="43"/>
      <c r="C109" s="421"/>
      <c r="D109" s="43"/>
      <c r="E109" s="44"/>
      <c r="F109" s="44"/>
      <c r="G109" s="45"/>
      <c r="H109" s="46"/>
      <c r="I109" s="47"/>
      <c r="J109" s="87"/>
      <c r="K109" s="87"/>
      <c r="L109" s="37"/>
      <c r="M109" s="37"/>
      <c r="N109" s="48"/>
      <c r="O109" s="49"/>
      <c r="P109" s="50"/>
      <c r="Q109" s="49"/>
      <c r="R109" s="507"/>
      <c r="S109" s="507"/>
      <c r="T109" s="39"/>
      <c r="U109" s="39"/>
      <c r="V109" s="39"/>
      <c r="W109" s="39"/>
      <c r="X109" s="40"/>
      <c r="Y109" s="216"/>
      <c r="Z109" s="39"/>
      <c r="AA109" s="39"/>
      <c r="AB109" s="39"/>
      <c r="AC109" s="39"/>
      <c r="AD109" s="39">
        <f>+AM109+BA109</f>
        <v>1440</v>
      </c>
      <c r="AE109" s="235" t="s">
        <v>625</v>
      </c>
      <c r="AF109" s="35"/>
      <c r="AG109" s="35"/>
      <c r="AH109" s="35"/>
      <c r="AI109" s="35"/>
      <c r="AJ109" s="39"/>
      <c r="AK109" s="39"/>
      <c r="AL109" s="39"/>
      <c r="AM109" s="39">
        <f t="shared" ref="AM109" si="258">SUM(AF109:AL109)+AT109+AV109+AX109</f>
        <v>0</v>
      </c>
      <c r="AN109" s="39"/>
      <c r="AO109" s="39"/>
      <c r="AP109" s="39"/>
      <c r="AQ109" s="39"/>
      <c r="AR109" s="39">
        <f t="shared" ref="AR109" si="259">SUM(AN109:AQ109)</f>
        <v>0</v>
      </c>
      <c r="AS109" s="39"/>
      <c r="AT109" s="39"/>
      <c r="AU109" s="39"/>
      <c r="AV109" s="39"/>
      <c r="AW109" s="39"/>
      <c r="AX109" s="39"/>
      <c r="AY109" s="39"/>
      <c r="AZ109" s="39">
        <v>1440</v>
      </c>
      <c r="BA109" s="39">
        <f>+AR109+AS109+AU109+AW109+AY109+AZ109</f>
        <v>1440</v>
      </c>
      <c r="BB109" s="35"/>
      <c r="BC109" s="510"/>
      <c r="BD109" s="510"/>
      <c r="BE109" s="35"/>
      <c r="BF109" s="510"/>
    </row>
    <row r="110" spans="1:58" ht="12.95" customHeight="1">
      <c r="A110" s="42"/>
      <c r="B110" s="43"/>
      <c r="C110" s="421"/>
      <c r="D110" s="43"/>
      <c r="E110" s="44"/>
      <c r="F110" s="44"/>
      <c r="G110" s="45"/>
      <c r="H110" s="46"/>
      <c r="I110" s="47"/>
      <c r="J110" s="87"/>
      <c r="K110" s="87"/>
      <c r="L110" s="37"/>
      <c r="M110" s="37"/>
      <c r="N110" s="48"/>
      <c r="O110" s="49"/>
      <c r="P110" s="50"/>
      <c r="Q110" s="49"/>
      <c r="R110" s="507"/>
      <c r="S110" s="507"/>
      <c r="T110" s="39"/>
      <c r="U110" s="39"/>
      <c r="V110" s="39"/>
      <c r="W110" s="39"/>
      <c r="X110" s="40"/>
      <c r="Y110" s="216"/>
      <c r="Z110" s="39"/>
      <c r="AA110" s="39"/>
      <c r="AB110" s="39"/>
      <c r="AC110" s="39"/>
      <c r="AD110" s="39"/>
      <c r="AE110" s="235"/>
      <c r="AF110" s="35"/>
      <c r="AG110" s="35"/>
      <c r="AH110" s="35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5"/>
      <c r="BC110" s="510"/>
      <c r="BD110" s="53"/>
      <c r="BE110" s="53"/>
      <c r="BF110" s="53"/>
    </row>
    <row r="111" spans="1:58" ht="12.75" customHeight="1">
      <c r="A111" s="42">
        <v>45955</v>
      </c>
      <c r="B111" s="43" t="s">
        <v>399</v>
      </c>
      <c r="C111" s="421">
        <f t="shared" ref="C111" si="260">(M111*E111*O111*Q111)/100000000</f>
        <v>42.727607999999996</v>
      </c>
      <c r="D111" s="43" t="s">
        <v>304</v>
      </c>
      <c r="E111" s="44">
        <v>12</v>
      </c>
      <c r="F111" s="44">
        <v>1</v>
      </c>
      <c r="G111" s="506">
        <v>1230</v>
      </c>
      <c r="H111" s="46">
        <f>+N111</f>
        <v>0.22999999999999998</v>
      </c>
      <c r="I111" s="47">
        <v>0.88</v>
      </c>
      <c r="J111" s="87">
        <f t="shared" ref="J111" si="261">E111*G111*(1-H111)*1440/1000000*2.74</f>
        <v>44.842533120000006</v>
      </c>
      <c r="K111" s="87">
        <f t="shared" ref="K111" si="262">(IF(G111&lt;L111,L111,G111)*(1-IF(H111&lt;N111,H111,N111))*E111*O111*Q111)/100000000</f>
        <v>42.960456000000001</v>
      </c>
      <c r="L111" s="37">
        <v>1223.3333333333333</v>
      </c>
      <c r="M111" s="37">
        <v>941.9666666666667</v>
      </c>
      <c r="N111" s="48">
        <f t="shared" ref="N111" si="263">1-(M111/L111)</f>
        <v>0.22999999999999998</v>
      </c>
      <c r="O111" s="49">
        <f>+'Trim Rwd'!H67</f>
        <v>262.5</v>
      </c>
      <c r="P111" s="50">
        <f t="shared" ref="P111" si="264">O111*(Q111-R111-S111)</f>
        <v>0</v>
      </c>
      <c r="Q111" s="49">
        <v>1440</v>
      </c>
      <c r="R111" s="507">
        <v>1440</v>
      </c>
      <c r="S111" s="507">
        <v>0</v>
      </c>
      <c r="T111" s="39">
        <f t="shared" ref="T111" si="265">E111*M111*O111*Q111/100000000</f>
        <v>42.727607999999996</v>
      </c>
      <c r="U111" s="39">
        <f>E111*M111*O111*(Q111-R111-S111)/100000000</f>
        <v>0</v>
      </c>
      <c r="V111" s="39">
        <f>E111*G111*(1-N111)*O111/100*(R111+S111)/1000000</f>
        <v>42.960456000000001</v>
      </c>
      <c r="W111" s="39">
        <v>0</v>
      </c>
      <c r="X111" s="508">
        <f>SUM(W111:W114)/SUM(K111:K114)</f>
        <v>0</v>
      </c>
      <c r="Y111" s="216">
        <v>0</v>
      </c>
      <c r="Z111" s="39">
        <v>0</v>
      </c>
      <c r="AA111" s="51">
        <f>SUM(U111:U114)-SUM(W111:W114)-SUM(Z111:Z114)-SUM(Y111:Y114)</f>
        <v>0</v>
      </c>
      <c r="AB111" s="51">
        <f>(SUM(K111:K114)-SUM(W111:W114)-SUM(Y111:Y114)-SUM(Z111:Z114)-SUM(AC111:AC114)-SUM(V111:V114))-AA111</f>
        <v>-0.23284800000000416</v>
      </c>
      <c r="AC111" s="39">
        <f>K111-T111</f>
        <v>0.23284800000000416</v>
      </c>
      <c r="AD111" s="39">
        <f>+AM111+BA111</f>
        <v>0</v>
      </c>
      <c r="AE111" s="235" t="s">
        <v>386</v>
      </c>
      <c r="AF111" s="39">
        <v>0</v>
      </c>
      <c r="AG111" s="39"/>
      <c r="AH111" s="39"/>
      <c r="AI111" s="509"/>
      <c r="AJ111" s="39"/>
      <c r="AK111" s="39"/>
      <c r="AL111" s="39"/>
      <c r="AM111" s="39">
        <f t="shared" ref="AM111:AM113" si="266">SUM(AF111:AL111)+AT111+AV111+AX111</f>
        <v>0</v>
      </c>
      <c r="AN111" s="39"/>
      <c r="AO111" s="39"/>
      <c r="AP111" s="39"/>
      <c r="AQ111" s="39"/>
      <c r="AR111" s="39">
        <f>SUM(AN111:AQ111)</f>
        <v>0</v>
      </c>
      <c r="AS111" s="39"/>
      <c r="AT111" s="39"/>
      <c r="AU111" s="39"/>
      <c r="AV111" s="39"/>
      <c r="AW111" s="39"/>
      <c r="AX111" s="39"/>
      <c r="AY111" s="39"/>
      <c r="AZ111" s="39"/>
      <c r="BA111" s="39">
        <f>+AR111+AS111+AU111+AW111+AY111+AZ111</f>
        <v>0</v>
      </c>
      <c r="BB111" s="35">
        <v>0</v>
      </c>
      <c r="BC111" s="53"/>
      <c r="BD111" s="53"/>
      <c r="BE111" s="35"/>
      <c r="BF111" s="53"/>
    </row>
    <row r="112" spans="1:58" ht="12.95" customHeight="1">
      <c r="A112" s="42"/>
      <c r="B112" s="43"/>
      <c r="C112" s="421"/>
      <c r="D112" s="43"/>
      <c r="E112" s="44"/>
      <c r="F112" s="44"/>
      <c r="G112" s="506"/>
      <c r="H112" s="46"/>
      <c r="I112" s="47"/>
      <c r="J112" s="87"/>
      <c r="K112" s="87"/>
      <c r="L112" s="37"/>
      <c r="M112" s="37"/>
      <c r="N112" s="48"/>
      <c r="O112" s="49"/>
      <c r="P112" s="50"/>
      <c r="Q112" s="49"/>
      <c r="R112" s="507"/>
      <c r="S112" s="507"/>
      <c r="T112" s="39"/>
      <c r="U112" s="39"/>
      <c r="V112" s="39"/>
      <c r="W112" s="39"/>
      <c r="X112" s="40"/>
      <c r="Y112" s="216"/>
      <c r="Z112" s="39"/>
      <c r="AA112" s="39"/>
      <c r="AB112" s="39"/>
      <c r="AC112" s="39"/>
      <c r="AD112" s="39">
        <f>+AM112+BA112</f>
        <v>0</v>
      </c>
      <c r="AE112" s="235" t="s">
        <v>286</v>
      </c>
      <c r="AF112" s="39"/>
      <c r="AG112" s="39">
        <v>0</v>
      </c>
      <c r="AH112" s="39"/>
      <c r="AI112" s="39"/>
      <c r="AJ112" s="39"/>
      <c r="AK112" s="39"/>
      <c r="AL112" s="39"/>
      <c r="AM112" s="39">
        <f t="shared" si="266"/>
        <v>0</v>
      </c>
      <c r="AN112" s="88"/>
      <c r="AO112" s="39"/>
      <c r="AP112" s="39"/>
      <c r="AQ112" s="39"/>
      <c r="AR112" s="39">
        <f t="shared" ref="AR112:AR113" si="267">SUM(AN112:AQ112)</f>
        <v>0</v>
      </c>
      <c r="AS112" s="39"/>
      <c r="AT112" s="39"/>
      <c r="AU112" s="39"/>
      <c r="AV112" s="39"/>
      <c r="AW112" s="39"/>
      <c r="AX112" s="39"/>
      <c r="AY112" s="39"/>
      <c r="AZ112" s="39"/>
      <c r="BA112" s="39">
        <f>+AR112+AS112+AU112+AW112+AY112+AZ112</f>
        <v>0</v>
      </c>
      <c r="BB112" s="52"/>
      <c r="BC112" s="53">
        <v>0</v>
      </c>
      <c r="BD112" s="53"/>
      <c r="BE112" s="52"/>
      <c r="BF112" s="53"/>
    </row>
    <row r="113" spans="1:58" ht="12.95" customHeight="1">
      <c r="A113" s="42"/>
      <c r="B113" s="43"/>
      <c r="C113" s="421"/>
      <c r="D113" s="43"/>
      <c r="E113" s="44"/>
      <c r="F113" s="44"/>
      <c r="G113" s="45"/>
      <c r="H113" s="46"/>
      <c r="I113" s="47"/>
      <c r="J113" s="87"/>
      <c r="K113" s="87"/>
      <c r="L113" s="37"/>
      <c r="M113" s="37"/>
      <c r="N113" s="48"/>
      <c r="O113" s="49"/>
      <c r="P113" s="50"/>
      <c r="Q113" s="49"/>
      <c r="R113" s="507"/>
      <c r="S113" s="507"/>
      <c r="T113" s="39"/>
      <c r="U113" s="39"/>
      <c r="V113" s="39"/>
      <c r="W113" s="39"/>
      <c r="X113" s="40"/>
      <c r="Y113" s="216"/>
      <c r="Z113" s="39"/>
      <c r="AA113" s="39"/>
      <c r="AB113" s="39"/>
      <c r="AC113" s="39"/>
      <c r="AD113" s="39">
        <f>+AM113+BA113</f>
        <v>0</v>
      </c>
      <c r="AE113" s="235" t="s">
        <v>400</v>
      </c>
      <c r="AF113" s="35"/>
      <c r="AG113" s="35"/>
      <c r="AH113" s="35">
        <v>0</v>
      </c>
      <c r="AI113" s="35"/>
      <c r="AJ113" s="39"/>
      <c r="AK113" s="39"/>
      <c r="AL113" s="39"/>
      <c r="AM113" s="39">
        <f t="shared" si="266"/>
        <v>0</v>
      </c>
      <c r="AN113" s="39"/>
      <c r="AO113" s="39"/>
      <c r="AP113" s="39"/>
      <c r="AQ113" s="39"/>
      <c r="AR113" s="39">
        <f t="shared" si="267"/>
        <v>0</v>
      </c>
      <c r="AS113" s="39"/>
      <c r="AT113" s="39"/>
      <c r="AU113" s="39"/>
      <c r="AV113" s="39"/>
      <c r="AW113" s="39"/>
      <c r="AX113" s="39"/>
      <c r="AY113" s="39"/>
      <c r="AZ113" s="39"/>
      <c r="BA113" s="39">
        <f>+AR113+AS113+AU113+AW113+AY113+AZ113</f>
        <v>0</v>
      </c>
      <c r="BB113" s="35"/>
      <c r="BC113" s="510"/>
      <c r="BD113" s="510"/>
      <c r="BE113" s="35"/>
      <c r="BF113" s="510"/>
    </row>
    <row r="114" spans="1:58" ht="12.95" customHeight="1">
      <c r="A114" s="42"/>
      <c r="B114" s="43"/>
      <c r="C114" s="421"/>
      <c r="D114" s="43"/>
      <c r="E114" s="44"/>
      <c r="F114" s="44"/>
      <c r="G114" s="45"/>
      <c r="H114" s="46"/>
      <c r="I114" s="47"/>
      <c r="J114" s="87"/>
      <c r="K114" s="87"/>
      <c r="L114" s="37"/>
      <c r="M114" s="37"/>
      <c r="N114" s="48"/>
      <c r="O114" s="49"/>
      <c r="P114" s="50"/>
      <c r="Q114" s="49"/>
      <c r="R114" s="507"/>
      <c r="S114" s="507"/>
      <c r="T114" s="39"/>
      <c r="U114" s="39"/>
      <c r="V114" s="39"/>
      <c r="W114" s="39"/>
      <c r="X114" s="40"/>
      <c r="Y114" s="216"/>
      <c r="Z114" s="39"/>
      <c r="AA114" s="39"/>
      <c r="AB114" s="39"/>
      <c r="AC114" s="39"/>
      <c r="AD114" s="39">
        <f>+AM114+BA114</f>
        <v>1440</v>
      </c>
      <c r="AE114" s="235" t="s">
        <v>625</v>
      </c>
      <c r="AF114" s="35"/>
      <c r="AG114" s="35"/>
      <c r="AH114" s="35"/>
      <c r="AI114" s="35"/>
      <c r="AJ114" s="39"/>
      <c r="AK114" s="39"/>
      <c r="AL114" s="39"/>
      <c r="AM114" s="39">
        <f t="shared" ref="AM114" si="268">SUM(AF114:AL114)+AT114+AV114+AX114</f>
        <v>0</v>
      </c>
      <c r="AN114" s="39"/>
      <c r="AO114" s="39"/>
      <c r="AP114" s="39"/>
      <c r="AQ114" s="39"/>
      <c r="AR114" s="39">
        <f t="shared" ref="AR114" si="269">SUM(AN114:AQ114)</f>
        <v>0</v>
      </c>
      <c r="AS114" s="39"/>
      <c r="AT114" s="39"/>
      <c r="AU114" s="39"/>
      <c r="AV114" s="39"/>
      <c r="AW114" s="39"/>
      <c r="AX114" s="39"/>
      <c r="AY114" s="39"/>
      <c r="AZ114" s="39">
        <v>1440</v>
      </c>
      <c r="BA114" s="39">
        <f>+AR114+AS114+AU114+AW114+AY114+AZ114</f>
        <v>1440</v>
      </c>
      <c r="BB114" s="35"/>
      <c r="BC114" s="510"/>
      <c r="BD114" s="510"/>
      <c r="BE114" s="35"/>
      <c r="BF114" s="510"/>
    </row>
    <row r="115" spans="1:58" ht="12.95" customHeight="1">
      <c r="A115" s="42"/>
      <c r="B115" s="43"/>
      <c r="C115" s="421"/>
      <c r="D115" s="43"/>
      <c r="E115" s="44"/>
      <c r="F115" s="44"/>
      <c r="G115" s="45"/>
      <c r="H115" s="46"/>
      <c r="I115" s="47"/>
      <c r="J115" s="87"/>
      <c r="K115" s="87"/>
      <c r="L115" s="37"/>
      <c r="M115" s="37"/>
      <c r="N115" s="48"/>
      <c r="O115" s="49"/>
      <c r="P115" s="50"/>
      <c r="Q115" s="49"/>
      <c r="R115" s="507"/>
      <c r="S115" s="507"/>
      <c r="T115" s="39"/>
      <c r="U115" s="39"/>
      <c r="V115" s="39"/>
      <c r="W115" s="39"/>
      <c r="X115" s="40"/>
      <c r="Y115" s="216"/>
      <c r="Z115" s="39"/>
      <c r="AA115" s="39"/>
      <c r="AB115" s="39"/>
      <c r="AC115" s="39"/>
      <c r="AD115" s="39"/>
      <c r="AE115" s="235"/>
      <c r="AF115" s="35"/>
      <c r="AG115" s="35"/>
      <c r="AH115" s="35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5"/>
      <c r="BC115" s="510"/>
      <c r="BD115" s="53"/>
      <c r="BE115" s="53"/>
      <c r="BF115" s="53"/>
    </row>
    <row r="116" spans="1:58" ht="12.75" customHeight="1">
      <c r="A116" s="42">
        <v>45956</v>
      </c>
      <c r="B116" s="43" t="s">
        <v>399</v>
      </c>
      <c r="C116" s="421">
        <f t="shared" ref="C116" si="270">(M116*E116*O116*Q116)/100000000</f>
        <v>42.727607999999996</v>
      </c>
      <c r="D116" s="43" t="s">
        <v>304</v>
      </c>
      <c r="E116" s="44">
        <v>12</v>
      </c>
      <c r="F116" s="44">
        <v>1</v>
      </c>
      <c r="G116" s="506">
        <v>1230</v>
      </c>
      <c r="H116" s="46">
        <f>+N116</f>
        <v>0.22999999999999998</v>
      </c>
      <c r="I116" s="47">
        <v>0.88</v>
      </c>
      <c r="J116" s="87">
        <f t="shared" ref="J116" si="271">E116*G116*(1-H116)*1440/1000000*2.74</f>
        <v>44.842533120000006</v>
      </c>
      <c r="K116" s="87">
        <f t="shared" ref="K116" si="272">(IF(G116&lt;L116,L116,G116)*(1-IF(H116&lt;N116,H116,N116))*E116*O116*Q116)/100000000</f>
        <v>42.960456000000001</v>
      </c>
      <c r="L116" s="37">
        <v>1223.3333333333333</v>
      </c>
      <c r="M116" s="37">
        <v>941.9666666666667</v>
      </c>
      <c r="N116" s="48">
        <f t="shared" ref="N116" si="273">1-(M116/L116)</f>
        <v>0.22999999999999998</v>
      </c>
      <c r="O116" s="49">
        <f>+'Trim Rwd'!H69</f>
        <v>262.5</v>
      </c>
      <c r="P116" s="50">
        <f t="shared" ref="P116" si="274">O116*(Q116-R116-S116)</f>
        <v>0</v>
      </c>
      <c r="Q116" s="49">
        <v>1440</v>
      </c>
      <c r="R116" s="507">
        <v>1440</v>
      </c>
      <c r="S116" s="507">
        <v>0</v>
      </c>
      <c r="T116" s="39">
        <f t="shared" ref="T116" si="275">E116*M116*O116*Q116/100000000</f>
        <v>42.727607999999996</v>
      </c>
      <c r="U116" s="39">
        <f>E116*M116*O116*(Q116-R116-S116)/100000000</f>
        <v>0</v>
      </c>
      <c r="V116" s="39">
        <f>E116*G116*(1-N116)*O116/100*(R116+S116)/1000000</f>
        <v>42.960456000000001</v>
      </c>
      <c r="W116" s="39">
        <v>0</v>
      </c>
      <c r="X116" s="508">
        <f>SUM(W116:W119)/SUM(K116:K119)</f>
        <v>0</v>
      </c>
      <c r="Y116" s="216">
        <f>+'19'!D42/1000</f>
        <v>0</v>
      </c>
      <c r="Z116" s="39">
        <f>+'19'!D42/1000</f>
        <v>0</v>
      </c>
      <c r="AA116" s="51">
        <f>SUM(U116:U119)-SUM(W116:W119)-SUM(Z116:Z119)-SUM(Y116:Y119)</f>
        <v>0</v>
      </c>
      <c r="AB116" s="51">
        <f>(SUM(K116:K119)-SUM(W116:W119)-SUM(Y116:Y119)-SUM(Z116:Z119)-SUM(AC116:AC119)-SUM(V116:V119))-AA116</f>
        <v>-0.23284800000000416</v>
      </c>
      <c r="AC116" s="39">
        <f>K116-T116</f>
        <v>0.23284800000000416</v>
      </c>
      <c r="AD116" s="39">
        <f>+AM116+BA116</f>
        <v>0</v>
      </c>
      <c r="AE116" s="235" t="s">
        <v>386</v>
      </c>
      <c r="AF116" s="39">
        <v>0</v>
      </c>
      <c r="AG116" s="39"/>
      <c r="AH116" s="39"/>
      <c r="AI116" s="509"/>
      <c r="AJ116" s="39"/>
      <c r="AK116" s="39"/>
      <c r="AL116" s="39"/>
      <c r="AM116" s="39">
        <f t="shared" ref="AM116:AM118" si="276">SUM(AF116:AL116)+AT116+AV116+AX116</f>
        <v>0</v>
      </c>
      <c r="AN116" s="39"/>
      <c r="AO116" s="39"/>
      <c r="AP116" s="39"/>
      <c r="AQ116" s="39"/>
      <c r="AR116" s="39">
        <f>SUM(AN116:AQ116)</f>
        <v>0</v>
      </c>
      <c r="AS116" s="39"/>
      <c r="AT116" s="39"/>
      <c r="AU116" s="39"/>
      <c r="AV116" s="39"/>
      <c r="AW116" s="39"/>
      <c r="AX116" s="39"/>
      <c r="AY116" s="39"/>
      <c r="AZ116" s="39"/>
      <c r="BA116" s="39">
        <f>+AR116+AS116+AU116+AW116+AY116+AZ116</f>
        <v>0</v>
      </c>
      <c r="BB116" s="35">
        <v>0</v>
      </c>
      <c r="BC116" s="53"/>
      <c r="BD116" s="53"/>
      <c r="BE116" s="35"/>
      <c r="BF116" s="53"/>
    </row>
    <row r="117" spans="1:58" ht="12.95" customHeight="1">
      <c r="A117" s="42"/>
      <c r="B117" s="43"/>
      <c r="C117" s="421"/>
      <c r="D117" s="43"/>
      <c r="E117" s="44"/>
      <c r="F117" s="44"/>
      <c r="G117" s="506"/>
      <c r="H117" s="46"/>
      <c r="I117" s="47"/>
      <c r="J117" s="87"/>
      <c r="K117" s="87"/>
      <c r="L117" s="37"/>
      <c r="M117" s="37"/>
      <c r="N117" s="48"/>
      <c r="O117" s="49"/>
      <c r="P117" s="50"/>
      <c r="Q117" s="49"/>
      <c r="R117" s="507"/>
      <c r="S117" s="507"/>
      <c r="T117" s="39"/>
      <c r="U117" s="39"/>
      <c r="V117" s="39"/>
      <c r="W117" s="39"/>
      <c r="X117" s="40"/>
      <c r="Y117" s="216"/>
      <c r="Z117" s="39"/>
      <c r="AA117" s="39"/>
      <c r="AB117" s="39"/>
      <c r="AC117" s="39"/>
      <c r="AD117" s="39">
        <f>+AM117+BA117</f>
        <v>0</v>
      </c>
      <c r="AE117" s="235" t="s">
        <v>286</v>
      </c>
      <c r="AF117" s="39"/>
      <c r="AG117" s="39">
        <v>0</v>
      </c>
      <c r="AH117" s="39"/>
      <c r="AI117" s="39"/>
      <c r="AJ117" s="39"/>
      <c r="AK117" s="39"/>
      <c r="AL117" s="39"/>
      <c r="AM117" s="39">
        <f t="shared" si="276"/>
        <v>0</v>
      </c>
      <c r="AN117" s="88"/>
      <c r="AO117" s="39"/>
      <c r="AP117" s="39"/>
      <c r="AQ117" s="39"/>
      <c r="AR117" s="39">
        <f t="shared" ref="AR117:AR118" si="277">SUM(AN117:AQ117)</f>
        <v>0</v>
      </c>
      <c r="AS117" s="39"/>
      <c r="AT117" s="39"/>
      <c r="AU117" s="39"/>
      <c r="AV117" s="39"/>
      <c r="AW117" s="39"/>
      <c r="AX117" s="39"/>
      <c r="AY117" s="39"/>
      <c r="AZ117" s="39"/>
      <c r="BA117" s="39">
        <f>+AR117+AS117+AU117+AW117+AY117+AZ117</f>
        <v>0</v>
      </c>
      <c r="BB117" s="52"/>
      <c r="BC117" s="53">
        <v>0</v>
      </c>
      <c r="BD117" s="53"/>
      <c r="BE117" s="52"/>
      <c r="BF117" s="53"/>
    </row>
    <row r="118" spans="1:58" ht="12.95" customHeight="1">
      <c r="A118" s="42"/>
      <c r="B118" s="43"/>
      <c r="C118" s="421"/>
      <c r="D118" s="43"/>
      <c r="E118" s="44"/>
      <c r="F118" s="44"/>
      <c r="G118" s="45"/>
      <c r="H118" s="46"/>
      <c r="I118" s="47"/>
      <c r="J118" s="87"/>
      <c r="K118" s="87"/>
      <c r="L118" s="37"/>
      <c r="M118" s="37"/>
      <c r="N118" s="48"/>
      <c r="O118" s="49"/>
      <c r="P118" s="50"/>
      <c r="Q118" s="49"/>
      <c r="R118" s="507"/>
      <c r="S118" s="507"/>
      <c r="T118" s="39"/>
      <c r="U118" s="39"/>
      <c r="V118" s="39"/>
      <c r="W118" s="39"/>
      <c r="X118" s="40"/>
      <c r="Y118" s="216"/>
      <c r="Z118" s="39"/>
      <c r="AA118" s="39"/>
      <c r="AB118" s="39"/>
      <c r="AC118" s="39"/>
      <c r="AD118" s="39">
        <f>+AM118+BA118</f>
        <v>0</v>
      </c>
      <c r="AE118" s="235" t="s">
        <v>400</v>
      </c>
      <c r="AF118" s="35"/>
      <c r="AG118" s="35"/>
      <c r="AH118" s="35">
        <v>0</v>
      </c>
      <c r="AI118" s="35"/>
      <c r="AJ118" s="39"/>
      <c r="AK118" s="39"/>
      <c r="AL118" s="39"/>
      <c r="AM118" s="39">
        <f t="shared" si="276"/>
        <v>0</v>
      </c>
      <c r="AN118" s="39"/>
      <c r="AO118" s="39"/>
      <c r="AP118" s="39"/>
      <c r="AQ118" s="39"/>
      <c r="AR118" s="39">
        <f t="shared" si="277"/>
        <v>0</v>
      </c>
      <c r="AS118" s="39"/>
      <c r="AT118" s="39"/>
      <c r="AU118" s="39"/>
      <c r="AV118" s="39"/>
      <c r="AW118" s="39"/>
      <c r="AX118" s="39"/>
      <c r="AY118" s="39"/>
      <c r="AZ118" s="39"/>
      <c r="BA118" s="39">
        <f>+AR118+AS118+AU118+AW118+AY118+AZ118</f>
        <v>0</v>
      </c>
      <c r="BB118" s="35"/>
      <c r="BC118" s="510"/>
      <c r="BD118" s="510"/>
      <c r="BE118" s="35"/>
      <c r="BF118" s="510"/>
    </row>
    <row r="119" spans="1:58" ht="12.95" customHeight="1">
      <c r="A119" s="42"/>
      <c r="B119" s="43"/>
      <c r="C119" s="421"/>
      <c r="D119" s="43"/>
      <c r="E119" s="44"/>
      <c r="F119" s="44"/>
      <c r="G119" s="45"/>
      <c r="H119" s="46"/>
      <c r="I119" s="47"/>
      <c r="J119" s="87"/>
      <c r="K119" s="87"/>
      <c r="L119" s="37"/>
      <c r="M119" s="37"/>
      <c r="N119" s="48"/>
      <c r="O119" s="49"/>
      <c r="P119" s="50"/>
      <c r="Q119" s="49"/>
      <c r="R119" s="507"/>
      <c r="S119" s="507"/>
      <c r="T119" s="39"/>
      <c r="U119" s="39"/>
      <c r="V119" s="39"/>
      <c r="W119" s="39"/>
      <c r="X119" s="40"/>
      <c r="Y119" s="216"/>
      <c r="Z119" s="39"/>
      <c r="AA119" s="39"/>
      <c r="AB119" s="39"/>
      <c r="AC119" s="39"/>
      <c r="AD119" s="39">
        <f>+AM119+BA119</f>
        <v>1440</v>
      </c>
      <c r="AE119" s="235" t="s">
        <v>625</v>
      </c>
      <c r="AF119" s="35"/>
      <c r="AG119" s="35"/>
      <c r="AH119" s="35"/>
      <c r="AI119" s="35"/>
      <c r="AJ119" s="39"/>
      <c r="AK119" s="39"/>
      <c r="AL119" s="39"/>
      <c r="AM119" s="39">
        <f t="shared" ref="AM119" si="278">SUM(AF119:AL119)+AT119+AV119+AX119</f>
        <v>0</v>
      </c>
      <c r="AN119" s="39"/>
      <c r="AO119" s="39"/>
      <c r="AP119" s="39"/>
      <c r="AQ119" s="39"/>
      <c r="AR119" s="39">
        <f t="shared" ref="AR119" si="279">SUM(AN119:AQ119)</f>
        <v>0</v>
      </c>
      <c r="AS119" s="39"/>
      <c r="AT119" s="39"/>
      <c r="AU119" s="39"/>
      <c r="AV119" s="39"/>
      <c r="AW119" s="39"/>
      <c r="AX119" s="39"/>
      <c r="AY119" s="39"/>
      <c r="AZ119" s="39">
        <v>1440</v>
      </c>
      <c r="BA119" s="39">
        <f>+AR119+AS119+AU119+AW119+AY119+AZ119</f>
        <v>1440</v>
      </c>
      <c r="BB119" s="35"/>
      <c r="BC119" s="510"/>
      <c r="BD119" s="510"/>
      <c r="BE119" s="35"/>
      <c r="BF119" s="510"/>
    </row>
    <row r="120" spans="1:58" ht="12.95" customHeight="1">
      <c r="A120" s="42"/>
      <c r="B120" s="43"/>
      <c r="C120" s="421"/>
      <c r="D120" s="43"/>
      <c r="E120" s="44"/>
      <c r="F120" s="44"/>
      <c r="G120" s="45"/>
      <c r="H120" s="46"/>
      <c r="I120" s="47"/>
      <c r="J120" s="87"/>
      <c r="K120" s="87"/>
      <c r="L120" s="37"/>
      <c r="M120" s="37"/>
      <c r="N120" s="48"/>
      <c r="O120" s="49"/>
      <c r="P120" s="50"/>
      <c r="Q120" s="49"/>
      <c r="R120" s="507"/>
      <c r="S120" s="507"/>
      <c r="T120" s="39"/>
      <c r="U120" s="39"/>
      <c r="V120" s="39"/>
      <c r="W120" s="39"/>
      <c r="X120" s="40"/>
      <c r="Y120" s="216"/>
      <c r="Z120" s="39"/>
      <c r="AA120" s="39"/>
      <c r="AB120" s="39"/>
      <c r="AC120" s="39"/>
      <c r="AD120" s="39"/>
      <c r="AE120" s="235"/>
      <c r="AF120" s="35"/>
      <c r="AG120" s="35"/>
      <c r="AH120" s="35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5"/>
      <c r="BC120" s="510"/>
      <c r="BD120" s="53"/>
      <c r="BE120" s="53"/>
      <c r="BF120" s="53"/>
    </row>
    <row r="121" spans="1:58" ht="12.75" customHeight="1">
      <c r="A121" s="42">
        <v>45957</v>
      </c>
      <c r="B121" s="43" t="s">
        <v>7</v>
      </c>
      <c r="C121" s="421">
        <f t="shared" ref="C121" si="280">(M121*E121*O121*Q121)/100000000</f>
        <v>37.433208960000002</v>
      </c>
      <c r="D121" s="43" t="s">
        <v>304</v>
      </c>
      <c r="E121" s="44">
        <v>14</v>
      </c>
      <c r="F121" s="44">
        <v>1</v>
      </c>
      <c r="G121" s="506">
        <v>1230</v>
      </c>
      <c r="H121" s="46">
        <f>+N121</f>
        <v>0.21381742738589216</v>
      </c>
      <c r="I121" s="47">
        <v>0.88</v>
      </c>
      <c r="J121" s="87">
        <f t="shared" ref="J121" si="281">E121*G121*(1-H121)*1440/1000000*2.74</f>
        <v>53.415784925477183</v>
      </c>
      <c r="K121" s="87">
        <f t="shared" ref="K121" si="282">(IF(G121&lt;L121,L121,G121)*(1-IF(H121&lt;N121,H121,N121))*E121*O121*Q121)/100000000</f>
        <v>51.856199964149383</v>
      </c>
      <c r="L121" s="37">
        <v>887.89473684210532</v>
      </c>
      <c r="M121" s="37">
        <v>698.04736842105262</v>
      </c>
      <c r="N121" s="48">
        <f t="shared" ref="N121" si="283">1-(M121/L121)</f>
        <v>0.21381742738589216</v>
      </c>
      <c r="O121" s="49">
        <f>+'Trim Rwd'!H71</f>
        <v>266</v>
      </c>
      <c r="P121" s="50">
        <f t="shared" ref="P121" si="284">O121*(Q121-R121-S121)</f>
        <v>227430</v>
      </c>
      <c r="Q121" s="49">
        <v>1440</v>
      </c>
      <c r="R121" s="507">
        <v>528</v>
      </c>
      <c r="S121" s="507">
        <v>57</v>
      </c>
      <c r="T121" s="39">
        <f t="shared" ref="T121" si="285">E121*M121*O121*Q121/100000000</f>
        <v>37.433208960000002</v>
      </c>
      <c r="U121" s="39">
        <f>E121*M121*O121*(Q121-R121-S121)/100000000</f>
        <v>22.225967820000001</v>
      </c>
      <c r="V121" s="39">
        <f>E121*G121*(1-N121)*O121/100*(R121+S121)/1000000</f>
        <v>21.066581235435688</v>
      </c>
      <c r="W121" s="39">
        <f>+'27'!K14/1000</f>
        <v>14.464</v>
      </c>
      <c r="X121" s="508">
        <f>SUM(W121:W124)/SUM(K121:K124)</f>
        <v>0.27892518175260894</v>
      </c>
      <c r="Y121" s="216">
        <f>+'19'!D47/1000</f>
        <v>0</v>
      </c>
      <c r="Z121" s="39">
        <f>+'19'!D47/1000</f>
        <v>0</v>
      </c>
      <c r="AA121" s="51">
        <f>SUM(U121:U124)-SUM(W121:W124)-SUM(Z121:Z124)-SUM(Y121:Y124)</f>
        <v>7.7619678200000006</v>
      </c>
      <c r="AB121" s="51">
        <f>(SUM(K121:K124)-SUM(W121:W124)-SUM(Y121:Y124)-SUM(Z121:Z124)-SUM(AC121:AC124)-SUM(V121:V124))-AA121</f>
        <v>-5.8593400954356856</v>
      </c>
      <c r="AC121" s="39">
        <f>K121-T121</f>
        <v>14.422991004149381</v>
      </c>
      <c r="AD121" s="39">
        <f>+AM121+BA121</f>
        <v>18</v>
      </c>
      <c r="AE121" s="235" t="s">
        <v>650</v>
      </c>
      <c r="AF121" s="39">
        <v>18</v>
      </c>
      <c r="AG121" s="39"/>
      <c r="AH121" s="39"/>
      <c r="AI121" s="509"/>
      <c r="AJ121" s="39"/>
      <c r="AK121" s="39"/>
      <c r="AL121" s="39"/>
      <c r="AM121" s="39">
        <f t="shared" ref="AM121:AM123" si="286">SUM(AF121:AL121)+AT121+AV121+AX121</f>
        <v>18</v>
      </c>
      <c r="AN121" s="39"/>
      <c r="AO121" s="39"/>
      <c r="AP121" s="39"/>
      <c r="AQ121" s="39"/>
      <c r="AR121" s="39">
        <f>SUM(AN121:AQ121)</f>
        <v>0</v>
      </c>
      <c r="AS121" s="39"/>
      <c r="AT121" s="39"/>
      <c r="AU121" s="39"/>
      <c r="AV121" s="39"/>
      <c r="AW121" s="39"/>
      <c r="AX121" s="39"/>
      <c r="AY121" s="39"/>
      <c r="AZ121" s="39"/>
      <c r="BA121" s="39">
        <f>+AR121+AS121+AU121+AW121+AY121+AZ121</f>
        <v>0</v>
      </c>
      <c r="BB121" s="35">
        <v>7</v>
      </c>
      <c r="BC121" s="53"/>
      <c r="BD121" s="53"/>
      <c r="BE121" s="35"/>
      <c r="BF121" s="53"/>
    </row>
    <row r="122" spans="1:58" ht="12.95" customHeight="1">
      <c r="A122" s="42"/>
      <c r="B122" s="43"/>
      <c r="C122" s="421"/>
      <c r="D122" s="43"/>
      <c r="E122" s="44"/>
      <c r="F122" s="44"/>
      <c r="G122" s="506"/>
      <c r="H122" s="46"/>
      <c r="I122" s="47"/>
      <c r="J122" s="87"/>
      <c r="K122" s="87"/>
      <c r="L122" s="37"/>
      <c r="M122" s="37"/>
      <c r="N122" s="48"/>
      <c r="O122" s="49"/>
      <c r="P122" s="50"/>
      <c r="Q122" s="49"/>
      <c r="R122" s="507"/>
      <c r="S122" s="507"/>
      <c r="T122" s="39"/>
      <c r="U122" s="39"/>
      <c r="V122" s="39"/>
      <c r="W122" s="39"/>
      <c r="X122" s="40"/>
      <c r="Y122" s="216"/>
      <c r="Z122" s="39"/>
      <c r="AA122" s="39"/>
      <c r="AB122" s="39"/>
      <c r="AC122" s="39"/>
      <c r="AD122" s="39">
        <f>+AM122+BA122</f>
        <v>0</v>
      </c>
      <c r="AE122" s="235" t="s">
        <v>286</v>
      </c>
      <c r="AF122" s="39"/>
      <c r="AG122" s="39">
        <v>0</v>
      </c>
      <c r="AH122" s="39"/>
      <c r="AI122" s="39"/>
      <c r="AJ122" s="39"/>
      <c r="AK122" s="39"/>
      <c r="AL122" s="39"/>
      <c r="AM122" s="39">
        <f t="shared" si="286"/>
        <v>0</v>
      </c>
      <c r="AN122" s="88"/>
      <c r="AO122" s="39"/>
      <c r="AP122" s="39"/>
      <c r="AQ122" s="39"/>
      <c r="AR122" s="39">
        <f t="shared" ref="AR122:AR123" si="287">SUM(AN122:AQ122)</f>
        <v>0</v>
      </c>
      <c r="AS122" s="39"/>
      <c r="AT122" s="39"/>
      <c r="AU122" s="39"/>
      <c r="AV122" s="39"/>
      <c r="AW122" s="39"/>
      <c r="AX122" s="39"/>
      <c r="AY122" s="39"/>
      <c r="AZ122" s="39"/>
      <c r="BA122" s="39">
        <f>+AR122+AS122+AU122+AW122+AY122+AZ122</f>
        <v>0</v>
      </c>
      <c r="BB122" s="52"/>
      <c r="BC122" s="53">
        <v>0</v>
      </c>
      <c r="BD122" s="53"/>
      <c r="BE122" s="52"/>
      <c r="BF122" s="53"/>
    </row>
    <row r="123" spans="1:58" ht="12.95" customHeight="1">
      <c r="A123" s="42"/>
      <c r="B123" s="43"/>
      <c r="C123" s="421"/>
      <c r="D123" s="43"/>
      <c r="E123" s="44"/>
      <c r="F123" s="44"/>
      <c r="G123" s="45"/>
      <c r="H123" s="46"/>
      <c r="I123" s="47"/>
      <c r="J123" s="87"/>
      <c r="K123" s="87"/>
      <c r="L123" s="37"/>
      <c r="M123" s="37"/>
      <c r="N123" s="48"/>
      <c r="O123" s="49"/>
      <c r="P123" s="50"/>
      <c r="Q123" s="49"/>
      <c r="R123" s="507"/>
      <c r="S123" s="507"/>
      <c r="T123" s="39"/>
      <c r="U123" s="39"/>
      <c r="V123" s="39"/>
      <c r="W123" s="39"/>
      <c r="X123" s="40"/>
      <c r="Y123" s="216"/>
      <c r="Z123" s="39"/>
      <c r="AA123" s="39"/>
      <c r="AB123" s="39"/>
      <c r="AC123" s="39"/>
      <c r="AD123" s="39">
        <f>+AM123+BA123</f>
        <v>39</v>
      </c>
      <c r="AE123" s="235" t="s">
        <v>651</v>
      </c>
      <c r="AF123" s="35"/>
      <c r="AG123" s="35"/>
      <c r="AH123" s="35">
        <v>39</v>
      </c>
      <c r="AI123" s="35"/>
      <c r="AJ123" s="39"/>
      <c r="AK123" s="39"/>
      <c r="AL123" s="39"/>
      <c r="AM123" s="39">
        <f t="shared" si="286"/>
        <v>39</v>
      </c>
      <c r="AN123" s="39"/>
      <c r="AO123" s="39"/>
      <c r="AP123" s="39"/>
      <c r="AQ123" s="39"/>
      <c r="AR123" s="39">
        <f t="shared" si="287"/>
        <v>0</v>
      </c>
      <c r="AS123" s="39"/>
      <c r="AT123" s="39"/>
      <c r="AU123" s="39"/>
      <c r="AV123" s="39"/>
      <c r="AW123" s="39"/>
      <c r="AX123" s="39"/>
      <c r="AY123" s="39"/>
      <c r="AZ123" s="39"/>
      <c r="BA123" s="39">
        <f>+AR123+AS123+AU123+AW123+AY123+AZ123</f>
        <v>0</v>
      </c>
      <c r="BB123" s="35"/>
      <c r="BC123" s="510"/>
      <c r="BD123" s="510"/>
      <c r="BE123" s="35"/>
      <c r="BF123" s="510"/>
    </row>
    <row r="124" spans="1:58" ht="12.95" customHeight="1">
      <c r="A124" s="42"/>
      <c r="B124" s="43"/>
      <c r="C124" s="421"/>
      <c r="D124" s="43"/>
      <c r="E124" s="44"/>
      <c r="F124" s="44"/>
      <c r="G124" s="45"/>
      <c r="H124" s="46"/>
      <c r="I124" s="47"/>
      <c r="J124" s="87"/>
      <c r="K124" s="87"/>
      <c r="L124" s="37"/>
      <c r="M124" s="37"/>
      <c r="N124" s="48"/>
      <c r="O124" s="49"/>
      <c r="P124" s="50"/>
      <c r="Q124" s="49"/>
      <c r="R124" s="507"/>
      <c r="S124" s="507"/>
      <c r="T124" s="39"/>
      <c r="U124" s="39"/>
      <c r="V124" s="39"/>
      <c r="W124" s="39"/>
      <c r="X124" s="40"/>
      <c r="Y124" s="216"/>
      <c r="Z124" s="39"/>
      <c r="AA124" s="39"/>
      <c r="AB124" s="39"/>
      <c r="AC124" s="39"/>
      <c r="AD124" s="39">
        <f>+AM124+BA124</f>
        <v>528</v>
      </c>
      <c r="AE124" s="235" t="s">
        <v>625</v>
      </c>
      <c r="AF124" s="35"/>
      <c r="AG124" s="35"/>
      <c r="AH124" s="35"/>
      <c r="AI124" s="35"/>
      <c r="AJ124" s="39"/>
      <c r="AK124" s="39"/>
      <c r="AL124" s="39"/>
      <c r="AM124" s="39">
        <f t="shared" ref="AM124" si="288">SUM(AF124:AL124)+AT124+AV124+AX124</f>
        <v>0</v>
      </c>
      <c r="AN124" s="39"/>
      <c r="AO124" s="39"/>
      <c r="AP124" s="39"/>
      <c r="AQ124" s="39"/>
      <c r="AR124" s="39">
        <f t="shared" ref="AR124" si="289">SUM(AN124:AQ124)</f>
        <v>0</v>
      </c>
      <c r="AS124" s="39"/>
      <c r="AT124" s="39"/>
      <c r="AU124" s="39"/>
      <c r="AV124" s="39"/>
      <c r="AW124" s="39"/>
      <c r="AX124" s="39"/>
      <c r="AY124" s="39"/>
      <c r="AZ124" s="39">
        <v>528</v>
      </c>
      <c r="BA124" s="39">
        <f>+AR124+AS124+AU124+AW124+AY124+AZ124</f>
        <v>528</v>
      </c>
      <c r="BB124" s="35"/>
      <c r="BC124" s="510"/>
      <c r="BD124" s="510"/>
      <c r="BE124" s="35"/>
      <c r="BF124" s="510"/>
    </row>
    <row r="125" spans="1:58" ht="12.95" customHeight="1">
      <c r="A125" s="42"/>
      <c r="B125" s="43"/>
      <c r="C125" s="421"/>
      <c r="D125" s="43"/>
      <c r="E125" s="44"/>
      <c r="F125" s="44"/>
      <c r="G125" s="45"/>
      <c r="H125" s="46"/>
      <c r="I125" s="47"/>
      <c r="J125" s="87"/>
      <c r="K125" s="87"/>
      <c r="L125" s="37"/>
      <c r="M125" s="37"/>
      <c r="N125" s="48"/>
      <c r="O125" s="49"/>
      <c r="P125" s="50"/>
      <c r="Q125" s="49"/>
      <c r="R125" s="507"/>
      <c r="S125" s="507"/>
      <c r="T125" s="39"/>
      <c r="U125" s="39"/>
      <c r="V125" s="39"/>
      <c r="W125" s="39"/>
      <c r="X125" s="40"/>
      <c r="Y125" s="216"/>
      <c r="Z125" s="39"/>
      <c r="AA125" s="39"/>
      <c r="AB125" s="39"/>
      <c r="AC125" s="39"/>
      <c r="AD125" s="39"/>
      <c r="AE125" s="235"/>
      <c r="AF125" s="35"/>
      <c r="AG125" s="35"/>
      <c r="AH125" s="35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5"/>
      <c r="BC125" s="510"/>
      <c r="BD125" s="53"/>
      <c r="BE125" s="53"/>
      <c r="BF125" s="53"/>
    </row>
    <row r="126" spans="1:58" ht="12.75" customHeight="1">
      <c r="A126" s="42">
        <v>45958</v>
      </c>
      <c r="B126" s="43" t="s">
        <v>7</v>
      </c>
      <c r="C126" s="421">
        <f t="shared" ref="C126" si="290">(M126*E126*O126*Q126)/100000000</f>
        <v>20.674889820359283</v>
      </c>
      <c r="D126" s="43" t="s">
        <v>304</v>
      </c>
      <c r="E126" s="44">
        <v>14</v>
      </c>
      <c r="F126" s="44">
        <v>1</v>
      </c>
      <c r="G126" s="506">
        <v>1230</v>
      </c>
      <c r="H126" s="46">
        <f>+N126</f>
        <v>0.20000000000000007</v>
      </c>
      <c r="I126" s="47">
        <v>0.88</v>
      </c>
      <c r="J126" s="87">
        <f t="shared" ref="J126" si="291">E126*G126*(1-H126)*1440/1000000*2.74</f>
        <v>54.3545856</v>
      </c>
      <c r="K126" s="87">
        <f t="shared" ref="K126" si="292">(IF(G126&lt;L126,L126,G126)*(1-IF(H126&lt;N126,H126,N126))*E126*O126*Q126)/100000000</f>
        <v>32.063639999999992</v>
      </c>
      <c r="L126" s="37">
        <v>793.11377245508982</v>
      </c>
      <c r="M126" s="37">
        <v>634.49101796407183</v>
      </c>
      <c r="N126" s="48">
        <f t="shared" ref="N126" si="293">1-(M126/L126)</f>
        <v>0.20000000000000007</v>
      </c>
      <c r="O126" s="49">
        <f>+'Trim Rwd'!H73</f>
        <v>266</v>
      </c>
      <c r="P126" s="50">
        <f t="shared" ref="P126" si="294">O126*(Q126-R126-S126)</f>
        <v>83790</v>
      </c>
      <c r="Q126" s="49">
        <f>334+541</f>
        <v>875</v>
      </c>
      <c r="R126" s="507">
        <v>541</v>
      </c>
      <c r="S126" s="507">
        <v>19</v>
      </c>
      <c r="T126" s="39">
        <f t="shared" ref="T126" si="295">E126*M126*O126*Q126/100000000</f>
        <v>20.674889820359283</v>
      </c>
      <c r="U126" s="39">
        <f>E126*M126*O126*(Q126-R126-S126)/100000000</f>
        <v>7.4429603353293423</v>
      </c>
      <c r="V126" s="39">
        <f>E126*G126*(1-N126)*O126/100*(R126+S126)/1000000</f>
        <v>20.520729599999999</v>
      </c>
      <c r="W126" s="39">
        <f>+'28'!K14/1000</f>
        <v>3.0019999999999998</v>
      </c>
      <c r="X126" s="508">
        <f>SUM(W126:W129)/SUM(K126:K129)</f>
        <v>0.2042365760857677</v>
      </c>
      <c r="Y126" s="216">
        <v>0</v>
      </c>
      <c r="Z126" s="39">
        <v>0</v>
      </c>
      <c r="AA126" s="51">
        <f>SUM(U126:U129)-SUM(W126:W129)-SUM(Z126:Z129)-SUM(Y126:Y129)</f>
        <v>5.3606963353293438</v>
      </c>
      <c r="AB126" s="51">
        <f>(SUM(K126:K129)-SUM(W126:W129)-SUM(Y126:Y129)-SUM(Z126:Z129)-SUM(AC126:AC129)-SUM(V126:V129))-AA126</f>
        <v>0.22261428502993397</v>
      </c>
      <c r="AC126" s="39">
        <f>K126-T126</f>
        <v>11.388750179640709</v>
      </c>
      <c r="AD126" s="39">
        <f>+AM126+BA126</f>
        <v>8</v>
      </c>
      <c r="AE126" s="235" t="s">
        <v>650</v>
      </c>
      <c r="AF126" s="39">
        <v>8</v>
      </c>
      <c r="AG126" s="39"/>
      <c r="AH126" s="39"/>
      <c r="AI126" s="509"/>
      <c r="AJ126" s="39"/>
      <c r="AK126" s="39"/>
      <c r="AL126" s="39"/>
      <c r="AM126" s="39">
        <f t="shared" ref="AM126:AM128" si="296">SUM(AF126:AL126)+AT126+AV126+AX126</f>
        <v>8</v>
      </c>
      <c r="AN126" s="39"/>
      <c r="AO126" s="39"/>
      <c r="AP126" s="39"/>
      <c r="AQ126" s="39"/>
      <c r="AR126" s="39">
        <f>SUM(AN126:AQ126)</f>
        <v>0</v>
      </c>
      <c r="AS126" s="39"/>
      <c r="AT126" s="39"/>
      <c r="AU126" s="39"/>
      <c r="AV126" s="39"/>
      <c r="AW126" s="39"/>
      <c r="AX126" s="39"/>
      <c r="AY126" s="39"/>
      <c r="AZ126" s="39"/>
      <c r="BA126" s="39">
        <f>+AR126+AS126+AU126+AW126+AY126+AZ126</f>
        <v>0</v>
      </c>
      <c r="BB126" s="35">
        <v>7</v>
      </c>
      <c r="BC126" s="53"/>
      <c r="BD126" s="53"/>
      <c r="BE126" s="35"/>
      <c r="BF126" s="53"/>
    </row>
    <row r="127" spans="1:58" ht="12.95" customHeight="1">
      <c r="A127" s="42"/>
      <c r="B127" s="43" t="s">
        <v>7</v>
      </c>
      <c r="C127" s="421">
        <f t="shared" ref="C127" si="297">(M127*E127*O127*Q127)/100000000</f>
        <v>10.099487999999999</v>
      </c>
      <c r="D127" s="43" t="s">
        <v>304</v>
      </c>
      <c r="E127" s="44">
        <v>12</v>
      </c>
      <c r="F127" s="44">
        <v>1</v>
      </c>
      <c r="G127" s="506">
        <v>1230</v>
      </c>
      <c r="H127" s="46">
        <f>+N127</f>
        <v>0.19999999999999996</v>
      </c>
      <c r="I127" s="47">
        <v>0.88</v>
      </c>
      <c r="J127" s="87">
        <f t="shared" ref="J127" si="298">E127*G127*(1-H127)*1440/1000000*2.74</f>
        <v>46.589644800000009</v>
      </c>
      <c r="K127" s="87">
        <f t="shared" ref="K127" si="299">(IF(G127&lt;L127,L127,G127)*(1-IF(H127&lt;N127,H127,N127))*E127*O127*Q127)/100000000</f>
        <v>17.746243199999999</v>
      </c>
      <c r="L127" s="37">
        <v>700</v>
      </c>
      <c r="M127" s="37">
        <v>560</v>
      </c>
      <c r="N127" s="48">
        <f t="shared" ref="N127" si="300">1-(M127/L127)</f>
        <v>0.19999999999999996</v>
      </c>
      <c r="O127" s="49">
        <f>+'Trim Rwd'!H74</f>
        <v>266</v>
      </c>
      <c r="P127" s="50">
        <f t="shared" ref="P127" si="301">O127*(Q127-R127-S127)</f>
        <v>147630</v>
      </c>
      <c r="Q127" s="49">
        <v>565</v>
      </c>
      <c r="R127" s="507">
        <v>0</v>
      </c>
      <c r="S127" s="507">
        <v>10</v>
      </c>
      <c r="T127" s="39">
        <f t="shared" ref="T127" si="302">E127*M127*O127*Q127/100000000</f>
        <v>10.099487999999999</v>
      </c>
      <c r="U127" s="39">
        <f>E127*M127*O127*(Q127-R127-S127)/100000000</f>
        <v>9.9207359999999998</v>
      </c>
      <c r="V127" s="39">
        <f>E127*G127*(1-N127)*O127/100*(R127+S127)/1000000</f>
        <v>0.31409280000000001</v>
      </c>
      <c r="W127" s="39">
        <f>+'28'!K7/1000</f>
        <v>7.1710000000000003</v>
      </c>
      <c r="X127" s="40"/>
      <c r="Y127" s="216"/>
      <c r="Z127" s="39">
        <f>+'28'!D34/1000</f>
        <v>1.83</v>
      </c>
      <c r="AA127" s="39"/>
      <c r="AB127" s="39"/>
      <c r="AC127" s="39"/>
      <c r="AD127" s="39">
        <f>+AM127+BA127</f>
        <v>5</v>
      </c>
      <c r="AE127" s="235" t="s">
        <v>286</v>
      </c>
      <c r="AF127" s="39"/>
      <c r="AG127" s="39">
        <v>5</v>
      </c>
      <c r="AH127" s="39"/>
      <c r="AI127" s="39"/>
      <c r="AJ127" s="39"/>
      <c r="AK127" s="39"/>
      <c r="AL127" s="39"/>
      <c r="AM127" s="39">
        <f t="shared" si="296"/>
        <v>5</v>
      </c>
      <c r="AN127" s="88"/>
      <c r="AO127" s="39"/>
      <c r="AP127" s="39"/>
      <c r="AQ127" s="39"/>
      <c r="AR127" s="39">
        <f t="shared" ref="AR127:AR128" si="303">SUM(AN127:AQ127)</f>
        <v>0</v>
      </c>
      <c r="AS127" s="39"/>
      <c r="AT127" s="39"/>
      <c r="AU127" s="39"/>
      <c r="AV127" s="39"/>
      <c r="AW127" s="39"/>
      <c r="AX127" s="39"/>
      <c r="AY127" s="39"/>
      <c r="AZ127" s="39"/>
      <c r="BA127" s="39">
        <f>+AR127+AS127+AU127+AW127+AY127+AZ127</f>
        <v>0</v>
      </c>
      <c r="BB127" s="52"/>
      <c r="BC127" s="53">
        <v>0</v>
      </c>
      <c r="BD127" s="53"/>
      <c r="BE127" s="52"/>
      <c r="BF127" s="53"/>
    </row>
    <row r="128" spans="1:58" ht="12.95" customHeight="1">
      <c r="A128" s="42"/>
      <c r="B128" s="43"/>
      <c r="C128" s="421"/>
      <c r="D128" s="43"/>
      <c r="E128" s="44"/>
      <c r="F128" s="44"/>
      <c r="G128" s="45"/>
      <c r="H128" s="46"/>
      <c r="I128" s="47"/>
      <c r="J128" s="87"/>
      <c r="K128" s="87"/>
      <c r="L128" s="37"/>
      <c r="M128" s="37"/>
      <c r="N128" s="48"/>
      <c r="O128" s="49"/>
      <c r="P128" s="50"/>
      <c r="Q128" s="49"/>
      <c r="R128" s="507"/>
      <c r="S128" s="507"/>
      <c r="T128" s="39"/>
      <c r="U128" s="39"/>
      <c r="V128" s="39"/>
      <c r="W128" s="39"/>
      <c r="X128" s="40"/>
      <c r="Y128" s="216"/>
      <c r="Z128" s="39"/>
      <c r="AA128" s="39"/>
      <c r="AB128" s="39"/>
      <c r="AC128" s="39"/>
      <c r="AD128" s="39">
        <f>+AM128+BA128</f>
        <v>16</v>
      </c>
      <c r="AE128" s="235" t="s">
        <v>651</v>
      </c>
      <c r="AF128" s="35"/>
      <c r="AG128" s="35"/>
      <c r="AH128" s="35">
        <v>16</v>
      </c>
      <c r="AI128" s="35"/>
      <c r="AJ128" s="39"/>
      <c r="AK128" s="39"/>
      <c r="AL128" s="39"/>
      <c r="AM128" s="39">
        <f t="shared" si="296"/>
        <v>16</v>
      </c>
      <c r="AN128" s="39"/>
      <c r="AO128" s="39"/>
      <c r="AP128" s="39"/>
      <c r="AQ128" s="39"/>
      <c r="AR128" s="39">
        <f t="shared" si="303"/>
        <v>0</v>
      </c>
      <c r="AS128" s="39"/>
      <c r="AT128" s="39"/>
      <c r="AU128" s="39"/>
      <c r="AV128" s="39"/>
      <c r="AW128" s="39"/>
      <c r="AX128" s="39"/>
      <c r="AY128" s="39"/>
      <c r="AZ128" s="39"/>
      <c r="BA128" s="39">
        <f>+AR128+AS128+AU128+AW128+AY128+AZ128</f>
        <v>0</v>
      </c>
      <c r="BB128" s="35"/>
      <c r="BC128" s="510"/>
      <c r="BD128" s="510"/>
      <c r="BE128" s="35"/>
      <c r="BF128" s="510"/>
    </row>
    <row r="129" spans="1:58" ht="12.95" customHeight="1">
      <c r="A129" s="42"/>
      <c r="B129" s="43"/>
      <c r="C129" s="421"/>
      <c r="D129" s="43"/>
      <c r="E129" s="44"/>
      <c r="F129" s="44"/>
      <c r="G129" s="45"/>
      <c r="H129" s="46"/>
      <c r="I129" s="47"/>
      <c r="J129" s="87"/>
      <c r="K129" s="87"/>
      <c r="L129" s="37"/>
      <c r="M129" s="37"/>
      <c r="N129" s="48"/>
      <c r="O129" s="49"/>
      <c r="P129" s="50"/>
      <c r="Q129" s="49"/>
      <c r="R129" s="507"/>
      <c r="S129" s="507"/>
      <c r="T129" s="39"/>
      <c r="U129" s="39"/>
      <c r="V129" s="39"/>
      <c r="W129" s="39"/>
      <c r="X129" s="40"/>
      <c r="Y129" s="216"/>
      <c r="Z129" s="39"/>
      <c r="AA129" s="39"/>
      <c r="AB129" s="39"/>
      <c r="AC129" s="39"/>
      <c r="AD129" s="39">
        <f>+AM129+BA129</f>
        <v>541</v>
      </c>
      <c r="AE129" s="235" t="s">
        <v>665</v>
      </c>
      <c r="AF129" s="35"/>
      <c r="AG129" s="35"/>
      <c r="AH129" s="35"/>
      <c r="AI129" s="35"/>
      <c r="AJ129" s="39"/>
      <c r="AK129" s="39"/>
      <c r="AL129" s="39"/>
      <c r="AM129" s="39">
        <f t="shared" ref="AM129" si="304">SUM(AF129:AL129)+AT129+AV129+AX129</f>
        <v>0</v>
      </c>
      <c r="AN129" s="39"/>
      <c r="AO129" s="39">
        <v>541</v>
      </c>
      <c r="AP129" s="39"/>
      <c r="AQ129" s="39"/>
      <c r="AR129" s="39">
        <f t="shared" ref="AR129" si="305">SUM(AN129:AQ129)</f>
        <v>541</v>
      </c>
      <c r="AS129" s="39"/>
      <c r="AT129" s="39"/>
      <c r="AU129" s="39"/>
      <c r="AV129" s="39"/>
      <c r="AW129" s="39"/>
      <c r="AX129" s="39"/>
      <c r="AY129" s="39"/>
      <c r="AZ129" s="39">
        <v>0</v>
      </c>
      <c r="BA129" s="39">
        <f>+AR129+AS129+AU129+AW129+AY129+AZ129</f>
        <v>541</v>
      </c>
      <c r="BB129" s="35"/>
      <c r="BC129" s="510"/>
      <c r="BD129" s="510"/>
      <c r="BE129" s="35"/>
      <c r="BF129" s="510"/>
    </row>
    <row r="130" spans="1:58" ht="12.95" customHeight="1">
      <c r="A130" s="42"/>
      <c r="B130" s="43"/>
      <c r="C130" s="421"/>
      <c r="D130" s="43"/>
      <c r="E130" s="44"/>
      <c r="F130" s="44"/>
      <c r="G130" s="45"/>
      <c r="H130" s="46"/>
      <c r="I130" s="47"/>
      <c r="J130" s="87"/>
      <c r="K130" s="87"/>
      <c r="L130" s="37"/>
      <c r="M130" s="37"/>
      <c r="N130" s="48"/>
      <c r="O130" s="49"/>
      <c r="P130" s="50"/>
      <c r="Q130" s="49"/>
      <c r="R130" s="507"/>
      <c r="S130" s="507"/>
      <c r="T130" s="39"/>
      <c r="U130" s="39"/>
      <c r="V130" s="39"/>
      <c r="W130" s="39"/>
      <c r="X130" s="40"/>
      <c r="Y130" s="216"/>
      <c r="Z130" s="39"/>
      <c r="AA130" s="39"/>
      <c r="AB130" s="39"/>
      <c r="AC130" s="39"/>
      <c r="AD130" s="39"/>
      <c r="AE130" s="235"/>
      <c r="AF130" s="35"/>
      <c r="AG130" s="35"/>
      <c r="AH130" s="35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5"/>
      <c r="BC130" s="510"/>
      <c r="BD130" s="53"/>
      <c r="BE130" s="53"/>
      <c r="BF130" s="53"/>
    </row>
    <row r="131" spans="1:58" ht="12.75" customHeight="1">
      <c r="A131" s="42">
        <v>45959</v>
      </c>
      <c r="B131" s="43" t="s">
        <v>7</v>
      </c>
      <c r="C131" s="421">
        <f t="shared" ref="C131" si="306">(M131*E131*O131*Q131)/100000000</f>
        <v>25.740288</v>
      </c>
      <c r="D131" s="43" t="s">
        <v>304</v>
      </c>
      <c r="E131" s="44">
        <v>12</v>
      </c>
      <c r="F131" s="44">
        <v>1</v>
      </c>
      <c r="G131" s="506">
        <v>1230</v>
      </c>
      <c r="H131" s="46">
        <f>+N131</f>
        <v>0.19999999999999996</v>
      </c>
      <c r="I131" s="47">
        <v>0.88</v>
      </c>
      <c r="J131" s="87">
        <f t="shared" ref="J131" si="307">E131*G131*(1-H131)*1440/1000000*2.74</f>
        <v>46.589644800000009</v>
      </c>
      <c r="K131" s="87">
        <f t="shared" ref="K131" si="308">(IF(G131&lt;L131,L131,G131)*(1-IF(H131&lt;N131,H131,N131))*E131*O131*Q131)/100000000</f>
        <v>45.229363200000002</v>
      </c>
      <c r="L131" s="37">
        <v>700</v>
      </c>
      <c r="M131" s="37">
        <v>560</v>
      </c>
      <c r="N131" s="48">
        <f t="shared" ref="N131" si="309">1-(M131/L131)</f>
        <v>0.19999999999999996</v>
      </c>
      <c r="O131" s="49">
        <f>+'Trim Rwd'!H76</f>
        <v>266</v>
      </c>
      <c r="P131" s="50">
        <f t="shared" ref="P131" si="310">O131*(Q131-R131-S131)</f>
        <v>99750</v>
      </c>
      <c r="Q131" s="49">
        <v>1440</v>
      </c>
      <c r="R131" s="507">
        <v>1055</v>
      </c>
      <c r="S131" s="507">
        <v>10</v>
      </c>
      <c r="T131" s="39">
        <f t="shared" ref="T131" si="311">E131*M131*O131*Q131/100000000</f>
        <v>25.740288</v>
      </c>
      <c r="U131" s="39">
        <f>E131*M131*O131*(Q131-R131-S131)/100000000</f>
        <v>6.7031999999999998</v>
      </c>
      <c r="V131" s="39">
        <f>E131*G131*(1-N131)*O131/100*(R131+S131)/1000000</f>
        <v>33.4508832</v>
      </c>
      <c r="W131" s="39">
        <f>+'29'!C7/1000</f>
        <v>10.403</v>
      </c>
      <c r="X131" s="508">
        <f>SUM(W131:W134)/SUM(K131:K134)</f>
        <v>0.23000544920340599</v>
      </c>
      <c r="Y131" s="216">
        <f>+'19'!D57/1000</f>
        <v>0</v>
      </c>
      <c r="Z131" s="39">
        <f>+'19'!D57/1000</f>
        <v>0</v>
      </c>
      <c r="AA131" s="51">
        <f>SUM(U131:U134)-SUM(W131:W134)-SUM(Z131:Z134)-SUM(Y131:Y134)</f>
        <v>-3.6998000000000006</v>
      </c>
      <c r="AB131" s="51">
        <f>(SUM(K131:K134)-SUM(W131:W134)-SUM(Y131:Y134)-SUM(Z131:Z134)-SUM(AC131:AC134)-SUM(V131:V134))-AA131</f>
        <v>-14.413795199999999</v>
      </c>
      <c r="AC131" s="39">
        <f>K131-T131</f>
        <v>19.489075200000002</v>
      </c>
      <c r="AD131" s="39">
        <f>+AM131+BA131</f>
        <v>0</v>
      </c>
      <c r="AE131" s="235" t="s">
        <v>386</v>
      </c>
      <c r="AF131" s="39">
        <v>0</v>
      </c>
      <c r="AG131" s="39"/>
      <c r="AH131" s="39"/>
      <c r="AI131" s="509"/>
      <c r="AJ131" s="39"/>
      <c r="AK131" s="39"/>
      <c r="AL131" s="39"/>
      <c r="AM131" s="39">
        <f t="shared" ref="AM131:AM133" si="312">SUM(AF131:AL131)+AT131+AV131+AX131</f>
        <v>0</v>
      </c>
      <c r="AN131" s="39"/>
      <c r="AO131" s="39"/>
      <c r="AP131" s="39"/>
      <c r="AQ131" s="39"/>
      <c r="AR131" s="39">
        <f>SUM(AN131:AQ131)</f>
        <v>0</v>
      </c>
      <c r="AS131" s="39"/>
      <c r="AT131" s="39"/>
      <c r="AU131" s="39"/>
      <c r="AV131" s="39"/>
      <c r="AW131" s="39"/>
      <c r="AX131" s="39"/>
      <c r="AY131" s="39"/>
      <c r="AZ131" s="39"/>
      <c r="BA131" s="39">
        <f>+AR131+AS131+AU131+AW131+AY131+AZ131</f>
        <v>0</v>
      </c>
      <c r="BB131" s="35">
        <v>0</v>
      </c>
      <c r="BC131" s="53"/>
      <c r="BD131" s="53"/>
      <c r="BE131" s="35"/>
      <c r="BF131" s="53"/>
    </row>
    <row r="132" spans="1:58" ht="12.95" customHeight="1">
      <c r="A132" s="42"/>
      <c r="B132" s="43"/>
      <c r="C132" s="421"/>
      <c r="D132" s="43"/>
      <c r="E132" s="44"/>
      <c r="F132" s="44"/>
      <c r="G132" s="506"/>
      <c r="H132" s="46"/>
      <c r="I132" s="47"/>
      <c r="J132" s="87"/>
      <c r="K132" s="87"/>
      <c r="L132" s="37"/>
      <c r="M132" s="37"/>
      <c r="N132" s="48"/>
      <c r="O132" s="49"/>
      <c r="P132" s="50"/>
      <c r="Q132" s="49"/>
      <c r="R132" s="507"/>
      <c r="S132" s="507"/>
      <c r="T132" s="39"/>
      <c r="U132" s="39"/>
      <c r="V132" s="39"/>
      <c r="W132" s="39"/>
      <c r="X132" s="40"/>
      <c r="Y132" s="216"/>
      <c r="Z132" s="39"/>
      <c r="AA132" s="39"/>
      <c r="AB132" s="39"/>
      <c r="AC132" s="39"/>
      <c r="AD132" s="39">
        <f>+AM132+BA132</f>
        <v>0</v>
      </c>
      <c r="AE132" s="235" t="s">
        <v>286</v>
      </c>
      <c r="AF132" s="39"/>
      <c r="AG132" s="39">
        <v>0</v>
      </c>
      <c r="AH132" s="39"/>
      <c r="AI132" s="39"/>
      <c r="AJ132" s="39"/>
      <c r="AK132" s="39"/>
      <c r="AL132" s="39"/>
      <c r="AM132" s="39">
        <f t="shared" si="312"/>
        <v>0</v>
      </c>
      <c r="AN132" s="88"/>
      <c r="AO132" s="39"/>
      <c r="AP132" s="39"/>
      <c r="AQ132" s="39"/>
      <c r="AR132" s="39">
        <f t="shared" ref="AR132:AR133" si="313">SUM(AN132:AQ132)</f>
        <v>0</v>
      </c>
      <c r="AS132" s="39"/>
      <c r="AT132" s="39"/>
      <c r="AU132" s="39"/>
      <c r="AV132" s="39"/>
      <c r="AW132" s="39"/>
      <c r="AX132" s="39"/>
      <c r="AY132" s="39"/>
      <c r="AZ132" s="39"/>
      <c r="BA132" s="39">
        <f>+AR132+AS132+AU132+AW132+AY132+AZ132</f>
        <v>0</v>
      </c>
      <c r="BB132" s="52"/>
      <c r="BC132" s="53">
        <v>0</v>
      </c>
      <c r="BD132" s="53"/>
      <c r="BE132" s="52"/>
      <c r="BF132" s="53"/>
    </row>
    <row r="133" spans="1:58" ht="12.95" customHeight="1">
      <c r="A133" s="42"/>
      <c r="B133" s="43"/>
      <c r="C133" s="421"/>
      <c r="D133" s="43"/>
      <c r="E133" s="44"/>
      <c r="F133" s="44"/>
      <c r="G133" s="45"/>
      <c r="H133" s="46"/>
      <c r="I133" s="47"/>
      <c r="J133" s="87"/>
      <c r="K133" s="87"/>
      <c r="L133" s="37"/>
      <c r="M133" s="37"/>
      <c r="N133" s="48"/>
      <c r="O133" s="49"/>
      <c r="P133" s="50"/>
      <c r="Q133" s="49"/>
      <c r="R133" s="507"/>
      <c r="S133" s="507"/>
      <c r="T133" s="39"/>
      <c r="U133" s="39"/>
      <c r="V133" s="39"/>
      <c r="W133" s="39"/>
      <c r="X133" s="40"/>
      <c r="Y133" s="216"/>
      <c r="Z133" s="39"/>
      <c r="AA133" s="39"/>
      <c r="AB133" s="39"/>
      <c r="AC133" s="39"/>
      <c r="AD133" s="39">
        <f>+AM133+BA133</f>
        <v>10</v>
      </c>
      <c r="AE133" s="235" t="s">
        <v>411</v>
      </c>
      <c r="AF133" s="35"/>
      <c r="AG133" s="35"/>
      <c r="AH133" s="35">
        <v>10</v>
      </c>
      <c r="AI133" s="35"/>
      <c r="AJ133" s="39"/>
      <c r="AK133" s="39"/>
      <c r="AL133" s="39"/>
      <c r="AM133" s="39">
        <f t="shared" si="312"/>
        <v>10</v>
      </c>
      <c r="AN133" s="39"/>
      <c r="AO133" s="39"/>
      <c r="AP133" s="39"/>
      <c r="AQ133" s="39"/>
      <c r="AR133" s="39">
        <f t="shared" si="313"/>
        <v>0</v>
      </c>
      <c r="AS133" s="39"/>
      <c r="AT133" s="39"/>
      <c r="AU133" s="39"/>
      <c r="AV133" s="39"/>
      <c r="AW133" s="39"/>
      <c r="AX133" s="39"/>
      <c r="AY133" s="39"/>
      <c r="AZ133" s="39"/>
      <c r="BA133" s="39">
        <f>+AR133+AS133+AU133+AW133+AY133+AZ133</f>
        <v>0</v>
      </c>
      <c r="BB133" s="35"/>
      <c r="BC133" s="510"/>
      <c r="BD133" s="510"/>
      <c r="BE133" s="35"/>
      <c r="BF133" s="510"/>
    </row>
    <row r="134" spans="1:58" ht="12.95" customHeight="1">
      <c r="A134" s="42"/>
      <c r="B134" s="43"/>
      <c r="C134" s="421"/>
      <c r="D134" s="43"/>
      <c r="E134" s="44"/>
      <c r="F134" s="44"/>
      <c r="G134" s="45"/>
      <c r="H134" s="46"/>
      <c r="I134" s="47"/>
      <c r="J134" s="87"/>
      <c r="K134" s="87"/>
      <c r="L134" s="37"/>
      <c r="M134" s="37"/>
      <c r="N134" s="48"/>
      <c r="O134" s="49"/>
      <c r="P134" s="50"/>
      <c r="Q134" s="49"/>
      <c r="R134" s="507"/>
      <c r="S134" s="507"/>
      <c r="T134" s="39"/>
      <c r="U134" s="39"/>
      <c r="V134" s="39"/>
      <c r="W134" s="39"/>
      <c r="X134" s="40"/>
      <c r="Y134" s="216"/>
      <c r="Z134" s="39"/>
      <c r="AA134" s="39"/>
      <c r="AB134" s="39"/>
      <c r="AC134" s="39"/>
      <c r="AD134" s="39">
        <f>+AM134+BA134</f>
        <v>1055</v>
      </c>
      <c r="AE134" s="235" t="s">
        <v>625</v>
      </c>
      <c r="AF134" s="35"/>
      <c r="AG134" s="35"/>
      <c r="AH134" s="35"/>
      <c r="AI134" s="35"/>
      <c r="AJ134" s="39"/>
      <c r="AK134" s="39"/>
      <c r="AL134" s="39"/>
      <c r="AM134" s="39">
        <f t="shared" ref="AM134" si="314">SUM(AF134:AL134)+AT134+AV134+AX134</f>
        <v>0</v>
      </c>
      <c r="AN134" s="39"/>
      <c r="AO134" s="39"/>
      <c r="AP134" s="39"/>
      <c r="AQ134" s="39"/>
      <c r="AR134" s="39">
        <f t="shared" ref="AR134" si="315">SUM(AN134:AQ134)</f>
        <v>0</v>
      </c>
      <c r="AS134" s="39"/>
      <c r="AT134" s="39"/>
      <c r="AU134" s="39"/>
      <c r="AV134" s="39"/>
      <c r="AW134" s="39"/>
      <c r="AX134" s="39"/>
      <c r="AY134" s="39"/>
      <c r="AZ134" s="39">
        <v>1055</v>
      </c>
      <c r="BA134" s="39">
        <f>+AR134+AS134+AU134+AW134+AY134+AZ134</f>
        <v>1055</v>
      </c>
      <c r="BB134" s="35"/>
      <c r="BC134" s="510"/>
      <c r="BD134" s="510"/>
      <c r="BE134" s="35"/>
      <c r="BF134" s="510"/>
    </row>
    <row r="135" spans="1:58" ht="12.95" customHeight="1">
      <c r="A135" s="42"/>
      <c r="B135" s="43"/>
      <c r="C135" s="421"/>
      <c r="D135" s="43"/>
      <c r="E135" s="44"/>
      <c r="F135" s="44"/>
      <c r="G135" s="45"/>
      <c r="H135" s="46"/>
      <c r="I135" s="47"/>
      <c r="J135" s="87"/>
      <c r="K135" s="87"/>
      <c r="L135" s="37"/>
      <c r="M135" s="37"/>
      <c r="N135" s="48"/>
      <c r="O135" s="49"/>
      <c r="P135" s="50"/>
      <c r="Q135" s="49"/>
      <c r="R135" s="507"/>
      <c r="S135" s="507"/>
      <c r="T135" s="39"/>
      <c r="U135" s="39"/>
      <c r="V135" s="39"/>
      <c r="W135" s="39"/>
      <c r="X135" s="40"/>
      <c r="Y135" s="216"/>
      <c r="Z135" s="39"/>
      <c r="AA135" s="39"/>
      <c r="AB135" s="39"/>
      <c r="AC135" s="39"/>
      <c r="AD135" s="39"/>
      <c r="AE135" s="235"/>
      <c r="AF135" s="35"/>
      <c r="AG135" s="35"/>
      <c r="AH135" s="35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5"/>
      <c r="BC135" s="510"/>
      <c r="BD135" s="53"/>
      <c r="BE135" s="53"/>
      <c r="BF135" s="53"/>
    </row>
    <row r="136" spans="1:58" ht="12.75" customHeight="1">
      <c r="A136" s="42">
        <v>45960</v>
      </c>
      <c r="B136" s="43" t="s">
        <v>399</v>
      </c>
      <c r="C136" s="421">
        <f t="shared" ref="C136" si="316">(M136*E136*O136*Q136)/100000000</f>
        <v>43.297309439999999</v>
      </c>
      <c r="D136" s="43" t="s">
        <v>304</v>
      </c>
      <c r="E136" s="44">
        <v>12</v>
      </c>
      <c r="F136" s="44">
        <v>1</v>
      </c>
      <c r="G136" s="506">
        <v>1230</v>
      </c>
      <c r="H136" s="46">
        <f>+N136</f>
        <v>0.22999999999999998</v>
      </c>
      <c r="I136" s="47">
        <v>0.88</v>
      </c>
      <c r="J136" s="87">
        <f t="shared" ref="J136" si="317">E136*G136*(1-H136)*1440/1000000*2.74</f>
        <v>44.842533120000006</v>
      </c>
      <c r="K136" s="87">
        <f t="shared" ref="K136" si="318">(IF(G136&lt;L136,L136,G136)*(1-IF(H136&lt;N136,H136,N136))*E136*O136*Q136)/100000000</f>
        <v>43.53326208</v>
      </c>
      <c r="L136" s="37">
        <v>1223.3333333333333</v>
      </c>
      <c r="M136" s="37">
        <v>941.9666666666667</v>
      </c>
      <c r="N136" s="48">
        <f t="shared" ref="N136" si="319">1-(M136/L136)</f>
        <v>0.22999999999999998</v>
      </c>
      <c r="O136" s="49">
        <f>+'Trim Rwd'!H78</f>
        <v>266</v>
      </c>
      <c r="P136" s="50">
        <f t="shared" ref="P136" si="320">O136*(Q136-R136-S136)</f>
        <v>0</v>
      </c>
      <c r="Q136" s="49">
        <v>1440</v>
      </c>
      <c r="R136" s="507">
        <v>1440</v>
      </c>
      <c r="S136" s="507">
        <v>0</v>
      </c>
      <c r="T136" s="39">
        <f t="shared" ref="T136" si="321">E136*M136*O136*Q136/100000000</f>
        <v>43.297309439999999</v>
      </c>
      <c r="U136" s="39">
        <f>E136*M136*O136*(Q136-R136-S136)/100000000</f>
        <v>0</v>
      </c>
      <c r="V136" s="39">
        <f>E136*G136*(1-N136)*O136/100*(R136+S136)/1000000</f>
        <v>43.53326208</v>
      </c>
      <c r="W136" s="39">
        <v>0</v>
      </c>
      <c r="X136" s="508">
        <f>SUM(W136:W139)/SUM(K136:K139)</f>
        <v>0</v>
      </c>
      <c r="Y136" s="216">
        <f>+'19'!D62/1000</f>
        <v>0</v>
      </c>
      <c r="Z136" s="39">
        <f>+'19'!D62/1000</f>
        <v>0</v>
      </c>
      <c r="AA136" s="51">
        <f>SUM(U136:U139)-SUM(W136:W139)-SUM(Z136:Z139)-SUM(Y136:Y139)</f>
        <v>0</v>
      </c>
      <c r="AB136" s="51">
        <f>(SUM(K136:K139)-SUM(W136:W139)-SUM(Y136:Y139)-SUM(Z136:Z139)-SUM(AC136:AC139)-SUM(V136:V139))-AA136</f>
        <v>-0.23595264000000071</v>
      </c>
      <c r="AC136" s="39">
        <f>K136-T136</f>
        <v>0.23595264000000071</v>
      </c>
      <c r="AD136" s="39">
        <f>+AM136+BA136</f>
        <v>0</v>
      </c>
      <c r="AE136" s="235" t="s">
        <v>386</v>
      </c>
      <c r="AF136" s="39">
        <v>0</v>
      </c>
      <c r="AG136" s="39"/>
      <c r="AH136" s="39"/>
      <c r="AI136" s="509"/>
      <c r="AJ136" s="39"/>
      <c r="AK136" s="39"/>
      <c r="AL136" s="39"/>
      <c r="AM136" s="39">
        <f t="shared" ref="AM136:AM138" si="322">SUM(AF136:AL136)+AT136+AV136+AX136</f>
        <v>0</v>
      </c>
      <c r="AN136" s="39"/>
      <c r="AO136" s="39"/>
      <c r="AP136" s="39"/>
      <c r="AQ136" s="39"/>
      <c r="AR136" s="39">
        <f>SUM(AN136:AQ136)</f>
        <v>0</v>
      </c>
      <c r="AS136" s="39"/>
      <c r="AT136" s="39"/>
      <c r="AU136" s="39"/>
      <c r="AV136" s="39"/>
      <c r="AW136" s="39"/>
      <c r="AX136" s="39"/>
      <c r="AY136" s="39"/>
      <c r="AZ136" s="39"/>
      <c r="BA136" s="39">
        <f>+AR136+AS136+AU136+AW136+AY136+AZ136</f>
        <v>0</v>
      </c>
      <c r="BB136" s="35">
        <v>0</v>
      </c>
      <c r="BC136" s="53"/>
      <c r="BD136" s="53"/>
      <c r="BE136" s="35"/>
      <c r="BF136" s="53"/>
    </row>
    <row r="137" spans="1:58" ht="12.95" customHeight="1">
      <c r="A137" s="42"/>
      <c r="B137" s="43"/>
      <c r="C137" s="421"/>
      <c r="D137" s="43"/>
      <c r="E137" s="44"/>
      <c r="F137" s="44"/>
      <c r="G137" s="506"/>
      <c r="H137" s="46"/>
      <c r="I137" s="47"/>
      <c r="J137" s="87"/>
      <c r="K137" s="87"/>
      <c r="L137" s="37"/>
      <c r="M137" s="37"/>
      <c r="N137" s="48"/>
      <c r="O137" s="49"/>
      <c r="P137" s="50"/>
      <c r="Q137" s="49"/>
      <c r="R137" s="507"/>
      <c r="S137" s="507"/>
      <c r="T137" s="39"/>
      <c r="U137" s="39"/>
      <c r="V137" s="39"/>
      <c r="W137" s="39"/>
      <c r="X137" s="40"/>
      <c r="Y137" s="216"/>
      <c r="Z137" s="39"/>
      <c r="AA137" s="39"/>
      <c r="AB137" s="39"/>
      <c r="AC137" s="39"/>
      <c r="AD137" s="39">
        <f>+AM137+BA137</f>
        <v>0</v>
      </c>
      <c r="AE137" s="235" t="s">
        <v>286</v>
      </c>
      <c r="AF137" s="39"/>
      <c r="AG137" s="39">
        <v>0</v>
      </c>
      <c r="AH137" s="39"/>
      <c r="AI137" s="39"/>
      <c r="AJ137" s="39"/>
      <c r="AK137" s="39"/>
      <c r="AL137" s="39"/>
      <c r="AM137" s="39">
        <f t="shared" si="322"/>
        <v>0</v>
      </c>
      <c r="AN137" s="88"/>
      <c r="AO137" s="39"/>
      <c r="AP137" s="39"/>
      <c r="AQ137" s="39"/>
      <c r="AR137" s="39">
        <f t="shared" ref="AR137:AR138" si="323">SUM(AN137:AQ137)</f>
        <v>0</v>
      </c>
      <c r="AS137" s="39"/>
      <c r="AT137" s="39"/>
      <c r="AU137" s="39"/>
      <c r="AV137" s="39"/>
      <c r="AW137" s="39"/>
      <c r="AX137" s="39"/>
      <c r="AY137" s="39"/>
      <c r="AZ137" s="39"/>
      <c r="BA137" s="39">
        <f>+AR137+AS137+AU137+AW137+AY137+AZ137</f>
        <v>0</v>
      </c>
      <c r="BB137" s="52"/>
      <c r="BC137" s="53">
        <v>0</v>
      </c>
      <c r="BD137" s="53"/>
      <c r="BE137" s="52"/>
      <c r="BF137" s="53"/>
    </row>
    <row r="138" spans="1:58" ht="12.95" customHeight="1">
      <c r="A138" s="42"/>
      <c r="B138" s="43"/>
      <c r="C138" s="421"/>
      <c r="D138" s="43"/>
      <c r="E138" s="44"/>
      <c r="F138" s="44"/>
      <c r="G138" s="45"/>
      <c r="H138" s="46"/>
      <c r="I138" s="47"/>
      <c r="J138" s="87"/>
      <c r="K138" s="87"/>
      <c r="L138" s="37"/>
      <c r="M138" s="37"/>
      <c r="N138" s="48"/>
      <c r="O138" s="49"/>
      <c r="P138" s="50"/>
      <c r="Q138" s="49"/>
      <c r="R138" s="507"/>
      <c r="S138" s="507"/>
      <c r="T138" s="39"/>
      <c r="U138" s="39"/>
      <c r="V138" s="39"/>
      <c r="W138" s="39"/>
      <c r="X138" s="40"/>
      <c r="Y138" s="216"/>
      <c r="Z138" s="39"/>
      <c r="AA138" s="39"/>
      <c r="AB138" s="39"/>
      <c r="AC138" s="39"/>
      <c r="AD138" s="39">
        <f>+AM138+BA138</f>
        <v>0</v>
      </c>
      <c r="AE138" s="235" t="s">
        <v>400</v>
      </c>
      <c r="AF138" s="35"/>
      <c r="AG138" s="35"/>
      <c r="AH138" s="35">
        <v>0</v>
      </c>
      <c r="AI138" s="35"/>
      <c r="AJ138" s="39"/>
      <c r="AK138" s="39"/>
      <c r="AL138" s="39"/>
      <c r="AM138" s="39">
        <f t="shared" si="322"/>
        <v>0</v>
      </c>
      <c r="AN138" s="39"/>
      <c r="AO138" s="39"/>
      <c r="AP138" s="39"/>
      <c r="AQ138" s="39"/>
      <c r="AR138" s="39">
        <f t="shared" si="323"/>
        <v>0</v>
      </c>
      <c r="AS138" s="39"/>
      <c r="AT138" s="39"/>
      <c r="AU138" s="39"/>
      <c r="AV138" s="39"/>
      <c r="AW138" s="39"/>
      <c r="AX138" s="39"/>
      <c r="AY138" s="39"/>
      <c r="AZ138" s="39"/>
      <c r="BA138" s="39">
        <f>+AR138+AS138+AU138+AW138+AY138+AZ138</f>
        <v>0</v>
      </c>
      <c r="BB138" s="35"/>
      <c r="BC138" s="510"/>
      <c r="BD138" s="510"/>
      <c r="BE138" s="35"/>
      <c r="BF138" s="510"/>
    </row>
    <row r="139" spans="1:58" ht="12.95" customHeight="1">
      <c r="A139" s="42"/>
      <c r="B139" s="43"/>
      <c r="C139" s="421"/>
      <c r="D139" s="43"/>
      <c r="E139" s="44"/>
      <c r="F139" s="44"/>
      <c r="G139" s="45"/>
      <c r="H139" s="46"/>
      <c r="I139" s="47"/>
      <c r="J139" s="87"/>
      <c r="K139" s="87"/>
      <c r="L139" s="37"/>
      <c r="M139" s="37"/>
      <c r="N139" s="48"/>
      <c r="O139" s="49"/>
      <c r="P139" s="50"/>
      <c r="Q139" s="49"/>
      <c r="R139" s="507"/>
      <c r="S139" s="507"/>
      <c r="T139" s="39"/>
      <c r="U139" s="39"/>
      <c r="V139" s="39"/>
      <c r="W139" s="39"/>
      <c r="X139" s="40"/>
      <c r="Y139" s="216"/>
      <c r="Z139" s="39"/>
      <c r="AA139" s="39"/>
      <c r="AB139" s="39"/>
      <c r="AC139" s="39"/>
      <c r="AD139" s="39">
        <f>+AM139+BA139</f>
        <v>1440</v>
      </c>
      <c r="AE139" s="235" t="s">
        <v>625</v>
      </c>
      <c r="AF139" s="35"/>
      <c r="AG139" s="35"/>
      <c r="AH139" s="35"/>
      <c r="AI139" s="35"/>
      <c r="AJ139" s="39"/>
      <c r="AK139" s="39"/>
      <c r="AL139" s="39"/>
      <c r="AM139" s="39">
        <f t="shared" ref="AM139" si="324">SUM(AF139:AL139)+AT139+AV139+AX139</f>
        <v>0</v>
      </c>
      <c r="AN139" s="39"/>
      <c r="AO139" s="39"/>
      <c r="AP139" s="39"/>
      <c r="AQ139" s="39"/>
      <c r="AR139" s="39">
        <f t="shared" ref="AR139" si="325">SUM(AN139:AQ139)</f>
        <v>0</v>
      </c>
      <c r="AS139" s="39"/>
      <c r="AT139" s="39"/>
      <c r="AU139" s="39"/>
      <c r="AV139" s="39"/>
      <c r="AW139" s="39"/>
      <c r="AX139" s="39"/>
      <c r="AY139" s="39"/>
      <c r="AZ139" s="39">
        <v>1440</v>
      </c>
      <c r="BA139" s="39">
        <f>+AR139+AS139+AU139+AW139+AY139+AZ139</f>
        <v>1440</v>
      </c>
      <c r="BB139" s="35"/>
      <c r="BC139" s="510"/>
      <c r="BD139" s="510"/>
      <c r="BE139" s="35"/>
      <c r="BF139" s="510"/>
    </row>
    <row r="140" spans="1:58" ht="12.95" customHeight="1">
      <c r="A140" s="42"/>
      <c r="B140" s="43"/>
      <c r="C140" s="421"/>
      <c r="D140" s="43"/>
      <c r="E140" s="44"/>
      <c r="F140" s="44"/>
      <c r="G140" s="45"/>
      <c r="H140" s="46"/>
      <c r="I140" s="47"/>
      <c r="J140" s="87"/>
      <c r="K140" s="87"/>
      <c r="L140" s="37"/>
      <c r="M140" s="37"/>
      <c r="N140" s="48"/>
      <c r="O140" s="49"/>
      <c r="P140" s="50"/>
      <c r="Q140" s="49"/>
      <c r="R140" s="507"/>
      <c r="S140" s="507"/>
      <c r="T140" s="39"/>
      <c r="U140" s="39"/>
      <c r="V140" s="39"/>
      <c r="W140" s="39"/>
      <c r="X140" s="40"/>
      <c r="Y140" s="216"/>
      <c r="Z140" s="39"/>
      <c r="AA140" s="39"/>
      <c r="AB140" s="39"/>
      <c r="AC140" s="39"/>
      <c r="AD140" s="39"/>
      <c r="AE140" s="235"/>
      <c r="AF140" s="35"/>
      <c r="AG140" s="35"/>
      <c r="AH140" s="35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5"/>
      <c r="BC140" s="510"/>
      <c r="BD140" s="53"/>
      <c r="BE140" s="53"/>
      <c r="BF140" s="53"/>
    </row>
    <row r="141" spans="1:58" ht="12.75" customHeight="1">
      <c r="A141" s="42">
        <v>45961</v>
      </c>
      <c r="B141" s="43" t="s">
        <v>399</v>
      </c>
      <c r="C141" s="421">
        <f t="shared" ref="C141" si="326">(M141*E141*O141*Q141)/100000000</f>
        <v>43.297309439999999</v>
      </c>
      <c r="D141" s="43" t="s">
        <v>304</v>
      </c>
      <c r="E141" s="44">
        <v>12</v>
      </c>
      <c r="F141" s="44">
        <v>1</v>
      </c>
      <c r="G141" s="506">
        <v>1230</v>
      </c>
      <c r="H141" s="46">
        <f>+N141</f>
        <v>0.22999999999999998</v>
      </c>
      <c r="I141" s="47">
        <v>0.88</v>
      </c>
      <c r="J141" s="87">
        <f t="shared" ref="J141" si="327">E141*G141*(1-H141)*1440/1000000*2.74</f>
        <v>44.842533120000006</v>
      </c>
      <c r="K141" s="87">
        <f t="shared" ref="K141" si="328">(IF(G141&lt;L141,L141,G141)*(1-IF(H141&lt;N141,H141,N141))*E141*O141*Q141)/100000000</f>
        <v>43.53326208</v>
      </c>
      <c r="L141" s="37">
        <v>1223.3333333333333</v>
      </c>
      <c r="M141" s="37">
        <v>941.9666666666667</v>
      </c>
      <c r="N141" s="48">
        <f t="shared" ref="N141" si="329">1-(M141/L141)</f>
        <v>0.22999999999999998</v>
      </c>
      <c r="O141" s="49">
        <f>+'Trim Rwd'!H80</f>
        <v>266</v>
      </c>
      <c r="P141" s="50">
        <f t="shared" ref="P141" si="330">O141*(Q141-R141-S141)</f>
        <v>0</v>
      </c>
      <c r="Q141" s="49">
        <v>1440</v>
      </c>
      <c r="R141" s="507">
        <v>1440</v>
      </c>
      <c r="S141" s="507">
        <v>0</v>
      </c>
      <c r="T141" s="39">
        <f t="shared" ref="T141" si="331">E141*M141*O141*Q141/100000000</f>
        <v>43.297309439999999</v>
      </c>
      <c r="U141" s="39">
        <f>E141*M141*O141*(Q141-R141-S141)/100000000</f>
        <v>0</v>
      </c>
      <c r="V141" s="39">
        <f>E141*G141*(1-N141)*O141/100*(R141+S141)/1000000</f>
        <v>43.53326208</v>
      </c>
      <c r="W141" s="39">
        <v>0</v>
      </c>
      <c r="X141" s="508">
        <f>SUM(W141:W144)/SUM(K141:K144)</f>
        <v>0</v>
      </c>
      <c r="Y141" s="216">
        <f>+'19'!D67/1000</f>
        <v>0</v>
      </c>
      <c r="Z141" s="39">
        <f>+'19'!D67/1000</f>
        <v>0</v>
      </c>
      <c r="AA141" s="51">
        <f>SUM(U141:U144)-SUM(W141:W144)-SUM(Z141:Z144)-SUM(Y141:Y144)</f>
        <v>0</v>
      </c>
      <c r="AB141" s="51">
        <f>(SUM(K141:K144)-SUM(W141:W144)-SUM(Y141:Y144)-SUM(Z141:Z144)-SUM(AC141:AC144)-SUM(V141:V144))-AA141</f>
        <v>-0.23595264000000071</v>
      </c>
      <c r="AC141" s="39">
        <f>K141-T141</f>
        <v>0.23595264000000071</v>
      </c>
      <c r="AD141" s="39">
        <f>+AM141+BA141</f>
        <v>0</v>
      </c>
      <c r="AE141" s="235" t="s">
        <v>386</v>
      </c>
      <c r="AF141" s="39">
        <v>0</v>
      </c>
      <c r="AG141" s="39"/>
      <c r="AH141" s="39"/>
      <c r="AI141" s="509"/>
      <c r="AJ141" s="39"/>
      <c r="AK141" s="39"/>
      <c r="AL141" s="39"/>
      <c r="AM141" s="39">
        <f t="shared" ref="AM141:AM143" si="332">SUM(AF141:AL141)+AT141+AV141+AX141</f>
        <v>0</v>
      </c>
      <c r="AN141" s="39"/>
      <c r="AO141" s="39"/>
      <c r="AP141" s="39"/>
      <c r="AQ141" s="39"/>
      <c r="AR141" s="39">
        <f>SUM(AN141:AQ141)</f>
        <v>0</v>
      </c>
      <c r="AS141" s="39"/>
      <c r="AT141" s="39"/>
      <c r="AU141" s="39"/>
      <c r="AV141" s="39"/>
      <c r="AW141" s="39"/>
      <c r="AX141" s="39"/>
      <c r="AY141" s="39"/>
      <c r="AZ141" s="39"/>
      <c r="BA141" s="39">
        <f>+AR141+AS141+AU141+AW141+AY141+AZ141</f>
        <v>0</v>
      </c>
      <c r="BB141" s="35">
        <v>0</v>
      </c>
      <c r="BC141" s="53"/>
      <c r="BD141" s="53"/>
      <c r="BE141" s="35"/>
      <c r="BF141" s="53"/>
    </row>
    <row r="142" spans="1:58" ht="12.95" customHeight="1">
      <c r="A142" s="42"/>
      <c r="B142" s="43"/>
      <c r="C142" s="421"/>
      <c r="D142" s="43"/>
      <c r="E142" s="44"/>
      <c r="F142" s="44"/>
      <c r="G142" s="506"/>
      <c r="H142" s="46"/>
      <c r="I142" s="47"/>
      <c r="J142" s="87"/>
      <c r="K142" s="87"/>
      <c r="L142" s="37"/>
      <c r="M142" s="37"/>
      <c r="N142" s="48"/>
      <c r="O142" s="49"/>
      <c r="P142" s="50"/>
      <c r="Q142" s="49"/>
      <c r="R142" s="507"/>
      <c r="S142" s="507"/>
      <c r="T142" s="39"/>
      <c r="U142" s="39"/>
      <c r="V142" s="39"/>
      <c r="W142" s="39"/>
      <c r="X142" s="40"/>
      <c r="Y142" s="216"/>
      <c r="Z142" s="39"/>
      <c r="AA142" s="39"/>
      <c r="AB142" s="39"/>
      <c r="AC142" s="39"/>
      <c r="AD142" s="39">
        <f>+AM142+BA142</f>
        <v>0</v>
      </c>
      <c r="AE142" s="235" t="s">
        <v>286</v>
      </c>
      <c r="AF142" s="39"/>
      <c r="AG142" s="39">
        <v>0</v>
      </c>
      <c r="AH142" s="39"/>
      <c r="AI142" s="39"/>
      <c r="AJ142" s="39"/>
      <c r="AK142" s="39"/>
      <c r="AL142" s="39"/>
      <c r="AM142" s="39">
        <f t="shared" si="332"/>
        <v>0</v>
      </c>
      <c r="AN142" s="88"/>
      <c r="AO142" s="39"/>
      <c r="AP142" s="39"/>
      <c r="AQ142" s="39"/>
      <c r="AR142" s="39">
        <f t="shared" ref="AR142:AR143" si="333">SUM(AN142:AQ142)</f>
        <v>0</v>
      </c>
      <c r="AS142" s="39"/>
      <c r="AT142" s="39"/>
      <c r="AU142" s="39"/>
      <c r="AV142" s="39"/>
      <c r="AW142" s="39"/>
      <c r="AX142" s="39"/>
      <c r="AY142" s="39"/>
      <c r="AZ142" s="39"/>
      <c r="BA142" s="39">
        <f>+AR142+AS142+AU142+AW142+AY142+AZ142</f>
        <v>0</v>
      </c>
      <c r="BB142" s="52"/>
      <c r="BC142" s="53">
        <v>0</v>
      </c>
      <c r="BD142" s="53"/>
      <c r="BE142" s="52"/>
      <c r="BF142" s="53"/>
    </row>
    <row r="143" spans="1:58" ht="12.95" customHeight="1">
      <c r="A143" s="42"/>
      <c r="B143" s="43"/>
      <c r="C143" s="421"/>
      <c r="D143" s="43"/>
      <c r="E143" s="44"/>
      <c r="F143" s="44"/>
      <c r="G143" s="45"/>
      <c r="H143" s="46"/>
      <c r="I143" s="47"/>
      <c r="J143" s="87"/>
      <c r="K143" s="87"/>
      <c r="L143" s="37"/>
      <c r="M143" s="37"/>
      <c r="N143" s="48"/>
      <c r="O143" s="49"/>
      <c r="P143" s="50"/>
      <c r="Q143" s="49"/>
      <c r="R143" s="507"/>
      <c r="S143" s="507"/>
      <c r="T143" s="39"/>
      <c r="U143" s="39"/>
      <c r="V143" s="39"/>
      <c r="W143" s="39"/>
      <c r="X143" s="40"/>
      <c r="Y143" s="216"/>
      <c r="Z143" s="39"/>
      <c r="AA143" s="39"/>
      <c r="AB143" s="39"/>
      <c r="AC143" s="39"/>
      <c r="AD143" s="39">
        <f>+AM143+BA143</f>
        <v>0</v>
      </c>
      <c r="AE143" s="235" t="s">
        <v>400</v>
      </c>
      <c r="AF143" s="35"/>
      <c r="AG143" s="35"/>
      <c r="AH143" s="35">
        <v>0</v>
      </c>
      <c r="AI143" s="35"/>
      <c r="AJ143" s="39"/>
      <c r="AK143" s="39"/>
      <c r="AL143" s="39"/>
      <c r="AM143" s="39">
        <f t="shared" si="332"/>
        <v>0</v>
      </c>
      <c r="AN143" s="39"/>
      <c r="AO143" s="39"/>
      <c r="AP143" s="39"/>
      <c r="AQ143" s="39"/>
      <c r="AR143" s="39">
        <f t="shared" si="333"/>
        <v>0</v>
      </c>
      <c r="AS143" s="39"/>
      <c r="AT143" s="39"/>
      <c r="AU143" s="39"/>
      <c r="AV143" s="39"/>
      <c r="AW143" s="39"/>
      <c r="AX143" s="39"/>
      <c r="AY143" s="39"/>
      <c r="AZ143" s="39"/>
      <c r="BA143" s="39">
        <f>+AR143+AS143+AU143+AW143+AY143+AZ143</f>
        <v>0</v>
      </c>
      <c r="BB143" s="35"/>
      <c r="BC143" s="510"/>
      <c r="BD143" s="510"/>
      <c r="BE143" s="35"/>
      <c r="BF143" s="510"/>
    </row>
    <row r="144" spans="1:58" ht="12.95" customHeight="1">
      <c r="A144" s="42"/>
      <c r="B144" s="43"/>
      <c r="C144" s="421"/>
      <c r="D144" s="43"/>
      <c r="E144" s="44"/>
      <c r="F144" s="44"/>
      <c r="G144" s="45"/>
      <c r="H144" s="46"/>
      <c r="I144" s="47"/>
      <c r="J144" s="87"/>
      <c r="K144" s="87"/>
      <c r="L144" s="37"/>
      <c r="M144" s="37"/>
      <c r="N144" s="48"/>
      <c r="O144" s="49"/>
      <c r="P144" s="50"/>
      <c r="Q144" s="49"/>
      <c r="R144" s="507"/>
      <c r="S144" s="507"/>
      <c r="T144" s="39"/>
      <c r="U144" s="39"/>
      <c r="V144" s="39"/>
      <c r="W144" s="39"/>
      <c r="X144" s="40"/>
      <c r="Y144" s="216"/>
      <c r="Z144" s="39"/>
      <c r="AA144" s="39"/>
      <c r="AB144" s="39"/>
      <c r="AC144" s="39"/>
      <c r="AD144" s="39">
        <f>+AM144+BA144</f>
        <v>1440</v>
      </c>
      <c r="AE144" s="235" t="s">
        <v>625</v>
      </c>
      <c r="AF144" s="35"/>
      <c r="AG144" s="35"/>
      <c r="AH144" s="35"/>
      <c r="AI144" s="35"/>
      <c r="AJ144" s="39"/>
      <c r="AK144" s="39"/>
      <c r="AL144" s="39"/>
      <c r="AM144" s="39">
        <f t="shared" ref="AM144" si="334">SUM(AF144:AL144)+AT144+AV144+AX144</f>
        <v>0</v>
      </c>
      <c r="AN144" s="39"/>
      <c r="AO144" s="39"/>
      <c r="AP144" s="39"/>
      <c r="AQ144" s="39"/>
      <c r="AR144" s="39">
        <f t="shared" ref="AR144" si="335">SUM(AN144:AQ144)</f>
        <v>0</v>
      </c>
      <c r="AS144" s="39"/>
      <c r="AT144" s="39"/>
      <c r="AU144" s="39"/>
      <c r="AV144" s="39"/>
      <c r="AW144" s="39"/>
      <c r="AX144" s="39"/>
      <c r="AY144" s="39"/>
      <c r="AZ144" s="39">
        <v>1440</v>
      </c>
      <c r="BA144" s="39">
        <f>+AR144+AS144+AU144+AW144+AY144+AZ144</f>
        <v>1440</v>
      </c>
      <c r="BB144" s="35"/>
      <c r="BC144" s="510"/>
      <c r="BD144" s="510"/>
      <c r="BE144" s="35"/>
      <c r="BF144" s="510"/>
    </row>
    <row r="145" spans="1:58" ht="12.95" customHeight="1">
      <c r="A145" s="42"/>
      <c r="B145" s="43"/>
      <c r="C145" s="421"/>
      <c r="D145" s="43"/>
      <c r="E145" s="44"/>
      <c r="F145" s="44"/>
      <c r="G145" s="506"/>
      <c r="H145" s="46"/>
      <c r="I145" s="47"/>
      <c r="J145" s="87"/>
      <c r="K145" s="87"/>
      <c r="L145" s="37"/>
      <c r="M145" s="37"/>
      <c r="N145" s="48"/>
      <c r="O145" s="49"/>
      <c r="P145" s="50"/>
      <c r="Q145" s="49"/>
      <c r="R145" s="507"/>
      <c r="S145" s="507"/>
      <c r="T145" s="39"/>
      <c r="U145" s="39"/>
      <c r="V145" s="39"/>
      <c r="W145" s="39"/>
      <c r="X145" s="40"/>
      <c r="Y145" s="216"/>
      <c r="Z145" s="39"/>
      <c r="AA145" s="39"/>
      <c r="AB145" s="39"/>
      <c r="AC145" s="39"/>
      <c r="AD145" s="39"/>
      <c r="AE145" s="235"/>
      <c r="AF145" s="39"/>
      <c r="AG145" s="39"/>
      <c r="AH145" s="39"/>
      <c r="AI145" s="509"/>
      <c r="AJ145" s="39"/>
      <c r="AK145" s="39"/>
      <c r="AL145" s="39"/>
      <c r="AM145" s="39"/>
      <c r="AN145" s="88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52"/>
      <c r="BC145" s="53"/>
      <c r="BD145" s="53"/>
      <c r="BE145" s="53"/>
      <c r="BF145" s="53"/>
    </row>
    <row r="146" spans="1:58" ht="12.95" customHeight="1">
      <c r="A146" s="42"/>
      <c r="B146" s="43"/>
      <c r="C146" s="421"/>
      <c r="D146" s="43"/>
      <c r="E146" s="44"/>
      <c r="F146" s="44"/>
      <c r="G146" s="45"/>
      <c r="H146" s="46"/>
      <c r="I146" s="47"/>
      <c r="J146" s="87"/>
      <c r="K146" s="87"/>
      <c r="L146" s="37"/>
      <c r="M146" s="37"/>
      <c r="N146" s="48"/>
      <c r="O146" s="49"/>
      <c r="P146" s="50"/>
      <c r="Q146" s="49"/>
      <c r="R146" s="507"/>
      <c r="S146" s="507"/>
      <c r="T146" s="39"/>
      <c r="U146" s="39"/>
      <c r="V146" s="39"/>
      <c r="W146" s="39"/>
      <c r="X146" s="40"/>
      <c r="Y146" s="216"/>
      <c r="Z146" s="39"/>
      <c r="AA146" s="39"/>
      <c r="AB146" s="39"/>
      <c r="AC146" s="39"/>
      <c r="AD146" s="39"/>
      <c r="AE146" s="235"/>
      <c r="AF146" s="35"/>
      <c r="AG146" s="35"/>
      <c r="AH146" s="35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5"/>
      <c r="BC146" s="510"/>
      <c r="BD146" s="53"/>
      <c r="BE146" s="53"/>
      <c r="BF146" s="53"/>
    </row>
    <row r="147" spans="1:58" ht="12.95" customHeight="1">
      <c r="A147" s="42"/>
      <c r="B147" s="43"/>
      <c r="C147" s="421"/>
      <c r="D147" s="43"/>
      <c r="E147" s="44"/>
      <c r="F147" s="44"/>
      <c r="G147" s="45"/>
      <c r="H147" s="46"/>
      <c r="I147" s="47"/>
      <c r="J147" s="87"/>
      <c r="K147" s="87"/>
      <c r="L147" s="37"/>
      <c r="M147" s="37"/>
      <c r="N147" s="48"/>
      <c r="O147" s="49"/>
      <c r="P147" s="50"/>
      <c r="Q147" s="36"/>
      <c r="R147" s="507"/>
      <c r="S147" s="507"/>
      <c r="T147" s="39"/>
      <c r="U147" s="39"/>
      <c r="V147" s="39"/>
      <c r="W147" s="39"/>
      <c r="X147" s="40"/>
      <c r="Y147" s="216"/>
      <c r="Z147" s="39"/>
      <c r="AA147" s="39"/>
      <c r="AB147" s="39"/>
      <c r="AC147" s="39"/>
      <c r="AD147" s="39"/>
      <c r="AE147" s="238"/>
      <c r="AF147" s="39"/>
      <c r="AG147" s="39"/>
      <c r="AH147" s="39"/>
      <c r="AI147" s="50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52"/>
      <c r="BC147" s="53"/>
      <c r="BD147" s="53"/>
      <c r="BE147" s="53"/>
      <c r="BF147" s="53"/>
    </row>
    <row r="148" spans="1:58" ht="12.95" customHeight="1">
      <c r="A148" s="42"/>
      <c r="B148" s="43"/>
      <c r="C148" s="421"/>
      <c r="D148" s="43"/>
      <c r="E148" s="44"/>
      <c r="F148" s="44"/>
      <c r="G148" s="506"/>
      <c r="H148" s="46"/>
      <c r="I148" s="47"/>
      <c r="J148" s="87"/>
      <c r="K148" s="87"/>
      <c r="L148" s="37"/>
      <c r="M148" s="37"/>
      <c r="N148" s="48"/>
      <c r="O148" s="49"/>
      <c r="P148" s="50"/>
      <c r="Q148" s="49"/>
      <c r="R148" s="507"/>
      <c r="S148" s="507"/>
      <c r="T148" s="39"/>
      <c r="U148" s="39"/>
      <c r="V148" s="39"/>
      <c r="W148" s="39"/>
      <c r="X148" s="40"/>
      <c r="Y148" s="216"/>
      <c r="Z148" s="39"/>
      <c r="AA148" s="51"/>
      <c r="AB148" s="51"/>
      <c r="AC148" s="39"/>
      <c r="AD148" s="39"/>
      <c r="AE148" s="235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5"/>
      <c r="BC148" s="53"/>
      <c r="BD148" s="53"/>
      <c r="BE148" s="53"/>
      <c r="BF148" s="53"/>
    </row>
    <row r="149" spans="1:58" ht="16.5" customHeight="1">
      <c r="A149" s="42"/>
      <c r="B149" s="43"/>
      <c r="C149" s="421"/>
      <c r="D149" s="43"/>
      <c r="E149" s="44"/>
      <c r="F149" s="44"/>
      <c r="G149" s="506"/>
      <c r="H149" s="46"/>
      <c r="I149" s="47"/>
      <c r="J149" s="87"/>
      <c r="K149" s="87"/>
      <c r="L149" s="37"/>
      <c r="M149" s="37"/>
      <c r="N149" s="48"/>
      <c r="O149" s="49"/>
      <c r="P149" s="50"/>
      <c r="Q149" s="49"/>
      <c r="R149" s="507"/>
      <c r="S149" s="507"/>
      <c r="T149" s="39"/>
      <c r="U149" s="39"/>
      <c r="V149" s="39"/>
      <c r="W149" s="39"/>
      <c r="X149" s="508"/>
      <c r="Y149" s="216"/>
      <c r="Z149" s="39"/>
      <c r="AA149" s="51"/>
      <c r="AB149" s="51"/>
      <c r="AC149" s="39"/>
      <c r="AD149" s="39"/>
      <c r="AE149" s="235"/>
      <c r="AF149" s="39"/>
      <c r="AG149" s="39"/>
      <c r="AH149" s="39"/>
      <c r="AI149" s="50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5"/>
      <c r="BC149" s="53"/>
      <c r="BD149" s="53"/>
      <c r="BE149" s="53"/>
      <c r="BF149" s="53"/>
    </row>
    <row r="150" spans="1:58" ht="12.95" customHeight="1">
      <c r="A150" s="42"/>
      <c r="B150" s="43"/>
      <c r="C150" s="421"/>
      <c r="D150" s="43"/>
      <c r="E150" s="44"/>
      <c r="F150" s="44"/>
      <c r="G150" s="506"/>
      <c r="H150" s="46"/>
      <c r="I150" s="47"/>
      <c r="J150" s="87"/>
      <c r="K150" s="87"/>
      <c r="L150" s="37"/>
      <c r="M150" s="37"/>
      <c r="N150" s="48"/>
      <c r="O150" s="49"/>
      <c r="P150" s="50"/>
      <c r="Q150" s="49"/>
      <c r="R150" s="507"/>
      <c r="S150" s="507"/>
      <c r="T150" s="39"/>
      <c r="U150" s="39"/>
      <c r="V150" s="39"/>
      <c r="W150" s="39"/>
      <c r="X150" s="40"/>
      <c r="Y150" s="216"/>
      <c r="Z150" s="39"/>
      <c r="AA150" s="39"/>
      <c r="AB150" s="39"/>
      <c r="AC150" s="39"/>
      <c r="AD150" s="39"/>
      <c r="AE150" s="235"/>
      <c r="AF150" s="39"/>
      <c r="AG150" s="39"/>
      <c r="AH150" s="39"/>
      <c r="AI150" s="509"/>
      <c r="AJ150" s="39"/>
      <c r="AK150" s="39"/>
      <c r="AL150" s="39"/>
      <c r="AM150" s="39"/>
      <c r="AN150" s="88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52"/>
      <c r="BC150" s="53"/>
      <c r="BD150" s="53"/>
      <c r="BE150" s="53"/>
      <c r="BF150" s="53"/>
    </row>
    <row r="151" spans="1:58" ht="12.95" customHeight="1">
      <c r="A151" s="42"/>
      <c r="B151" s="43"/>
      <c r="C151" s="421"/>
      <c r="D151" s="43"/>
      <c r="E151" s="44"/>
      <c r="F151" s="44"/>
      <c r="G151" s="45"/>
      <c r="H151" s="46"/>
      <c r="I151" s="47"/>
      <c r="J151" s="87"/>
      <c r="K151" s="87"/>
      <c r="L151" s="37"/>
      <c r="M151" s="37"/>
      <c r="N151" s="48"/>
      <c r="O151" s="49"/>
      <c r="P151" s="50"/>
      <c r="Q151" s="49"/>
      <c r="R151" s="507"/>
      <c r="S151" s="507"/>
      <c r="T151" s="39"/>
      <c r="U151" s="39"/>
      <c r="V151" s="39"/>
      <c r="W151" s="39"/>
      <c r="X151" s="40"/>
      <c r="Y151" s="216"/>
      <c r="Z151" s="39"/>
      <c r="AA151" s="39"/>
      <c r="AB151" s="39"/>
      <c r="AC151" s="39"/>
      <c r="AD151" s="39"/>
      <c r="AE151" s="235"/>
      <c r="AF151" s="35"/>
      <c r="AG151" s="35"/>
      <c r="AH151" s="35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5"/>
      <c r="BC151" s="510"/>
      <c r="BD151" s="53"/>
      <c r="BE151" s="53"/>
      <c r="BF151" s="53"/>
    </row>
    <row r="152" spans="1:58" ht="12.95" customHeight="1">
      <c r="A152" s="42"/>
      <c r="B152" s="43"/>
      <c r="C152" s="421"/>
      <c r="D152" s="43"/>
      <c r="E152" s="44"/>
      <c r="F152" s="44"/>
      <c r="G152" s="45"/>
      <c r="H152" s="46"/>
      <c r="I152" s="47"/>
      <c r="J152" s="87"/>
      <c r="K152" s="87"/>
      <c r="L152" s="37"/>
      <c r="M152" s="37"/>
      <c r="N152" s="48"/>
      <c r="O152" s="49"/>
      <c r="P152" s="50"/>
      <c r="Q152" s="36"/>
      <c r="R152" s="507"/>
      <c r="S152" s="507"/>
      <c r="T152" s="39"/>
      <c r="U152" s="39"/>
      <c r="V152" s="39"/>
      <c r="W152" s="39"/>
      <c r="X152" s="40"/>
      <c r="Y152" s="216"/>
      <c r="Z152" s="39"/>
      <c r="AA152" s="39"/>
      <c r="AB152" s="39"/>
      <c r="AC152" s="39"/>
      <c r="AD152" s="39"/>
      <c r="AE152" s="238"/>
      <c r="AF152" s="39"/>
      <c r="AG152" s="39"/>
      <c r="AH152" s="39"/>
      <c r="AI152" s="50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52"/>
      <c r="BC152" s="53"/>
      <c r="BD152" s="53"/>
      <c r="BE152" s="53"/>
      <c r="BF152" s="53"/>
    </row>
    <row r="153" spans="1:58" ht="12.95" customHeight="1">
      <c r="A153" s="42"/>
      <c r="B153" s="43"/>
      <c r="C153" s="421"/>
      <c r="D153" s="43"/>
      <c r="E153" s="44"/>
      <c r="F153" s="44"/>
      <c r="G153" s="506"/>
      <c r="H153" s="46"/>
      <c r="I153" s="47"/>
      <c r="J153" s="87"/>
      <c r="K153" s="87"/>
      <c r="L153" s="37"/>
      <c r="M153" s="37"/>
      <c r="N153" s="48"/>
      <c r="O153" s="49"/>
      <c r="P153" s="50"/>
      <c r="Q153" s="49"/>
      <c r="R153" s="507"/>
      <c r="S153" s="507"/>
      <c r="T153" s="39"/>
      <c r="U153" s="39"/>
      <c r="V153" s="39"/>
      <c r="W153" s="39"/>
      <c r="X153" s="40"/>
      <c r="Y153" s="216"/>
      <c r="Z153" s="39"/>
      <c r="AA153" s="51"/>
      <c r="AB153" s="51"/>
      <c r="AC153" s="39"/>
      <c r="AD153" s="39"/>
      <c r="AE153" s="235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5"/>
      <c r="BC153" s="53"/>
      <c r="BD153" s="53"/>
      <c r="BE153" s="53"/>
      <c r="BF153" s="53"/>
    </row>
    <row r="154" spans="1:58" ht="16.5" customHeight="1">
      <c r="A154" s="42"/>
      <c r="B154" s="43"/>
      <c r="C154" s="421"/>
      <c r="D154" s="43"/>
      <c r="E154" s="44"/>
      <c r="F154" s="44"/>
      <c r="G154" s="506"/>
      <c r="H154" s="46"/>
      <c r="I154" s="47"/>
      <c r="J154" s="87"/>
      <c r="K154" s="87"/>
      <c r="L154" s="37"/>
      <c r="M154" s="37"/>
      <c r="N154" s="48"/>
      <c r="O154" s="49"/>
      <c r="P154" s="50"/>
      <c r="Q154" s="49"/>
      <c r="R154" s="507"/>
      <c r="S154" s="507"/>
      <c r="T154" s="39"/>
      <c r="U154" s="39"/>
      <c r="V154" s="39"/>
      <c r="W154" s="39"/>
      <c r="X154" s="508"/>
      <c r="Y154" s="216"/>
      <c r="Z154" s="39"/>
      <c r="AA154" s="51"/>
      <c r="AB154" s="51"/>
      <c r="AC154" s="39"/>
      <c r="AD154" s="39"/>
      <c r="AE154" s="235"/>
      <c r="AF154" s="39"/>
      <c r="AG154" s="39"/>
      <c r="AH154" s="39"/>
      <c r="AI154" s="50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5"/>
      <c r="BC154" s="53"/>
      <c r="BD154" s="53"/>
      <c r="BE154" s="53"/>
      <c r="BF154" s="53"/>
    </row>
    <row r="155" spans="1:58" ht="12.95" customHeight="1">
      <c r="A155" s="42"/>
      <c r="B155" s="43"/>
      <c r="C155" s="421"/>
      <c r="D155" s="43"/>
      <c r="E155" s="44"/>
      <c r="F155" s="44"/>
      <c r="G155" s="506"/>
      <c r="H155" s="46"/>
      <c r="I155" s="47"/>
      <c r="J155" s="87"/>
      <c r="K155" s="87"/>
      <c r="L155" s="37"/>
      <c r="M155" s="37"/>
      <c r="N155" s="48"/>
      <c r="O155" s="49"/>
      <c r="P155" s="50"/>
      <c r="Q155" s="49"/>
      <c r="R155" s="507"/>
      <c r="S155" s="507"/>
      <c r="T155" s="39"/>
      <c r="U155" s="39"/>
      <c r="V155" s="39"/>
      <c r="W155" s="39"/>
      <c r="X155" s="40"/>
      <c r="Y155" s="216"/>
      <c r="Z155" s="39"/>
      <c r="AA155" s="39"/>
      <c r="AB155" s="39"/>
      <c r="AC155" s="39"/>
      <c r="AD155" s="39"/>
      <c r="AE155" s="235"/>
      <c r="AF155" s="39"/>
      <c r="AG155" s="39"/>
      <c r="AH155" s="39"/>
      <c r="AI155" s="509"/>
      <c r="AJ155" s="39"/>
      <c r="AK155" s="39"/>
      <c r="AL155" s="39"/>
      <c r="AM155" s="39"/>
      <c r="AN155" s="88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52"/>
      <c r="BC155" s="53"/>
      <c r="BD155" s="53"/>
      <c r="BE155" s="53"/>
      <c r="BF155" s="53"/>
    </row>
    <row r="156" spans="1:58" ht="12.95" customHeight="1">
      <c r="A156" s="42"/>
      <c r="B156" s="43"/>
      <c r="C156" s="421"/>
      <c r="D156" s="43"/>
      <c r="E156" s="44"/>
      <c r="F156" s="44"/>
      <c r="G156" s="45"/>
      <c r="H156" s="46"/>
      <c r="I156" s="47"/>
      <c r="J156" s="87"/>
      <c r="K156" s="87"/>
      <c r="L156" s="37"/>
      <c r="M156" s="37"/>
      <c r="N156" s="48"/>
      <c r="O156" s="49"/>
      <c r="P156" s="50"/>
      <c r="Q156" s="49"/>
      <c r="R156" s="507"/>
      <c r="S156" s="507"/>
      <c r="T156" s="39"/>
      <c r="U156" s="39"/>
      <c r="V156" s="39"/>
      <c r="W156" s="39"/>
      <c r="X156" s="40"/>
      <c r="Y156" s="216"/>
      <c r="Z156" s="39"/>
      <c r="AA156" s="39"/>
      <c r="AB156" s="39"/>
      <c r="AC156" s="39"/>
      <c r="AD156" s="39"/>
      <c r="AE156" s="235"/>
      <c r="AF156" s="35"/>
      <c r="AG156" s="35"/>
      <c r="AH156" s="35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5"/>
      <c r="BC156" s="510"/>
      <c r="BD156" s="53"/>
      <c r="BE156" s="53"/>
      <c r="BF156" s="53"/>
    </row>
    <row r="157" spans="1:58" ht="12.95" customHeight="1">
      <c r="A157" s="42"/>
      <c r="B157" s="43"/>
      <c r="C157" s="421"/>
      <c r="D157" s="43"/>
      <c r="E157" s="44"/>
      <c r="F157" s="44"/>
      <c r="G157" s="45"/>
      <c r="H157" s="46"/>
      <c r="I157" s="47"/>
      <c r="J157" s="87"/>
      <c r="K157" s="87"/>
      <c r="L157" s="37"/>
      <c r="M157" s="37"/>
      <c r="N157" s="48"/>
      <c r="O157" s="49"/>
      <c r="P157" s="50"/>
      <c r="Q157" s="36"/>
      <c r="R157" s="507"/>
      <c r="S157" s="507"/>
      <c r="T157" s="39"/>
      <c r="U157" s="39"/>
      <c r="V157" s="39"/>
      <c r="W157" s="39"/>
      <c r="X157" s="40"/>
      <c r="Y157" s="216"/>
      <c r="Z157" s="39"/>
      <c r="AA157" s="39"/>
      <c r="AB157" s="39"/>
      <c r="AC157" s="39"/>
      <c r="AD157" s="39"/>
      <c r="AE157" s="238"/>
      <c r="AF157" s="39"/>
      <c r="AG157" s="39"/>
      <c r="AH157" s="39"/>
      <c r="AI157" s="50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52"/>
      <c r="BC157" s="53"/>
      <c r="BD157" s="53"/>
      <c r="BE157" s="53"/>
      <c r="BF157" s="53"/>
    </row>
    <row r="158" spans="1:58" ht="12.75" customHeight="1">
      <c r="A158" s="42"/>
      <c r="B158" s="3"/>
      <c r="C158" s="421"/>
      <c r="D158" s="43"/>
      <c r="E158" s="44"/>
      <c r="F158" s="44"/>
      <c r="G158" s="45"/>
      <c r="H158" s="46"/>
      <c r="I158" s="47"/>
      <c r="J158" s="87"/>
      <c r="K158" s="87"/>
      <c r="L158" s="37"/>
      <c r="M158" s="37"/>
      <c r="N158" s="48"/>
      <c r="O158" s="49"/>
      <c r="P158" s="50"/>
      <c r="Q158" s="36"/>
      <c r="R158" s="507"/>
      <c r="S158" s="507"/>
      <c r="T158" s="39"/>
      <c r="U158" s="39"/>
      <c r="V158" s="39"/>
      <c r="W158" s="39"/>
      <c r="X158" s="40"/>
      <c r="Y158" s="40"/>
      <c r="Z158" s="39"/>
      <c r="AA158" s="51"/>
      <c r="AB158" s="51"/>
      <c r="AC158" s="39"/>
      <c r="AD158" s="39"/>
      <c r="AE158" s="235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5"/>
      <c r="BC158" s="53"/>
      <c r="BD158" s="53"/>
      <c r="BE158" s="53"/>
      <c r="BF158" s="53"/>
    </row>
    <row r="159" spans="1:58" ht="12.95" customHeight="1">
      <c r="A159" s="42"/>
      <c r="B159" s="43"/>
      <c r="C159" s="421"/>
      <c r="D159" s="43"/>
      <c r="E159" s="44"/>
      <c r="F159" s="44"/>
      <c r="G159" s="506"/>
      <c r="H159" s="46"/>
      <c r="I159" s="47"/>
      <c r="J159" s="87"/>
      <c r="K159" s="87"/>
      <c r="L159" s="37"/>
      <c r="M159" s="37"/>
      <c r="N159" s="48"/>
      <c r="O159" s="49"/>
      <c r="P159" s="50"/>
      <c r="Q159" s="49"/>
      <c r="R159" s="507"/>
      <c r="S159" s="507"/>
      <c r="T159" s="39"/>
      <c r="U159" s="39"/>
      <c r="V159" s="39"/>
      <c r="W159" s="39"/>
      <c r="X159" s="508"/>
      <c r="Y159" s="216"/>
      <c r="Z159" s="39"/>
      <c r="AA159" s="51"/>
      <c r="AB159" s="51"/>
      <c r="AC159" s="39"/>
      <c r="AD159" s="39"/>
      <c r="AE159" s="235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5"/>
      <c r="BC159" s="53"/>
      <c r="BD159" s="53"/>
      <c r="BE159" s="53"/>
      <c r="BF159" s="53"/>
    </row>
    <row r="160" spans="1:58" ht="12.95" customHeight="1">
      <c r="A160" s="42"/>
      <c r="B160" s="43"/>
      <c r="C160" s="421"/>
      <c r="D160" s="43"/>
      <c r="E160" s="44"/>
      <c r="F160" s="44"/>
      <c r="G160" s="45"/>
      <c r="H160" s="46"/>
      <c r="I160" s="47"/>
      <c r="J160" s="87"/>
      <c r="K160" s="87"/>
      <c r="L160" s="37"/>
      <c r="M160" s="37"/>
      <c r="N160" s="48"/>
      <c r="O160" s="49"/>
      <c r="P160" s="50"/>
      <c r="Q160" s="49"/>
      <c r="R160" s="507"/>
      <c r="S160" s="507"/>
      <c r="T160" s="39"/>
      <c r="U160" s="39"/>
      <c r="V160" s="39"/>
      <c r="W160" s="39"/>
      <c r="X160" s="508"/>
      <c r="Y160" s="216"/>
      <c r="Z160" s="39"/>
      <c r="AA160" s="51"/>
      <c r="AB160" s="51"/>
      <c r="AC160" s="39"/>
      <c r="AD160" s="39"/>
      <c r="AE160" s="235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5"/>
      <c r="BC160" s="53"/>
      <c r="BD160" s="53"/>
      <c r="BE160" s="53"/>
      <c r="BF160" s="53"/>
    </row>
    <row r="161" spans="1:58" ht="12.95" customHeight="1">
      <c r="A161" s="42"/>
      <c r="B161" s="43"/>
      <c r="C161" s="421"/>
      <c r="D161" s="43"/>
      <c r="E161" s="44"/>
      <c r="F161" s="44"/>
      <c r="G161" s="45"/>
      <c r="H161" s="46"/>
      <c r="I161" s="47"/>
      <c r="J161" s="87"/>
      <c r="K161" s="87"/>
      <c r="L161" s="37"/>
      <c r="M161" s="37"/>
      <c r="N161" s="48"/>
      <c r="O161" s="49"/>
      <c r="P161" s="50"/>
      <c r="Q161" s="49"/>
      <c r="R161" s="507"/>
      <c r="S161" s="507"/>
      <c r="T161" s="39"/>
      <c r="U161" s="39"/>
      <c r="V161" s="39"/>
      <c r="W161" s="39"/>
      <c r="X161" s="40"/>
      <c r="Y161" s="216"/>
      <c r="Z161" s="39"/>
      <c r="AA161" s="39"/>
      <c r="AB161" s="39"/>
      <c r="AC161" s="39"/>
      <c r="AD161" s="39"/>
      <c r="AE161" s="235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5"/>
      <c r="BC161" s="53"/>
      <c r="BD161" s="53"/>
      <c r="BE161" s="53"/>
      <c r="BF161" s="53"/>
    </row>
    <row r="162" spans="1:58" ht="12.95" customHeight="1">
      <c r="A162" s="42"/>
      <c r="B162" s="43"/>
      <c r="C162" s="421"/>
      <c r="D162" s="43"/>
      <c r="E162" s="44"/>
      <c r="F162" s="44"/>
      <c r="G162" s="45"/>
      <c r="H162" s="46"/>
      <c r="I162" s="47"/>
      <c r="J162" s="87"/>
      <c r="K162" s="87"/>
      <c r="L162" s="37"/>
      <c r="M162" s="37"/>
      <c r="N162" s="48"/>
      <c r="O162" s="49"/>
      <c r="P162" s="50"/>
      <c r="Q162" s="49"/>
      <c r="R162" s="507"/>
      <c r="S162" s="507"/>
      <c r="T162" s="39"/>
      <c r="U162" s="39"/>
      <c r="V162" s="39"/>
      <c r="W162" s="39"/>
      <c r="X162" s="40"/>
      <c r="Y162" s="216"/>
      <c r="Z162" s="39"/>
      <c r="AA162" s="39"/>
      <c r="AB162" s="39"/>
      <c r="AC162" s="39"/>
      <c r="AD162" s="39"/>
      <c r="AE162" s="235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5"/>
      <c r="BC162" s="53"/>
      <c r="BD162" s="53"/>
      <c r="BE162" s="53"/>
      <c r="BF162" s="53"/>
    </row>
    <row r="163" spans="1:58" ht="12.95" customHeight="1">
      <c r="A163" s="42"/>
      <c r="B163" s="3"/>
      <c r="C163" s="421"/>
      <c r="D163" s="43"/>
      <c r="E163" s="44"/>
      <c r="F163" s="44"/>
      <c r="G163" s="45"/>
      <c r="H163" s="46"/>
      <c r="I163" s="47"/>
      <c r="J163" s="87"/>
      <c r="K163" s="87"/>
      <c r="L163" s="37"/>
      <c r="M163" s="37"/>
      <c r="N163" s="48"/>
      <c r="O163" s="49"/>
      <c r="P163" s="50"/>
      <c r="Q163" s="36"/>
      <c r="R163" s="507"/>
      <c r="S163" s="507"/>
      <c r="T163" s="39"/>
      <c r="U163" s="39"/>
      <c r="V163" s="39"/>
      <c r="W163" s="39"/>
      <c r="X163" s="40"/>
      <c r="Y163" s="40"/>
      <c r="Z163" s="39"/>
      <c r="AA163" s="51"/>
      <c r="AB163" s="51"/>
      <c r="AC163" s="39"/>
      <c r="AD163" s="39"/>
      <c r="AE163" s="21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5"/>
      <c r="BC163" s="53"/>
      <c r="BD163" s="510"/>
      <c r="BE163" s="35"/>
      <c r="BF163" s="510"/>
    </row>
    <row r="164" spans="1:58" ht="12.75" customHeight="1">
      <c r="A164" s="42"/>
      <c r="B164" s="43"/>
      <c r="C164" s="421"/>
      <c r="D164" s="43"/>
      <c r="E164" s="44"/>
      <c r="F164" s="44"/>
      <c r="G164" s="45"/>
      <c r="H164" s="46"/>
      <c r="I164" s="47"/>
      <c r="J164" s="87"/>
      <c r="K164" s="87"/>
      <c r="L164" s="37"/>
      <c r="M164" s="37"/>
      <c r="N164" s="48"/>
      <c r="O164" s="49"/>
      <c r="P164" s="50"/>
      <c r="Q164" s="49"/>
      <c r="R164" s="507"/>
      <c r="S164" s="507"/>
      <c r="T164" s="39"/>
      <c r="U164" s="39"/>
      <c r="V164" s="39"/>
      <c r="W164" s="39"/>
      <c r="X164" s="508"/>
      <c r="Y164" s="216"/>
      <c r="Z164" s="39"/>
      <c r="AA164" s="51"/>
      <c r="AB164" s="51"/>
      <c r="AC164" s="39"/>
      <c r="AD164" s="39"/>
      <c r="AE164" s="235"/>
      <c r="AF164" s="39"/>
      <c r="AG164" s="39"/>
      <c r="AH164" s="39"/>
      <c r="AI164" s="39"/>
      <c r="AJ164" s="39"/>
      <c r="AK164" s="39"/>
      <c r="AL164" s="39"/>
      <c r="AM164" s="39">
        <f t="shared" ref="AM164:AM188" si="336">SUM(AF164:AL164)</f>
        <v>0</v>
      </c>
      <c r="AN164" s="39"/>
      <c r="AO164" s="39"/>
      <c r="AP164" s="39"/>
      <c r="AQ164" s="39"/>
      <c r="AR164" s="39">
        <f t="shared" ref="AR164:AR188" si="337">SUM(AN164:AQ164)</f>
        <v>0</v>
      </c>
      <c r="AS164" s="39"/>
      <c r="AT164" s="39"/>
      <c r="AU164" s="39"/>
      <c r="AV164" s="39"/>
      <c r="AW164" s="39"/>
      <c r="AX164" s="39"/>
      <c r="AY164" s="39"/>
      <c r="AZ164" s="39"/>
      <c r="BA164" s="39"/>
      <c r="BB164" s="35"/>
      <c r="BC164" s="53"/>
      <c r="BD164" s="510"/>
      <c r="BE164" s="35"/>
      <c r="BF164" s="510"/>
    </row>
    <row r="165" spans="1:58" ht="12.95" customHeight="1">
      <c r="A165" s="42"/>
      <c r="B165" s="43"/>
      <c r="C165" s="421"/>
      <c r="D165" s="43"/>
      <c r="E165" s="44"/>
      <c r="F165" s="44"/>
      <c r="G165" s="45"/>
      <c r="H165" s="46"/>
      <c r="I165" s="47"/>
      <c r="J165" s="87"/>
      <c r="K165" s="87"/>
      <c r="L165" s="37"/>
      <c r="M165" s="37"/>
      <c r="N165" s="48"/>
      <c r="O165" s="49"/>
      <c r="P165" s="50"/>
      <c r="Q165" s="49"/>
      <c r="R165" s="507"/>
      <c r="S165" s="507"/>
      <c r="T165" s="39"/>
      <c r="U165" s="39"/>
      <c r="V165" s="39"/>
      <c r="W165" s="39"/>
      <c r="X165" s="40"/>
      <c r="Y165" s="216"/>
      <c r="Z165" s="39"/>
      <c r="AA165" s="39"/>
      <c r="AB165" s="39"/>
      <c r="AC165" s="39"/>
      <c r="AD165" s="39"/>
      <c r="AE165" s="235"/>
      <c r="AF165" s="39"/>
      <c r="AG165" s="39"/>
      <c r="AH165" s="39"/>
      <c r="AI165" s="39"/>
      <c r="AJ165" s="39"/>
      <c r="AK165" s="39"/>
      <c r="AL165" s="39"/>
      <c r="AM165" s="39">
        <f t="shared" si="336"/>
        <v>0</v>
      </c>
      <c r="AN165" s="39"/>
      <c r="AO165" s="39"/>
      <c r="AP165" s="39"/>
      <c r="AQ165" s="39"/>
      <c r="AR165" s="39">
        <f t="shared" si="337"/>
        <v>0</v>
      </c>
      <c r="AS165" s="39"/>
      <c r="AT165" s="39"/>
      <c r="AU165" s="39"/>
      <c r="AV165" s="39"/>
      <c r="AW165" s="39"/>
      <c r="AX165" s="39"/>
      <c r="AY165" s="39"/>
      <c r="AZ165" s="39"/>
      <c r="BA165" s="39"/>
      <c r="BB165" s="35"/>
      <c r="BC165" s="53"/>
      <c r="BD165" s="53"/>
      <c r="BE165" s="53"/>
      <c r="BF165" s="53"/>
    </row>
    <row r="166" spans="1:58" ht="12.95" customHeight="1">
      <c r="A166" s="42"/>
      <c r="B166" s="43"/>
      <c r="C166" s="421"/>
      <c r="D166" s="43"/>
      <c r="E166" s="44"/>
      <c r="F166" s="44"/>
      <c r="G166" s="45"/>
      <c r="H166" s="46"/>
      <c r="I166" s="47"/>
      <c r="J166" s="87"/>
      <c r="K166" s="87"/>
      <c r="L166" s="37"/>
      <c r="M166" s="37"/>
      <c r="N166" s="48"/>
      <c r="O166" s="49"/>
      <c r="P166" s="50"/>
      <c r="Q166" s="49"/>
      <c r="R166" s="507"/>
      <c r="S166" s="507"/>
      <c r="T166" s="39"/>
      <c r="U166" s="39"/>
      <c r="V166" s="39"/>
      <c r="W166" s="39"/>
      <c r="X166" s="40"/>
      <c r="Y166" s="216"/>
      <c r="Z166" s="39"/>
      <c r="AA166" s="39"/>
      <c r="AB166" s="39"/>
      <c r="AC166" s="39"/>
      <c r="AD166" s="39"/>
      <c r="AE166" s="21"/>
      <c r="AF166" s="39"/>
      <c r="AG166" s="39"/>
      <c r="AH166" s="39"/>
      <c r="AI166" s="39"/>
      <c r="AJ166" s="39"/>
      <c r="AK166" s="39"/>
      <c r="AL166" s="39"/>
      <c r="AM166" s="39">
        <f t="shared" si="336"/>
        <v>0</v>
      </c>
      <c r="AN166" s="39"/>
      <c r="AO166" s="39"/>
      <c r="AP166" s="39"/>
      <c r="AQ166" s="39"/>
      <c r="AR166" s="39">
        <f t="shared" si="337"/>
        <v>0</v>
      </c>
      <c r="AS166" s="39"/>
      <c r="AT166" s="39"/>
      <c r="AU166" s="39"/>
      <c r="AV166" s="39"/>
      <c r="AW166" s="39"/>
      <c r="AX166" s="39"/>
      <c r="AY166" s="39"/>
      <c r="AZ166" s="39"/>
      <c r="BA166" s="39"/>
      <c r="BB166" s="35"/>
      <c r="BC166" s="53"/>
      <c r="BD166" s="53"/>
      <c r="BE166" s="53"/>
      <c r="BF166" s="53"/>
    </row>
    <row r="167" spans="1:58" ht="12.95" customHeight="1">
      <c r="A167" s="42"/>
      <c r="B167" s="43"/>
      <c r="C167" s="421"/>
      <c r="D167" s="43"/>
      <c r="E167" s="44"/>
      <c r="F167" s="44"/>
      <c r="G167" s="45"/>
      <c r="H167" s="46"/>
      <c r="I167" s="47"/>
      <c r="J167" s="87"/>
      <c r="K167" s="87"/>
      <c r="L167" s="37"/>
      <c r="M167" s="37"/>
      <c r="N167" s="48"/>
      <c r="O167" s="49"/>
      <c r="P167" s="50"/>
      <c r="Q167" s="49"/>
      <c r="R167" s="507"/>
      <c r="S167" s="507"/>
      <c r="T167" s="39"/>
      <c r="U167" s="39"/>
      <c r="V167" s="39"/>
      <c r="W167" s="39"/>
      <c r="X167" s="40"/>
      <c r="Y167" s="216"/>
      <c r="Z167" s="39"/>
      <c r="AA167" s="39"/>
      <c r="AB167" s="39"/>
      <c r="AC167" s="39"/>
      <c r="AD167" s="39"/>
      <c r="AE167" s="21"/>
      <c r="AF167" s="39"/>
      <c r="AG167" s="39"/>
      <c r="AH167" s="39"/>
      <c r="AI167" s="39"/>
      <c r="AJ167" s="39"/>
      <c r="AK167" s="39"/>
      <c r="AL167" s="39"/>
      <c r="AM167" s="39">
        <f t="shared" si="336"/>
        <v>0</v>
      </c>
      <c r="AN167" s="39"/>
      <c r="AO167" s="39"/>
      <c r="AP167" s="39"/>
      <c r="AQ167" s="39"/>
      <c r="AR167" s="39">
        <f t="shared" si="337"/>
        <v>0</v>
      </c>
      <c r="AS167" s="39"/>
      <c r="AT167" s="39"/>
      <c r="AU167" s="39"/>
      <c r="AV167" s="39"/>
      <c r="AW167" s="39"/>
      <c r="AX167" s="39"/>
      <c r="AY167" s="39"/>
      <c r="AZ167" s="39"/>
      <c r="BA167" s="39"/>
      <c r="BB167" s="35"/>
      <c r="BC167" s="53"/>
      <c r="BD167" s="53"/>
      <c r="BE167" s="53"/>
      <c r="BF167" s="53"/>
    </row>
    <row r="168" spans="1:58" ht="12.95" customHeight="1">
      <c r="A168" s="42"/>
      <c r="B168" s="3"/>
      <c r="C168" s="421"/>
      <c r="D168" s="43"/>
      <c r="E168" s="252"/>
      <c r="F168" s="44"/>
      <c r="G168" s="45"/>
      <c r="H168" s="46"/>
      <c r="I168" s="47"/>
      <c r="J168" s="87"/>
      <c r="K168" s="87"/>
      <c r="L168" s="37"/>
      <c r="M168" s="37"/>
      <c r="N168" s="48"/>
      <c r="O168" s="49"/>
      <c r="P168" s="50"/>
      <c r="Q168" s="338"/>
      <c r="R168" s="52"/>
      <c r="S168" s="52"/>
      <c r="T168" s="39"/>
      <c r="U168" s="39"/>
      <c r="V168" s="39"/>
      <c r="W168" s="35"/>
      <c r="X168" s="40"/>
      <c r="Y168" s="40"/>
      <c r="Z168" s="35"/>
      <c r="AA168" s="51"/>
      <c r="AB168" s="51"/>
      <c r="AC168" s="39"/>
      <c r="AD168" s="39"/>
      <c r="AE168" s="22"/>
      <c r="AF168" s="39"/>
      <c r="AG168" s="39"/>
      <c r="AH168" s="39"/>
      <c r="AI168" s="39"/>
      <c r="AJ168" s="39"/>
      <c r="AK168" s="39"/>
      <c r="AL168" s="39"/>
      <c r="AM168" s="39">
        <f t="shared" si="336"/>
        <v>0</v>
      </c>
      <c r="AN168" s="39"/>
      <c r="AO168" s="39"/>
      <c r="AP168" s="39"/>
      <c r="AQ168" s="39"/>
      <c r="AR168" s="39">
        <f t="shared" si="337"/>
        <v>0</v>
      </c>
      <c r="AS168" s="39"/>
      <c r="AT168" s="39"/>
      <c r="AU168" s="39"/>
      <c r="AV168" s="39"/>
      <c r="AW168" s="39"/>
      <c r="AX168" s="39"/>
      <c r="AY168" s="39"/>
      <c r="AZ168" s="39"/>
      <c r="BA168" s="39"/>
      <c r="BB168" s="35"/>
      <c r="BC168" s="53"/>
      <c r="BD168" s="53"/>
      <c r="BE168" s="53"/>
      <c r="BF168" s="53"/>
    </row>
    <row r="169" spans="1:58" ht="12.95" customHeight="1">
      <c r="A169" s="42"/>
      <c r="B169" s="3"/>
      <c r="C169" s="421"/>
      <c r="D169" s="43"/>
      <c r="E169" s="252"/>
      <c r="F169" s="44"/>
      <c r="G169" s="45"/>
      <c r="H169" s="46"/>
      <c r="I169" s="47"/>
      <c r="J169" s="87"/>
      <c r="K169" s="87"/>
      <c r="L169" s="37"/>
      <c r="M169" s="37"/>
      <c r="N169" s="48"/>
      <c r="O169" s="49"/>
      <c r="P169" s="50"/>
      <c r="Q169" s="338"/>
      <c r="R169" s="52"/>
      <c r="S169" s="52"/>
      <c r="T169" s="39"/>
      <c r="U169" s="39"/>
      <c r="V169" s="39"/>
      <c r="W169" s="35"/>
      <c r="X169" s="40"/>
      <c r="Y169" s="40"/>
      <c r="Z169" s="35"/>
      <c r="AA169" s="51"/>
      <c r="AB169" s="51"/>
      <c r="AC169" s="39"/>
      <c r="AD169" s="39"/>
      <c r="AE169" s="22"/>
      <c r="AF169" s="39"/>
      <c r="AG169" s="39"/>
      <c r="AH169" s="39"/>
      <c r="AI169" s="39"/>
      <c r="AJ169" s="39"/>
      <c r="AK169" s="39"/>
      <c r="AL169" s="39"/>
      <c r="AM169" s="39">
        <f t="shared" si="336"/>
        <v>0</v>
      </c>
      <c r="AN169" s="39"/>
      <c r="AO169" s="39"/>
      <c r="AP169" s="39"/>
      <c r="AQ169" s="39"/>
      <c r="AR169" s="39">
        <f t="shared" si="337"/>
        <v>0</v>
      </c>
      <c r="AS169" s="39"/>
      <c r="AT169" s="39"/>
      <c r="AU169" s="39"/>
      <c r="AV169" s="39"/>
      <c r="AW169" s="39"/>
      <c r="AX169" s="39"/>
      <c r="AY169" s="39"/>
      <c r="AZ169" s="39"/>
      <c r="BA169" s="39"/>
      <c r="BB169" s="35"/>
      <c r="BC169" s="53"/>
      <c r="BD169" s="53"/>
      <c r="BE169" s="53"/>
      <c r="BF169" s="53"/>
    </row>
    <row r="170" spans="1:58" ht="12.95" customHeight="1">
      <c r="A170" s="42"/>
      <c r="B170" s="3"/>
      <c r="C170" s="421"/>
      <c r="D170" s="43"/>
      <c r="E170" s="252"/>
      <c r="F170" s="44"/>
      <c r="G170" s="45"/>
      <c r="H170" s="46"/>
      <c r="I170" s="47"/>
      <c r="J170" s="87"/>
      <c r="K170" s="87"/>
      <c r="L170" s="37"/>
      <c r="M170" s="37"/>
      <c r="N170" s="48"/>
      <c r="O170" s="49"/>
      <c r="P170" s="50"/>
      <c r="Q170" s="338"/>
      <c r="R170" s="52"/>
      <c r="S170" s="52"/>
      <c r="T170" s="39"/>
      <c r="U170" s="39"/>
      <c r="V170" s="39"/>
      <c r="W170" s="35"/>
      <c r="X170" s="40"/>
      <c r="Y170" s="40"/>
      <c r="Z170" s="35"/>
      <c r="AA170" s="51"/>
      <c r="AB170" s="51"/>
      <c r="AC170" s="39"/>
      <c r="AD170" s="39"/>
      <c r="AE170" s="22"/>
      <c r="AF170" s="39"/>
      <c r="AG170" s="39"/>
      <c r="AH170" s="39"/>
      <c r="AI170" s="39"/>
      <c r="AJ170" s="39"/>
      <c r="AK170" s="39"/>
      <c r="AL170" s="39"/>
      <c r="AM170" s="39">
        <f t="shared" si="336"/>
        <v>0</v>
      </c>
      <c r="AN170" s="39"/>
      <c r="AO170" s="39"/>
      <c r="AP170" s="39"/>
      <c r="AQ170" s="39"/>
      <c r="AR170" s="39">
        <f t="shared" si="337"/>
        <v>0</v>
      </c>
      <c r="AS170" s="39"/>
      <c r="AT170" s="39"/>
      <c r="AU170" s="39"/>
      <c r="AV170" s="39"/>
      <c r="AW170" s="39"/>
      <c r="AX170" s="39"/>
      <c r="AY170" s="39"/>
      <c r="AZ170" s="39"/>
      <c r="BA170" s="39"/>
      <c r="BB170" s="35"/>
      <c r="BC170" s="53"/>
      <c r="BD170" s="53"/>
      <c r="BE170" s="53"/>
      <c r="BF170" s="53"/>
    </row>
    <row r="171" spans="1:58" ht="12.95" customHeight="1">
      <c r="A171" s="42"/>
      <c r="B171" s="3"/>
      <c r="C171" s="421"/>
      <c r="D171" s="43"/>
      <c r="E171" s="44"/>
      <c r="F171" s="44"/>
      <c r="G171" s="45"/>
      <c r="H171" s="46"/>
      <c r="I171" s="47"/>
      <c r="J171" s="87"/>
      <c r="K171" s="87"/>
      <c r="L171" s="37"/>
      <c r="M171" s="37"/>
      <c r="N171" s="48"/>
      <c r="O171" s="49"/>
      <c r="P171" s="50"/>
      <c r="Q171" s="36"/>
      <c r="R171" s="507"/>
      <c r="S171" s="507"/>
      <c r="T171" s="39"/>
      <c r="U171" s="39"/>
      <c r="V171" s="39"/>
      <c r="W171" s="39"/>
      <c r="X171" s="40"/>
      <c r="Y171" s="40"/>
      <c r="Z171" s="39"/>
      <c r="AA171" s="51"/>
      <c r="AB171" s="51"/>
      <c r="AC171" s="39"/>
      <c r="AD171" s="39"/>
      <c r="AE171" s="21"/>
      <c r="AF171" s="39"/>
      <c r="AG171" s="39"/>
      <c r="AH171" s="39"/>
      <c r="AI171" s="39"/>
      <c r="AJ171" s="39"/>
      <c r="AK171" s="39"/>
      <c r="AL171" s="39"/>
      <c r="AM171" s="39">
        <f t="shared" si="336"/>
        <v>0</v>
      </c>
      <c r="AN171" s="39"/>
      <c r="AO171" s="39"/>
      <c r="AP171" s="39"/>
      <c r="AQ171" s="39"/>
      <c r="AR171" s="39">
        <f t="shared" si="337"/>
        <v>0</v>
      </c>
      <c r="AS171" s="39"/>
      <c r="AT171" s="39"/>
      <c r="AU171" s="39"/>
      <c r="AV171" s="39"/>
      <c r="AW171" s="39"/>
      <c r="AX171" s="39"/>
      <c r="AY171" s="39"/>
      <c r="AZ171" s="39"/>
      <c r="BA171" s="39"/>
      <c r="BB171" s="35"/>
      <c r="BC171" s="53"/>
      <c r="BD171" s="53"/>
      <c r="BE171" s="53"/>
      <c r="BF171" s="53"/>
    </row>
    <row r="172" spans="1:58" ht="12.95" customHeight="1">
      <c r="A172" s="42"/>
      <c r="B172" s="3"/>
      <c r="C172" s="421"/>
      <c r="D172" s="43"/>
      <c r="E172" s="252"/>
      <c r="F172" s="44"/>
      <c r="G172" s="45"/>
      <c r="H172" s="46"/>
      <c r="I172" s="47"/>
      <c r="J172" s="87"/>
      <c r="K172" s="87"/>
      <c r="L172" s="37"/>
      <c r="M172" s="37"/>
      <c r="N172" s="48"/>
      <c r="O172" s="49"/>
      <c r="P172" s="50"/>
      <c r="Q172" s="338"/>
      <c r="R172" s="52"/>
      <c r="S172" s="52"/>
      <c r="T172" s="39"/>
      <c r="U172" s="39"/>
      <c r="V172" s="39"/>
      <c r="W172" s="35"/>
      <c r="X172" s="40"/>
      <c r="Y172" s="40"/>
      <c r="Z172" s="35"/>
      <c r="AA172" s="51"/>
      <c r="AB172" s="51"/>
      <c r="AC172" s="39"/>
      <c r="AD172" s="39"/>
      <c r="AE172" s="21"/>
      <c r="AF172" s="39"/>
      <c r="AG172" s="39"/>
      <c r="AH172" s="39"/>
      <c r="AI172" s="39"/>
      <c r="AJ172" s="39"/>
      <c r="AK172" s="39"/>
      <c r="AL172" s="39"/>
      <c r="AM172" s="39">
        <f t="shared" si="336"/>
        <v>0</v>
      </c>
      <c r="AN172" s="39"/>
      <c r="AO172" s="39"/>
      <c r="AP172" s="39"/>
      <c r="AQ172" s="39"/>
      <c r="AR172" s="39">
        <f t="shared" si="337"/>
        <v>0</v>
      </c>
      <c r="AS172" s="39"/>
      <c r="AT172" s="39"/>
      <c r="AU172" s="39"/>
      <c r="AV172" s="39"/>
      <c r="AW172" s="39"/>
      <c r="AX172" s="39"/>
      <c r="AY172" s="39"/>
      <c r="AZ172" s="39"/>
      <c r="BA172" s="39"/>
      <c r="BB172" s="35"/>
      <c r="BC172" s="53"/>
      <c r="BD172" s="53"/>
      <c r="BE172" s="53"/>
      <c r="BF172" s="53"/>
    </row>
    <row r="173" spans="1:58" ht="12.95" customHeight="1">
      <c r="A173" s="42"/>
      <c r="B173" s="3"/>
      <c r="C173" s="421"/>
      <c r="D173" s="43"/>
      <c r="E173" s="252"/>
      <c r="F173" s="44"/>
      <c r="G173" s="45"/>
      <c r="H173" s="46"/>
      <c r="I173" s="47"/>
      <c r="J173" s="87"/>
      <c r="K173" s="87"/>
      <c r="L173" s="37"/>
      <c r="M173" s="37"/>
      <c r="N173" s="48"/>
      <c r="O173" s="49"/>
      <c r="P173" s="50"/>
      <c r="Q173" s="338"/>
      <c r="R173" s="52"/>
      <c r="S173" s="52"/>
      <c r="T173" s="39"/>
      <c r="U173" s="39"/>
      <c r="V173" s="39"/>
      <c r="W173" s="35"/>
      <c r="X173" s="40"/>
      <c r="Y173" s="40"/>
      <c r="Z173" s="35"/>
      <c r="AA173" s="51"/>
      <c r="AB173" s="51"/>
      <c r="AC173" s="39"/>
      <c r="AD173" s="39"/>
      <c r="AE173" s="21"/>
      <c r="AF173" s="39"/>
      <c r="AG173" s="39"/>
      <c r="AH173" s="39"/>
      <c r="AI173" s="39"/>
      <c r="AJ173" s="39"/>
      <c r="AK173" s="39"/>
      <c r="AL173" s="39"/>
      <c r="AM173" s="39">
        <f t="shared" si="336"/>
        <v>0</v>
      </c>
      <c r="AN173" s="39"/>
      <c r="AO173" s="39"/>
      <c r="AP173" s="39"/>
      <c r="AQ173" s="39"/>
      <c r="AR173" s="39">
        <f t="shared" si="337"/>
        <v>0</v>
      </c>
      <c r="AS173" s="39"/>
      <c r="AT173" s="39"/>
      <c r="AU173" s="39"/>
      <c r="AV173" s="39"/>
      <c r="AW173" s="39"/>
      <c r="AX173" s="39"/>
      <c r="AY173" s="39"/>
      <c r="AZ173" s="39"/>
      <c r="BA173" s="39"/>
      <c r="BB173" s="35"/>
      <c r="BC173" s="53"/>
      <c r="BD173" s="53"/>
      <c r="BE173" s="53"/>
      <c r="BF173" s="53"/>
    </row>
    <row r="174" spans="1:58" ht="12.95" customHeight="1">
      <c r="A174" s="42"/>
      <c r="B174" s="3"/>
      <c r="C174" s="421"/>
      <c r="D174" s="43"/>
      <c r="E174" s="252"/>
      <c r="F174" s="44"/>
      <c r="G174" s="45"/>
      <c r="H174" s="46"/>
      <c r="I174" s="47"/>
      <c r="J174" s="87"/>
      <c r="K174" s="87"/>
      <c r="L174" s="37"/>
      <c r="M174" s="37"/>
      <c r="N174" s="48"/>
      <c r="O174" s="49"/>
      <c r="P174" s="50"/>
      <c r="Q174" s="338"/>
      <c r="R174" s="52"/>
      <c r="S174" s="52"/>
      <c r="T174" s="39"/>
      <c r="U174" s="39"/>
      <c r="V174" s="39"/>
      <c r="W174" s="35"/>
      <c r="X174" s="40"/>
      <c r="Y174" s="40"/>
      <c r="Z174" s="35"/>
      <c r="AA174" s="51"/>
      <c r="AB174" s="51"/>
      <c r="AC174" s="39"/>
      <c r="AD174" s="39"/>
      <c r="AE174" s="21"/>
      <c r="AF174" s="39"/>
      <c r="AG174" s="39"/>
      <c r="AH174" s="39"/>
      <c r="AI174" s="39"/>
      <c r="AJ174" s="39"/>
      <c r="AK174" s="39"/>
      <c r="AL174" s="39"/>
      <c r="AM174" s="39">
        <f t="shared" si="336"/>
        <v>0</v>
      </c>
      <c r="AN174" s="39"/>
      <c r="AO174" s="39"/>
      <c r="AP174" s="39"/>
      <c r="AQ174" s="39"/>
      <c r="AR174" s="39">
        <f t="shared" si="337"/>
        <v>0</v>
      </c>
      <c r="AS174" s="39"/>
      <c r="AT174" s="39"/>
      <c r="AU174" s="39"/>
      <c r="AV174" s="39"/>
      <c r="AW174" s="39"/>
      <c r="AX174" s="39"/>
      <c r="AY174" s="39"/>
      <c r="AZ174" s="39"/>
      <c r="BA174" s="39"/>
      <c r="BB174" s="35"/>
      <c r="BC174" s="53"/>
      <c r="BD174" s="53"/>
      <c r="BE174" s="53"/>
      <c r="BF174" s="53"/>
    </row>
    <row r="175" spans="1:58" ht="12.95" customHeight="1">
      <c r="A175" s="42"/>
      <c r="B175" s="3"/>
      <c r="C175" s="421"/>
      <c r="D175" s="43"/>
      <c r="E175" s="252"/>
      <c r="F175" s="44"/>
      <c r="G175" s="45"/>
      <c r="H175" s="46"/>
      <c r="I175" s="47"/>
      <c r="J175" s="87"/>
      <c r="K175" s="87"/>
      <c r="L175" s="37"/>
      <c r="M175" s="37"/>
      <c r="N175" s="48"/>
      <c r="O175" s="49"/>
      <c r="P175" s="50"/>
      <c r="Q175" s="338"/>
      <c r="R175" s="52"/>
      <c r="S175" s="52"/>
      <c r="T175" s="39"/>
      <c r="U175" s="39"/>
      <c r="V175" s="39"/>
      <c r="W175" s="35"/>
      <c r="X175" s="40"/>
      <c r="Y175" s="40"/>
      <c r="Z175" s="35"/>
      <c r="AA175" s="51"/>
      <c r="AB175" s="51"/>
      <c r="AC175" s="39"/>
      <c r="AD175" s="39"/>
      <c r="AE175" s="21"/>
      <c r="AF175" s="39"/>
      <c r="AG175" s="39"/>
      <c r="AH175" s="39"/>
      <c r="AI175" s="39"/>
      <c r="AJ175" s="39"/>
      <c r="AK175" s="39"/>
      <c r="AL175" s="39"/>
      <c r="AM175" s="39">
        <f t="shared" si="336"/>
        <v>0</v>
      </c>
      <c r="AN175" s="39"/>
      <c r="AO175" s="39"/>
      <c r="AP175" s="39"/>
      <c r="AQ175" s="39"/>
      <c r="AR175" s="39">
        <f t="shared" si="337"/>
        <v>0</v>
      </c>
      <c r="AS175" s="39"/>
      <c r="AT175" s="39"/>
      <c r="AU175" s="39"/>
      <c r="AV175" s="39"/>
      <c r="AW175" s="39"/>
      <c r="AX175" s="39"/>
      <c r="AY175" s="39"/>
      <c r="AZ175" s="39"/>
      <c r="BA175" s="39"/>
      <c r="BB175" s="35"/>
      <c r="BC175" s="53"/>
      <c r="BD175" s="53"/>
      <c r="BE175" s="53"/>
      <c r="BF175" s="53"/>
    </row>
    <row r="176" spans="1:58" ht="12.95" customHeight="1">
      <c r="A176" s="42"/>
      <c r="B176" s="3"/>
      <c r="C176" s="421"/>
      <c r="D176" s="43"/>
      <c r="E176" s="252"/>
      <c r="F176" s="44"/>
      <c r="G176" s="45"/>
      <c r="H176" s="46"/>
      <c r="I176" s="47"/>
      <c r="J176" s="87"/>
      <c r="K176" s="87"/>
      <c r="L176" s="37"/>
      <c r="M176" s="37"/>
      <c r="N176" s="48"/>
      <c r="O176" s="49"/>
      <c r="P176" s="50"/>
      <c r="Q176" s="338"/>
      <c r="R176" s="52"/>
      <c r="S176" s="52"/>
      <c r="T176" s="39"/>
      <c r="U176" s="39"/>
      <c r="V176" s="39"/>
      <c r="W176" s="35"/>
      <c r="X176" s="40"/>
      <c r="Y176" s="40"/>
      <c r="Z176" s="35"/>
      <c r="AA176" s="51"/>
      <c r="AB176" s="51"/>
      <c r="AC176" s="39"/>
      <c r="AD176" s="39"/>
      <c r="AE176" s="21"/>
      <c r="AF176" s="39"/>
      <c r="AG176" s="39"/>
      <c r="AH176" s="39"/>
      <c r="AI176" s="39"/>
      <c r="AJ176" s="39"/>
      <c r="AK176" s="39"/>
      <c r="AL176" s="39"/>
      <c r="AM176" s="39">
        <f t="shared" si="336"/>
        <v>0</v>
      </c>
      <c r="AN176" s="39"/>
      <c r="AO176" s="39"/>
      <c r="AP176" s="39"/>
      <c r="AQ176" s="39"/>
      <c r="AR176" s="39">
        <f t="shared" si="337"/>
        <v>0</v>
      </c>
      <c r="AS176" s="39"/>
      <c r="AT176" s="39"/>
      <c r="AU176" s="39"/>
      <c r="AV176" s="39"/>
      <c r="AW176" s="39"/>
      <c r="AX176" s="39"/>
      <c r="AY176" s="39"/>
      <c r="AZ176" s="39"/>
      <c r="BA176" s="39"/>
      <c r="BB176" s="35"/>
      <c r="BC176" s="53"/>
      <c r="BD176" s="53"/>
      <c r="BE176" s="53"/>
      <c r="BF176" s="53"/>
    </row>
    <row r="177" spans="1:58" ht="12.95" customHeight="1">
      <c r="A177" s="42"/>
      <c r="B177" s="3"/>
      <c r="C177" s="421"/>
      <c r="D177" s="43"/>
      <c r="E177" s="252"/>
      <c r="F177" s="44"/>
      <c r="G177" s="45"/>
      <c r="H177" s="46"/>
      <c r="I177" s="47"/>
      <c r="J177" s="87"/>
      <c r="K177" s="87"/>
      <c r="L177" s="37"/>
      <c r="M177" s="37"/>
      <c r="N177" s="48"/>
      <c r="O177" s="49"/>
      <c r="P177" s="50"/>
      <c r="Q177" s="338"/>
      <c r="R177" s="52"/>
      <c r="S177" s="52"/>
      <c r="T177" s="39"/>
      <c r="U177" s="39"/>
      <c r="V177" s="39"/>
      <c r="W177" s="35"/>
      <c r="X177" s="40"/>
      <c r="Y177" s="40"/>
      <c r="Z177" s="35"/>
      <c r="AA177" s="51"/>
      <c r="AB177" s="51"/>
      <c r="AC177" s="39"/>
      <c r="AD177" s="39"/>
      <c r="AE177" s="21"/>
      <c r="AF177" s="39"/>
      <c r="AG177" s="39"/>
      <c r="AH177" s="39"/>
      <c r="AI177" s="39"/>
      <c r="AJ177" s="39"/>
      <c r="AK177" s="39"/>
      <c r="AL177" s="39"/>
      <c r="AM177" s="39">
        <f t="shared" si="336"/>
        <v>0</v>
      </c>
      <c r="AN177" s="39"/>
      <c r="AO177" s="39"/>
      <c r="AP177" s="39"/>
      <c r="AQ177" s="39"/>
      <c r="AR177" s="39">
        <f t="shared" si="337"/>
        <v>0</v>
      </c>
      <c r="AS177" s="39"/>
      <c r="AT177" s="39"/>
      <c r="AU177" s="39"/>
      <c r="AV177" s="39"/>
      <c r="AW177" s="39"/>
      <c r="AX177" s="39"/>
      <c r="AY177" s="39"/>
      <c r="AZ177" s="39"/>
      <c r="BA177" s="39"/>
      <c r="BB177" s="35"/>
      <c r="BC177" s="53"/>
      <c r="BD177" s="53"/>
      <c r="BE177" s="53"/>
      <c r="BF177" s="53"/>
    </row>
    <row r="178" spans="1:58" ht="12.95" customHeight="1">
      <c r="A178" s="42"/>
      <c r="B178" s="3"/>
      <c r="C178" s="421"/>
      <c r="D178" s="43"/>
      <c r="E178" s="252"/>
      <c r="F178" s="44"/>
      <c r="G178" s="45"/>
      <c r="H178" s="46"/>
      <c r="I178" s="47"/>
      <c r="J178" s="87"/>
      <c r="K178" s="87"/>
      <c r="L178" s="37"/>
      <c r="M178" s="37"/>
      <c r="N178" s="48"/>
      <c r="O178" s="49"/>
      <c r="P178" s="50"/>
      <c r="Q178" s="338"/>
      <c r="R178" s="52"/>
      <c r="S178" s="52"/>
      <c r="T178" s="39"/>
      <c r="U178" s="39"/>
      <c r="V178" s="39"/>
      <c r="W178" s="35"/>
      <c r="X178" s="40"/>
      <c r="Y178" s="40"/>
      <c r="Z178" s="35"/>
      <c r="AA178" s="51"/>
      <c r="AB178" s="51"/>
      <c r="AC178" s="39"/>
      <c r="AD178" s="39"/>
      <c r="AE178" s="21"/>
      <c r="AF178" s="39"/>
      <c r="AG178" s="39"/>
      <c r="AH178" s="39"/>
      <c r="AI178" s="39"/>
      <c r="AJ178" s="39"/>
      <c r="AK178" s="39"/>
      <c r="AL178" s="39"/>
      <c r="AM178" s="39">
        <f t="shared" si="336"/>
        <v>0</v>
      </c>
      <c r="AN178" s="39"/>
      <c r="AO178" s="39"/>
      <c r="AP178" s="39"/>
      <c r="AQ178" s="39"/>
      <c r="AR178" s="39">
        <f t="shared" si="337"/>
        <v>0</v>
      </c>
      <c r="AS178" s="39"/>
      <c r="AT178" s="39"/>
      <c r="AU178" s="39"/>
      <c r="AV178" s="39"/>
      <c r="AW178" s="39"/>
      <c r="AX178" s="39"/>
      <c r="AY178" s="39"/>
      <c r="AZ178" s="39"/>
      <c r="BA178" s="39"/>
      <c r="BB178" s="35"/>
      <c r="BC178" s="53"/>
      <c r="BD178" s="53"/>
      <c r="BE178" s="53"/>
      <c r="BF178" s="53"/>
    </row>
    <row r="179" spans="1:58" ht="12.95" customHeight="1">
      <c r="A179" s="42"/>
      <c r="B179" s="3"/>
      <c r="C179" s="421"/>
      <c r="D179" s="43"/>
      <c r="E179" s="252"/>
      <c r="F179" s="44"/>
      <c r="G179" s="45"/>
      <c r="H179" s="46"/>
      <c r="I179" s="47"/>
      <c r="J179" s="87"/>
      <c r="K179" s="87"/>
      <c r="L179" s="37"/>
      <c r="M179" s="37"/>
      <c r="N179" s="48"/>
      <c r="O179" s="49"/>
      <c r="P179" s="50"/>
      <c r="Q179" s="338"/>
      <c r="R179" s="52"/>
      <c r="S179" s="52"/>
      <c r="T179" s="39"/>
      <c r="U179" s="39"/>
      <c r="V179" s="39"/>
      <c r="W179" s="35"/>
      <c r="X179" s="40"/>
      <c r="Y179" s="40"/>
      <c r="Z179" s="35"/>
      <c r="AA179" s="51"/>
      <c r="AB179" s="51"/>
      <c r="AC179" s="39"/>
      <c r="AD179" s="39"/>
      <c r="AE179" s="21"/>
      <c r="AF179" s="39"/>
      <c r="AG179" s="39"/>
      <c r="AH179" s="39"/>
      <c r="AI179" s="39"/>
      <c r="AJ179" s="39"/>
      <c r="AK179" s="39"/>
      <c r="AL179" s="39"/>
      <c r="AM179" s="39">
        <f t="shared" si="336"/>
        <v>0</v>
      </c>
      <c r="AN179" s="39"/>
      <c r="AO179" s="39"/>
      <c r="AP179" s="39"/>
      <c r="AQ179" s="39"/>
      <c r="AR179" s="39">
        <f t="shared" si="337"/>
        <v>0</v>
      </c>
      <c r="AS179" s="39"/>
      <c r="AT179" s="39"/>
      <c r="AU179" s="39"/>
      <c r="AV179" s="39"/>
      <c r="AW179" s="39"/>
      <c r="AX179" s="39"/>
      <c r="AY179" s="39"/>
      <c r="AZ179" s="39"/>
      <c r="BA179" s="39"/>
      <c r="BB179" s="35"/>
      <c r="BC179" s="53"/>
      <c r="BD179" s="53"/>
      <c r="BE179" s="53"/>
      <c r="BF179" s="53"/>
    </row>
    <row r="180" spans="1:58" ht="12.95" customHeight="1">
      <c r="A180" s="42"/>
      <c r="B180" s="3"/>
      <c r="C180" s="421"/>
      <c r="D180" s="43"/>
      <c r="E180" s="44"/>
      <c r="F180" s="44"/>
      <c r="G180" s="45"/>
      <c r="H180" s="46"/>
      <c r="I180" s="47"/>
      <c r="J180" s="87"/>
      <c r="K180" s="87"/>
      <c r="L180" s="37"/>
      <c r="M180" s="37"/>
      <c r="N180" s="48"/>
      <c r="O180" s="49"/>
      <c r="P180" s="50"/>
      <c r="Q180" s="36"/>
      <c r="R180" s="507"/>
      <c r="S180" s="507"/>
      <c r="T180" s="39"/>
      <c r="U180" s="39"/>
      <c r="V180" s="39"/>
      <c r="W180" s="39"/>
      <c r="X180" s="40"/>
      <c r="Y180" s="40"/>
      <c r="Z180" s="39"/>
      <c r="AA180" s="51"/>
      <c r="AB180" s="51"/>
      <c r="AC180" s="39"/>
      <c r="AD180" s="39"/>
      <c r="AE180" s="21"/>
      <c r="AF180" s="39"/>
      <c r="AG180" s="39"/>
      <c r="AH180" s="39"/>
      <c r="AI180" s="39"/>
      <c r="AJ180" s="39"/>
      <c r="AK180" s="39"/>
      <c r="AL180" s="39"/>
      <c r="AM180" s="39">
        <f t="shared" si="336"/>
        <v>0</v>
      </c>
      <c r="AN180" s="39"/>
      <c r="AO180" s="39"/>
      <c r="AP180" s="39"/>
      <c r="AQ180" s="39"/>
      <c r="AR180" s="39">
        <f t="shared" si="337"/>
        <v>0</v>
      </c>
      <c r="AS180" s="39"/>
      <c r="AT180" s="39"/>
      <c r="AU180" s="39"/>
      <c r="AV180" s="39"/>
      <c r="AW180" s="39"/>
      <c r="AX180" s="39"/>
      <c r="AY180" s="39"/>
      <c r="AZ180" s="39"/>
      <c r="BA180" s="39"/>
      <c r="BB180" s="35"/>
      <c r="BC180" s="53"/>
      <c r="BD180" s="53"/>
      <c r="BE180" s="53"/>
      <c r="BF180" s="53"/>
    </row>
    <row r="181" spans="1:58" ht="12.95" customHeight="1">
      <c r="A181" s="42"/>
      <c r="B181" s="3"/>
      <c r="C181" s="421"/>
      <c r="D181" s="43"/>
      <c r="E181" s="252"/>
      <c r="F181" s="44"/>
      <c r="G181" s="45"/>
      <c r="H181" s="46"/>
      <c r="I181" s="47"/>
      <c r="J181" s="87"/>
      <c r="K181" s="87"/>
      <c r="L181" s="37"/>
      <c r="M181" s="37"/>
      <c r="N181" s="48"/>
      <c r="O181" s="49"/>
      <c r="P181" s="50"/>
      <c r="Q181" s="338"/>
      <c r="R181" s="52"/>
      <c r="S181" s="52"/>
      <c r="T181" s="39"/>
      <c r="U181" s="39"/>
      <c r="V181" s="39"/>
      <c r="W181" s="35"/>
      <c r="X181" s="40"/>
      <c r="Y181" s="40"/>
      <c r="Z181" s="35"/>
      <c r="AA181" s="51"/>
      <c r="AB181" s="51"/>
      <c r="AC181" s="39"/>
      <c r="AD181" s="39"/>
      <c r="AE181" s="21"/>
      <c r="AF181" s="39"/>
      <c r="AG181" s="39"/>
      <c r="AH181" s="39"/>
      <c r="AI181" s="39"/>
      <c r="AJ181" s="39"/>
      <c r="AK181" s="39"/>
      <c r="AL181" s="39"/>
      <c r="AM181" s="39">
        <f t="shared" si="336"/>
        <v>0</v>
      </c>
      <c r="AN181" s="39"/>
      <c r="AO181" s="39"/>
      <c r="AP181" s="39"/>
      <c r="AQ181" s="39"/>
      <c r="AR181" s="39">
        <f t="shared" si="337"/>
        <v>0</v>
      </c>
      <c r="AS181" s="39"/>
      <c r="AT181" s="39"/>
      <c r="AU181" s="39"/>
      <c r="AV181" s="39"/>
      <c r="AW181" s="39"/>
      <c r="AX181" s="39"/>
      <c r="AY181" s="39"/>
      <c r="AZ181" s="39"/>
      <c r="BA181" s="39"/>
      <c r="BB181" s="35"/>
      <c r="BC181" s="53"/>
      <c r="BD181" s="53"/>
      <c r="BE181" s="53"/>
      <c r="BF181" s="53"/>
    </row>
    <row r="182" spans="1:58" ht="12.95" customHeight="1">
      <c r="A182" s="42"/>
      <c r="B182" s="3"/>
      <c r="C182" s="421"/>
      <c r="D182" s="43"/>
      <c r="E182" s="252"/>
      <c r="F182" s="44"/>
      <c r="G182" s="45"/>
      <c r="H182" s="46"/>
      <c r="I182" s="47"/>
      <c r="J182" s="87"/>
      <c r="K182" s="87"/>
      <c r="L182" s="37"/>
      <c r="M182" s="37"/>
      <c r="N182" s="48"/>
      <c r="O182" s="49"/>
      <c r="P182" s="50"/>
      <c r="Q182" s="338"/>
      <c r="R182" s="52"/>
      <c r="S182" s="52"/>
      <c r="T182" s="39"/>
      <c r="U182" s="39"/>
      <c r="V182" s="39"/>
      <c r="W182" s="35"/>
      <c r="X182" s="40"/>
      <c r="Y182" s="40"/>
      <c r="Z182" s="35"/>
      <c r="AA182" s="51"/>
      <c r="AB182" s="51"/>
      <c r="AC182" s="39"/>
      <c r="AD182" s="39"/>
      <c r="AE182" s="21"/>
      <c r="AF182" s="39"/>
      <c r="AG182" s="39"/>
      <c r="AH182" s="39"/>
      <c r="AI182" s="39"/>
      <c r="AJ182" s="39"/>
      <c r="AK182" s="39"/>
      <c r="AL182" s="39"/>
      <c r="AM182" s="39">
        <f t="shared" si="336"/>
        <v>0</v>
      </c>
      <c r="AN182" s="39"/>
      <c r="AO182" s="39"/>
      <c r="AP182" s="39"/>
      <c r="AQ182" s="39"/>
      <c r="AR182" s="39">
        <f t="shared" si="337"/>
        <v>0</v>
      </c>
      <c r="AS182" s="39"/>
      <c r="AT182" s="39"/>
      <c r="AU182" s="39"/>
      <c r="AV182" s="39"/>
      <c r="AW182" s="39"/>
      <c r="AX182" s="39"/>
      <c r="AY182" s="39"/>
      <c r="AZ182" s="39"/>
      <c r="BA182" s="39"/>
      <c r="BB182" s="35"/>
      <c r="BC182" s="53"/>
      <c r="BD182" s="53"/>
      <c r="BE182" s="53"/>
      <c r="BF182" s="53"/>
    </row>
    <row r="183" spans="1:58" ht="12.95" customHeight="1">
      <c r="A183" s="42"/>
      <c r="B183" s="3"/>
      <c r="C183" s="421"/>
      <c r="D183" s="43"/>
      <c r="E183" s="252"/>
      <c r="F183" s="44"/>
      <c r="G183" s="45"/>
      <c r="H183" s="46"/>
      <c r="I183" s="47"/>
      <c r="J183" s="87"/>
      <c r="K183" s="87"/>
      <c r="L183" s="37"/>
      <c r="M183" s="37"/>
      <c r="N183" s="48"/>
      <c r="O183" s="49"/>
      <c r="P183" s="50"/>
      <c r="Q183" s="338"/>
      <c r="R183" s="52"/>
      <c r="S183" s="52"/>
      <c r="T183" s="39"/>
      <c r="U183" s="39"/>
      <c r="V183" s="39"/>
      <c r="W183" s="35"/>
      <c r="X183" s="40"/>
      <c r="Y183" s="40"/>
      <c r="Z183" s="35"/>
      <c r="AA183" s="51"/>
      <c r="AB183" s="51"/>
      <c r="AC183" s="39"/>
      <c r="AD183" s="39"/>
      <c r="AE183" s="21"/>
      <c r="AF183" s="39"/>
      <c r="AG183" s="39"/>
      <c r="AH183" s="39"/>
      <c r="AI183" s="39"/>
      <c r="AJ183" s="39"/>
      <c r="AK183" s="39"/>
      <c r="AL183" s="39"/>
      <c r="AM183" s="39">
        <f t="shared" si="336"/>
        <v>0</v>
      </c>
      <c r="AN183" s="39"/>
      <c r="AO183" s="39"/>
      <c r="AP183" s="39"/>
      <c r="AQ183" s="39"/>
      <c r="AR183" s="39">
        <f t="shared" si="337"/>
        <v>0</v>
      </c>
      <c r="AS183" s="39"/>
      <c r="AT183" s="39"/>
      <c r="AU183" s="39"/>
      <c r="AV183" s="39"/>
      <c r="AW183" s="39"/>
      <c r="AX183" s="39"/>
      <c r="AY183" s="39"/>
      <c r="AZ183" s="39"/>
      <c r="BA183" s="39"/>
      <c r="BB183" s="35"/>
      <c r="BC183" s="53"/>
      <c r="BD183" s="53"/>
      <c r="BE183" s="53"/>
      <c r="BF183" s="53"/>
    </row>
    <row r="184" spans="1:58" ht="12.95" customHeight="1">
      <c r="A184" s="42"/>
      <c r="B184" s="3"/>
      <c r="C184" s="421"/>
      <c r="D184" s="43"/>
      <c r="E184" s="44"/>
      <c r="F184" s="44"/>
      <c r="G184" s="45"/>
      <c r="H184" s="46"/>
      <c r="I184" s="47"/>
      <c r="J184" s="87"/>
      <c r="K184" s="87"/>
      <c r="L184" s="37"/>
      <c r="M184" s="37"/>
      <c r="N184" s="48"/>
      <c r="O184" s="49"/>
      <c r="P184" s="50"/>
      <c r="Q184" s="36"/>
      <c r="R184" s="507"/>
      <c r="S184" s="507"/>
      <c r="T184" s="39"/>
      <c r="U184" s="39"/>
      <c r="V184" s="39"/>
      <c r="W184" s="39"/>
      <c r="X184" s="40"/>
      <c r="Y184" s="40"/>
      <c r="Z184" s="39"/>
      <c r="AA184" s="51"/>
      <c r="AB184" s="51"/>
      <c r="AC184" s="39"/>
      <c r="AD184" s="39"/>
      <c r="AE184" s="21"/>
      <c r="AF184" s="39"/>
      <c r="AG184" s="39"/>
      <c r="AH184" s="39"/>
      <c r="AI184" s="39"/>
      <c r="AJ184" s="39"/>
      <c r="AK184" s="39"/>
      <c r="AL184" s="39"/>
      <c r="AM184" s="39">
        <f t="shared" si="336"/>
        <v>0</v>
      </c>
      <c r="AN184" s="39"/>
      <c r="AO184" s="39"/>
      <c r="AP184" s="39"/>
      <c r="AQ184" s="39"/>
      <c r="AR184" s="39">
        <f t="shared" si="337"/>
        <v>0</v>
      </c>
      <c r="AS184" s="39"/>
      <c r="AT184" s="39"/>
      <c r="AU184" s="39"/>
      <c r="AV184" s="39"/>
      <c r="AW184" s="39"/>
      <c r="AX184" s="39"/>
      <c r="AY184" s="39"/>
      <c r="AZ184" s="39"/>
      <c r="BA184" s="39"/>
      <c r="BB184" s="35"/>
      <c r="BC184" s="53"/>
      <c r="BD184" s="53"/>
      <c r="BE184" s="53"/>
      <c r="BF184" s="53"/>
    </row>
    <row r="185" spans="1:58" ht="12.95" customHeight="1">
      <c r="A185" s="42"/>
      <c r="B185" s="3"/>
      <c r="C185" s="421"/>
      <c r="D185" s="43"/>
      <c r="E185" s="44"/>
      <c r="F185" s="44"/>
      <c r="G185" s="45"/>
      <c r="H185" s="46"/>
      <c r="I185" s="47"/>
      <c r="J185" s="87"/>
      <c r="K185" s="87"/>
      <c r="L185" s="37"/>
      <c r="M185" s="37"/>
      <c r="N185" s="48"/>
      <c r="O185" s="49"/>
      <c r="P185" s="50"/>
      <c r="Q185" s="36"/>
      <c r="R185" s="507"/>
      <c r="S185" s="507"/>
      <c r="T185" s="39"/>
      <c r="U185" s="39"/>
      <c r="V185" s="39"/>
      <c r="W185" s="39"/>
      <c r="X185" s="40"/>
      <c r="Y185" s="40"/>
      <c r="Z185" s="39"/>
      <c r="AA185" s="51"/>
      <c r="AB185" s="51"/>
      <c r="AC185" s="39"/>
      <c r="AD185" s="39"/>
      <c r="AE185" s="21"/>
      <c r="AF185" s="39"/>
      <c r="AG185" s="39"/>
      <c r="AH185" s="39"/>
      <c r="AI185" s="39"/>
      <c r="AJ185" s="39"/>
      <c r="AK185" s="39"/>
      <c r="AL185" s="39"/>
      <c r="AM185" s="39">
        <f t="shared" si="336"/>
        <v>0</v>
      </c>
      <c r="AN185" s="39"/>
      <c r="AO185" s="39"/>
      <c r="AP185" s="39"/>
      <c r="AQ185" s="39"/>
      <c r="AR185" s="39">
        <f t="shared" si="337"/>
        <v>0</v>
      </c>
      <c r="AS185" s="39"/>
      <c r="AT185" s="39"/>
      <c r="AU185" s="39"/>
      <c r="AV185" s="39"/>
      <c r="AW185" s="39"/>
      <c r="AX185" s="39"/>
      <c r="AY185" s="39"/>
      <c r="AZ185" s="39"/>
      <c r="BA185" s="39"/>
      <c r="BB185" s="35"/>
      <c r="BC185" s="53"/>
      <c r="BD185" s="53"/>
      <c r="BE185" s="53"/>
      <c r="BF185" s="53"/>
    </row>
    <row r="186" spans="1:58" ht="12.95" customHeight="1">
      <c r="A186" s="42"/>
      <c r="B186" s="43"/>
      <c r="C186" s="421"/>
      <c r="D186" s="43"/>
      <c r="E186" s="44"/>
      <c r="F186" s="44"/>
      <c r="G186" s="55"/>
      <c r="H186" s="56"/>
      <c r="I186" s="47"/>
      <c r="J186" s="87"/>
      <c r="K186" s="87"/>
      <c r="L186" s="37"/>
      <c r="M186" s="37"/>
      <c r="N186" s="48"/>
      <c r="O186" s="49"/>
      <c r="P186" s="50"/>
      <c r="Q186" s="338"/>
      <c r="R186" s="52"/>
      <c r="S186" s="52"/>
      <c r="T186" s="39"/>
      <c r="U186" s="39"/>
      <c r="V186" s="39"/>
      <c r="W186" s="35"/>
      <c r="X186" s="40"/>
      <c r="Y186" s="40"/>
      <c r="Z186" s="35"/>
      <c r="AA186" s="51"/>
      <c r="AB186" s="51"/>
      <c r="AC186" s="39"/>
      <c r="AD186" s="39"/>
      <c r="AE186" s="21"/>
      <c r="AF186" s="39"/>
      <c r="AG186" s="39"/>
      <c r="AH186" s="39"/>
      <c r="AI186" s="39"/>
      <c r="AJ186" s="39"/>
      <c r="AK186" s="39"/>
      <c r="AL186" s="39"/>
      <c r="AM186" s="39">
        <f t="shared" si="336"/>
        <v>0</v>
      </c>
      <c r="AN186" s="39"/>
      <c r="AO186" s="39"/>
      <c r="AP186" s="39"/>
      <c r="AQ186" s="39"/>
      <c r="AR186" s="39">
        <f t="shared" si="337"/>
        <v>0</v>
      </c>
      <c r="AS186" s="39"/>
      <c r="AT186" s="39"/>
      <c r="AU186" s="39"/>
      <c r="AV186" s="39"/>
      <c r="AW186" s="39"/>
      <c r="AX186" s="39"/>
      <c r="AY186" s="39"/>
      <c r="AZ186" s="39"/>
      <c r="BA186" s="39"/>
      <c r="BB186" s="35"/>
      <c r="BC186" s="53"/>
      <c r="BD186" s="53"/>
      <c r="BE186" s="53"/>
      <c r="BF186" s="53"/>
    </row>
    <row r="187" spans="1:58" ht="12.95" customHeight="1">
      <c r="A187" s="42"/>
      <c r="B187" s="43"/>
      <c r="C187" s="421"/>
      <c r="D187" s="43"/>
      <c r="E187" s="44"/>
      <c r="F187" s="44"/>
      <c r="G187" s="55"/>
      <c r="H187" s="56"/>
      <c r="I187" s="47"/>
      <c r="J187" s="87"/>
      <c r="K187" s="87"/>
      <c r="L187" s="37"/>
      <c r="M187" s="37"/>
      <c r="N187" s="48"/>
      <c r="O187" s="49"/>
      <c r="P187" s="50"/>
      <c r="Q187" s="338"/>
      <c r="R187" s="52"/>
      <c r="S187" s="52"/>
      <c r="T187" s="39"/>
      <c r="U187" s="39"/>
      <c r="V187" s="39"/>
      <c r="W187" s="35"/>
      <c r="X187" s="40"/>
      <c r="Y187" s="40"/>
      <c r="Z187" s="35"/>
      <c r="AA187" s="51">
        <f>U187-W187-Z187</f>
        <v>0</v>
      </c>
      <c r="AB187" s="51"/>
      <c r="AC187" s="39">
        <f>K187-T187</f>
        <v>0</v>
      </c>
      <c r="AD187" s="39"/>
      <c r="AE187" s="57"/>
      <c r="AF187" s="39"/>
      <c r="AG187" s="39"/>
      <c r="AH187" s="39"/>
      <c r="AI187" s="39"/>
      <c r="AJ187" s="39"/>
      <c r="AK187" s="39"/>
      <c r="AL187" s="39"/>
      <c r="AM187" s="39">
        <f t="shared" si="336"/>
        <v>0</v>
      </c>
      <c r="AN187" s="39"/>
      <c r="AO187" s="39"/>
      <c r="AP187" s="39"/>
      <c r="AQ187" s="39"/>
      <c r="AR187" s="39">
        <f t="shared" si="337"/>
        <v>0</v>
      </c>
      <c r="AS187" s="39"/>
      <c r="AT187" s="39"/>
      <c r="AU187" s="39"/>
      <c r="AV187" s="39"/>
      <c r="AW187" s="39"/>
      <c r="AX187" s="39"/>
      <c r="AY187" s="39"/>
      <c r="AZ187" s="39"/>
      <c r="BA187" s="39"/>
      <c r="BB187" s="35"/>
      <c r="BC187" s="53"/>
      <c r="BD187" s="53"/>
      <c r="BE187" s="53"/>
      <c r="BF187" s="53"/>
    </row>
    <row r="188" spans="1:58">
      <c r="R188" s="511"/>
      <c r="S188" s="511"/>
      <c r="AA188" s="253">
        <f>U188-W188-Z188</f>
        <v>0</v>
      </c>
      <c r="AB188" s="253"/>
      <c r="AC188" s="254">
        <f>K188-T188</f>
        <v>0</v>
      </c>
      <c r="AD188" s="39"/>
      <c r="AF188" s="54"/>
      <c r="AG188" s="54"/>
      <c r="AH188" s="54"/>
      <c r="AI188" s="54"/>
      <c r="AJ188" s="54"/>
      <c r="AK188" s="54"/>
      <c r="AL188" s="54"/>
      <c r="AM188" s="39">
        <f t="shared" si="336"/>
        <v>0</v>
      </c>
      <c r="AN188" s="54"/>
      <c r="AO188" s="54"/>
      <c r="AP188" s="54"/>
      <c r="AQ188" s="54"/>
      <c r="AR188" s="39">
        <f t="shared" si="337"/>
        <v>0</v>
      </c>
      <c r="AS188" s="54"/>
      <c r="AT188" s="54"/>
      <c r="AU188" s="54"/>
      <c r="AV188" s="54"/>
      <c r="AW188" s="54"/>
      <c r="AX188" s="54"/>
      <c r="AY188" s="54"/>
      <c r="AZ188" s="54"/>
      <c r="BA188" s="39"/>
      <c r="BB188" s="35"/>
      <c r="BC188" s="53"/>
      <c r="BD188" s="53"/>
      <c r="BE188" s="53"/>
      <c r="BF188" s="53"/>
    </row>
    <row r="189" spans="1:58" s="29" customFormat="1" ht="12.95" customHeight="1">
      <c r="A189" s="61"/>
      <c r="B189" s="62"/>
      <c r="C189" s="422">
        <f>SUM(C6:C187)</f>
        <v>1299.5852407765583</v>
      </c>
      <c r="D189" s="62"/>
      <c r="E189" s="63"/>
      <c r="F189" s="63"/>
      <c r="G189" s="64"/>
      <c r="H189" s="64"/>
      <c r="I189" s="65">
        <v>0.85</v>
      </c>
      <c r="J189" s="87"/>
      <c r="K189" s="89">
        <f>SUM(K6:K187)</f>
        <v>1371.509211598031</v>
      </c>
      <c r="L189" s="67"/>
      <c r="M189" s="67"/>
      <c r="N189" s="68"/>
      <c r="O189" s="69">
        <f>P189/(Q189-R189-S189)</f>
        <v>260.99189139025788</v>
      </c>
      <c r="P189" s="66">
        <f>SUM(P6:P187)</f>
        <v>6775871.4842738751</v>
      </c>
      <c r="Q189" s="340">
        <f>SUM(Q6:Q188)</f>
        <v>44640</v>
      </c>
      <c r="R189" s="66">
        <f t="shared" ref="R189:W189" si="338">SUM(R6:R187)</f>
        <v>17362</v>
      </c>
      <c r="S189" s="66">
        <f t="shared" si="338"/>
        <v>1316</v>
      </c>
      <c r="T189" s="66">
        <f t="shared" si="338"/>
        <v>1299.5852407765583</v>
      </c>
      <c r="U189" s="66">
        <f t="shared" si="338"/>
        <v>764.04882670586267</v>
      </c>
      <c r="V189" s="364">
        <f t="shared" si="338"/>
        <v>568.96882829093022</v>
      </c>
      <c r="W189" s="453">
        <f t="shared" si="338"/>
        <v>700.59100000000001</v>
      </c>
      <c r="X189" s="502">
        <f>W189/K189</f>
        <v>0.51081756803054768</v>
      </c>
      <c r="Y189" s="365">
        <f>SUM(Y6:Y187)</f>
        <v>0</v>
      </c>
      <c r="Z189" s="453">
        <f>SUM(Z6:Z187)</f>
        <v>5.4690586559360073</v>
      </c>
      <c r="AA189" s="66">
        <f>SUM(AA6:AA187)</f>
        <v>57.988768049926335</v>
      </c>
      <c r="AB189" s="66">
        <f>SUM(AB6:AB187)</f>
        <v>-21.537040925069441</v>
      </c>
      <c r="AC189" s="66">
        <f>SUM(AC6:AC187)</f>
        <v>60.028597526307607</v>
      </c>
      <c r="AD189" s="39">
        <f>SUM(AD6:AD188)</f>
        <v>18678</v>
      </c>
      <c r="AE189" s="70"/>
      <c r="AF189" s="66">
        <f t="shared" ref="AF189:BA189" si="339">SUM(AF6:AF188)</f>
        <v>306</v>
      </c>
      <c r="AG189" s="66">
        <f t="shared" si="339"/>
        <v>165</v>
      </c>
      <c r="AH189" s="66">
        <f t="shared" si="339"/>
        <v>845</v>
      </c>
      <c r="AI189" s="66">
        <f t="shared" si="339"/>
        <v>0</v>
      </c>
      <c r="AJ189" s="66">
        <f t="shared" si="339"/>
        <v>0</v>
      </c>
      <c r="AK189" s="66">
        <f t="shared" si="339"/>
        <v>0</v>
      </c>
      <c r="AL189" s="66">
        <f t="shared" si="339"/>
        <v>0</v>
      </c>
      <c r="AM189" s="66">
        <f t="shared" si="339"/>
        <v>1316</v>
      </c>
      <c r="AN189" s="54">
        <f t="shared" si="339"/>
        <v>0</v>
      </c>
      <c r="AO189" s="54">
        <f t="shared" si="339"/>
        <v>541</v>
      </c>
      <c r="AP189" s="54">
        <f t="shared" si="339"/>
        <v>144</v>
      </c>
      <c r="AQ189" s="54">
        <f t="shared" si="339"/>
        <v>0</v>
      </c>
      <c r="AR189" s="66">
        <f t="shared" si="339"/>
        <v>685</v>
      </c>
      <c r="AS189" s="66">
        <f t="shared" si="339"/>
        <v>0</v>
      </c>
      <c r="AT189" s="66">
        <f t="shared" si="339"/>
        <v>0</v>
      </c>
      <c r="AU189" s="66">
        <f t="shared" si="339"/>
        <v>720</v>
      </c>
      <c r="AV189" s="66">
        <f t="shared" si="339"/>
        <v>0</v>
      </c>
      <c r="AW189" s="66">
        <f t="shared" si="339"/>
        <v>0</v>
      </c>
      <c r="AX189" s="66">
        <f t="shared" si="339"/>
        <v>0</v>
      </c>
      <c r="AY189" s="66">
        <f t="shared" si="339"/>
        <v>0</v>
      </c>
      <c r="AZ189" s="66">
        <f t="shared" si="339"/>
        <v>15957</v>
      </c>
      <c r="BA189" s="66">
        <f t="shared" si="339"/>
        <v>17362</v>
      </c>
      <c r="BB189" s="54">
        <f>SUM(BB6:BB188)</f>
        <v>112</v>
      </c>
      <c r="BC189" s="54">
        <f>SUM(BC6:BC188)</f>
        <v>93</v>
      </c>
      <c r="BD189" s="54">
        <f>SUM(BD6:BD188)</f>
        <v>0</v>
      </c>
      <c r="BE189" s="54">
        <f>SUM(BE6:BE188)</f>
        <v>0</v>
      </c>
      <c r="BF189" s="54">
        <f>SUM(BF6:BF188)</f>
        <v>0</v>
      </c>
    </row>
    <row r="190" spans="1:58" s="29" customFormat="1" ht="12.95" customHeight="1">
      <c r="A190" s="61"/>
      <c r="B190" s="62"/>
      <c r="C190" s="62"/>
      <c r="D190" s="62"/>
      <c r="E190" s="63"/>
      <c r="F190" s="63"/>
      <c r="G190" s="64"/>
      <c r="H190" s="64"/>
      <c r="I190" s="64"/>
      <c r="J190" s="90"/>
      <c r="K190" s="90"/>
      <c r="L190" s="67"/>
      <c r="M190" s="67"/>
      <c r="N190" s="68"/>
      <c r="O190" s="685"/>
      <c r="P190" s="686"/>
      <c r="Q190" s="64">
        <f>31*1440-Q189</f>
        <v>0</v>
      </c>
      <c r="R190" s="71">
        <f>R189/Q189</f>
        <v>0.3889336917562724</v>
      </c>
      <c r="S190" s="71">
        <f>S189/Q189</f>
        <v>2.9480286738351253E-2</v>
      </c>
      <c r="T190" s="351"/>
      <c r="U190" s="351"/>
      <c r="V190" s="353">
        <f>V189/K189</f>
        <v>0.41484871080668068</v>
      </c>
      <c r="W190" s="369" t="s">
        <v>170</v>
      </c>
      <c r="X190" s="503">
        <v>0.85</v>
      </c>
      <c r="Y190" s="366">
        <f>Y189/K189</f>
        <v>0</v>
      </c>
      <c r="Z190" s="72">
        <f>Z189/K189</f>
        <v>3.9876207973577266E-3</v>
      </c>
      <c r="AA190" s="72">
        <f>AA189/K189</f>
        <v>4.2280990575601023E-2</v>
      </c>
      <c r="AB190" s="72">
        <f>AB189/K189</f>
        <v>-1.5703168992919334E-2</v>
      </c>
      <c r="AC190" s="504">
        <f>AC189/K189</f>
        <v>4.3768278782732012E-2</v>
      </c>
      <c r="AD190" s="354"/>
      <c r="AE190" s="41"/>
      <c r="AF190" s="72">
        <f>AF189/$AD$189*$V$190</f>
        <v>6.79642924867996E-3</v>
      </c>
      <c r="AG190" s="72">
        <f>AG189/$AD$189*$V$190</f>
        <v>3.6647412615431157E-3</v>
      </c>
      <c r="AH190" s="72">
        <f>AH189/$AD$189*$V$190</f>
        <v>1.8767917369720801E-2</v>
      </c>
      <c r="AI190" s="72">
        <f>AI189/$AD$189*$V$190</f>
        <v>0</v>
      </c>
      <c r="AJ190" s="72">
        <f t="shared" ref="AJ190:BA190" si="340">AJ189/$AD$189*$V$190</f>
        <v>0</v>
      </c>
      <c r="AK190" s="72">
        <f t="shared" si="340"/>
        <v>0</v>
      </c>
      <c r="AL190" s="72">
        <f t="shared" si="340"/>
        <v>0</v>
      </c>
      <c r="AM190" s="72">
        <f t="shared" si="340"/>
        <v>2.9229087879943882E-2</v>
      </c>
      <c r="AN190" s="72">
        <f t="shared" si="340"/>
        <v>0</v>
      </c>
      <c r="AO190" s="72">
        <f t="shared" si="340"/>
        <v>1.2015909227241366E-2</v>
      </c>
      <c r="AP190" s="72">
        <f t="shared" si="340"/>
        <v>3.1983196464376281E-3</v>
      </c>
      <c r="AQ190" s="72">
        <f t="shared" si="340"/>
        <v>0</v>
      </c>
      <c r="AR190" s="72">
        <f t="shared" si="340"/>
        <v>1.5214228873678995E-2</v>
      </c>
      <c r="AS190" s="72">
        <f t="shared" si="340"/>
        <v>0</v>
      </c>
      <c r="AT190" s="72">
        <f t="shared" si="340"/>
        <v>0</v>
      </c>
      <c r="AU190" s="72">
        <f t="shared" si="340"/>
        <v>1.5991598232188139E-2</v>
      </c>
      <c r="AV190" s="72">
        <f>AV189/$AD$189*$V$190</f>
        <v>0</v>
      </c>
      <c r="AW190" s="72">
        <f t="shared" ref="AW190:AZ190" si="341">AW189/$AD$189*$V$190</f>
        <v>0</v>
      </c>
      <c r="AX190" s="72">
        <f t="shared" si="341"/>
        <v>0</v>
      </c>
      <c r="AY190" s="72">
        <f t="shared" si="341"/>
        <v>0</v>
      </c>
      <c r="AZ190" s="72">
        <f t="shared" si="341"/>
        <v>0.35441379582086968</v>
      </c>
      <c r="BA190" s="72">
        <f t="shared" si="340"/>
        <v>0.38561962292673679</v>
      </c>
      <c r="BB190" s="36" t="s">
        <v>169</v>
      </c>
      <c r="BC190" s="36" t="s">
        <v>169</v>
      </c>
      <c r="BD190" s="36" t="s">
        <v>398</v>
      </c>
      <c r="BE190" s="36" t="s">
        <v>398</v>
      </c>
      <c r="BF190" s="36" t="s">
        <v>398</v>
      </c>
    </row>
    <row r="191" spans="1:58" ht="12.95" customHeight="1">
      <c r="A191" s="61"/>
      <c r="B191" s="62"/>
      <c r="C191" s="62"/>
      <c r="D191" s="62"/>
      <c r="E191" s="63"/>
      <c r="F191" s="63"/>
      <c r="G191" s="36"/>
      <c r="H191" s="36"/>
      <c r="I191" s="36"/>
      <c r="J191" s="87"/>
      <c r="K191" s="87"/>
      <c r="L191" s="37"/>
      <c r="M191" s="37"/>
      <c r="N191" s="35"/>
      <c r="O191" s="38"/>
      <c r="P191" s="30"/>
      <c r="Q191" s="36"/>
      <c r="R191" s="39">
        <f>R189-(BA189)</f>
        <v>0</v>
      </c>
      <c r="S191" s="39">
        <f>S189-SUM(AF189:AL189)</f>
        <v>0</v>
      </c>
      <c r="T191" s="35"/>
      <c r="U191" s="35"/>
      <c r="V191" s="35"/>
      <c r="W191" s="367"/>
      <c r="X191" s="368"/>
      <c r="Y191" s="73">
        <f>+Y189-(SUM(RBP!AG3:AG4))</f>
        <v>0</v>
      </c>
      <c r="Z191" s="39"/>
      <c r="AA191" s="35"/>
      <c r="AB191" s="35"/>
      <c r="AC191" s="35"/>
      <c r="AD191" s="35"/>
      <c r="AE191" s="41"/>
      <c r="AF191" s="341"/>
      <c r="AG191" s="341"/>
      <c r="AH191" s="341"/>
      <c r="AI191" s="341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512">
        <f>BB189/($Q$189/1440)/2</f>
        <v>1.8064516129032258</v>
      </c>
      <c r="BC191" s="512">
        <f>BC189/($Q$189/1440)/2</f>
        <v>1.5</v>
      </c>
      <c r="BD191" s="512">
        <f>BD189/($Q$189/1440)</f>
        <v>0</v>
      </c>
      <c r="BE191" s="512">
        <f t="shared" ref="BE191:BF191" si="342">BE189/($Q$189/1440)</f>
        <v>0</v>
      </c>
      <c r="BF191" s="512">
        <f t="shared" si="342"/>
        <v>0</v>
      </c>
    </row>
    <row r="192" spans="1:58">
      <c r="A192" s="74"/>
      <c r="B192" s="75"/>
      <c r="C192" s="75"/>
      <c r="D192" s="75"/>
      <c r="E192" s="76"/>
      <c r="F192" s="76"/>
      <c r="G192" s="77"/>
      <c r="H192" s="77"/>
      <c r="I192" s="77"/>
      <c r="J192" s="91"/>
      <c r="K192" s="91"/>
      <c r="O192" s="78"/>
      <c r="P192" s="79"/>
      <c r="Q192" s="77"/>
      <c r="R192" s="58"/>
      <c r="S192" s="58"/>
      <c r="U192" s="80"/>
      <c r="V192" s="80"/>
      <c r="W192" s="81" t="s">
        <v>119</v>
      </c>
      <c r="X192" s="505">
        <f>W189/U189</f>
        <v>0.91694532536689288</v>
      </c>
      <c r="Y192" s="505"/>
      <c r="Z192" s="58"/>
      <c r="AD192" s="88"/>
      <c r="AE192" s="83"/>
      <c r="AF192" s="84"/>
      <c r="AG192" s="84"/>
      <c r="AH192" s="84"/>
      <c r="AI192" s="84"/>
      <c r="AJ192" s="84"/>
      <c r="AK192" s="84"/>
      <c r="AL192" s="84"/>
      <c r="AM192" s="84"/>
      <c r="AN192" s="82"/>
      <c r="AO192" s="82"/>
      <c r="AP192" s="82"/>
      <c r="AQ192" s="82"/>
      <c r="AR192" s="82"/>
      <c r="AS192" s="84"/>
      <c r="AT192" s="84"/>
      <c r="AU192" s="84"/>
      <c r="AV192" s="84"/>
      <c r="AW192" s="84"/>
      <c r="AX192" s="84"/>
      <c r="AY192" s="84"/>
      <c r="AZ192" s="84"/>
      <c r="BA192" s="82"/>
      <c r="BB192" s="29"/>
      <c r="BC192" s="82"/>
      <c r="BD192" s="82"/>
      <c r="BE192" s="29"/>
      <c r="BF192" s="82"/>
    </row>
    <row r="193" spans="1:58">
      <c r="A193" s="74"/>
      <c r="B193" s="75"/>
      <c r="C193" s="75"/>
      <c r="D193" s="75"/>
      <c r="E193" s="76"/>
      <c r="F193" s="76"/>
      <c r="G193" s="77"/>
      <c r="H193" s="77"/>
      <c r="I193" s="77"/>
      <c r="J193" s="91"/>
      <c r="K193" s="91"/>
      <c r="O193" s="78"/>
      <c r="P193" s="79"/>
      <c r="Q193" s="77"/>
      <c r="R193" s="58"/>
      <c r="S193" s="58"/>
      <c r="U193" s="80"/>
      <c r="V193" s="80"/>
      <c r="W193" s="81"/>
      <c r="X193" s="82"/>
      <c r="Y193" s="82"/>
      <c r="Z193" s="58"/>
      <c r="AA193" s="94"/>
      <c r="AB193" s="94"/>
      <c r="AD193" s="88"/>
      <c r="AE193" s="83"/>
      <c r="AF193" s="84"/>
      <c r="AG193" s="84"/>
      <c r="AH193" s="84"/>
      <c r="AI193" s="84"/>
      <c r="AJ193" s="84"/>
      <c r="AK193" s="84"/>
      <c r="AL193" s="84"/>
      <c r="AM193" s="84"/>
      <c r="AN193" s="84"/>
      <c r="AO193" s="82"/>
      <c r="AP193" s="82"/>
      <c r="AQ193" s="82"/>
      <c r="AR193" s="84"/>
      <c r="AS193" s="82"/>
      <c r="AT193" s="82"/>
      <c r="AU193" s="82"/>
      <c r="AV193" s="82"/>
      <c r="AW193" s="82"/>
      <c r="AX193" s="82"/>
      <c r="AY193" s="82"/>
      <c r="AZ193" s="82"/>
      <c r="BA193" s="82"/>
      <c r="BB193" s="29"/>
      <c r="BC193" s="82"/>
      <c r="BD193" s="82"/>
      <c r="BE193" s="29"/>
      <c r="BF193" s="82"/>
    </row>
    <row r="194" spans="1:58">
      <c r="A194" s="74"/>
      <c r="B194" s="75"/>
      <c r="C194" s="75"/>
      <c r="D194" s="75"/>
      <c r="E194" s="76"/>
      <c r="F194" s="76"/>
      <c r="G194" s="77"/>
      <c r="H194" s="77"/>
      <c r="I194" s="77"/>
      <c r="J194" s="91"/>
      <c r="K194" s="91"/>
      <c r="O194" s="78"/>
      <c r="P194" s="79"/>
      <c r="Q194" s="77"/>
      <c r="R194" s="352"/>
      <c r="S194" s="58"/>
      <c r="U194" s="80"/>
      <c r="V194" s="80"/>
      <c r="W194" s="81" t="s">
        <v>143</v>
      </c>
      <c r="X194" s="341">
        <f>+W189+Y189</f>
        <v>700.59100000000001</v>
      </c>
      <c r="Y194" s="82"/>
      <c r="Z194" s="58"/>
      <c r="AD194" s="88"/>
      <c r="AE194" s="83"/>
      <c r="AF194" s="88"/>
      <c r="AG194" s="88"/>
      <c r="AH194" s="88"/>
      <c r="AI194" s="88"/>
      <c r="AJ194" s="82"/>
      <c r="AK194" s="82"/>
      <c r="AL194" s="82"/>
      <c r="AM194" s="84"/>
      <c r="AN194" s="82"/>
      <c r="AO194" s="82"/>
      <c r="AP194" s="82"/>
      <c r="AQ194" s="82"/>
      <c r="AR194" s="84"/>
      <c r="AS194" s="82"/>
      <c r="AT194" s="82"/>
      <c r="AU194" s="82"/>
      <c r="AV194" s="82"/>
      <c r="AW194" s="82"/>
      <c r="AX194" s="82"/>
      <c r="AY194" s="82"/>
      <c r="AZ194" s="82"/>
      <c r="BA194" s="82"/>
      <c r="BB194" s="29"/>
      <c r="BC194" s="82"/>
      <c r="BD194" s="82"/>
      <c r="BE194" s="29"/>
      <c r="BF194" s="82"/>
    </row>
    <row r="195" spans="1:58">
      <c r="A195" s="74"/>
      <c r="C195" s="75" t="s">
        <v>300</v>
      </c>
      <c r="D195" s="75"/>
      <c r="E195" s="76"/>
      <c r="F195" s="76"/>
      <c r="G195" s="77"/>
      <c r="H195" s="77"/>
      <c r="I195" s="77"/>
      <c r="J195" s="91"/>
      <c r="K195" s="91"/>
      <c r="O195" s="78"/>
      <c r="P195" s="79"/>
      <c r="Q195" s="77"/>
      <c r="R195" s="352"/>
      <c r="S195" s="58"/>
      <c r="U195" s="80"/>
      <c r="V195" s="362"/>
      <c r="W195" s="363"/>
      <c r="X195" s="357"/>
      <c r="Y195" s="363"/>
      <c r="Z195" s="357"/>
      <c r="AD195" s="350"/>
      <c r="AE195" s="83"/>
      <c r="AF195" s="350"/>
      <c r="AG195" s="350"/>
      <c r="AH195" s="350"/>
      <c r="AI195" s="350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29"/>
      <c r="BC195" s="82"/>
      <c r="BD195" s="82"/>
      <c r="BE195" s="29"/>
      <c r="BF195" s="82"/>
    </row>
    <row r="196" spans="1:58">
      <c r="A196" s="74"/>
      <c r="B196" s="75"/>
      <c r="C196" s="75" t="s">
        <v>301</v>
      </c>
      <c r="D196" s="75"/>
      <c r="E196" s="76"/>
      <c r="F196" s="76"/>
      <c r="G196" s="77"/>
      <c r="H196" s="77"/>
      <c r="I196" s="77"/>
      <c r="J196" s="91"/>
      <c r="K196" s="91"/>
      <c r="O196" s="78"/>
      <c r="P196" s="79"/>
      <c r="Q196" s="77"/>
      <c r="R196" s="352"/>
      <c r="S196" s="58"/>
      <c r="V196" s="355"/>
      <c r="W196" s="356" t="s">
        <v>307</v>
      </c>
      <c r="X196" s="355"/>
      <c r="Y196" s="355"/>
      <c r="Z196" s="357"/>
      <c r="AE196" s="83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29"/>
      <c r="BE196" s="29"/>
    </row>
    <row r="197" spans="1:58">
      <c r="A197" s="74"/>
      <c r="B197" s="75"/>
      <c r="C197" s="75"/>
      <c r="D197" s="75"/>
      <c r="E197" s="76"/>
      <c r="F197" s="76"/>
      <c r="G197" s="77"/>
      <c r="H197" s="77"/>
      <c r="I197" s="77"/>
      <c r="J197" s="91"/>
      <c r="K197" s="91"/>
      <c r="O197" s="78"/>
      <c r="P197" s="79"/>
      <c r="Q197" s="77"/>
      <c r="R197" s="352"/>
      <c r="S197" s="58"/>
      <c r="V197" s="355"/>
      <c r="W197" s="358" t="s">
        <v>296</v>
      </c>
      <c r="X197" s="513">
        <f>Y190</f>
        <v>0</v>
      </c>
      <c r="Y197" s="359"/>
      <c r="Z197" s="357"/>
      <c r="AE197" s="83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29"/>
      <c r="BE197" s="29"/>
    </row>
    <row r="198" spans="1:58">
      <c r="R198" s="94"/>
      <c r="V198" s="355"/>
      <c r="W198" s="358" t="s">
        <v>149</v>
      </c>
      <c r="X198" s="361">
        <f>Z190</f>
        <v>3.9876207973577266E-3</v>
      </c>
      <c r="Y198" s="360"/>
      <c r="Z198" s="355"/>
    </row>
    <row r="199" spans="1:58">
      <c r="R199" s="94"/>
      <c r="V199" s="355"/>
      <c r="W199" s="358" t="s">
        <v>150</v>
      </c>
      <c r="X199" s="361">
        <f>AC190</f>
        <v>4.3768278782732012E-2</v>
      </c>
      <c r="Y199" s="361"/>
      <c r="Z199" s="355"/>
    </row>
    <row r="200" spans="1:58">
      <c r="R200" s="94"/>
      <c r="V200" s="355"/>
      <c r="W200" s="358" t="s">
        <v>151</v>
      </c>
      <c r="X200" s="361">
        <f>AA190</f>
        <v>4.2280990575601023E-2</v>
      </c>
      <c r="Y200" s="360"/>
      <c r="Z200" s="355"/>
    </row>
    <row r="201" spans="1:58">
      <c r="V201" s="355"/>
      <c r="W201" s="358" t="s">
        <v>167</v>
      </c>
      <c r="X201" s="361">
        <f>AB190</f>
        <v>-1.5703168992919334E-2</v>
      </c>
      <c r="Y201" s="360" t="s">
        <v>165</v>
      </c>
      <c r="Z201" s="355"/>
    </row>
    <row r="202" spans="1:58">
      <c r="V202" s="355"/>
      <c r="W202" s="358" t="s">
        <v>223</v>
      </c>
      <c r="X202" s="361">
        <f>AF190</f>
        <v>6.79642924867996E-3</v>
      </c>
      <c r="Y202" s="360"/>
      <c r="Z202" s="355"/>
    </row>
    <row r="203" spans="1:58">
      <c r="V203" s="355"/>
      <c r="W203" s="358" t="s">
        <v>224</v>
      </c>
      <c r="X203" s="361">
        <f>+AG190</f>
        <v>3.6647412615431157E-3</v>
      </c>
      <c r="Y203" s="360"/>
      <c r="Z203" s="355"/>
    </row>
    <row r="204" spans="1:58">
      <c r="V204" s="355"/>
      <c r="W204" s="358" t="s">
        <v>302</v>
      </c>
      <c r="X204" s="361">
        <f>+AH190</f>
        <v>1.8767917369720801E-2</v>
      </c>
      <c r="Y204" s="360"/>
      <c r="Z204" s="355"/>
    </row>
    <row r="205" spans="1:58">
      <c r="V205" s="355"/>
      <c r="W205" s="358" t="s">
        <v>225</v>
      </c>
      <c r="X205" s="361">
        <f>+AI190</f>
        <v>0</v>
      </c>
      <c r="Y205" s="360"/>
      <c r="Z205" s="355"/>
    </row>
    <row r="206" spans="1:58">
      <c r="V206" s="355"/>
      <c r="W206" s="358" t="s">
        <v>158</v>
      </c>
      <c r="X206" s="361">
        <f>+AJ190</f>
        <v>0</v>
      </c>
      <c r="Y206" s="360"/>
      <c r="Z206" s="355"/>
    </row>
    <row r="207" spans="1:58">
      <c r="V207" s="355"/>
      <c r="W207" s="358" t="s">
        <v>160</v>
      </c>
      <c r="X207" s="361">
        <f>+AK190</f>
        <v>0</v>
      </c>
      <c r="Y207" s="360"/>
      <c r="Z207" s="355"/>
    </row>
    <row r="208" spans="1:58">
      <c r="V208" s="355"/>
      <c r="W208" s="358" t="s">
        <v>159</v>
      </c>
      <c r="X208" s="361">
        <f>+AL190</f>
        <v>0</v>
      </c>
      <c r="Y208" s="360"/>
      <c r="Z208" s="355"/>
    </row>
    <row r="209" spans="22:26">
      <c r="V209" s="355"/>
      <c r="W209" s="358" t="s">
        <v>152</v>
      </c>
      <c r="X209" s="361">
        <f>+AN190</f>
        <v>0</v>
      </c>
      <c r="Y209" s="360"/>
      <c r="Z209" s="355"/>
    </row>
    <row r="210" spans="22:26">
      <c r="V210" s="355"/>
      <c r="W210" s="358" t="s">
        <v>162</v>
      </c>
      <c r="X210" s="361">
        <f>+AO190</f>
        <v>1.2015909227241366E-2</v>
      </c>
      <c r="Y210" s="360"/>
      <c r="Z210" s="355"/>
    </row>
    <row r="211" spans="22:26">
      <c r="V211" s="355"/>
      <c r="W211" s="358" t="s">
        <v>153</v>
      </c>
      <c r="X211" s="361">
        <f>+AP190</f>
        <v>3.1983196464376281E-3</v>
      </c>
      <c r="Y211" s="360"/>
      <c r="Z211" s="355"/>
    </row>
    <row r="212" spans="22:26">
      <c r="V212" s="355"/>
      <c r="W212" s="358" t="s">
        <v>161</v>
      </c>
      <c r="X212" s="361">
        <f>+AQ190</f>
        <v>0</v>
      </c>
      <c r="Y212" s="360"/>
      <c r="Z212" s="355"/>
    </row>
    <row r="213" spans="22:26">
      <c r="V213" s="355"/>
      <c r="W213" s="358" t="s">
        <v>164</v>
      </c>
      <c r="X213" s="361">
        <f>+AS190</f>
        <v>0</v>
      </c>
      <c r="Y213" s="360"/>
      <c r="Z213" s="355"/>
    </row>
    <row r="214" spans="22:26">
      <c r="V214" s="355"/>
      <c r="W214" s="358" t="s">
        <v>303</v>
      </c>
      <c r="X214" s="361">
        <f>+AT190</f>
        <v>0</v>
      </c>
      <c r="Y214" s="360"/>
      <c r="Z214" s="355"/>
    </row>
    <row r="215" spans="22:26">
      <c r="V215" s="355"/>
      <c r="W215" s="358" t="s">
        <v>239</v>
      </c>
      <c r="X215" s="361">
        <f>+AU190</f>
        <v>1.5991598232188139E-2</v>
      </c>
      <c r="Y215" s="360"/>
      <c r="Z215" s="355"/>
    </row>
    <row r="216" spans="22:26">
      <c r="V216" s="355"/>
      <c r="W216" s="358" t="s">
        <v>309</v>
      </c>
      <c r="X216" s="361">
        <f>+AW190</f>
        <v>0</v>
      </c>
      <c r="Y216" s="360"/>
      <c r="Z216" s="355"/>
    </row>
    <row r="217" spans="22:26">
      <c r="V217" s="355"/>
      <c r="W217" s="358" t="s">
        <v>310</v>
      </c>
      <c r="X217" s="361">
        <f>+AV190</f>
        <v>0</v>
      </c>
      <c r="Y217" s="360"/>
      <c r="Z217" s="355"/>
    </row>
    <row r="218" spans="22:26">
      <c r="V218" s="355"/>
      <c r="W218" s="355" t="s">
        <v>163</v>
      </c>
      <c r="X218" s="361">
        <f>+AX190+AY190</f>
        <v>0</v>
      </c>
      <c r="Y218" s="361"/>
      <c r="Z218" s="355"/>
    </row>
    <row r="219" spans="22:26">
      <c r="V219" s="355"/>
      <c r="W219" s="355" t="s">
        <v>308</v>
      </c>
      <c r="X219" s="361">
        <f>+AZ190</f>
        <v>0.35441379582086968</v>
      </c>
      <c r="Y219" s="355"/>
      <c r="Z219" s="355"/>
    </row>
    <row r="220" spans="22:26">
      <c r="V220" s="355"/>
      <c r="W220" s="355"/>
      <c r="X220" s="526">
        <f>SUM(X197:X219)</f>
        <v>0.4891824319694521</v>
      </c>
      <c r="Y220" s="355"/>
      <c r="Z220" s="355"/>
    </row>
    <row r="223" spans="22:26">
      <c r="X223" s="94">
        <f>+X220+X189</f>
        <v>0.99999999999999978</v>
      </c>
    </row>
  </sheetData>
  <mergeCells count="50">
    <mergeCell ref="AJ4:AJ5"/>
    <mergeCell ref="V3:V5"/>
    <mergeCell ref="U3:U5"/>
    <mergeCell ref="AV3:AW3"/>
    <mergeCell ref="AX3:AY3"/>
    <mergeCell ref="AN3:AR3"/>
    <mergeCell ref="AS3:AS5"/>
    <mergeCell ref="AQ4:AQ5"/>
    <mergeCell ref="AZ3:AZ5"/>
    <mergeCell ref="O190:P190"/>
    <mergeCell ref="BA3:BA5"/>
    <mergeCell ref="AT3:AU4"/>
    <mergeCell ref="P3:P5"/>
    <mergeCell ref="AK4:AK5"/>
    <mergeCell ref="AA3:AA5"/>
    <mergeCell ref="AL4:AL5"/>
    <mergeCell ref="AM3:AM5"/>
    <mergeCell ref="Q3:Q5"/>
    <mergeCell ref="AC3:AC5"/>
    <mergeCell ref="AE3:AE5"/>
    <mergeCell ref="AD3:AD5"/>
    <mergeCell ref="AF3:AL3"/>
    <mergeCell ref="AO4:AO5"/>
    <mergeCell ref="AR4:AR5"/>
    <mergeCell ref="A3:A5"/>
    <mergeCell ref="B3:B5"/>
    <mergeCell ref="D3:D5"/>
    <mergeCell ref="E3:E5"/>
    <mergeCell ref="F3:F5"/>
    <mergeCell ref="G3:K4"/>
    <mergeCell ref="C3:C5"/>
    <mergeCell ref="L3:N4"/>
    <mergeCell ref="O3:O5"/>
    <mergeCell ref="R3:R5"/>
    <mergeCell ref="BD3:BD5"/>
    <mergeCell ref="BE3:BE5"/>
    <mergeCell ref="BF3:BF5"/>
    <mergeCell ref="S3:S5"/>
    <mergeCell ref="T3:T5"/>
    <mergeCell ref="AF4:AH4"/>
    <mergeCell ref="W3:W5"/>
    <mergeCell ref="X3:X5"/>
    <mergeCell ref="Z3:Z5"/>
    <mergeCell ref="Y3:Y5"/>
    <mergeCell ref="AI4:AI5"/>
    <mergeCell ref="AB3:AB5"/>
    <mergeCell ref="BB3:BB5"/>
    <mergeCell ref="BC3:BC5"/>
    <mergeCell ref="AN4:AN5"/>
    <mergeCell ref="AP4:AP5"/>
  </mergeCells>
  <phoneticPr fontId="32" type="noConversion"/>
  <conditionalFormatting sqref="B27:C27 B59:C59 B158:C158 B162:C167 C168:C188 B168:B190 C190 B8:C10">
    <cfRule type="cellIs" dxfId="2839" priority="2519" stopIfTrue="1" operator="equal">
      <formula>"Towel"</formula>
    </cfRule>
    <cfRule type="cellIs" dxfId="2838" priority="2520" stopIfTrue="1" operator="equal">
      <formula>"Napkin Hs"</formula>
    </cfRule>
  </conditionalFormatting>
  <conditionalFormatting sqref="B7:C7">
    <cfRule type="cellIs" dxfId="2837" priority="2059" stopIfTrue="1" operator="equal">
      <formula>"Towel"</formula>
    </cfRule>
    <cfRule type="cellIs" dxfId="2836" priority="2060" stopIfTrue="1" operator="equal">
      <formula>"Napkin Hs"</formula>
    </cfRule>
  </conditionalFormatting>
  <conditionalFormatting sqref="B11:C11">
    <cfRule type="cellIs" dxfId="2835" priority="2053" stopIfTrue="1" operator="equal">
      <formula>"Towel"</formula>
    </cfRule>
    <cfRule type="cellIs" dxfId="2834" priority="2054" stopIfTrue="1" operator="equal">
      <formula>"Napkin Hs"</formula>
    </cfRule>
  </conditionalFormatting>
  <conditionalFormatting sqref="B43:C43">
    <cfRule type="cellIs" dxfId="2833" priority="2435" stopIfTrue="1" operator="equal">
      <formula>"Towel"</formula>
    </cfRule>
    <cfRule type="cellIs" dxfId="2832" priority="2436" stopIfTrue="1" operator="equal">
      <formula>"Napkin Hs"</formula>
    </cfRule>
  </conditionalFormatting>
  <conditionalFormatting sqref="B92:C92">
    <cfRule type="cellIs" dxfId="2831" priority="2243" stopIfTrue="1" operator="equal">
      <formula>"Towel"</formula>
    </cfRule>
    <cfRule type="cellIs" dxfId="2830" priority="2244" stopIfTrue="1" operator="equal">
      <formula>"Napkin Hs"</formula>
    </cfRule>
  </conditionalFormatting>
  <conditionalFormatting sqref="C148 C153">
    <cfRule type="cellIs" dxfId="2829" priority="2109" stopIfTrue="1" operator="equal">
      <formula>"Towel"</formula>
    </cfRule>
    <cfRule type="cellIs" dxfId="2828" priority="2110" stopIfTrue="1" operator="equal">
      <formula>"Napkin Hs"</formula>
    </cfRule>
  </conditionalFormatting>
  <conditionalFormatting sqref="B148:C148 B153:C153">
    <cfRule type="cellIs" dxfId="2827" priority="2107" stopIfTrue="1" operator="equal">
      <formula>"Towel"</formula>
    </cfRule>
    <cfRule type="cellIs" dxfId="2826" priority="2108" stopIfTrue="1" operator="equal">
      <formula>"Napkin Hs"</formula>
    </cfRule>
  </conditionalFormatting>
  <conditionalFormatting sqref="B159:C159">
    <cfRule type="cellIs" dxfId="2825" priority="2089" stopIfTrue="1" operator="equal">
      <formula>"Towel"</formula>
    </cfRule>
    <cfRule type="cellIs" dxfId="2824" priority="2090" stopIfTrue="1" operator="equal">
      <formula>"Napkin Hs"</formula>
    </cfRule>
  </conditionalFormatting>
  <conditionalFormatting sqref="B160:C161">
    <cfRule type="cellIs" dxfId="2823" priority="2095" stopIfTrue="1" operator="equal">
      <formula>"Towel"</formula>
    </cfRule>
    <cfRule type="cellIs" dxfId="2822" priority="2096" stopIfTrue="1" operator="equal">
      <formula>"Napkin Hs"</formula>
    </cfRule>
  </conditionalFormatting>
  <conditionalFormatting sqref="C27 C59 C158 C162:C187 C8:C10">
    <cfRule type="cellIs" dxfId="2821" priority="2518" stopIfTrue="1" operator="equal">
      <formula>"Napkin Hs"</formula>
    </cfRule>
  </conditionalFormatting>
  <conditionalFormatting sqref="C7:C10">
    <cfRule type="cellIs" dxfId="2820" priority="2057" stopIfTrue="1" operator="equal">
      <formula>"Towel"</formula>
    </cfRule>
    <cfRule type="cellIs" dxfId="2819" priority="2058" stopIfTrue="1" operator="equal">
      <formula>"Napkin Hs"</formula>
    </cfRule>
  </conditionalFormatting>
  <conditionalFormatting sqref="C7">
    <cfRule type="cellIs" dxfId="2818" priority="2055" stopIfTrue="1" operator="equal">
      <formula>"Towel"</formula>
    </cfRule>
    <cfRule type="cellIs" dxfId="2817" priority="2056" stopIfTrue="1" operator="equal">
      <formula>"Napkin Hs"</formula>
    </cfRule>
  </conditionalFormatting>
  <conditionalFormatting sqref="C11">
    <cfRule type="cellIs" dxfId="2816" priority="2051" stopIfTrue="1" operator="equal">
      <formula>"Towel"</formula>
    </cfRule>
    <cfRule type="cellIs" dxfId="2815" priority="2052" stopIfTrue="1" operator="equal">
      <formula>"Napkin Hs"</formula>
    </cfRule>
  </conditionalFormatting>
  <conditionalFormatting sqref="C11">
    <cfRule type="cellIs" dxfId="2814" priority="2045" stopIfTrue="1" operator="equal">
      <formula>"Towel"</formula>
    </cfRule>
    <cfRule type="cellIs" dxfId="2813" priority="2046" stopIfTrue="1" operator="equal">
      <formula>"Napkin Hs"</formula>
    </cfRule>
  </conditionalFormatting>
  <conditionalFormatting sqref="C27 C59 C158 C162:C187 C8:C10">
    <cfRule type="cellIs" dxfId="2812" priority="2517" stopIfTrue="1" operator="equal">
      <formula>"Towel"</formula>
    </cfRule>
  </conditionalFormatting>
  <conditionalFormatting sqref="C27">
    <cfRule type="cellIs" dxfId="2811" priority="2487" stopIfTrue="1" operator="equal">
      <formula>"Towel"</formula>
    </cfRule>
    <cfRule type="cellIs" dxfId="2810" priority="2488" stopIfTrue="1" operator="equal">
      <formula>"Napkin Hs"</formula>
    </cfRule>
  </conditionalFormatting>
  <conditionalFormatting sqref="C43">
    <cfRule type="cellIs" dxfId="2809" priority="2421" stopIfTrue="1" operator="equal">
      <formula>"Towel"</formula>
    </cfRule>
    <cfRule type="cellIs" dxfId="2808" priority="2422" stopIfTrue="1" operator="equal">
      <formula>"Napkin Hs"</formula>
    </cfRule>
  </conditionalFormatting>
  <conditionalFormatting sqref="C43">
    <cfRule type="cellIs" dxfId="2807" priority="2433" stopIfTrue="1" operator="equal">
      <formula>"Towel"</formula>
    </cfRule>
    <cfRule type="cellIs" dxfId="2806" priority="2434" stopIfTrue="1" operator="equal">
      <formula>"Napkin Hs"</formula>
    </cfRule>
  </conditionalFormatting>
  <conditionalFormatting sqref="C59">
    <cfRule type="cellIs" dxfId="2805" priority="2379" stopIfTrue="1" operator="equal">
      <formula>"Towel"</formula>
    </cfRule>
    <cfRule type="cellIs" dxfId="2804" priority="2380" stopIfTrue="1" operator="equal">
      <formula>"Napkin Hs"</formula>
    </cfRule>
  </conditionalFormatting>
  <conditionalFormatting sqref="C92">
    <cfRule type="cellIs" dxfId="2803" priority="2241" stopIfTrue="1" operator="equal">
      <formula>"Towel"</formula>
    </cfRule>
    <cfRule type="cellIs" dxfId="2802" priority="2242" stopIfTrue="1" operator="equal">
      <formula>"Napkin Hs"</formula>
    </cfRule>
  </conditionalFormatting>
  <conditionalFormatting sqref="C92">
    <cfRule type="cellIs" dxfId="2801" priority="2237" stopIfTrue="1" operator="equal">
      <formula>"Towel"</formula>
    </cfRule>
    <cfRule type="cellIs" dxfId="2800" priority="2238" stopIfTrue="1" operator="equal">
      <formula>"Napkin Hs"</formula>
    </cfRule>
  </conditionalFormatting>
  <conditionalFormatting sqref="C148 C153 C158">
    <cfRule type="cellIs" dxfId="2799" priority="2101" stopIfTrue="1" operator="equal">
      <formula>"Towel"</formula>
    </cfRule>
    <cfRule type="cellIs" dxfId="2798" priority="2102" stopIfTrue="1" operator="equal">
      <formula>"Napkin Hs"</formula>
    </cfRule>
  </conditionalFormatting>
  <conditionalFormatting sqref="C159">
    <cfRule type="cellIs" dxfId="2797" priority="2085" stopIfTrue="1" operator="equal">
      <formula>"Towel"</formula>
    </cfRule>
    <cfRule type="cellIs" dxfId="2796" priority="2086" stopIfTrue="1" operator="equal">
      <formula>"Napkin Hs"</formula>
    </cfRule>
  </conditionalFormatting>
  <conditionalFormatting sqref="C159:C161">
    <cfRule type="cellIs" dxfId="2795" priority="2087" stopIfTrue="1" operator="equal">
      <formula>"Towel"</formula>
    </cfRule>
    <cfRule type="cellIs" dxfId="2794" priority="2088" stopIfTrue="1" operator="equal">
      <formula>"Napkin Hs"</formula>
    </cfRule>
  </conditionalFormatting>
  <conditionalFormatting sqref="C160:C187">
    <cfRule type="cellIs" dxfId="2793" priority="2093" stopIfTrue="1" operator="equal">
      <formula>"Towel"</formula>
    </cfRule>
    <cfRule type="cellIs" dxfId="2792" priority="2094" stopIfTrue="1" operator="equal">
      <formula>"Napkin Hs"</formula>
    </cfRule>
  </conditionalFormatting>
  <conditionalFormatting sqref="B15:C15">
    <cfRule type="cellIs" dxfId="2791" priority="2041" stopIfTrue="1" operator="equal">
      <formula>"Towel"</formula>
    </cfRule>
    <cfRule type="cellIs" dxfId="2790" priority="2042" stopIfTrue="1" operator="equal">
      <formula>"Napkin Hs"</formula>
    </cfRule>
  </conditionalFormatting>
  <conditionalFormatting sqref="C15">
    <cfRule type="cellIs" dxfId="2789" priority="2040" stopIfTrue="1" operator="equal">
      <formula>"Napkin Hs"</formula>
    </cfRule>
  </conditionalFormatting>
  <conditionalFormatting sqref="C15">
    <cfRule type="cellIs" dxfId="2788" priority="2035" stopIfTrue="1" operator="equal">
      <formula>"Towel"</formula>
    </cfRule>
    <cfRule type="cellIs" dxfId="2787" priority="2036" stopIfTrue="1" operator="equal">
      <formula>"Napkin Hs"</formula>
    </cfRule>
  </conditionalFormatting>
  <conditionalFormatting sqref="C15">
    <cfRule type="cellIs" dxfId="2786" priority="2039" stopIfTrue="1" operator="equal">
      <formula>"Towel"</formula>
    </cfRule>
  </conditionalFormatting>
  <conditionalFormatting sqref="B39:C39">
    <cfRule type="cellIs" dxfId="2785" priority="1975" stopIfTrue="1" operator="equal">
      <formula>"Towel"</formula>
    </cfRule>
    <cfRule type="cellIs" dxfId="2784" priority="1976" stopIfTrue="1" operator="equal">
      <formula>"Napkin Hs"</formula>
    </cfRule>
  </conditionalFormatting>
  <conditionalFormatting sqref="C39">
    <cfRule type="cellIs" dxfId="2783" priority="1974" stopIfTrue="1" operator="equal">
      <formula>"Napkin Hs"</formula>
    </cfRule>
  </conditionalFormatting>
  <conditionalFormatting sqref="C39">
    <cfRule type="cellIs" dxfId="2782" priority="1971" stopIfTrue="1" operator="equal">
      <formula>"Towel"</formula>
    </cfRule>
    <cfRule type="cellIs" dxfId="2781" priority="1972" stopIfTrue="1" operator="equal">
      <formula>"Napkin Hs"</formula>
    </cfRule>
  </conditionalFormatting>
  <conditionalFormatting sqref="C39">
    <cfRule type="cellIs" dxfId="2780" priority="1973" stopIfTrue="1" operator="equal">
      <formula>"Towel"</formula>
    </cfRule>
  </conditionalFormatting>
  <conditionalFormatting sqref="B46:C47">
    <cfRule type="cellIs" dxfId="2779" priority="1969" stopIfTrue="1" operator="equal">
      <formula>"Towel"</formula>
    </cfRule>
    <cfRule type="cellIs" dxfId="2778" priority="1970" stopIfTrue="1" operator="equal">
      <formula>"Napkin Hs"</formula>
    </cfRule>
  </conditionalFormatting>
  <conditionalFormatting sqref="C46:C47">
    <cfRule type="cellIs" dxfId="2777" priority="1968" stopIfTrue="1" operator="equal">
      <formula>"Napkin Hs"</formula>
    </cfRule>
  </conditionalFormatting>
  <conditionalFormatting sqref="C46:C47">
    <cfRule type="cellIs" dxfId="2776" priority="1963" stopIfTrue="1" operator="equal">
      <formula>"Towel"</formula>
    </cfRule>
    <cfRule type="cellIs" dxfId="2775" priority="1964" stopIfTrue="1" operator="equal">
      <formula>"Napkin Hs"</formula>
    </cfRule>
  </conditionalFormatting>
  <conditionalFormatting sqref="C46:C47">
    <cfRule type="cellIs" dxfId="2774" priority="1967" stopIfTrue="1" operator="equal">
      <formula>"Towel"</formula>
    </cfRule>
  </conditionalFormatting>
  <conditionalFormatting sqref="B44:C45">
    <cfRule type="cellIs" dxfId="2773" priority="1959" stopIfTrue="1" operator="equal">
      <formula>"Towel"</formula>
    </cfRule>
    <cfRule type="cellIs" dxfId="2772" priority="1960" stopIfTrue="1" operator="equal">
      <formula>"Napkin Hs"</formula>
    </cfRule>
  </conditionalFormatting>
  <conditionalFormatting sqref="C44:C45">
    <cfRule type="cellIs" dxfId="2771" priority="1958" stopIfTrue="1" operator="equal">
      <formula>"Napkin Hs"</formula>
    </cfRule>
  </conditionalFormatting>
  <conditionalFormatting sqref="C44:C45">
    <cfRule type="cellIs" dxfId="2770" priority="1955" stopIfTrue="1" operator="equal">
      <formula>"Towel"</formula>
    </cfRule>
    <cfRule type="cellIs" dxfId="2769" priority="1956" stopIfTrue="1" operator="equal">
      <formula>"Napkin Hs"</formula>
    </cfRule>
  </conditionalFormatting>
  <conditionalFormatting sqref="C44:C45">
    <cfRule type="cellIs" dxfId="2768" priority="1957" stopIfTrue="1" operator="equal">
      <formula>"Towel"</formula>
    </cfRule>
  </conditionalFormatting>
  <conditionalFormatting sqref="B51:C51">
    <cfRule type="cellIs" dxfId="2767" priority="1949" stopIfTrue="1" operator="equal">
      <formula>"Towel"</formula>
    </cfRule>
    <cfRule type="cellIs" dxfId="2766" priority="1950" stopIfTrue="1" operator="equal">
      <formula>"Napkin Hs"</formula>
    </cfRule>
  </conditionalFormatting>
  <conditionalFormatting sqref="C51">
    <cfRule type="cellIs" dxfId="2765" priority="1945" stopIfTrue="1" operator="equal">
      <formula>"Towel"</formula>
    </cfRule>
    <cfRule type="cellIs" dxfId="2764" priority="1946" stopIfTrue="1" operator="equal">
      <formula>"Napkin Hs"</formula>
    </cfRule>
  </conditionalFormatting>
  <conditionalFormatting sqref="C51">
    <cfRule type="cellIs" dxfId="2763" priority="1947" stopIfTrue="1" operator="equal">
      <formula>"Towel"</formula>
    </cfRule>
    <cfRule type="cellIs" dxfId="2762" priority="1948" stopIfTrue="1" operator="equal">
      <formula>"Napkin Hs"</formula>
    </cfRule>
  </conditionalFormatting>
  <conditionalFormatting sqref="B55:C55">
    <cfRule type="cellIs" dxfId="2761" priority="1927" stopIfTrue="1" operator="equal">
      <formula>"Towel"</formula>
    </cfRule>
    <cfRule type="cellIs" dxfId="2760" priority="1928" stopIfTrue="1" operator="equal">
      <formula>"Napkin Hs"</formula>
    </cfRule>
  </conditionalFormatting>
  <conditionalFormatting sqref="C55">
    <cfRule type="cellIs" dxfId="2759" priority="1926" stopIfTrue="1" operator="equal">
      <formula>"Napkin Hs"</formula>
    </cfRule>
  </conditionalFormatting>
  <conditionalFormatting sqref="C55">
    <cfRule type="cellIs" dxfId="2758" priority="1923" stopIfTrue="1" operator="equal">
      <formula>"Towel"</formula>
    </cfRule>
    <cfRule type="cellIs" dxfId="2757" priority="1924" stopIfTrue="1" operator="equal">
      <formula>"Napkin Hs"</formula>
    </cfRule>
  </conditionalFormatting>
  <conditionalFormatting sqref="C55">
    <cfRule type="cellIs" dxfId="2756" priority="1925" stopIfTrue="1" operator="equal">
      <formula>"Towel"</formula>
    </cfRule>
  </conditionalFormatting>
  <conditionalFormatting sqref="B63:C63">
    <cfRule type="cellIs" dxfId="2755" priority="1921" stopIfTrue="1" operator="equal">
      <formula>"Towel"</formula>
    </cfRule>
    <cfRule type="cellIs" dxfId="2754" priority="1922" stopIfTrue="1" operator="equal">
      <formula>"Napkin Hs"</formula>
    </cfRule>
  </conditionalFormatting>
  <conditionalFormatting sqref="C63">
    <cfRule type="cellIs" dxfId="2753" priority="1920" stopIfTrue="1" operator="equal">
      <formula>"Napkin Hs"</formula>
    </cfRule>
  </conditionalFormatting>
  <conditionalFormatting sqref="C63">
    <cfRule type="cellIs" dxfId="2752" priority="1915" stopIfTrue="1" operator="equal">
      <formula>"Towel"</formula>
    </cfRule>
    <cfRule type="cellIs" dxfId="2751" priority="1916" stopIfTrue="1" operator="equal">
      <formula>"Napkin Hs"</formula>
    </cfRule>
  </conditionalFormatting>
  <conditionalFormatting sqref="C63">
    <cfRule type="cellIs" dxfId="2750" priority="1919" stopIfTrue="1" operator="equal">
      <formula>"Towel"</formula>
    </cfRule>
  </conditionalFormatting>
  <conditionalFormatting sqref="B68:C68">
    <cfRule type="cellIs" dxfId="2749" priority="1899" stopIfTrue="1" operator="equal">
      <formula>"Towel"</formula>
    </cfRule>
    <cfRule type="cellIs" dxfId="2748" priority="1900" stopIfTrue="1" operator="equal">
      <formula>"Napkin Hs"</formula>
    </cfRule>
  </conditionalFormatting>
  <conditionalFormatting sqref="C68">
    <cfRule type="cellIs" dxfId="2747" priority="1898" stopIfTrue="1" operator="equal">
      <formula>"Napkin Hs"</formula>
    </cfRule>
  </conditionalFormatting>
  <conditionalFormatting sqref="C68">
    <cfRule type="cellIs" dxfId="2746" priority="1893" stopIfTrue="1" operator="equal">
      <formula>"Towel"</formula>
    </cfRule>
    <cfRule type="cellIs" dxfId="2745" priority="1894" stopIfTrue="1" operator="equal">
      <formula>"Napkin Hs"</formula>
    </cfRule>
  </conditionalFormatting>
  <conditionalFormatting sqref="C68">
    <cfRule type="cellIs" dxfId="2744" priority="1897" stopIfTrue="1" operator="equal">
      <formula>"Towel"</formula>
    </cfRule>
  </conditionalFormatting>
  <conditionalFormatting sqref="B76:C76">
    <cfRule type="cellIs" dxfId="2743" priority="1877" stopIfTrue="1" operator="equal">
      <formula>"Towel"</formula>
    </cfRule>
    <cfRule type="cellIs" dxfId="2742" priority="1878" stopIfTrue="1" operator="equal">
      <formula>"Napkin Hs"</formula>
    </cfRule>
  </conditionalFormatting>
  <conditionalFormatting sqref="C76">
    <cfRule type="cellIs" dxfId="2741" priority="1876" stopIfTrue="1" operator="equal">
      <formula>"Napkin Hs"</formula>
    </cfRule>
  </conditionalFormatting>
  <conditionalFormatting sqref="C76">
    <cfRule type="cellIs" dxfId="2740" priority="1871" stopIfTrue="1" operator="equal">
      <formula>"Towel"</formula>
    </cfRule>
    <cfRule type="cellIs" dxfId="2739" priority="1872" stopIfTrue="1" operator="equal">
      <formula>"Napkin Hs"</formula>
    </cfRule>
  </conditionalFormatting>
  <conditionalFormatting sqref="C76">
    <cfRule type="cellIs" dxfId="2738" priority="1875" stopIfTrue="1" operator="equal">
      <formula>"Towel"</formula>
    </cfRule>
  </conditionalFormatting>
  <conditionalFormatting sqref="B85:C85">
    <cfRule type="cellIs" dxfId="2737" priority="1825" stopIfTrue="1" operator="equal">
      <formula>"Towel"</formula>
    </cfRule>
    <cfRule type="cellIs" dxfId="2736" priority="1826" stopIfTrue="1" operator="equal">
      <formula>"Napkin Hs"</formula>
    </cfRule>
  </conditionalFormatting>
  <conditionalFormatting sqref="C85">
    <cfRule type="cellIs" dxfId="2735" priority="1824" stopIfTrue="1" operator="equal">
      <formula>"Napkin Hs"</formula>
    </cfRule>
  </conditionalFormatting>
  <conditionalFormatting sqref="C85">
    <cfRule type="cellIs" dxfId="2734" priority="1821" stopIfTrue="1" operator="equal">
      <formula>"Towel"</formula>
    </cfRule>
    <cfRule type="cellIs" dxfId="2733" priority="1822" stopIfTrue="1" operator="equal">
      <formula>"Napkin Hs"</formula>
    </cfRule>
  </conditionalFormatting>
  <conditionalFormatting sqref="C85">
    <cfRule type="cellIs" dxfId="2732" priority="1823" stopIfTrue="1" operator="equal">
      <formula>"Towel"</formula>
    </cfRule>
  </conditionalFormatting>
  <conditionalFormatting sqref="B90:C91">
    <cfRule type="cellIs" dxfId="2731" priority="1795" stopIfTrue="1" operator="equal">
      <formula>"Towel"</formula>
    </cfRule>
    <cfRule type="cellIs" dxfId="2730" priority="1796" stopIfTrue="1" operator="equal">
      <formula>"Napkin Hs"</formula>
    </cfRule>
  </conditionalFormatting>
  <conditionalFormatting sqref="C90:C91">
    <cfRule type="cellIs" dxfId="2729" priority="1794" stopIfTrue="1" operator="equal">
      <formula>"Napkin Hs"</formula>
    </cfRule>
  </conditionalFormatting>
  <conditionalFormatting sqref="C90:C91">
    <cfRule type="cellIs" dxfId="2728" priority="1791" stopIfTrue="1" operator="equal">
      <formula>"Towel"</formula>
    </cfRule>
    <cfRule type="cellIs" dxfId="2727" priority="1792" stopIfTrue="1" operator="equal">
      <formula>"Napkin Hs"</formula>
    </cfRule>
  </conditionalFormatting>
  <conditionalFormatting sqref="C90:C91">
    <cfRule type="cellIs" dxfId="2726" priority="1793" stopIfTrue="1" operator="equal">
      <formula>"Towel"</formula>
    </cfRule>
  </conditionalFormatting>
  <conditionalFormatting sqref="B95:C95">
    <cfRule type="cellIs" dxfId="2725" priority="1777" stopIfTrue="1" operator="equal">
      <formula>"Towel"</formula>
    </cfRule>
    <cfRule type="cellIs" dxfId="2724" priority="1778" stopIfTrue="1" operator="equal">
      <formula>"Napkin Hs"</formula>
    </cfRule>
  </conditionalFormatting>
  <conditionalFormatting sqref="C95">
    <cfRule type="cellIs" dxfId="2723" priority="1776" stopIfTrue="1" operator="equal">
      <formula>"Napkin Hs"</formula>
    </cfRule>
  </conditionalFormatting>
  <conditionalFormatting sqref="C95">
    <cfRule type="cellIs" dxfId="2722" priority="1773" stopIfTrue="1" operator="equal">
      <formula>"Towel"</formula>
    </cfRule>
    <cfRule type="cellIs" dxfId="2721" priority="1774" stopIfTrue="1" operator="equal">
      <formula>"Napkin Hs"</formula>
    </cfRule>
  </conditionalFormatting>
  <conditionalFormatting sqref="C95">
    <cfRule type="cellIs" dxfId="2720" priority="1775" stopIfTrue="1" operator="equal">
      <formula>"Towel"</formula>
    </cfRule>
  </conditionalFormatting>
  <conditionalFormatting sqref="B94:C94">
    <cfRule type="cellIs" dxfId="2719" priority="1771" stopIfTrue="1" operator="equal">
      <formula>"Towel"</formula>
    </cfRule>
    <cfRule type="cellIs" dxfId="2718" priority="1772" stopIfTrue="1" operator="equal">
      <formula>"Napkin Hs"</formula>
    </cfRule>
  </conditionalFormatting>
  <conditionalFormatting sqref="C94">
    <cfRule type="cellIs" dxfId="2717" priority="1770" stopIfTrue="1" operator="equal">
      <formula>"Napkin Hs"</formula>
    </cfRule>
  </conditionalFormatting>
  <conditionalFormatting sqref="C94">
    <cfRule type="cellIs" dxfId="2716" priority="1767" stopIfTrue="1" operator="equal">
      <formula>"Towel"</formula>
    </cfRule>
    <cfRule type="cellIs" dxfId="2715" priority="1768" stopIfTrue="1" operator="equal">
      <formula>"Napkin Hs"</formula>
    </cfRule>
  </conditionalFormatting>
  <conditionalFormatting sqref="C94">
    <cfRule type="cellIs" dxfId="2714" priority="1769" stopIfTrue="1" operator="equal">
      <formula>"Towel"</formula>
    </cfRule>
  </conditionalFormatting>
  <conditionalFormatting sqref="B93:C93">
    <cfRule type="cellIs" dxfId="2713" priority="1759" stopIfTrue="1" operator="equal">
      <formula>"Towel"</formula>
    </cfRule>
    <cfRule type="cellIs" dxfId="2712" priority="1760" stopIfTrue="1" operator="equal">
      <formula>"Napkin Hs"</formula>
    </cfRule>
  </conditionalFormatting>
  <conditionalFormatting sqref="C93">
    <cfRule type="cellIs" dxfId="2711" priority="1758" stopIfTrue="1" operator="equal">
      <formula>"Napkin Hs"</formula>
    </cfRule>
  </conditionalFormatting>
  <conditionalFormatting sqref="C93">
    <cfRule type="cellIs" dxfId="2710" priority="1755" stopIfTrue="1" operator="equal">
      <formula>"Towel"</formula>
    </cfRule>
    <cfRule type="cellIs" dxfId="2709" priority="1756" stopIfTrue="1" operator="equal">
      <formula>"Napkin Hs"</formula>
    </cfRule>
  </conditionalFormatting>
  <conditionalFormatting sqref="C93">
    <cfRule type="cellIs" dxfId="2708" priority="1757" stopIfTrue="1" operator="equal">
      <formula>"Towel"</formula>
    </cfRule>
  </conditionalFormatting>
  <conditionalFormatting sqref="B100:C100">
    <cfRule type="cellIs" dxfId="2707" priority="1753" stopIfTrue="1" operator="equal">
      <formula>"Towel"</formula>
    </cfRule>
    <cfRule type="cellIs" dxfId="2706" priority="1754" stopIfTrue="1" operator="equal">
      <formula>"Napkin Hs"</formula>
    </cfRule>
  </conditionalFormatting>
  <conditionalFormatting sqref="C100">
    <cfRule type="cellIs" dxfId="2705" priority="1752" stopIfTrue="1" operator="equal">
      <formula>"Napkin Hs"</formula>
    </cfRule>
  </conditionalFormatting>
  <conditionalFormatting sqref="C100">
    <cfRule type="cellIs" dxfId="2704" priority="1749" stopIfTrue="1" operator="equal">
      <formula>"Towel"</formula>
    </cfRule>
    <cfRule type="cellIs" dxfId="2703" priority="1750" stopIfTrue="1" operator="equal">
      <formula>"Napkin Hs"</formula>
    </cfRule>
  </conditionalFormatting>
  <conditionalFormatting sqref="C100">
    <cfRule type="cellIs" dxfId="2702" priority="1751" stopIfTrue="1" operator="equal">
      <formula>"Towel"</formula>
    </cfRule>
  </conditionalFormatting>
  <conditionalFormatting sqref="B105:C105">
    <cfRule type="cellIs" dxfId="2701" priority="1735" stopIfTrue="1" operator="equal">
      <formula>"Towel"</formula>
    </cfRule>
    <cfRule type="cellIs" dxfId="2700" priority="1736" stopIfTrue="1" operator="equal">
      <formula>"Napkin Hs"</formula>
    </cfRule>
  </conditionalFormatting>
  <conditionalFormatting sqref="C105">
    <cfRule type="cellIs" dxfId="2699" priority="1734" stopIfTrue="1" operator="equal">
      <formula>"Napkin Hs"</formula>
    </cfRule>
  </conditionalFormatting>
  <conditionalFormatting sqref="C105">
    <cfRule type="cellIs" dxfId="2698" priority="1731" stopIfTrue="1" operator="equal">
      <formula>"Towel"</formula>
    </cfRule>
    <cfRule type="cellIs" dxfId="2697" priority="1732" stopIfTrue="1" operator="equal">
      <formula>"Napkin Hs"</formula>
    </cfRule>
  </conditionalFormatting>
  <conditionalFormatting sqref="C105">
    <cfRule type="cellIs" dxfId="2696" priority="1733" stopIfTrue="1" operator="equal">
      <formula>"Towel"</formula>
    </cfRule>
  </conditionalFormatting>
  <conditionalFormatting sqref="B110:C110">
    <cfRule type="cellIs" dxfId="2695" priority="1717" stopIfTrue="1" operator="equal">
      <formula>"Towel"</formula>
    </cfRule>
    <cfRule type="cellIs" dxfId="2694" priority="1718" stopIfTrue="1" operator="equal">
      <formula>"Napkin Hs"</formula>
    </cfRule>
  </conditionalFormatting>
  <conditionalFormatting sqref="C110">
    <cfRule type="cellIs" dxfId="2693" priority="1716" stopIfTrue="1" operator="equal">
      <formula>"Napkin Hs"</formula>
    </cfRule>
  </conditionalFormatting>
  <conditionalFormatting sqref="C110">
    <cfRule type="cellIs" dxfId="2692" priority="1713" stopIfTrue="1" operator="equal">
      <formula>"Towel"</formula>
    </cfRule>
    <cfRule type="cellIs" dxfId="2691" priority="1714" stopIfTrue="1" operator="equal">
      <formula>"Napkin Hs"</formula>
    </cfRule>
  </conditionalFormatting>
  <conditionalFormatting sqref="C110">
    <cfRule type="cellIs" dxfId="2690" priority="1715" stopIfTrue="1" operator="equal">
      <formula>"Towel"</formula>
    </cfRule>
  </conditionalFormatting>
  <conditionalFormatting sqref="B115:C115">
    <cfRule type="cellIs" dxfId="2689" priority="1693" stopIfTrue="1" operator="equal">
      <formula>"Towel"</formula>
    </cfRule>
    <cfRule type="cellIs" dxfId="2688" priority="1694" stopIfTrue="1" operator="equal">
      <formula>"Napkin Hs"</formula>
    </cfRule>
  </conditionalFormatting>
  <conditionalFormatting sqref="C115">
    <cfRule type="cellIs" dxfId="2687" priority="1692" stopIfTrue="1" operator="equal">
      <formula>"Napkin Hs"</formula>
    </cfRule>
  </conditionalFormatting>
  <conditionalFormatting sqref="C115">
    <cfRule type="cellIs" dxfId="2686" priority="1689" stopIfTrue="1" operator="equal">
      <formula>"Towel"</formula>
    </cfRule>
    <cfRule type="cellIs" dxfId="2685" priority="1690" stopIfTrue="1" operator="equal">
      <formula>"Napkin Hs"</formula>
    </cfRule>
  </conditionalFormatting>
  <conditionalFormatting sqref="C115">
    <cfRule type="cellIs" dxfId="2684" priority="1691" stopIfTrue="1" operator="equal">
      <formula>"Towel"</formula>
    </cfRule>
  </conditionalFormatting>
  <conditionalFormatting sqref="B120:C120">
    <cfRule type="cellIs" dxfId="2683" priority="1675" stopIfTrue="1" operator="equal">
      <formula>"Towel"</formula>
    </cfRule>
    <cfRule type="cellIs" dxfId="2682" priority="1676" stopIfTrue="1" operator="equal">
      <formula>"Napkin Hs"</formula>
    </cfRule>
  </conditionalFormatting>
  <conditionalFormatting sqref="C120">
    <cfRule type="cellIs" dxfId="2681" priority="1674" stopIfTrue="1" operator="equal">
      <formula>"Napkin Hs"</formula>
    </cfRule>
  </conditionalFormatting>
  <conditionalFormatting sqref="C120">
    <cfRule type="cellIs" dxfId="2680" priority="1671" stopIfTrue="1" operator="equal">
      <formula>"Towel"</formula>
    </cfRule>
    <cfRule type="cellIs" dxfId="2679" priority="1672" stopIfTrue="1" operator="equal">
      <formula>"Napkin Hs"</formula>
    </cfRule>
  </conditionalFormatting>
  <conditionalFormatting sqref="C120">
    <cfRule type="cellIs" dxfId="2678" priority="1673" stopIfTrue="1" operator="equal">
      <formula>"Towel"</formula>
    </cfRule>
  </conditionalFormatting>
  <conditionalFormatting sqref="B125:C125">
    <cfRule type="cellIs" dxfId="2677" priority="1657" stopIfTrue="1" operator="equal">
      <formula>"Towel"</formula>
    </cfRule>
    <cfRule type="cellIs" dxfId="2676" priority="1658" stopIfTrue="1" operator="equal">
      <formula>"Napkin Hs"</formula>
    </cfRule>
  </conditionalFormatting>
  <conditionalFormatting sqref="C125">
    <cfRule type="cellIs" dxfId="2675" priority="1656" stopIfTrue="1" operator="equal">
      <formula>"Napkin Hs"</formula>
    </cfRule>
  </conditionalFormatting>
  <conditionalFormatting sqref="C125">
    <cfRule type="cellIs" dxfId="2674" priority="1653" stopIfTrue="1" operator="equal">
      <formula>"Towel"</formula>
    </cfRule>
    <cfRule type="cellIs" dxfId="2673" priority="1654" stopIfTrue="1" operator="equal">
      <formula>"Napkin Hs"</formula>
    </cfRule>
  </conditionalFormatting>
  <conditionalFormatting sqref="C125">
    <cfRule type="cellIs" dxfId="2672" priority="1655" stopIfTrue="1" operator="equal">
      <formula>"Towel"</formula>
    </cfRule>
  </conditionalFormatting>
  <conditionalFormatting sqref="B130:C130">
    <cfRule type="cellIs" dxfId="2671" priority="1639" stopIfTrue="1" operator="equal">
      <formula>"Towel"</formula>
    </cfRule>
    <cfRule type="cellIs" dxfId="2670" priority="1640" stopIfTrue="1" operator="equal">
      <formula>"Napkin Hs"</formula>
    </cfRule>
  </conditionalFormatting>
  <conditionalFormatting sqref="C130">
    <cfRule type="cellIs" dxfId="2669" priority="1638" stopIfTrue="1" operator="equal">
      <formula>"Napkin Hs"</formula>
    </cfRule>
  </conditionalFormatting>
  <conditionalFormatting sqref="C130">
    <cfRule type="cellIs" dxfId="2668" priority="1635" stopIfTrue="1" operator="equal">
      <formula>"Towel"</formula>
    </cfRule>
    <cfRule type="cellIs" dxfId="2667" priority="1636" stopIfTrue="1" operator="equal">
      <formula>"Napkin Hs"</formula>
    </cfRule>
  </conditionalFormatting>
  <conditionalFormatting sqref="C130">
    <cfRule type="cellIs" dxfId="2666" priority="1637" stopIfTrue="1" operator="equal">
      <formula>"Towel"</formula>
    </cfRule>
  </conditionalFormatting>
  <conditionalFormatting sqref="B135:C135">
    <cfRule type="cellIs" dxfId="2665" priority="1615" stopIfTrue="1" operator="equal">
      <formula>"Towel"</formula>
    </cfRule>
    <cfRule type="cellIs" dxfId="2664" priority="1616" stopIfTrue="1" operator="equal">
      <formula>"Napkin Hs"</formula>
    </cfRule>
  </conditionalFormatting>
  <conditionalFormatting sqref="C135">
    <cfRule type="cellIs" dxfId="2663" priority="1614" stopIfTrue="1" operator="equal">
      <formula>"Napkin Hs"</formula>
    </cfRule>
  </conditionalFormatting>
  <conditionalFormatting sqref="C135">
    <cfRule type="cellIs" dxfId="2662" priority="1611" stopIfTrue="1" operator="equal">
      <formula>"Towel"</formula>
    </cfRule>
    <cfRule type="cellIs" dxfId="2661" priority="1612" stopIfTrue="1" operator="equal">
      <formula>"Napkin Hs"</formula>
    </cfRule>
  </conditionalFormatting>
  <conditionalFormatting sqref="C135">
    <cfRule type="cellIs" dxfId="2660" priority="1613" stopIfTrue="1" operator="equal">
      <formula>"Towel"</formula>
    </cfRule>
  </conditionalFormatting>
  <conditionalFormatting sqref="B140:C140">
    <cfRule type="cellIs" dxfId="2659" priority="1591" stopIfTrue="1" operator="equal">
      <formula>"Towel"</formula>
    </cfRule>
    <cfRule type="cellIs" dxfId="2658" priority="1592" stopIfTrue="1" operator="equal">
      <formula>"Napkin Hs"</formula>
    </cfRule>
  </conditionalFormatting>
  <conditionalFormatting sqref="C140">
    <cfRule type="cellIs" dxfId="2657" priority="1590" stopIfTrue="1" operator="equal">
      <formula>"Napkin Hs"</formula>
    </cfRule>
  </conditionalFormatting>
  <conditionalFormatting sqref="C140">
    <cfRule type="cellIs" dxfId="2656" priority="1587" stopIfTrue="1" operator="equal">
      <formula>"Towel"</formula>
    </cfRule>
    <cfRule type="cellIs" dxfId="2655" priority="1588" stopIfTrue="1" operator="equal">
      <formula>"Napkin Hs"</formula>
    </cfRule>
  </conditionalFormatting>
  <conditionalFormatting sqref="C140">
    <cfRule type="cellIs" dxfId="2654" priority="1589" stopIfTrue="1" operator="equal">
      <formula>"Towel"</formula>
    </cfRule>
  </conditionalFormatting>
  <conditionalFormatting sqref="B146:C147">
    <cfRule type="cellIs" dxfId="2653" priority="1561" stopIfTrue="1" operator="equal">
      <formula>"Towel"</formula>
    </cfRule>
    <cfRule type="cellIs" dxfId="2652" priority="1562" stopIfTrue="1" operator="equal">
      <formula>"Napkin Hs"</formula>
    </cfRule>
  </conditionalFormatting>
  <conditionalFormatting sqref="C146:C147">
    <cfRule type="cellIs" dxfId="2651" priority="1560" stopIfTrue="1" operator="equal">
      <formula>"Napkin Hs"</formula>
    </cfRule>
  </conditionalFormatting>
  <conditionalFormatting sqref="C146:C147">
    <cfRule type="cellIs" dxfId="2650" priority="1557" stopIfTrue="1" operator="equal">
      <formula>"Towel"</formula>
    </cfRule>
    <cfRule type="cellIs" dxfId="2649" priority="1558" stopIfTrue="1" operator="equal">
      <formula>"Napkin Hs"</formula>
    </cfRule>
  </conditionalFormatting>
  <conditionalFormatting sqref="C146:C147">
    <cfRule type="cellIs" dxfId="2648" priority="1559" stopIfTrue="1" operator="equal">
      <formula>"Towel"</formula>
    </cfRule>
  </conditionalFormatting>
  <conditionalFormatting sqref="B145:C145">
    <cfRule type="cellIs" dxfId="2647" priority="1555" stopIfTrue="1" operator="equal">
      <formula>"Towel"</formula>
    </cfRule>
    <cfRule type="cellIs" dxfId="2646" priority="1556" stopIfTrue="1" operator="equal">
      <formula>"Napkin Hs"</formula>
    </cfRule>
  </conditionalFormatting>
  <conditionalFormatting sqref="C145">
    <cfRule type="cellIs" dxfId="2645" priority="1554" stopIfTrue="1" operator="equal">
      <formula>"Napkin Hs"</formula>
    </cfRule>
  </conditionalFormatting>
  <conditionalFormatting sqref="C145">
    <cfRule type="cellIs" dxfId="2644" priority="1551" stopIfTrue="1" operator="equal">
      <formula>"Towel"</formula>
    </cfRule>
    <cfRule type="cellIs" dxfId="2643" priority="1552" stopIfTrue="1" operator="equal">
      <formula>"Napkin Hs"</formula>
    </cfRule>
  </conditionalFormatting>
  <conditionalFormatting sqref="C145">
    <cfRule type="cellIs" dxfId="2642" priority="1553" stopIfTrue="1" operator="equal">
      <formula>"Towel"</formula>
    </cfRule>
  </conditionalFormatting>
  <conditionalFormatting sqref="C149">
    <cfRule type="cellIs" dxfId="2641" priority="1521" stopIfTrue="1" operator="equal">
      <formula>"Towel"</formula>
    </cfRule>
    <cfRule type="cellIs" dxfId="2640" priority="1522" stopIfTrue="1" operator="equal">
      <formula>"Napkin Hs"</formula>
    </cfRule>
  </conditionalFormatting>
  <conditionalFormatting sqref="B151:C152">
    <cfRule type="cellIs" dxfId="2639" priority="1537" stopIfTrue="1" operator="equal">
      <formula>"Towel"</formula>
    </cfRule>
    <cfRule type="cellIs" dxfId="2638" priority="1538" stopIfTrue="1" operator="equal">
      <formula>"Napkin Hs"</formula>
    </cfRule>
  </conditionalFormatting>
  <conditionalFormatting sqref="C151:C152">
    <cfRule type="cellIs" dxfId="2637" priority="1536" stopIfTrue="1" operator="equal">
      <formula>"Napkin Hs"</formula>
    </cfRule>
  </conditionalFormatting>
  <conditionalFormatting sqref="C151:C152">
    <cfRule type="cellIs" dxfId="2636" priority="1533" stopIfTrue="1" operator="equal">
      <formula>"Towel"</formula>
    </cfRule>
    <cfRule type="cellIs" dxfId="2635" priority="1534" stopIfTrue="1" operator="equal">
      <formula>"Napkin Hs"</formula>
    </cfRule>
  </conditionalFormatting>
  <conditionalFormatting sqref="C151:C152">
    <cfRule type="cellIs" dxfId="2634" priority="1535" stopIfTrue="1" operator="equal">
      <formula>"Towel"</formula>
    </cfRule>
  </conditionalFormatting>
  <conditionalFormatting sqref="B150:C150">
    <cfRule type="cellIs" dxfId="2633" priority="1531" stopIfTrue="1" operator="equal">
      <formula>"Towel"</formula>
    </cfRule>
    <cfRule type="cellIs" dxfId="2632" priority="1532" stopIfTrue="1" operator="equal">
      <formula>"Napkin Hs"</formula>
    </cfRule>
  </conditionalFormatting>
  <conditionalFormatting sqref="C150">
    <cfRule type="cellIs" dxfId="2631" priority="1530" stopIfTrue="1" operator="equal">
      <formula>"Napkin Hs"</formula>
    </cfRule>
  </conditionalFormatting>
  <conditionalFormatting sqref="C150">
    <cfRule type="cellIs" dxfId="2630" priority="1527" stopIfTrue="1" operator="equal">
      <formula>"Towel"</formula>
    </cfRule>
    <cfRule type="cellIs" dxfId="2629" priority="1528" stopIfTrue="1" operator="equal">
      <formula>"Napkin Hs"</formula>
    </cfRule>
  </conditionalFormatting>
  <conditionalFormatting sqref="C150">
    <cfRule type="cellIs" dxfId="2628" priority="1529" stopIfTrue="1" operator="equal">
      <formula>"Towel"</formula>
    </cfRule>
  </conditionalFormatting>
  <conditionalFormatting sqref="B149:C149">
    <cfRule type="cellIs" dxfId="2627" priority="1525" stopIfTrue="1" operator="equal">
      <formula>"Towel"</formula>
    </cfRule>
    <cfRule type="cellIs" dxfId="2626" priority="1526" stopIfTrue="1" operator="equal">
      <formula>"Napkin Hs"</formula>
    </cfRule>
  </conditionalFormatting>
  <conditionalFormatting sqref="C149">
    <cfRule type="cellIs" dxfId="2625" priority="1524" stopIfTrue="1" operator="equal">
      <formula>"Napkin Hs"</formula>
    </cfRule>
  </conditionalFormatting>
  <conditionalFormatting sqref="C149">
    <cfRule type="cellIs" dxfId="2624" priority="1523" stopIfTrue="1" operator="equal">
      <formula>"Towel"</formula>
    </cfRule>
  </conditionalFormatting>
  <conditionalFormatting sqref="C154">
    <cfRule type="cellIs" dxfId="2623" priority="1503" stopIfTrue="1" operator="equal">
      <formula>"Towel"</formula>
    </cfRule>
    <cfRule type="cellIs" dxfId="2622" priority="1504" stopIfTrue="1" operator="equal">
      <formula>"Napkin Hs"</formula>
    </cfRule>
  </conditionalFormatting>
  <conditionalFormatting sqref="B156:C157">
    <cfRule type="cellIs" dxfId="2621" priority="1519" stopIfTrue="1" operator="equal">
      <formula>"Towel"</formula>
    </cfRule>
    <cfRule type="cellIs" dxfId="2620" priority="1520" stopIfTrue="1" operator="equal">
      <formula>"Napkin Hs"</formula>
    </cfRule>
  </conditionalFormatting>
  <conditionalFormatting sqref="C156:C157">
    <cfRule type="cellIs" dxfId="2619" priority="1518" stopIfTrue="1" operator="equal">
      <formula>"Napkin Hs"</formula>
    </cfRule>
  </conditionalFormatting>
  <conditionalFormatting sqref="C156:C157">
    <cfRule type="cellIs" dxfId="2618" priority="1515" stopIfTrue="1" operator="equal">
      <formula>"Towel"</formula>
    </cfRule>
    <cfRule type="cellIs" dxfId="2617" priority="1516" stopIfTrue="1" operator="equal">
      <formula>"Napkin Hs"</formula>
    </cfRule>
  </conditionalFormatting>
  <conditionalFormatting sqref="C156:C157">
    <cfRule type="cellIs" dxfId="2616" priority="1517" stopIfTrue="1" operator="equal">
      <formula>"Towel"</formula>
    </cfRule>
  </conditionalFormatting>
  <conditionalFormatting sqref="B155:C155">
    <cfRule type="cellIs" dxfId="2615" priority="1513" stopIfTrue="1" operator="equal">
      <formula>"Towel"</formula>
    </cfRule>
    <cfRule type="cellIs" dxfId="2614" priority="1514" stopIfTrue="1" operator="equal">
      <formula>"Napkin Hs"</formula>
    </cfRule>
  </conditionalFormatting>
  <conditionalFormatting sqref="C155">
    <cfRule type="cellIs" dxfId="2613" priority="1512" stopIfTrue="1" operator="equal">
      <formula>"Napkin Hs"</formula>
    </cfRule>
  </conditionalFormatting>
  <conditionalFormatting sqref="C155">
    <cfRule type="cellIs" dxfId="2612" priority="1509" stopIfTrue="1" operator="equal">
      <formula>"Towel"</formula>
    </cfRule>
    <cfRule type="cellIs" dxfId="2611" priority="1510" stopIfTrue="1" operator="equal">
      <formula>"Napkin Hs"</formula>
    </cfRule>
  </conditionalFormatting>
  <conditionalFormatting sqref="C155">
    <cfRule type="cellIs" dxfId="2610" priority="1511" stopIfTrue="1" operator="equal">
      <formula>"Towel"</formula>
    </cfRule>
  </conditionalFormatting>
  <conditionalFormatting sqref="B154:C154">
    <cfRule type="cellIs" dxfId="2609" priority="1507" stopIfTrue="1" operator="equal">
      <formula>"Towel"</formula>
    </cfRule>
    <cfRule type="cellIs" dxfId="2608" priority="1508" stopIfTrue="1" operator="equal">
      <formula>"Napkin Hs"</formula>
    </cfRule>
  </conditionalFormatting>
  <conditionalFormatting sqref="C154">
    <cfRule type="cellIs" dxfId="2607" priority="1506" stopIfTrue="1" operator="equal">
      <formula>"Napkin Hs"</formula>
    </cfRule>
  </conditionalFormatting>
  <conditionalFormatting sqref="C154">
    <cfRule type="cellIs" dxfId="2606" priority="1505" stopIfTrue="1" operator="equal">
      <formula>"Towel"</formula>
    </cfRule>
  </conditionalFormatting>
  <conditionalFormatting sqref="B15:C15">
    <cfRule type="cellIs" dxfId="2605" priority="1481" stopIfTrue="1" operator="equal">
      <formula>"Towel"</formula>
    </cfRule>
    <cfRule type="cellIs" dxfId="2604" priority="1482" stopIfTrue="1" operator="equal">
      <formula>"Napkin Hs"</formula>
    </cfRule>
  </conditionalFormatting>
  <conditionalFormatting sqref="C15">
    <cfRule type="cellIs" dxfId="2603" priority="1477" stopIfTrue="1" operator="equal">
      <formula>"Towel"</formula>
    </cfRule>
    <cfRule type="cellIs" dxfId="2602" priority="1478" stopIfTrue="1" operator="equal">
      <formula>"Napkin Hs"</formula>
    </cfRule>
  </conditionalFormatting>
  <conditionalFormatting sqref="C15">
    <cfRule type="cellIs" dxfId="2601" priority="1480" stopIfTrue="1" operator="equal">
      <formula>"Napkin Hs"</formula>
    </cfRule>
  </conditionalFormatting>
  <conditionalFormatting sqref="C15">
    <cfRule type="cellIs" dxfId="2600" priority="1479" stopIfTrue="1" operator="equal">
      <formula>"Towel"</formula>
    </cfRule>
  </conditionalFormatting>
  <conditionalFormatting sqref="B19:C19">
    <cfRule type="cellIs" dxfId="2599" priority="1475" stopIfTrue="1" operator="equal">
      <formula>"Towel"</formula>
    </cfRule>
    <cfRule type="cellIs" dxfId="2598" priority="1476" stopIfTrue="1" operator="equal">
      <formula>"Napkin Hs"</formula>
    </cfRule>
  </conditionalFormatting>
  <conditionalFormatting sqref="C19">
    <cfRule type="cellIs" dxfId="2597" priority="1474" stopIfTrue="1" operator="equal">
      <formula>"Napkin Hs"</formula>
    </cfRule>
  </conditionalFormatting>
  <conditionalFormatting sqref="C19">
    <cfRule type="cellIs" dxfId="2596" priority="1469" stopIfTrue="1" operator="equal">
      <formula>"Towel"</formula>
    </cfRule>
    <cfRule type="cellIs" dxfId="2595" priority="1470" stopIfTrue="1" operator="equal">
      <formula>"Napkin Hs"</formula>
    </cfRule>
  </conditionalFormatting>
  <conditionalFormatting sqref="C19">
    <cfRule type="cellIs" dxfId="2594" priority="1473" stopIfTrue="1" operator="equal">
      <formula>"Towel"</formula>
    </cfRule>
  </conditionalFormatting>
  <conditionalFormatting sqref="B19:C19">
    <cfRule type="cellIs" dxfId="2593" priority="1465" stopIfTrue="1" operator="equal">
      <formula>"Towel"</formula>
    </cfRule>
    <cfRule type="cellIs" dxfId="2592" priority="1466" stopIfTrue="1" operator="equal">
      <formula>"Napkin Hs"</formula>
    </cfRule>
  </conditionalFormatting>
  <conditionalFormatting sqref="C19">
    <cfRule type="cellIs" dxfId="2591" priority="1464" stopIfTrue="1" operator="equal">
      <formula>"Napkin Hs"</formula>
    </cfRule>
  </conditionalFormatting>
  <conditionalFormatting sqref="C19">
    <cfRule type="cellIs" dxfId="2590" priority="1459" stopIfTrue="1" operator="equal">
      <formula>"Towel"</formula>
    </cfRule>
    <cfRule type="cellIs" dxfId="2589" priority="1460" stopIfTrue="1" operator="equal">
      <formula>"Napkin Hs"</formula>
    </cfRule>
  </conditionalFormatting>
  <conditionalFormatting sqref="C19">
    <cfRule type="cellIs" dxfId="2588" priority="1463" stopIfTrue="1" operator="equal">
      <formula>"Towel"</formula>
    </cfRule>
  </conditionalFormatting>
  <conditionalFormatting sqref="B6:C6">
    <cfRule type="cellIs" dxfId="2587" priority="1305" stopIfTrue="1" operator="equal">
      <formula>"Towel"</formula>
    </cfRule>
    <cfRule type="cellIs" dxfId="2586" priority="1306" stopIfTrue="1" operator="equal">
      <formula>"Napkin Hs"</formula>
    </cfRule>
  </conditionalFormatting>
  <conditionalFormatting sqref="C6">
    <cfRule type="cellIs" dxfId="2585" priority="1304" stopIfTrue="1" operator="equal">
      <formula>"Napkin Hs"</formula>
    </cfRule>
  </conditionalFormatting>
  <conditionalFormatting sqref="C6">
    <cfRule type="cellIs" dxfId="2584" priority="1301" stopIfTrue="1" operator="equal">
      <formula>"Towel"</formula>
    </cfRule>
    <cfRule type="cellIs" dxfId="2583" priority="1302" stopIfTrue="1" operator="equal">
      <formula>"Napkin Hs"</formula>
    </cfRule>
  </conditionalFormatting>
  <conditionalFormatting sqref="C6">
    <cfRule type="cellIs" dxfId="2582" priority="1303" stopIfTrue="1" operator="equal">
      <formula>"Towel"</formula>
    </cfRule>
  </conditionalFormatting>
  <conditionalFormatting sqref="B14:C14">
    <cfRule type="cellIs" dxfId="2581" priority="1299" stopIfTrue="1" operator="equal">
      <formula>"Towel"</formula>
    </cfRule>
    <cfRule type="cellIs" dxfId="2580" priority="1300" stopIfTrue="1" operator="equal">
      <formula>"Napkin Hs"</formula>
    </cfRule>
  </conditionalFormatting>
  <conditionalFormatting sqref="B13:C13">
    <cfRule type="cellIs" dxfId="2579" priority="1295" stopIfTrue="1" operator="equal">
      <formula>"Towel"</formula>
    </cfRule>
    <cfRule type="cellIs" dxfId="2578" priority="1296" stopIfTrue="1" operator="equal">
      <formula>"Napkin Hs"</formula>
    </cfRule>
  </conditionalFormatting>
  <conditionalFormatting sqref="C14">
    <cfRule type="cellIs" dxfId="2577" priority="1298" stopIfTrue="1" operator="equal">
      <formula>"Napkin Hs"</formula>
    </cfRule>
  </conditionalFormatting>
  <conditionalFormatting sqref="C13:C14">
    <cfRule type="cellIs" dxfId="2576" priority="1293" stopIfTrue="1" operator="equal">
      <formula>"Towel"</formula>
    </cfRule>
    <cfRule type="cellIs" dxfId="2575" priority="1294" stopIfTrue="1" operator="equal">
      <formula>"Napkin Hs"</formula>
    </cfRule>
  </conditionalFormatting>
  <conditionalFormatting sqref="C13">
    <cfRule type="cellIs" dxfId="2574" priority="1291" stopIfTrue="1" operator="equal">
      <formula>"Towel"</formula>
    </cfRule>
    <cfRule type="cellIs" dxfId="2573" priority="1292" stopIfTrue="1" operator="equal">
      <formula>"Napkin Hs"</formula>
    </cfRule>
  </conditionalFormatting>
  <conditionalFormatting sqref="C14">
    <cfRule type="cellIs" dxfId="2572" priority="1297" stopIfTrue="1" operator="equal">
      <formula>"Towel"</formula>
    </cfRule>
  </conditionalFormatting>
  <conditionalFormatting sqref="B12:C12">
    <cfRule type="cellIs" dxfId="2571" priority="1289" stopIfTrue="1" operator="equal">
      <formula>"Towel"</formula>
    </cfRule>
    <cfRule type="cellIs" dxfId="2570" priority="1290" stopIfTrue="1" operator="equal">
      <formula>"Napkin Hs"</formula>
    </cfRule>
  </conditionalFormatting>
  <conditionalFormatting sqref="C12">
    <cfRule type="cellIs" dxfId="2569" priority="1288" stopIfTrue="1" operator="equal">
      <formula>"Napkin Hs"</formula>
    </cfRule>
  </conditionalFormatting>
  <conditionalFormatting sqref="C12">
    <cfRule type="cellIs" dxfId="2568" priority="1285" stopIfTrue="1" operator="equal">
      <formula>"Towel"</formula>
    </cfRule>
    <cfRule type="cellIs" dxfId="2567" priority="1286" stopIfTrue="1" operator="equal">
      <formula>"Napkin Hs"</formula>
    </cfRule>
  </conditionalFormatting>
  <conditionalFormatting sqref="C12">
    <cfRule type="cellIs" dxfId="2566" priority="1287" stopIfTrue="1" operator="equal">
      <formula>"Towel"</formula>
    </cfRule>
  </conditionalFormatting>
  <conditionalFormatting sqref="B18:C18">
    <cfRule type="cellIs" dxfId="2565" priority="1283" stopIfTrue="1" operator="equal">
      <formula>"Towel"</formula>
    </cfRule>
    <cfRule type="cellIs" dxfId="2564" priority="1284" stopIfTrue="1" operator="equal">
      <formula>"Napkin Hs"</formula>
    </cfRule>
  </conditionalFormatting>
  <conditionalFormatting sqref="B17:C17">
    <cfRule type="cellIs" dxfId="2563" priority="1279" stopIfTrue="1" operator="equal">
      <formula>"Towel"</formula>
    </cfRule>
    <cfRule type="cellIs" dxfId="2562" priority="1280" stopIfTrue="1" operator="equal">
      <formula>"Napkin Hs"</formula>
    </cfRule>
  </conditionalFormatting>
  <conditionalFormatting sqref="C18">
    <cfRule type="cellIs" dxfId="2561" priority="1282" stopIfTrue="1" operator="equal">
      <formula>"Napkin Hs"</formula>
    </cfRule>
  </conditionalFormatting>
  <conditionalFormatting sqref="C17:C18">
    <cfRule type="cellIs" dxfId="2560" priority="1277" stopIfTrue="1" operator="equal">
      <formula>"Towel"</formula>
    </cfRule>
    <cfRule type="cellIs" dxfId="2559" priority="1278" stopIfTrue="1" operator="equal">
      <formula>"Napkin Hs"</formula>
    </cfRule>
  </conditionalFormatting>
  <conditionalFormatting sqref="C17">
    <cfRule type="cellIs" dxfId="2558" priority="1275" stopIfTrue="1" operator="equal">
      <formula>"Towel"</formula>
    </cfRule>
    <cfRule type="cellIs" dxfId="2557" priority="1276" stopIfTrue="1" operator="equal">
      <formula>"Napkin Hs"</formula>
    </cfRule>
  </conditionalFormatting>
  <conditionalFormatting sqref="C18">
    <cfRule type="cellIs" dxfId="2556" priority="1281" stopIfTrue="1" operator="equal">
      <formula>"Towel"</formula>
    </cfRule>
  </conditionalFormatting>
  <conditionalFormatting sqref="B16:C16">
    <cfRule type="cellIs" dxfId="2555" priority="1273" stopIfTrue="1" operator="equal">
      <formula>"Towel"</formula>
    </cfRule>
    <cfRule type="cellIs" dxfId="2554" priority="1274" stopIfTrue="1" operator="equal">
      <formula>"Napkin Hs"</formula>
    </cfRule>
  </conditionalFormatting>
  <conditionalFormatting sqref="C16">
    <cfRule type="cellIs" dxfId="2553" priority="1272" stopIfTrue="1" operator="equal">
      <formula>"Napkin Hs"</formula>
    </cfRule>
  </conditionalFormatting>
  <conditionalFormatting sqref="C16">
    <cfRule type="cellIs" dxfId="2552" priority="1269" stopIfTrue="1" operator="equal">
      <formula>"Towel"</formula>
    </cfRule>
    <cfRule type="cellIs" dxfId="2551" priority="1270" stopIfTrue="1" operator="equal">
      <formula>"Napkin Hs"</formula>
    </cfRule>
  </conditionalFormatting>
  <conditionalFormatting sqref="C16">
    <cfRule type="cellIs" dxfId="2550" priority="1271" stopIfTrue="1" operator="equal">
      <formula>"Towel"</formula>
    </cfRule>
  </conditionalFormatting>
  <conditionalFormatting sqref="B23:C23">
    <cfRule type="cellIs" dxfId="2549" priority="1267" stopIfTrue="1" operator="equal">
      <formula>"Towel"</formula>
    </cfRule>
    <cfRule type="cellIs" dxfId="2548" priority="1268" stopIfTrue="1" operator="equal">
      <formula>"Napkin Hs"</formula>
    </cfRule>
  </conditionalFormatting>
  <conditionalFormatting sqref="C23">
    <cfRule type="cellIs" dxfId="2547" priority="1266" stopIfTrue="1" operator="equal">
      <formula>"Napkin Hs"</formula>
    </cfRule>
  </conditionalFormatting>
  <conditionalFormatting sqref="C23">
    <cfRule type="cellIs" dxfId="2546" priority="1263" stopIfTrue="1" operator="equal">
      <formula>"Towel"</formula>
    </cfRule>
    <cfRule type="cellIs" dxfId="2545" priority="1264" stopIfTrue="1" operator="equal">
      <formula>"Napkin Hs"</formula>
    </cfRule>
  </conditionalFormatting>
  <conditionalFormatting sqref="C23">
    <cfRule type="cellIs" dxfId="2544" priority="1265" stopIfTrue="1" operator="equal">
      <formula>"Towel"</formula>
    </cfRule>
  </conditionalFormatting>
  <conditionalFormatting sqref="B23:C23">
    <cfRule type="cellIs" dxfId="2543" priority="1261" stopIfTrue="1" operator="equal">
      <formula>"Towel"</formula>
    </cfRule>
    <cfRule type="cellIs" dxfId="2542" priority="1262" stopIfTrue="1" operator="equal">
      <formula>"Napkin Hs"</formula>
    </cfRule>
  </conditionalFormatting>
  <conditionalFormatting sqref="C23">
    <cfRule type="cellIs" dxfId="2541" priority="1260" stopIfTrue="1" operator="equal">
      <formula>"Napkin Hs"</formula>
    </cfRule>
  </conditionalFormatting>
  <conditionalFormatting sqref="C23">
    <cfRule type="cellIs" dxfId="2540" priority="1257" stopIfTrue="1" operator="equal">
      <formula>"Towel"</formula>
    </cfRule>
    <cfRule type="cellIs" dxfId="2539" priority="1258" stopIfTrue="1" operator="equal">
      <formula>"Napkin Hs"</formula>
    </cfRule>
  </conditionalFormatting>
  <conditionalFormatting sqref="C23">
    <cfRule type="cellIs" dxfId="2538" priority="1259" stopIfTrue="1" operator="equal">
      <formula>"Towel"</formula>
    </cfRule>
  </conditionalFormatting>
  <conditionalFormatting sqref="B20:C22">
    <cfRule type="cellIs" dxfId="2537" priority="1245" stopIfTrue="1" operator="equal">
      <formula>"Towel"</formula>
    </cfRule>
    <cfRule type="cellIs" dxfId="2536" priority="1246" stopIfTrue="1" operator="equal">
      <formula>"Napkin Hs"</formula>
    </cfRule>
  </conditionalFormatting>
  <conditionalFormatting sqref="C20:C22">
    <cfRule type="cellIs" dxfId="2535" priority="1244" stopIfTrue="1" operator="equal">
      <formula>"Napkin Hs"</formula>
    </cfRule>
  </conditionalFormatting>
  <conditionalFormatting sqref="C20:C22">
    <cfRule type="cellIs" dxfId="2534" priority="1241" stopIfTrue="1" operator="equal">
      <formula>"Towel"</formula>
    </cfRule>
    <cfRule type="cellIs" dxfId="2533" priority="1242" stopIfTrue="1" operator="equal">
      <formula>"Napkin Hs"</formula>
    </cfRule>
  </conditionalFormatting>
  <conditionalFormatting sqref="C20:C22">
    <cfRule type="cellIs" dxfId="2532" priority="1243" stopIfTrue="1" operator="equal">
      <formula>"Towel"</formula>
    </cfRule>
  </conditionalFormatting>
  <conditionalFormatting sqref="B26:C26">
    <cfRule type="cellIs" dxfId="2531" priority="1239" stopIfTrue="1" operator="equal">
      <formula>"Towel"</formula>
    </cfRule>
    <cfRule type="cellIs" dxfId="2530" priority="1240" stopIfTrue="1" operator="equal">
      <formula>"Napkin Hs"</formula>
    </cfRule>
  </conditionalFormatting>
  <conditionalFormatting sqref="B25:C25">
    <cfRule type="cellIs" dxfId="2529" priority="1235" stopIfTrue="1" operator="equal">
      <formula>"Towel"</formula>
    </cfRule>
    <cfRule type="cellIs" dxfId="2528" priority="1236" stopIfTrue="1" operator="equal">
      <formula>"Napkin Hs"</formula>
    </cfRule>
  </conditionalFormatting>
  <conditionalFormatting sqref="C26">
    <cfRule type="cellIs" dxfId="2527" priority="1238" stopIfTrue="1" operator="equal">
      <formula>"Napkin Hs"</formula>
    </cfRule>
  </conditionalFormatting>
  <conditionalFormatting sqref="C25:C26">
    <cfRule type="cellIs" dxfId="2526" priority="1233" stopIfTrue="1" operator="equal">
      <formula>"Towel"</formula>
    </cfRule>
    <cfRule type="cellIs" dxfId="2525" priority="1234" stopIfTrue="1" operator="equal">
      <formula>"Napkin Hs"</formula>
    </cfRule>
  </conditionalFormatting>
  <conditionalFormatting sqref="C25">
    <cfRule type="cellIs" dxfId="2524" priority="1231" stopIfTrue="1" operator="equal">
      <formula>"Towel"</formula>
    </cfRule>
    <cfRule type="cellIs" dxfId="2523" priority="1232" stopIfTrue="1" operator="equal">
      <formula>"Napkin Hs"</formula>
    </cfRule>
  </conditionalFormatting>
  <conditionalFormatting sqref="C26">
    <cfRule type="cellIs" dxfId="2522" priority="1237" stopIfTrue="1" operator="equal">
      <formula>"Towel"</formula>
    </cfRule>
  </conditionalFormatting>
  <conditionalFormatting sqref="B24:C24">
    <cfRule type="cellIs" dxfId="2521" priority="1223" stopIfTrue="1" operator="equal">
      <formula>"Towel"</formula>
    </cfRule>
    <cfRule type="cellIs" dxfId="2520" priority="1224" stopIfTrue="1" operator="equal">
      <formula>"Napkin Hs"</formula>
    </cfRule>
  </conditionalFormatting>
  <conditionalFormatting sqref="C24">
    <cfRule type="cellIs" dxfId="2519" priority="1222" stopIfTrue="1" operator="equal">
      <formula>"Napkin Hs"</formula>
    </cfRule>
  </conditionalFormatting>
  <conditionalFormatting sqref="C24">
    <cfRule type="cellIs" dxfId="2518" priority="1219" stopIfTrue="1" operator="equal">
      <formula>"Towel"</formula>
    </cfRule>
    <cfRule type="cellIs" dxfId="2517" priority="1220" stopIfTrue="1" operator="equal">
      <formula>"Napkin Hs"</formula>
    </cfRule>
  </conditionalFormatting>
  <conditionalFormatting sqref="C24">
    <cfRule type="cellIs" dxfId="2516" priority="1221" stopIfTrue="1" operator="equal">
      <formula>"Towel"</formula>
    </cfRule>
  </conditionalFormatting>
  <conditionalFormatting sqref="B31:C31">
    <cfRule type="cellIs" dxfId="2515" priority="1217" stopIfTrue="1" operator="equal">
      <formula>"Towel"</formula>
    </cfRule>
    <cfRule type="cellIs" dxfId="2514" priority="1218" stopIfTrue="1" operator="equal">
      <formula>"Napkin Hs"</formula>
    </cfRule>
  </conditionalFormatting>
  <conditionalFormatting sqref="C31">
    <cfRule type="cellIs" dxfId="2513" priority="1216" stopIfTrue="1" operator="equal">
      <formula>"Napkin Hs"</formula>
    </cfRule>
  </conditionalFormatting>
  <conditionalFormatting sqref="C31">
    <cfRule type="cellIs" dxfId="2512" priority="1215" stopIfTrue="1" operator="equal">
      <formula>"Towel"</formula>
    </cfRule>
  </conditionalFormatting>
  <conditionalFormatting sqref="C31">
    <cfRule type="cellIs" dxfId="2511" priority="1213" stopIfTrue="1" operator="equal">
      <formula>"Towel"</formula>
    </cfRule>
    <cfRule type="cellIs" dxfId="2510" priority="1214" stopIfTrue="1" operator="equal">
      <formula>"Napkin Hs"</formula>
    </cfRule>
  </conditionalFormatting>
  <conditionalFormatting sqref="B30:C30">
    <cfRule type="cellIs" dxfId="2509" priority="1211" stopIfTrue="1" operator="equal">
      <formula>"Towel"</formula>
    </cfRule>
    <cfRule type="cellIs" dxfId="2508" priority="1212" stopIfTrue="1" operator="equal">
      <formula>"Napkin Hs"</formula>
    </cfRule>
  </conditionalFormatting>
  <conditionalFormatting sqref="B29:C29">
    <cfRule type="cellIs" dxfId="2507" priority="1207" stopIfTrue="1" operator="equal">
      <formula>"Towel"</formula>
    </cfRule>
    <cfRule type="cellIs" dxfId="2506" priority="1208" stopIfTrue="1" operator="equal">
      <formula>"Napkin Hs"</formula>
    </cfRule>
  </conditionalFormatting>
  <conditionalFormatting sqref="C30">
    <cfRule type="cellIs" dxfId="2505" priority="1210" stopIfTrue="1" operator="equal">
      <formula>"Napkin Hs"</formula>
    </cfRule>
  </conditionalFormatting>
  <conditionalFormatting sqref="C29:C30">
    <cfRule type="cellIs" dxfId="2504" priority="1205" stopIfTrue="1" operator="equal">
      <formula>"Towel"</formula>
    </cfRule>
    <cfRule type="cellIs" dxfId="2503" priority="1206" stopIfTrue="1" operator="equal">
      <formula>"Napkin Hs"</formula>
    </cfRule>
  </conditionalFormatting>
  <conditionalFormatting sqref="C29">
    <cfRule type="cellIs" dxfId="2502" priority="1203" stopIfTrue="1" operator="equal">
      <formula>"Towel"</formula>
    </cfRule>
    <cfRule type="cellIs" dxfId="2501" priority="1204" stopIfTrue="1" operator="equal">
      <formula>"Napkin Hs"</formula>
    </cfRule>
  </conditionalFormatting>
  <conditionalFormatting sqref="C30">
    <cfRule type="cellIs" dxfId="2500" priority="1209" stopIfTrue="1" operator="equal">
      <formula>"Towel"</formula>
    </cfRule>
  </conditionalFormatting>
  <conditionalFormatting sqref="B28:C28">
    <cfRule type="cellIs" dxfId="2499" priority="1201" stopIfTrue="1" operator="equal">
      <formula>"Towel"</formula>
    </cfRule>
    <cfRule type="cellIs" dxfId="2498" priority="1202" stopIfTrue="1" operator="equal">
      <formula>"Napkin Hs"</formula>
    </cfRule>
  </conditionalFormatting>
  <conditionalFormatting sqref="C28">
    <cfRule type="cellIs" dxfId="2497" priority="1200" stopIfTrue="1" operator="equal">
      <formula>"Napkin Hs"</formula>
    </cfRule>
  </conditionalFormatting>
  <conditionalFormatting sqref="C28">
    <cfRule type="cellIs" dxfId="2496" priority="1197" stopIfTrue="1" operator="equal">
      <formula>"Towel"</formula>
    </cfRule>
    <cfRule type="cellIs" dxfId="2495" priority="1198" stopIfTrue="1" operator="equal">
      <formula>"Napkin Hs"</formula>
    </cfRule>
  </conditionalFormatting>
  <conditionalFormatting sqref="C28">
    <cfRule type="cellIs" dxfId="2494" priority="1199" stopIfTrue="1" operator="equal">
      <formula>"Towel"</formula>
    </cfRule>
  </conditionalFormatting>
  <conditionalFormatting sqref="B35:C35">
    <cfRule type="cellIs" dxfId="2493" priority="1195" stopIfTrue="1" operator="equal">
      <formula>"Towel"</formula>
    </cfRule>
    <cfRule type="cellIs" dxfId="2492" priority="1196" stopIfTrue="1" operator="equal">
      <formula>"Napkin Hs"</formula>
    </cfRule>
  </conditionalFormatting>
  <conditionalFormatting sqref="C35">
    <cfRule type="cellIs" dxfId="2491" priority="1194" stopIfTrue="1" operator="equal">
      <formula>"Napkin Hs"</formula>
    </cfRule>
  </conditionalFormatting>
  <conditionalFormatting sqref="C35">
    <cfRule type="cellIs" dxfId="2490" priority="1193" stopIfTrue="1" operator="equal">
      <formula>"Towel"</formula>
    </cfRule>
  </conditionalFormatting>
  <conditionalFormatting sqref="C35">
    <cfRule type="cellIs" dxfId="2489" priority="1191" stopIfTrue="1" operator="equal">
      <formula>"Towel"</formula>
    </cfRule>
    <cfRule type="cellIs" dxfId="2488" priority="1192" stopIfTrue="1" operator="equal">
      <formula>"Napkin Hs"</formula>
    </cfRule>
  </conditionalFormatting>
  <conditionalFormatting sqref="B34:C34">
    <cfRule type="cellIs" dxfId="2487" priority="1189" stopIfTrue="1" operator="equal">
      <formula>"Towel"</formula>
    </cfRule>
    <cfRule type="cellIs" dxfId="2486" priority="1190" stopIfTrue="1" operator="equal">
      <formula>"Napkin Hs"</formula>
    </cfRule>
  </conditionalFormatting>
  <conditionalFormatting sqref="C34">
    <cfRule type="cellIs" dxfId="2485" priority="1188" stopIfTrue="1" operator="equal">
      <formula>"Napkin Hs"</formula>
    </cfRule>
  </conditionalFormatting>
  <conditionalFormatting sqref="C34">
    <cfRule type="cellIs" dxfId="2484" priority="1183" stopIfTrue="1" operator="equal">
      <formula>"Towel"</formula>
    </cfRule>
    <cfRule type="cellIs" dxfId="2483" priority="1184" stopIfTrue="1" operator="equal">
      <formula>"Napkin Hs"</formula>
    </cfRule>
  </conditionalFormatting>
  <conditionalFormatting sqref="C34">
    <cfRule type="cellIs" dxfId="2482" priority="1187" stopIfTrue="1" operator="equal">
      <formula>"Towel"</formula>
    </cfRule>
  </conditionalFormatting>
  <conditionalFormatting sqref="B32:C33">
    <cfRule type="cellIs" dxfId="2481" priority="1179" stopIfTrue="1" operator="equal">
      <formula>"Towel"</formula>
    </cfRule>
    <cfRule type="cellIs" dxfId="2480" priority="1180" stopIfTrue="1" operator="equal">
      <formula>"Napkin Hs"</formula>
    </cfRule>
  </conditionalFormatting>
  <conditionalFormatting sqref="C32:C33">
    <cfRule type="cellIs" dxfId="2479" priority="1178" stopIfTrue="1" operator="equal">
      <formula>"Napkin Hs"</formula>
    </cfRule>
  </conditionalFormatting>
  <conditionalFormatting sqref="C32:C33">
    <cfRule type="cellIs" dxfId="2478" priority="1175" stopIfTrue="1" operator="equal">
      <formula>"Towel"</formula>
    </cfRule>
    <cfRule type="cellIs" dxfId="2477" priority="1176" stopIfTrue="1" operator="equal">
      <formula>"Napkin Hs"</formula>
    </cfRule>
  </conditionalFormatting>
  <conditionalFormatting sqref="C32:C33">
    <cfRule type="cellIs" dxfId="2476" priority="1177" stopIfTrue="1" operator="equal">
      <formula>"Towel"</formula>
    </cfRule>
  </conditionalFormatting>
  <conditionalFormatting sqref="B38:C38">
    <cfRule type="cellIs" dxfId="2475" priority="1173" stopIfTrue="1" operator="equal">
      <formula>"Towel"</formula>
    </cfRule>
    <cfRule type="cellIs" dxfId="2474" priority="1174" stopIfTrue="1" operator="equal">
      <formula>"Napkin Hs"</formula>
    </cfRule>
  </conditionalFormatting>
  <conditionalFormatting sqref="B37:C37">
    <cfRule type="cellIs" dxfId="2473" priority="1169" stopIfTrue="1" operator="equal">
      <formula>"Towel"</formula>
    </cfRule>
    <cfRule type="cellIs" dxfId="2472" priority="1170" stopIfTrue="1" operator="equal">
      <formula>"Napkin Hs"</formula>
    </cfRule>
  </conditionalFormatting>
  <conditionalFormatting sqref="C38">
    <cfRule type="cellIs" dxfId="2471" priority="1172" stopIfTrue="1" operator="equal">
      <formula>"Napkin Hs"</formula>
    </cfRule>
  </conditionalFormatting>
  <conditionalFormatting sqref="C37:C38">
    <cfRule type="cellIs" dxfId="2470" priority="1167" stopIfTrue="1" operator="equal">
      <formula>"Towel"</formula>
    </cfRule>
    <cfRule type="cellIs" dxfId="2469" priority="1168" stopIfTrue="1" operator="equal">
      <formula>"Napkin Hs"</formula>
    </cfRule>
  </conditionalFormatting>
  <conditionalFormatting sqref="C37">
    <cfRule type="cellIs" dxfId="2468" priority="1165" stopIfTrue="1" operator="equal">
      <formula>"Towel"</formula>
    </cfRule>
    <cfRule type="cellIs" dxfId="2467" priority="1166" stopIfTrue="1" operator="equal">
      <formula>"Napkin Hs"</formula>
    </cfRule>
  </conditionalFormatting>
  <conditionalFormatting sqref="C38">
    <cfRule type="cellIs" dxfId="2466" priority="1171" stopIfTrue="1" operator="equal">
      <formula>"Towel"</formula>
    </cfRule>
  </conditionalFormatting>
  <conditionalFormatting sqref="B36:C36">
    <cfRule type="cellIs" dxfId="2465" priority="1157" stopIfTrue="1" operator="equal">
      <formula>"Towel"</formula>
    </cfRule>
    <cfRule type="cellIs" dxfId="2464" priority="1158" stopIfTrue="1" operator="equal">
      <formula>"Napkin Hs"</formula>
    </cfRule>
  </conditionalFormatting>
  <conditionalFormatting sqref="C36">
    <cfRule type="cellIs" dxfId="2463" priority="1156" stopIfTrue="1" operator="equal">
      <formula>"Napkin Hs"</formula>
    </cfRule>
  </conditionalFormatting>
  <conditionalFormatting sqref="C36">
    <cfRule type="cellIs" dxfId="2462" priority="1153" stopIfTrue="1" operator="equal">
      <formula>"Towel"</formula>
    </cfRule>
    <cfRule type="cellIs" dxfId="2461" priority="1154" stopIfTrue="1" operator="equal">
      <formula>"Napkin Hs"</formula>
    </cfRule>
  </conditionalFormatting>
  <conditionalFormatting sqref="C36">
    <cfRule type="cellIs" dxfId="2460" priority="1155" stopIfTrue="1" operator="equal">
      <formula>"Towel"</formula>
    </cfRule>
  </conditionalFormatting>
  <conditionalFormatting sqref="B42:C42">
    <cfRule type="cellIs" dxfId="2459" priority="1151" stopIfTrue="1" operator="equal">
      <formula>"Towel"</formula>
    </cfRule>
    <cfRule type="cellIs" dxfId="2458" priority="1152" stopIfTrue="1" operator="equal">
      <formula>"Napkin Hs"</formula>
    </cfRule>
  </conditionalFormatting>
  <conditionalFormatting sqref="B41:C41">
    <cfRule type="cellIs" dxfId="2457" priority="1147" stopIfTrue="1" operator="equal">
      <formula>"Towel"</formula>
    </cfRule>
    <cfRule type="cellIs" dxfId="2456" priority="1148" stopIfTrue="1" operator="equal">
      <formula>"Napkin Hs"</formula>
    </cfRule>
  </conditionalFormatting>
  <conditionalFormatting sqref="C42">
    <cfRule type="cellIs" dxfId="2455" priority="1150" stopIfTrue="1" operator="equal">
      <formula>"Napkin Hs"</formula>
    </cfRule>
  </conditionalFormatting>
  <conditionalFormatting sqref="C41:C42">
    <cfRule type="cellIs" dxfId="2454" priority="1145" stopIfTrue="1" operator="equal">
      <formula>"Towel"</formula>
    </cfRule>
    <cfRule type="cellIs" dxfId="2453" priority="1146" stopIfTrue="1" operator="equal">
      <formula>"Napkin Hs"</formula>
    </cfRule>
  </conditionalFormatting>
  <conditionalFormatting sqref="C41">
    <cfRule type="cellIs" dxfId="2452" priority="1143" stopIfTrue="1" operator="equal">
      <formula>"Towel"</formula>
    </cfRule>
    <cfRule type="cellIs" dxfId="2451" priority="1144" stopIfTrue="1" operator="equal">
      <formula>"Napkin Hs"</formula>
    </cfRule>
  </conditionalFormatting>
  <conditionalFormatting sqref="C42">
    <cfRule type="cellIs" dxfId="2450" priority="1149" stopIfTrue="1" operator="equal">
      <formula>"Towel"</formula>
    </cfRule>
  </conditionalFormatting>
  <conditionalFormatting sqref="B40:C40">
    <cfRule type="cellIs" dxfId="2449" priority="1141" stopIfTrue="1" operator="equal">
      <formula>"Towel"</formula>
    </cfRule>
    <cfRule type="cellIs" dxfId="2448" priority="1142" stopIfTrue="1" operator="equal">
      <formula>"Napkin Hs"</formula>
    </cfRule>
  </conditionalFormatting>
  <conditionalFormatting sqref="C40">
    <cfRule type="cellIs" dxfId="2447" priority="1140" stopIfTrue="1" operator="equal">
      <formula>"Napkin Hs"</formula>
    </cfRule>
  </conditionalFormatting>
  <conditionalFormatting sqref="C40">
    <cfRule type="cellIs" dxfId="2446" priority="1137" stopIfTrue="1" operator="equal">
      <formula>"Towel"</formula>
    </cfRule>
    <cfRule type="cellIs" dxfId="2445" priority="1138" stopIfTrue="1" operator="equal">
      <formula>"Napkin Hs"</formula>
    </cfRule>
  </conditionalFormatting>
  <conditionalFormatting sqref="C40">
    <cfRule type="cellIs" dxfId="2444" priority="1139" stopIfTrue="1" operator="equal">
      <formula>"Towel"</formula>
    </cfRule>
  </conditionalFormatting>
  <conditionalFormatting sqref="B47:C47">
    <cfRule type="cellIs" dxfId="2443" priority="1135" stopIfTrue="1" operator="equal">
      <formula>"Towel"</formula>
    </cfRule>
    <cfRule type="cellIs" dxfId="2442" priority="1136" stopIfTrue="1" operator="equal">
      <formula>"Napkin Hs"</formula>
    </cfRule>
  </conditionalFormatting>
  <conditionalFormatting sqref="C47">
    <cfRule type="cellIs" dxfId="2441" priority="1131" stopIfTrue="1" operator="equal">
      <formula>"Towel"</formula>
    </cfRule>
    <cfRule type="cellIs" dxfId="2440" priority="1132" stopIfTrue="1" operator="equal">
      <formula>"Napkin Hs"</formula>
    </cfRule>
  </conditionalFormatting>
  <conditionalFormatting sqref="C47">
    <cfRule type="cellIs" dxfId="2439" priority="1133" stopIfTrue="1" operator="equal">
      <formula>"Towel"</formula>
    </cfRule>
    <cfRule type="cellIs" dxfId="2438" priority="1134" stopIfTrue="1" operator="equal">
      <formula>"Napkin Hs"</formula>
    </cfRule>
  </conditionalFormatting>
  <conditionalFormatting sqref="B46:C46">
    <cfRule type="cellIs" dxfId="2437" priority="1123" stopIfTrue="1" operator="equal">
      <formula>"Towel"</formula>
    </cfRule>
    <cfRule type="cellIs" dxfId="2436" priority="1124" stopIfTrue="1" operator="equal">
      <formula>"Napkin Hs"</formula>
    </cfRule>
  </conditionalFormatting>
  <conditionalFormatting sqref="B45:C45">
    <cfRule type="cellIs" dxfId="2435" priority="1119" stopIfTrue="1" operator="equal">
      <formula>"Towel"</formula>
    </cfRule>
    <cfRule type="cellIs" dxfId="2434" priority="1120" stopIfTrue="1" operator="equal">
      <formula>"Napkin Hs"</formula>
    </cfRule>
  </conditionalFormatting>
  <conditionalFormatting sqref="C46">
    <cfRule type="cellIs" dxfId="2433" priority="1122" stopIfTrue="1" operator="equal">
      <formula>"Napkin Hs"</formula>
    </cfRule>
  </conditionalFormatting>
  <conditionalFormatting sqref="C45:C46">
    <cfRule type="cellIs" dxfId="2432" priority="1117" stopIfTrue="1" operator="equal">
      <formula>"Towel"</formula>
    </cfRule>
    <cfRule type="cellIs" dxfId="2431" priority="1118" stopIfTrue="1" operator="equal">
      <formula>"Napkin Hs"</formula>
    </cfRule>
  </conditionalFormatting>
  <conditionalFormatting sqref="C45">
    <cfRule type="cellIs" dxfId="2430" priority="1115" stopIfTrue="1" operator="equal">
      <formula>"Towel"</formula>
    </cfRule>
    <cfRule type="cellIs" dxfId="2429" priority="1116" stopIfTrue="1" operator="equal">
      <formula>"Napkin Hs"</formula>
    </cfRule>
  </conditionalFormatting>
  <conditionalFormatting sqref="C46">
    <cfRule type="cellIs" dxfId="2428" priority="1121" stopIfTrue="1" operator="equal">
      <formula>"Towel"</formula>
    </cfRule>
  </conditionalFormatting>
  <conditionalFormatting sqref="B44:C44">
    <cfRule type="cellIs" dxfId="2427" priority="1113" stopIfTrue="1" operator="equal">
      <formula>"Towel"</formula>
    </cfRule>
    <cfRule type="cellIs" dxfId="2426" priority="1114" stopIfTrue="1" operator="equal">
      <formula>"Napkin Hs"</formula>
    </cfRule>
  </conditionalFormatting>
  <conditionalFormatting sqref="C44">
    <cfRule type="cellIs" dxfId="2425" priority="1112" stopIfTrue="1" operator="equal">
      <formula>"Napkin Hs"</formula>
    </cfRule>
  </conditionalFormatting>
  <conditionalFormatting sqref="C44">
    <cfRule type="cellIs" dxfId="2424" priority="1109" stopIfTrue="1" operator="equal">
      <formula>"Towel"</formula>
    </cfRule>
    <cfRule type="cellIs" dxfId="2423" priority="1110" stopIfTrue="1" operator="equal">
      <formula>"Napkin Hs"</formula>
    </cfRule>
  </conditionalFormatting>
  <conditionalFormatting sqref="C44">
    <cfRule type="cellIs" dxfId="2422" priority="1111" stopIfTrue="1" operator="equal">
      <formula>"Towel"</formula>
    </cfRule>
  </conditionalFormatting>
  <conditionalFormatting sqref="B50:C50">
    <cfRule type="cellIs" dxfId="2421" priority="1107" stopIfTrue="1" operator="equal">
      <formula>"Towel"</formula>
    </cfRule>
    <cfRule type="cellIs" dxfId="2420" priority="1108" stopIfTrue="1" operator="equal">
      <formula>"Napkin Hs"</formula>
    </cfRule>
  </conditionalFormatting>
  <conditionalFormatting sqref="C50">
    <cfRule type="cellIs" dxfId="2419" priority="1106" stopIfTrue="1" operator="equal">
      <formula>"Napkin Hs"</formula>
    </cfRule>
  </conditionalFormatting>
  <conditionalFormatting sqref="C50">
    <cfRule type="cellIs" dxfId="2418" priority="1103" stopIfTrue="1" operator="equal">
      <formula>"Towel"</formula>
    </cfRule>
    <cfRule type="cellIs" dxfId="2417" priority="1104" stopIfTrue="1" operator="equal">
      <formula>"Napkin Hs"</formula>
    </cfRule>
  </conditionalFormatting>
  <conditionalFormatting sqref="C50">
    <cfRule type="cellIs" dxfId="2416" priority="1105" stopIfTrue="1" operator="equal">
      <formula>"Towel"</formula>
    </cfRule>
  </conditionalFormatting>
  <conditionalFormatting sqref="B48:C49">
    <cfRule type="cellIs" dxfId="2415" priority="1101" stopIfTrue="1" operator="equal">
      <formula>"Towel"</formula>
    </cfRule>
    <cfRule type="cellIs" dxfId="2414" priority="1102" stopIfTrue="1" operator="equal">
      <formula>"Napkin Hs"</formula>
    </cfRule>
  </conditionalFormatting>
  <conditionalFormatting sqref="C48:C49">
    <cfRule type="cellIs" dxfId="2413" priority="1100" stopIfTrue="1" operator="equal">
      <formula>"Napkin Hs"</formula>
    </cfRule>
  </conditionalFormatting>
  <conditionalFormatting sqref="C48:C49">
    <cfRule type="cellIs" dxfId="2412" priority="1097" stopIfTrue="1" operator="equal">
      <formula>"Towel"</formula>
    </cfRule>
    <cfRule type="cellIs" dxfId="2411" priority="1098" stopIfTrue="1" operator="equal">
      <formula>"Napkin Hs"</formula>
    </cfRule>
  </conditionalFormatting>
  <conditionalFormatting sqref="C48:C49">
    <cfRule type="cellIs" dxfId="2410" priority="1099" stopIfTrue="1" operator="equal">
      <formula>"Towel"</formula>
    </cfRule>
  </conditionalFormatting>
  <conditionalFormatting sqref="B50:C50">
    <cfRule type="cellIs" dxfId="2409" priority="1095" stopIfTrue="1" operator="equal">
      <formula>"Towel"</formula>
    </cfRule>
    <cfRule type="cellIs" dxfId="2408" priority="1096" stopIfTrue="1" operator="equal">
      <formula>"Napkin Hs"</formula>
    </cfRule>
  </conditionalFormatting>
  <conditionalFormatting sqref="C50">
    <cfRule type="cellIs" dxfId="2407" priority="1094" stopIfTrue="1" operator="equal">
      <formula>"Napkin Hs"</formula>
    </cfRule>
  </conditionalFormatting>
  <conditionalFormatting sqref="C50">
    <cfRule type="cellIs" dxfId="2406" priority="1089" stopIfTrue="1" operator="equal">
      <formula>"Towel"</formula>
    </cfRule>
    <cfRule type="cellIs" dxfId="2405" priority="1090" stopIfTrue="1" operator="equal">
      <formula>"Napkin Hs"</formula>
    </cfRule>
  </conditionalFormatting>
  <conditionalFormatting sqref="C50">
    <cfRule type="cellIs" dxfId="2404" priority="1093" stopIfTrue="1" operator="equal">
      <formula>"Towel"</formula>
    </cfRule>
  </conditionalFormatting>
  <conditionalFormatting sqref="B48:C49">
    <cfRule type="cellIs" dxfId="2403" priority="1085" stopIfTrue="1" operator="equal">
      <formula>"Towel"</formula>
    </cfRule>
    <cfRule type="cellIs" dxfId="2402" priority="1086" stopIfTrue="1" operator="equal">
      <formula>"Napkin Hs"</formula>
    </cfRule>
  </conditionalFormatting>
  <conditionalFormatting sqref="C48:C49">
    <cfRule type="cellIs" dxfId="2401" priority="1084" stopIfTrue="1" operator="equal">
      <formula>"Napkin Hs"</formula>
    </cfRule>
  </conditionalFormatting>
  <conditionalFormatting sqref="C48:C49">
    <cfRule type="cellIs" dxfId="2400" priority="1081" stopIfTrue="1" operator="equal">
      <formula>"Towel"</formula>
    </cfRule>
    <cfRule type="cellIs" dxfId="2399" priority="1082" stopIfTrue="1" operator="equal">
      <formula>"Napkin Hs"</formula>
    </cfRule>
  </conditionalFormatting>
  <conditionalFormatting sqref="C48:C49">
    <cfRule type="cellIs" dxfId="2398" priority="1083" stopIfTrue="1" operator="equal">
      <formula>"Towel"</formula>
    </cfRule>
  </conditionalFormatting>
  <conditionalFormatting sqref="B54:C54">
    <cfRule type="cellIs" dxfId="2397" priority="1079" stopIfTrue="1" operator="equal">
      <formula>"Towel"</formula>
    </cfRule>
    <cfRule type="cellIs" dxfId="2396" priority="1080" stopIfTrue="1" operator="equal">
      <formula>"Napkin Hs"</formula>
    </cfRule>
  </conditionalFormatting>
  <conditionalFormatting sqref="C54">
    <cfRule type="cellIs" dxfId="2395" priority="1078" stopIfTrue="1" operator="equal">
      <formula>"Napkin Hs"</formula>
    </cfRule>
  </conditionalFormatting>
  <conditionalFormatting sqref="C54">
    <cfRule type="cellIs" dxfId="2394" priority="1075" stopIfTrue="1" operator="equal">
      <formula>"Towel"</formula>
    </cfRule>
    <cfRule type="cellIs" dxfId="2393" priority="1076" stopIfTrue="1" operator="equal">
      <formula>"Napkin Hs"</formula>
    </cfRule>
  </conditionalFormatting>
  <conditionalFormatting sqref="C54">
    <cfRule type="cellIs" dxfId="2392" priority="1077" stopIfTrue="1" operator="equal">
      <formula>"Towel"</formula>
    </cfRule>
  </conditionalFormatting>
  <conditionalFormatting sqref="B52:C53">
    <cfRule type="cellIs" dxfId="2391" priority="1073" stopIfTrue="1" operator="equal">
      <formula>"Towel"</formula>
    </cfRule>
    <cfRule type="cellIs" dxfId="2390" priority="1074" stopIfTrue="1" operator="equal">
      <formula>"Napkin Hs"</formula>
    </cfRule>
  </conditionalFormatting>
  <conditionalFormatting sqref="C52:C53">
    <cfRule type="cellIs" dxfId="2389" priority="1072" stopIfTrue="1" operator="equal">
      <formula>"Napkin Hs"</formula>
    </cfRule>
  </conditionalFormatting>
  <conditionalFormatting sqref="C52:C53">
    <cfRule type="cellIs" dxfId="2388" priority="1069" stopIfTrue="1" operator="equal">
      <formula>"Towel"</formula>
    </cfRule>
    <cfRule type="cellIs" dxfId="2387" priority="1070" stopIfTrue="1" operator="equal">
      <formula>"Napkin Hs"</formula>
    </cfRule>
  </conditionalFormatting>
  <conditionalFormatting sqref="C52:C53">
    <cfRule type="cellIs" dxfId="2386" priority="1071" stopIfTrue="1" operator="equal">
      <formula>"Towel"</formula>
    </cfRule>
  </conditionalFormatting>
  <conditionalFormatting sqref="B54:C54">
    <cfRule type="cellIs" dxfId="2385" priority="1067" stopIfTrue="1" operator="equal">
      <formula>"Towel"</formula>
    </cfRule>
    <cfRule type="cellIs" dxfId="2384" priority="1068" stopIfTrue="1" operator="equal">
      <formula>"Napkin Hs"</formula>
    </cfRule>
  </conditionalFormatting>
  <conditionalFormatting sqref="C54">
    <cfRule type="cellIs" dxfId="2383" priority="1066" stopIfTrue="1" operator="equal">
      <formula>"Napkin Hs"</formula>
    </cfRule>
  </conditionalFormatting>
  <conditionalFormatting sqref="C54">
    <cfRule type="cellIs" dxfId="2382" priority="1061" stopIfTrue="1" operator="equal">
      <formula>"Towel"</formula>
    </cfRule>
    <cfRule type="cellIs" dxfId="2381" priority="1062" stopIfTrue="1" operator="equal">
      <formula>"Napkin Hs"</formula>
    </cfRule>
  </conditionalFormatting>
  <conditionalFormatting sqref="C54">
    <cfRule type="cellIs" dxfId="2380" priority="1065" stopIfTrue="1" operator="equal">
      <formula>"Towel"</formula>
    </cfRule>
  </conditionalFormatting>
  <conditionalFormatting sqref="B52:C53">
    <cfRule type="cellIs" dxfId="2379" priority="1057" stopIfTrue="1" operator="equal">
      <formula>"Towel"</formula>
    </cfRule>
    <cfRule type="cellIs" dxfId="2378" priority="1058" stopIfTrue="1" operator="equal">
      <formula>"Napkin Hs"</formula>
    </cfRule>
  </conditionalFormatting>
  <conditionalFormatting sqref="C52:C53">
    <cfRule type="cellIs" dxfId="2377" priority="1056" stopIfTrue="1" operator="equal">
      <formula>"Napkin Hs"</formula>
    </cfRule>
  </conditionalFormatting>
  <conditionalFormatting sqref="C52:C53">
    <cfRule type="cellIs" dxfId="2376" priority="1053" stopIfTrue="1" operator="equal">
      <formula>"Towel"</formula>
    </cfRule>
    <cfRule type="cellIs" dxfId="2375" priority="1054" stopIfTrue="1" operator="equal">
      <formula>"Napkin Hs"</formula>
    </cfRule>
  </conditionalFormatting>
  <conditionalFormatting sqref="C52:C53">
    <cfRule type="cellIs" dxfId="2374" priority="1055" stopIfTrue="1" operator="equal">
      <formula>"Towel"</formula>
    </cfRule>
  </conditionalFormatting>
  <conditionalFormatting sqref="B58:C58">
    <cfRule type="cellIs" dxfId="2373" priority="1051" stopIfTrue="1" operator="equal">
      <formula>"Towel"</formula>
    </cfRule>
    <cfRule type="cellIs" dxfId="2372" priority="1052" stopIfTrue="1" operator="equal">
      <formula>"Napkin Hs"</formula>
    </cfRule>
  </conditionalFormatting>
  <conditionalFormatting sqref="C58">
    <cfRule type="cellIs" dxfId="2371" priority="1050" stopIfTrue="1" operator="equal">
      <formula>"Napkin Hs"</formula>
    </cfRule>
  </conditionalFormatting>
  <conditionalFormatting sqref="C58">
    <cfRule type="cellIs" dxfId="2370" priority="1047" stopIfTrue="1" operator="equal">
      <formula>"Towel"</formula>
    </cfRule>
    <cfRule type="cellIs" dxfId="2369" priority="1048" stopIfTrue="1" operator="equal">
      <formula>"Napkin Hs"</formula>
    </cfRule>
  </conditionalFormatting>
  <conditionalFormatting sqref="C58">
    <cfRule type="cellIs" dxfId="2368" priority="1049" stopIfTrue="1" operator="equal">
      <formula>"Towel"</formula>
    </cfRule>
  </conditionalFormatting>
  <conditionalFormatting sqref="B57:C57">
    <cfRule type="cellIs" dxfId="2367" priority="1045" stopIfTrue="1" operator="equal">
      <formula>"Towel"</formula>
    </cfRule>
    <cfRule type="cellIs" dxfId="2366" priority="1046" stopIfTrue="1" operator="equal">
      <formula>"Napkin Hs"</formula>
    </cfRule>
  </conditionalFormatting>
  <conditionalFormatting sqref="C57">
    <cfRule type="cellIs" dxfId="2365" priority="1044" stopIfTrue="1" operator="equal">
      <formula>"Napkin Hs"</formula>
    </cfRule>
  </conditionalFormatting>
  <conditionalFormatting sqref="C57">
    <cfRule type="cellIs" dxfId="2364" priority="1041" stopIfTrue="1" operator="equal">
      <formula>"Towel"</formula>
    </cfRule>
    <cfRule type="cellIs" dxfId="2363" priority="1042" stopIfTrue="1" operator="equal">
      <formula>"Napkin Hs"</formula>
    </cfRule>
  </conditionalFormatting>
  <conditionalFormatting sqref="C57">
    <cfRule type="cellIs" dxfId="2362" priority="1043" stopIfTrue="1" operator="equal">
      <formula>"Towel"</formula>
    </cfRule>
  </conditionalFormatting>
  <conditionalFormatting sqref="B58:C58">
    <cfRule type="cellIs" dxfId="2361" priority="1039" stopIfTrue="1" operator="equal">
      <formula>"Towel"</formula>
    </cfRule>
    <cfRule type="cellIs" dxfId="2360" priority="1040" stopIfTrue="1" operator="equal">
      <formula>"Napkin Hs"</formula>
    </cfRule>
  </conditionalFormatting>
  <conditionalFormatting sqref="C58">
    <cfRule type="cellIs" dxfId="2359" priority="1038" stopIfTrue="1" operator="equal">
      <formula>"Napkin Hs"</formula>
    </cfRule>
  </conditionalFormatting>
  <conditionalFormatting sqref="C58">
    <cfRule type="cellIs" dxfId="2358" priority="1035" stopIfTrue="1" operator="equal">
      <formula>"Towel"</formula>
    </cfRule>
    <cfRule type="cellIs" dxfId="2357" priority="1036" stopIfTrue="1" operator="equal">
      <formula>"Napkin Hs"</formula>
    </cfRule>
  </conditionalFormatting>
  <conditionalFormatting sqref="C58">
    <cfRule type="cellIs" dxfId="2356" priority="1037" stopIfTrue="1" operator="equal">
      <formula>"Towel"</formula>
    </cfRule>
  </conditionalFormatting>
  <conditionalFormatting sqref="B57:C57">
    <cfRule type="cellIs" dxfId="2355" priority="1033" stopIfTrue="1" operator="equal">
      <formula>"Towel"</formula>
    </cfRule>
    <cfRule type="cellIs" dxfId="2354" priority="1034" stopIfTrue="1" operator="equal">
      <formula>"Napkin Hs"</formula>
    </cfRule>
  </conditionalFormatting>
  <conditionalFormatting sqref="C57">
    <cfRule type="cellIs" dxfId="2353" priority="1032" stopIfTrue="1" operator="equal">
      <formula>"Napkin Hs"</formula>
    </cfRule>
  </conditionalFormatting>
  <conditionalFormatting sqref="C57">
    <cfRule type="cellIs" dxfId="2352" priority="1029" stopIfTrue="1" operator="equal">
      <formula>"Towel"</formula>
    </cfRule>
    <cfRule type="cellIs" dxfId="2351" priority="1030" stopIfTrue="1" operator="equal">
      <formula>"Napkin Hs"</formula>
    </cfRule>
  </conditionalFormatting>
  <conditionalFormatting sqref="C57">
    <cfRule type="cellIs" dxfId="2350" priority="1031" stopIfTrue="1" operator="equal">
      <formula>"Towel"</formula>
    </cfRule>
  </conditionalFormatting>
  <conditionalFormatting sqref="B56:C56">
    <cfRule type="cellIs" dxfId="2349" priority="1027" stopIfTrue="1" operator="equal">
      <formula>"Towel"</formula>
    </cfRule>
    <cfRule type="cellIs" dxfId="2348" priority="1028" stopIfTrue="1" operator="equal">
      <formula>"Napkin Hs"</formula>
    </cfRule>
  </conditionalFormatting>
  <conditionalFormatting sqref="C56">
    <cfRule type="cellIs" dxfId="2347" priority="1026" stopIfTrue="1" operator="equal">
      <formula>"Napkin Hs"</formula>
    </cfRule>
  </conditionalFormatting>
  <conditionalFormatting sqref="C56">
    <cfRule type="cellIs" dxfId="2346" priority="1023" stopIfTrue="1" operator="equal">
      <formula>"Towel"</formula>
    </cfRule>
    <cfRule type="cellIs" dxfId="2345" priority="1024" stopIfTrue="1" operator="equal">
      <formula>"Napkin Hs"</formula>
    </cfRule>
  </conditionalFormatting>
  <conditionalFormatting sqref="C56">
    <cfRule type="cellIs" dxfId="2344" priority="1025" stopIfTrue="1" operator="equal">
      <formula>"Towel"</formula>
    </cfRule>
  </conditionalFormatting>
  <conditionalFormatting sqref="B56:C56">
    <cfRule type="cellIs" dxfId="2343" priority="1021" stopIfTrue="1" operator="equal">
      <formula>"Towel"</formula>
    </cfRule>
    <cfRule type="cellIs" dxfId="2342" priority="1022" stopIfTrue="1" operator="equal">
      <formula>"Napkin Hs"</formula>
    </cfRule>
  </conditionalFormatting>
  <conditionalFormatting sqref="C56">
    <cfRule type="cellIs" dxfId="2341" priority="1020" stopIfTrue="1" operator="equal">
      <formula>"Napkin Hs"</formula>
    </cfRule>
  </conditionalFormatting>
  <conditionalFormatting sqref="C56">
    <cfRule type="cellIs" dxfId="2340" priority="1017" stopIfTrue="1" operator="equal">
      <formula>"Towel"</formula>
    </cfRule>
    <cfRule type="cellIs" dxfId="2339" priority="1018" stopIfTrue="1" operator="equal">
      <formula>"Napkin Hs"</formula>
    </cfRule>
  </conditionalFormatting>
  <conditionalFormatting sqref="C56">
    <cfRule type="cellIs" dxfId="2338" priority="1019" stopIfTrue="1" operator="equal">
      <formula>"Towel"</formula>
    </cfRule>
  </conditionalFormatting>
  <conditionalFormatting sqref="B62:C62">
    <cfRule type="cellIs" dxfId="2337" priority="1015" stopIfTrue="1" operator="equal">
      <formula>"Towel"</formula>
    </cfRule>
    <cfRule type="cellIs" dxfId="2336" priority="1016" stopIfTrue="1" operator="equal">
      <formula>"Napkin Hs"</formula>
    </cfRule>
  </conditionalFormatting>
  <conditionalFormatting sqref="C62">
    <cfRule type="cellIs" dxfId="2335" priority="1014" stopIfTrue="1" operator="equal">
      <formula>"Napkin Hs"</formula>
    </cfRule>
  </conditionalFormatting>
  <conditionalFormatting sqref="C62">
    <cfRule type="cellIs" dxfId="2334" priority="1011" stopIfTrue="1" operator="equal">
      <formula>"Towel"</formula>
    </cfRule>
    <cfRule type="cellIs" dxfId="2333" priority="1012" stopIfTrue="1" operator="equal">
      <formula>"Napkin Hs"</formula>
    </cfRule>
  </conditionalFormatting>
  <conditionalFormatting sqref="C62">
    <cfRule type="cellIs" dxfId="2332" priority="1013" stopIfTrue="1" operator="equal">
      <formula>"Towel"</formula>
    </cfRule>
  </conditionalFormatting>
  <conditionalFormatting sqref="B61:C61">
    <cfRule type="cellIs" dxfId="2331" priority="1009" stopIfTrue="1" operator="equal">
      <formula>"Towel"</formula>
    </cfRule>
    <cfRule type="cellIs" dxfId="2330" priority="1010" stopIfTrue="1" operator="equal">
      <formula>"Napkin Hs"</formula>
    </cfRule>
  </conditionalFormatting>
  <conditionalFormatting sqref="C61">
    <cfRule type="cellIs" dxfId="2329" priority="1008" stopIfTrue="1" operator="equal">
      <formula>"Napkin Hs"</formula>
    </cfRule>
  </conditionalFormatting>
  <conditionalFormatting sqref="C61">
    <cfRule type="cellIs" dxfId="2328" priority="1005" stopIfTrue="1" operator="equal">
      <formula>"Towel"</formula>
    </cfRule>
    <cfRule type="cellIs" dxfId="2327" priority="1006" stopIfTrue="1" operator="equal">
      <formula>"Napkin Hs"</formula>
    </cfRule>
  </conditionalFormatting>
  <conditionalFormatting sqref="C61">
    <cfRule type="cellIs" dxfId="2326" priority="1007" stopIfTrue="1" operator="equal">
      <formula>"Towel"</formula>
    </cfRule>
  </conditionalFormatting>
  <conditionalFormatting sqref="B62:C62">
    <cfRule type="cellIs" dxfId="2325" priority="1003" stopIfTrue="1" operator="equal">
      <formula>"Towel"</formula>
    </cfRule>
    <cfRule type="cellIs" dxfId="2324" priority="1004" stopIfTrue="1" operator="equal">
      <formula>"Napkin Hs"</formula>
    </cfRule>
  </conditionalFormatting>
  <conditionalFormatting sqref="C62">
    <cfRule type="cellIs" dxfId="2323" priority="1002" stopIfTrue="1" operator="equal">
      <formula>"Napkin Hs"</formula>
    </cfRule>
  </conditionalFormatting>
  <conditionalFormatting sqref="C62">
    <cfRule type="cellIs" dxfId="2322" priority="999" stopIfTrue="1" operator="equal">
      <formula>"Towel"</formula>
    </cfRule>
    <cfRule type="cellIs" dxfId="2321" priority="1000" stopIfTrue="1" operator="equal">
      <formula>"Napkin Hs"</formula>
    </cfRule>
  </conditionalFormatting>
  <conditionalFormatting sqref="C62">
    <cfRule type="cellIs" dxfId="2320" priority="1001" stopIfTrue="1" operator="equal">
      <formula>"Towel"</formula>
    </cfRule>
  </conditionalFormatting>
  <conditionalFormatting sqref="B61:C61">
    <cfRule type="cellIs" dxfId="2319" priority="997" stopIfTrue="1" operator="equal">
      <formula>"Towel"</formula>
    </cfRule>
    <cfRule type="cellIs" dxfId="2318" priority="998" stopIfTrue="1" operator="equal">
      <formula>"Napkin Hs"</formula>
    </cfRule>
  </conditionalFormatting>
  <conditionalFormatting sqref="C61">
    <cfRule type="cellIs" dxfId="2317" priority="996" stopIfTrue="1" operator="equal">
      <formula>"Napkin Hs"</formula>
    </cfRule>
  </conditionalFormatting>
  <conditionalFormatting sqref="C61">
    <cfRule type="cellIs" dxfId="2316" priority="993" stopIfTrue="1" operator="equal">
      <formula>"Towel"</formula>
    </cfRule>
    <cfRule type="cellIs" dxfId="2315" priority="994" stopIfTrue="1" operator="equal">
      <formula>"Napkin Hs"</formula>
    </cfRule>
  </conditionalFormatting>
  <conditionalFormatting sqref="C61">
    <cfRule type="cellIs" dxfId="2314" priority="995" stopIfTrue="1" operator="equal">
      <formula>"Towel"</formula>
    </cfRule>
  </conditionalFormatting>
  <conditionalFormatting sqref="B60:C60">
    <cfRule type="cellIs" dxfId="2313" priority="991" stopIfTrue="1" operator="equal">
      <formula>"Towel"</formula>
    </cfRule>
    <cfRule type="cellIs" dxfId="2312" priority="992" stopIfTrue="1" operator="equal">
      <formula>"Napkin Hs"</formula>
    </cfRule>
  </conditionalFormatting>
  <conditionalFormatting sqref="C60">
    <cfRule type="cellIs" dxfId="2311" priority="990" stopIfTrue="1" operator="equal">
      <formula>"Napkin Hs"</formula>
    </cfRule>
  </conditionalFormatting>
  <conditionalFormatting sqref="C60">
    <cfRule type="cellIs" dxfId="2310" priority="987" stopIfTrue="1" operator="equal">
      <formula>"Towel"</formula>
    </cfRule>
    <cfRule type="cellIs" dxfId="2309" priority="988" stopIfTrue="1" operator="equal">
      <formula>"Napkin Hs"</formula>
    </cfRule>
  </conditionalFormatting>
  <conditionalFormatting sqref="C60">
    <cfRule type="cellIs" dxfId="2308" priority="989" stopIfTrue="1" operator="equal">
      <formula>"Towel"</formula>
    </cfRule>
  </conditionalFormatting>
  <conditionalFormatting sqref="B60:C60">
    <cfRule type="cellIs" dxfId="2307" priority="985" stopIfTrue="1" operator="equal">
      <formula>"Towel"</formula>
    </cfRule>
    <cfRule type="cellIs" dxfId="2306" priority="986" stopIfTrue="1" operator="equal">
      <formula>"Napkin Hs"</formula>
    </cfRule>
  </conditionalFormatting>
  <conditionalFormatting sqref="C60">
    <cfRule type="cellIs" dxfId="2305" priority="984" stopIfTrue="1" operator="equal">
      <formula>"Napkin Hs"</formula>
    </cfRule>
  </conditionalFormatting>
  <conditionalFormatting sqref="C60">
    <cfRule type="cellIs" dxfId="2304" priority="981" stopIfTrue="1" operator="equal">
      <formula>"Towel"</formula>
    </cfRule>
    <cfRule type="cellIs" dxfId="2303" priority="982" stopIfTrue="1" operator="equal">
      <formula>"Napkin Hs"</formula>
    </cfRule>
  </conditionalFormatting>
  <conditionalFormatting sqref="C60">
    <cfRule type="cellIs" dxfId="2302" priority="983" stopIfTrue="1" operator="equal">
      <formula>"Towel"</formula>
    </cfRule>
  </conditionalFormatting>
  <conditionalFormatting sqref="B66:C67">
    <cfRule type="cellIs" dxfId="2301" priority="979" stopIfTrue="1" operator="equal">
      <formula>"Towel"</formula>
    </cfRule>
    <cfRule type="cellIs" dxfId="2300" priority="980" stopIfTrue="1" operator="equal">
      <formula>"Napkin Hs"</formula>
    </cfRule>
  </conditionalFormatting>
  <conditionalFormatting sqref="C66:C67">
    <cfRule type="cellIs" dxfId="2299" priority="978" stopIfTrue="1" operator="equal">
      <formula>"Napkin Hs"</formula>
    </cfRule>
  </conditionalFormatting>
  <conditionalFormatting sqref="C66:C67">
    <cfRule type="cellIs" dxfId="2298" priority="975" stopIfTrue="1" operator="equal">
      <formula>"Towel"</formula>
    </cfRule>
    <cfRule type="cellIs" dxfId="2297" priority="976" stopIfTrue="1" operator="equal">
      <formula>"Napkin Hs"</formula>
    </cfRule>
  </conditionalFormatting>
  <conditionalFormatting sqref="C66:C67">
    <cfRule type="cellIs" dxfId="2296" priority="977" stopIfTrue="1" operator="equal">
      <formula>"Towel"</formula>
    </cfRule>
  </conditionalFormatting>
  <conditionalFormatting sqref="B66:C67">
    <cfRule type="cellIs" dxfId="2295" priority="967" stopIfTrue="1" operator="equal">
      <formula>"Towel"</formula>
    </cfRule>
    <cfRule type="cellIs" dxfId="2294" priority="968" stopIfTrue="1" operator="equal">
      <formula>"Napkin Hs"</formula>
    </cfRule>
  </conditionalFormatting>
  <conditionalFormatting sqref="C66:C67">
    <cfRule type="cellIs" dxfId="2293" priority="966" stopIfTrue="1" operator="equal">
      <formula>"Napkin Hs"</formula>
    </cfRule>
  </conditionalFormatting>
  <conditionalFormatting sqref="C66:C67">
    <cfRule type="cellIs" dxfId="2292" priority="963" stopIfTrue="1" operator="equal">
      <formula>"Towel"</formula>
    </cfRule>
    <cfRule type="cellIs" dxfId="2291" priority="964" stopIfTrue="1" operator="equal">
      <formula>"Napkin Hs"</formula>
    </cfRule>
  </conditionalFormatting>
  <conditionalFormatting sqref="C66:C67">
    <cfRule type="cellIs" dxfId="2290" priority="965" stopIfTrue="1" operator="equal">
      <formula>"Towel"</formula>
    </cfRule>
  </conditionalFormatting>
  <conditionalFormatting sqref="B64:C65">
    <cfRule type="cellIs" dxfId="2289" priority="955" stopIfTrue="1" operator="equal">
      <formula>"Towel"</formula>
    </cfRule>
    <cfRule type="cellIs" dxfId="2288" priority="956" stopIfTrue="1" operator="equal">
      <formula>"Napkin Hs"</formula>
    </cfRule>
  </conditionalFormatting>
  <conditionalFormatting sqref="C64:C65">
    <cfRule type="cellIs" dxfId="2287" priority="954" stopIfTrue="1" operator="equal">
      <formula>"Napkin Hs"</formula>
    </cfRule>
  </conditionalFormatting>
  <conditionalFormatting sqref="C64:C65">
    <cfRule type="cellIs" dxfId="2286" priority="951" stopIfTrue="1" operator="equal">
      <formula>"Towel"</formula>
    </cfRule>
    <cfRule type="cellIs" dxfId="2285" priority="952" stopIfTrue="1" operator="equal">
      <formula>"Napkin Hs"</formula>
    </cfRule>
  </conditionalFormatting>
  <conditionalFormatting sqref="C64:C65">
    <cfRule type="cellIs" dxfId="2284" priority="953" stopIfTrue="1" operator="equal">
      <formula>"Towel"</formula>
    </cfRule>
  </conditionalFormatting>
  <conditionalFormatting sqref="B64:C65">
    <cfRule type="cellIs" dxfId="2283" priority="949" stopIfTrue="1" operator="equal">
      <formula>"Towel"</formula>
    </cfRule>
    <cfRule type="cellIs" dxfId="2282" priority="950" stopIfTrue="1" operator="equal">
      <formula>"Napkin Hs"</formula>
    </cfRule>
  </conditionalFormatting>
  <conditionalFormatting sqref="C64:C65">
    <cfRule type="cellIs" dxfId="2281" priority="948" stopIfTrue="1" operator="equal">
      <formula>"Napkin Hs"</formula>
    </cfRule>
  </conditionalFormatting>
  <conditionalFormatting sqref="C64:C65">
    <cfRule type="cellIs" dxfId="2280" priority="945" stopIfTrue="1" operator="equal">
      <formula>"Towel"</formula>
    </cfRule>
    <cfRule type="cellIs" dxfId="2279" priority="946" stopIfTrue="1" operator="equal">
      <formula>"Napkin Hs"</formula>
    </cfRule>
  </conditionalFormatting>
  <conditionalFormatting sqref="C64:C65">
    <cfRule type="cellIs" dxfId="2278" priority="947" stopIfTrue="1" operator="equal">
      <formula>"Towel"</formula>
    </cfRule>
  </conditionalFormatting>
  <conditionalFormatting sqref="B71:C72">
    <cfRule type="cellIs" dxfId="2277" priority="943" stopIfTrue="1" operator="equal">
      <formula>"Towel"</formula>
    </cfRule>
    <cfRule type="cellIs" dxfId="2276" priority="944" stopIfTrue="1" operator="equal">
      <formula>"Napkin Hs"</formula>
    </cfRule>
  </conditionalFormatting>
  <conditionalFormatting sqref="C71:C72">
    <cfRule type="cellIs" dxfId="2275" priority="942" stopIfTrue="1" operator="equal">
      <formula>"Napkin Hs"</formula>
    </cfRule>
  </conditionalFormatting>
  <conditionalFormatting sqref="C71:C72">
    <cfRule type="cellIs" dxfId="2274" priority="939" stopIfTrue="1" operator="equal">
      <formula>"Towel"</formula>
    </cfRule>
    <cfRule type="cellIs" dxfId="2273" priority="940" stopIfTrue="1" operator="equal">
      <formula>"Napkin Hs"</formula>
    </cfRule>
  </conditionalFormatting>
  <conditionalFormatting sqref="C71:C72">
    <cfRule type="cellIs" dxfId="2272" priority="941" stopIfTrue="1" operator="equal">
      <formula>"Towel"</formula>
    </cfRule>
  </conditionalFormatting>
  <conditionalFormatting sqref="B71:C72">
    <cfRule type="cellIs" dxfId="2271" priority="937" stopIfTrue="1" operator="equal">
      <formula>"Towel"</formula>
    </cfRule>
    <cfRule type="cellIs" dxfId="2270" priority="938" stopIfTrue="1" operator="equal">
      <formula>"Napkin Hs"</formula>
    </cfRule>
  </conditionalFormatting>
  <conditionalFormatting sqref="C71:C72">
    <cfRule type="cellIs" dxfId="2269" priority="936" stopIfTrue="1" operator="equal">
      <formula>"Napkin Hs"</formula>
    </cfRule>
  </conditionalFormatting>
  <conditionalFormatting sqref="C71:C72">
    <cfRule type="cellIs" dxfId="2268" priority="933" stopIfTrue="1" operator="equal">
      <formula>"Towel"</formula>
    </cfRule>
    <cfRule type="cellIs" dxfId="2267" priority="934" stopIfTrue="1" operator="equal">
      <formula>"Napkin Hs"</formula>
    </cfRule>
  </conditionalFormatting>
  <conditionalFormatting sqref="C71:C72">
    <cfRule type="cellIs" dxfId="2266" priority="935" stopIfTrue="1" operator="equal">
      <formula>"Towel"</formula>
    </cfRule>
  </conditionalFormatting>
  <conditionalFormatting sqref="B69:C70">
    <cfRule type="cellIs" dxfId="2265" priority="919" stopIfTrue="1" operator="equal">
      <formula>"Towel"</formula>
    </cfRule>
    <cfRule type="cellIs" dxfId="2264" priority="920" stopIfTrue="1" operator="equal">
      <formula>"Napkin Hs"</formula>
    </cfRule>
  </conditionalFormatting>
  <conditionalFormatting sqref="C69:C70">
    <cfRule type="cellIs" dxfId="2263" priority="918" stopIfTrue="1" operator="equal">
      <formula>"Napkin Hs"</formula>
    </cfRule>
  </conditionalFormatting>
  <conditionalFormatting sqref="C69:C70">
    <cfRule type="cellIs" dxfId="2262" priority="915" stopIfTrue="1" operator="equal">
      <formula>"Towel"</formula>
    </cfRule>
    <cfRule type="cellIs" dxfId="2261" priority="916" stopIfTrue="1" operator="equal">
      <formula>"Napkin Hs"</formula>
    </cfRule>
  </conditionalFormatting>
  <conditionalFormatting sqref="C69:C70">
    <cfRule type="cellIs" dxfId="2260" priority="917" stopIfTrue="1" operator="equal">
      <formula>"Towel"</formula>
    </cfRule>
  </conditionalFormatting>
  <conditionalFormatting sqref="B69:C70">
    <cfRule type="cellIs" dxfId="2259" priority="913" stopIfTrue="1" operator="equal">
      <formula>"Towel"</formula>
    </cfRule>
    <cfRule type="cellIs" dxfId="2258" priority="914" stopIfTrue="1" operator="equal">
      <formula>"Napkin Hs"</formula>
    </cfRule>
  </conditionalFormatting>
  <conditionalFormatting sqref="C69:C70">
    <cfRule type="cellIs" dxfId="2257" priority="912" stopIfTrue="1" operator="equal">
      <formula>"Napkin Hs"</formula>
    </cfRule>
  </conditionalFormatting>
  <conditionalFormatting sqref="C69:C70">
    <cfRule type="cellIs" dxfId="2256" priority="909" stopIfTrue="1" operator="equal">
      <formula>"Towel"</formula>
    </cfRule>
    <cfRule type="cellIs" dxfId="2255" priority="910" stopIfTrue="1" operator="equal">
      <formula>"Napkin Hs"</formula>
    </cfRule>
  </conditionalFormatting>
  <conditionalFormatting sqref="C69:C70">
    <cfRule type="cellIs" dxfId="2254" priority="911" stopIfTrue="1" operator="equal">
      <formula>"Towel"</formula>
    </cfRule>
  </conditionalFormatting>
  <conditionalFormatting sqref="B76:C76">
    <cfRule type="cellIs" dxfId="2253" priority="901" stopIfTrue="1" operator="equal">
      <formula>"Towel"</formula>
    </cfRule>
    <cfRule type="cellIs" dxfId="2252" priority="902" stopIfTrue="1" operator="equal">
      <formula>"Napkin Hs"</formula>
    </cfRule>
  </conditionalFormatting>
  <conditionalFormatting sqref="C76">
    <cfRule type="cellIs" dxfId="2251" priority="900" stopIfTrue="1" operator="equal">
      <formula>"Napkin Hs"</formula>
    </cfRule>
  </conditionalFormatting>
  <conditionalFormatting sqref="C76">
    <cfRule type="cellIs" dxfId="2250" priority="897" stopIfTrue="1" operator="equal">
      <formula>"Towel"</formula>
    </cfRule>
    <cfRule type="cellIs" dxfId="2249" priority="898" stopIfTrue="1" operator="equal">
      <formula>"Napkin Hs"</formula>
    </cfRule>
  </conditionalFormatting>
  <conditionalFormatting sqref="C76">
    <cfRule type="cellIs" dxfId="2248" priority="899" stopIfTrue="1" operator="equal">
      <formula>"Towel"</formula>
    </cfRule>
  </conditionalFormatting>
  <conditionalFormatting sqref="B76:C76">
    <cfRule type="cellIs" dxfId="2247" priority="895" stopIfTrue="1" operator="equal">
      <formula>"Towel"</formula>
    </cfRule>
    <cfRule type="cellIs" dxfId="2246" priority="896" stopIfTrue="1" operator="equal">
      <formula>"Napkin Hs"</formula>
    </cfRule>
  </conditionalFormatting>
  <conditionalFormatting sqref="C76">
    <cfRule type="cellIs" dxfId="2245" priority="894" stopIfTrue="1" operator="equal">
      <formula>"Napkin Hs"</formula>
    </cfRule>
  </conditionalFormatting>
  <conditionalFormatting sqref="C76">
    <cfRule type="cellIs" dxfId="2244" priority="891" stopIfTrue="1" operator="equal">
      <formula>"Towel"</formula>
    </cfRule>
    <cfRule type="cellIs" dxfId="2243" priority="892" stopIfTrue="1" operator="equal">
      <formula>"Napkin Hs"</formula>
    </cfRule>
  </conditionalFormatting>
  <conditionalFormatting sqref="C76">
    <cfRule type="cellIs" dxfId="2242" priority="893" stopIfTrue="1" operator="equal">
      <formula>"Towel"</formula>
    </cfRule>
  </conditionalFormatting>
  <conditionalFormatting sqref="B74:C75">
    <cfRule type="cellIs" dxfId="2241" priority="865" stopIfTrue="1" operator="equal">
      <formula>"Towel"</formula>
    </cfRule>
    <cfRule type="cellIs" dxfId="2240" priority="866" stopIfTrue="1" operator="equal">
      <formula>"Napkin Hs"</formula>
    </cfRule>
  </conditionalFormatting>
  <conditionalFormatting sqref="C74:C75">
    <cfRule type="cellIs" dxfId="2239" priority="864" stopIfTrue="1" operator="equal">
      <formula>"Napkin Hs"</formula>
    </cfRule>
  </conditionalFormatting>
  <conditionalFormatting sqref="C74:C75">
    <cfRule type="cellIs" dxfId="2238" priority="861" stopIfTrue="1" operator="equal">
      <formula>"Towel"</formula>
    </cfRule>
    <cfRule type="cellIs" dxfId="2237" priority="862" stopIfTrue="1" operator="equal">
      <formula>"Napkin Hs"</formula>
    </cfRule>
  </conditionalFormatting>
  <conditionalFormatting sqref="C74:C75">
    <cfRule type="cellIs" dxfId="2236" priority="863" stopIfTrue="1" operator="equal">
      <formula>"Towel"</formula>
    </cfRule>
  </conditionalFormatting>
  <conditionalFormatting sqref="B74:C75">
    <cfRule type="cellIs" dxfId="2235" priority="859" stopIfTrue="1" operator="equal">
      <formula>"Towel"</formula>
    </cfRule>
    <cfRule type="cellIs" dxfId="2234" priority="860" stopIfTrue="1" operator="equal">
      <formula>"Napkin Hs"</formula>
    </cfRule>
  </conditionalFormatting>
  <conditionalFormatting sqref="C74:C75">
    <cfRule type="cellIs" dxfId="2233" priority="858" stopIfTrue="1" operator="equal">
      <formula>"Napkin Hs"</formula>
    </cfRule>
  </conditionalFormatting>
  <conditionalFormatting sqref="C74:C75">
    <cfRule type="cellIs" dxfId="2232" priority="855" stopIfTrue="1" operator="equal">
      <formula>"Towel"</formula>
    </cfRule>
    <cfRule type="cellIs" dxfId="2231" priority="856" stopIfTrue="1" operator="equal">
      <formula>"Napkin Hs"</formula>
    </cfRule>
  </conditionalFormatting>
  <conditionalFormatting sqref="C74:C75">
    <cfRule type="cellIs" dxfId="2230" priority="857" stopIfTrue="1" operator="equal">
      <formula>"Towel"</formula>
    </cfRule>
  </conditionalFormatting>
  <conditionalFormatting sqref="B73:C73">
    <cfRule type="cellIs" dxfId="2229" priority="853" stopIfTrue="1" operator="equal">
      <formula>"Towel"</formula>
    </cfRule>
    <cfRule type="cellIs" dxfId="2228" priority="854" stopIfTrue="1" operator="equal">
      <formula>"Napkin Hs"</formula>
    </cfRule>
  </conditionalFormatting>
  <conditionalFormatting sqref="C73">
    <cfRule type="cellIs" dxfId="2227" priority="852" stopIfTrue="1" operator="equal">
      <formula>"Napkin Hs"</formula>
    </cfRule>
  </conditionalFormatting>
  <conditionalFormatting sqref="C73">
    <cfRule type="cellIs" dxfId="2226" priority="849" stopIfTrue="1" operator="equal">
      <formula>"Towel"</formula>
    </cfRule>
    <cfRule type="cellIs" dxfId="2225" priority="850" stopIfTrue="1" operator="equal">
      <formula>"Napkin Hs"</formula>
    </cfRule>
  </conditionalFormatting>
  <conditionalFormatting sqref="C73">
    <cfRule type="cellIs" dxfId="2224" priority="851" stopIfTrue="1" operator="equal">
      <formula>"Towel"</formula>
    </cfRule>
  </conditionalFormatting>
  <conditionalFormatting sqref="B73:C73">
    <cfRule type="cellIs" dxfId="2223" priority="847" stopIfTrue="1" operator="equal">
      <formula>"Towel"</formula>
    </cfRule>
    <cfRule type="cellIs" dxfId="2222" priority="848" stopIfTrue="1" operator="equal">
      <formula>"Napkin Hs"</formula>
    </cfRule>
  </conditionalFormatting>
  <conditionalFormatting sqref="C73">
    <cfRule type="cellIs" dxfId="2221" priority="846" stopIfTrue="1" operator="equal">
      <formula>"Napkin Hs"</formula>
    </cfRule>
  </conditionalFormatting>
  <conditionalFormatting sqref="C73">
    <cfRule type="cellIs" dxfId="2220" priority="843" stopIfTrue="1" operator="equal">
      <formula>"Towel"</formula>
    </cfRule>
    <cfRule type="cellIs" dxfId="2219" priority="844" stopIfTrue="1" operator="equal">
      <formula>"Napkin Hs"</formula>
    </cfRule>
  </conditionalFormatting>
  <conditionalFormatting sqref="C73">
    <cfRule type="cellIs" dxfId="2218" priority="845" stopIfTrue="1" operator="equal">
      <formula>"Towel"</formula>
    </cfRule>
  </conditionalFormatting>
  <conditionalFormatting sqref="B79:C80">
    <cfRule type="cellIs" dxfId="2217" priority="841" stopIfTrue="1" operator="equal">
      <formula>"Towel"</formula>
    </cfRule>
    <cfRule type="cellIs" dxfId="2216" priority="842" stopIfTrue="1" operator="equal">
      <formula>"Napkin Hs"</formula>
    </cfRule>
  </conditionalFormatting>
  <conditionalFormatting sqref="C79:C80">
    <cfRule type="cellIs" dxfId="2215" priority="840" stopIfTrue="1" operator="equal">
      <formula>"Napkin Hs"</formula>
    </cfRule>
  </conditionalFormatting>
  <conditionalFormatting sqref="C79:C80">
    <cfRule type="cellIs" dxfId="2214" priority="837" stopIfTrue="1" operator="equal">
      <formula>"Towel"</formula>
    </cfRule>
    <cfRule type="cellIs" dxfId="2213" priority="838" stopIfTrue="1" operator="equal">
      <formula>"Napkin Hs"</formula>
    </cfRule>
  </conditionalFormatting>
  <conditionalFormatting sqref="C79:C80">
    <cfRule type="cellIs" dxfId="2212" priority="839" stopIfTrue="1" operator="equal">
      <formula>"Towel"</formula>
    </cfRule>
  </conditionalFormatting>
  <conditionalFormatting sqref="B79:C80">
    <cfRule type="cellIs" dxfId="2211" priority="835" stopIfTrue="1" operator="equal">
      <formula>"Towel"</formula>
    </cfRule>
    <cfRule type="cellIs" dxfId="2210" priority="836" stopIfTrue="1" operator="equal">
      <formula>"Napkin Hs"</formula>
    </cfRule>
  </conditionalFormatting>
  <conditionalFormatting sqref="C79:C80">
    <cfRule type="cellIs" dxfId="2209" priority="834" stopIfTrue="1" operator="equal">
      <formula>"Napkin Hs"</formula>
    </cfRule>
  </conditionalFormatting>
  <conditionalFormatting sqref="C79:C80">
    <cfRule type="cellIs" dxfId="2208" priority="831" stopIfTrue="1" operator="equal">
      <formula>"Towel"</formula>
    </cfRule>
    <cfRule type="cellIs" dxfId="2207" priority="832" stopIfTrue="1" operator="equal">
      <formula>"Napkin Hs"</formula>
    </cfRule>
  </conditionalFormatting>
  <conditionalFormatting sqref="C79:C80">
    <cfRule type="cellIs" dxfId="2206" priority="833" stopIfTrue="1" operator="equal">
      <formula>"Towel"</formula>
    </cfRule>
  </conditionalFormatting>
  <conditionalFormatting sqref="C78">
    <cfRule type="cellIs" dxfId="2205" priority="829" stopIfTrue="1" operator="equal">
      <formula>"Towel"</formula>
    </cfRule>
    <cfRule type="cellIs" dxfId="2204" priority="830" stopIfTrue="1" operator="equal">
      <formula>"Napkin Hs"</formula>
    </cfRule>
  </conditionalFormatting>
  <conditionalFormatting sqref="C78">
    <cfRule type="cellIs" dxfId="2203" priority="828" stopIfTrue="1" operator="equal">
      <formula>"Napkin Hs"</formula>
    </cfRule>
  </conditionalFormatting>
  <conditionalFormatting sqref="C78">
    <cfRule type="cellIs" dxfId="2202" priority="825" stopIfTrue="1" operator="equal">
      <formula>"Towel"</formula>
    </cfRule>
    <cfRule type="cellIs" dxfId="2201" priority="826" stopIfTrue="1" operator="equal">
      <formula>"Napkin Hs"</formula>
    </cfRule>
  </conditionalFormatting>
  <conditionalFormatting sqref="C78">
    <cfRule type="cellIs" dxfId="2200" priority="827" stopIfTrue="1" operator="equal">
      <formula>"Towel"</formula>
    </cfRule>
  </conditionalFormatting>
  <conditionalFormatting sqref="C78">
    <cfRule type="cellIs" dxfId="2199" priority="823" stopIfTrue="1" operator="equal">
      <formula>"Towel"</formula>
    </cfRule>
    <cfRule type="cellIs" dxfId="2198" priority="824" stopIfTrue="1" operator="equal">
      <formula>"Napkin Hs"</formula>
    </cfRule>
  </conditionalFormatting>
  <conditionalFormatting sqref="C78">
    <cfRule type="cellIs" dxfId="2197" priority="822" stopIfTrue="1" operator="equal">
      <formula>"Napkin Hs"</formula>
    </cfRule>
  </conditionalFormatting>
  <conditionalFormatting sqref="C78">
    <cfRule type="cellIs" dxfId="2196" priority="819" stopIfTrue="1" operator="equal">
      <formula>"Towel"</formula>
    </cfRule>
    <cfRule type="cellIs" dxfId="2195" priority="820" stopIfTrue="1" operator="equal">
      <formula>"Napkin Hs"</formula>
    </cfRule>
  </conditionalFormatting>
  <conditionalFormatting sqref="C78">
    <cfRule type="cellIs" dxfId="2194" priority="821" stopIfTrue="1" operator="equal">
      <formula>"Towel"</formula>
    </cfRule>
  </conditionalFormatting>
  <conditionalFormatting sqref="B77:C77 B78">
    <cfRule type="cellIs" dxfId="2193" priority="817" stopIfTrue="1" operator="equal">
      <formula>"Towel"</formula>
    </cfRule>
    <cfRule type="cellIs" dxfId="2192" priority="818" stopIfTrue="1" operator="equal">
      <formula>"Napkin Hs"</formula>
    </cfRule>
  </conditionalFormatting>
  <conditionalFormatting sqref="C77">
    <cfRule type="cellIs" dxfId="2191" priority="816" stopIfTrue="1" operator="equal">
      <formula>"Napkin Hs"</formula>
    </cfRule>
  </conditionalFormatting>
  <conditionalFormatting sqref="C77">
    <cfRule type="cellIs" dxfId="2190" priority="813" stopIfTrue="1" operator="equal">
      <formula>"Towel"</formula>
    </cfRule>
    <cfRule type="cellIs" dxfId="2189" priority="814" stopIfTrue="1" operator="equal">
      <formula>"Napkin Hs"</formula>
    </cfRule>
  </conditionalFormatting>
  <conditionalFormatting sqref="C77">
    <cfRule type="cellIs" dxfId="2188" priority="815" stopIfTrue="1" operator="equal">
      <formula>"Towel"</formula>
    </cfRule>
  </conditionalFormatting>
  <conditionalFormatting sqref="B77:C77 B78">
    <cfRule type="cellIs" dxfId="2187" priority="811" stopIfTrue="1" operator="equal">
      <formula>"Towel"</formula>
    </cfRule>
    <cfRule type="cellIs" dxfId="2186" priority="812" stopIfTrue="1" operator="equal">
      <formula>"Napkin Hs"</formula>
    </cfRule>
  </conditionalFormatting>
  <conditionalFormatting sqref="C77">
    <cfRule type="cellIs" dxfId="2185" priority="810" stopIfTrue="1" operator="equal">
      <formula>"Napkin Hs"</formula>
    </cfRule>
  </conditionalFormatting>
  <conditionalFormatting sqref="C77">
    <cfRule type="cellIs" dxfId="2184" priority="807" stopIfTrue="1" operator="equal">
      <formula>"Towel"</formula>
    </cfRule>
    <cfRule type="cellIs" dxfId="2183" priority="808" stopIfTrue="1" operator="equal">
      <formula>"Napkin Hs"</formula>
    </cfRule>
  </conditionalFormatting>
  <conditionalFormatting sqref="C77">
    <cfRule type="cellIs" dxfId="2182" priority="809" stopIfTrue="1" operator="equal">
      <formula>"Towel"</formula>
    </cfRule>
  </conditionalFormatting>
  <conditionalFormatting sqref="B83:C84">
    <cfRule type="cellIs" dxfId="2181" priority="805" stopIfTrue="1" operator="equal">
      <formula>"Towel"</formula>
    </cfRule>
    <cfRule type="cellIs" dxfId="2180" priority="806" stopIfTrue="1" operator="equal">
      <formula>"Napkin Hs"</formula>
    </cfRule>
  </conditionalFormatting>
  <conditionalFormatting sqref="C83:C84">
    <cfRule type="cellIs" dxfId="2179" priority="804" stopIfTrue="1" operator="equal">
      <formula>"Napkin Hs"</formula>
    </cfRule>
  </conditionalFormatting>
  <conditionalFormatting sqref="C83:C84">
    <cfRule type="cellIs" dxfId="2178" priority="801" stopIfTrue="1" operator="equal">
      <formula>"Towel"</formula>
    </cfRule>
    <cfRule type="cellIs" dxfId="2177" priority="802" stopIfTrue="1" operator="equal">
      <formula>"Napkin Hs"</formula>
    </cfRule>
  </conditionalFormatting>
  <conditionalFormatting sqref="C83:C84">
    <cfRule type="cellIs" dxfId="2176" priority="803" stopIfTrue="1" operator="equal">
      <formula>"Towel"</formula>
    </cfRule>
  </conditionalFormatting>
  <conditionalFormatting sqref="B83:C84">
    <cfRule type="cellIs" dxfId="2175" priority="799" stopIfTrue="1" operator="equal">
      <formula>"Towel"</formula>
    </cfRule>
    <cfRule type="cellIs" dxfId="2174" priority="800" stopIfTrue="1" operator="equal">
      <formula>"Napkin Hs"</formula>
    </cfRule>
  </conditionalFormatting>
  <conditionalFormatting sqref="C83:C84">
    <cfRule type="cellIs" dxfId="2173" priority="798" stopIfTrue="1" operator="equal">
      <formula>"Napkin Hs"</formula>
    </cfRule>
  </conditionalFormatting>
  <conditionalFormatting sqref="C83:C84">
    <cfRule type="cellIs" dxfId="2172" priority="795" stopIfTrue="1" operator="equal">
      <formula>"Towel"</formula>
    </cfRule>
    <cfRule type="cellIs" dxfId="2171" priority="796" stopIfTrue="1" operator="equal">
      <formula>"Napkin Hs"</formula>
    </cfRule>
  </conditionalFormatting>
  <conditionalFormatting sqref="C83:C84">
    <cfRule type="cellIs" dxfId="2170" priority="797" stopIfTrue="1" operator="equal">
      <formula>"Towel"</formula>
    </cfRule>
  </conditionalFormatting>
  <conditionalFormatting sqref="B82:C82">
    <cfRule type="cellIs" dxfId="2169" priority="793" stopIfTrue="1" operator="equal">
      <formula>"Towel"</formula>
    </cfRule>
    <cfRule type="cellIs" dxfId="2168" priority="794" stopIfTrue="1" operator="equal">
      <formula>"Napkin Hs"</formula>
    </cfRule>
  </conditionalFormatting>
  <conditionalFormatting sqref="C82">
    <cfRule type="cellIs" dxfId="2167" priority="792" stopIfTrue="1" operator="equal">
      <formula>"Napkin Hs"</formula>
    </cfRule>
  </conditionalFormatting>
  <conditionalFormatting sqref="C82">
    <cfRule type="cellIs" dxfId="2166" priority="789" stopIfTrue="1" operator="equal">
      <formula>"Towel"</formula>
    </cfRule>
    <cfRule type="cellIs" dxfId="2165" priority="790" stopIfTrue="1" operator="equal">
      <formula>"Napkin Hs"</formula>
    </cfRule>
  </conditionalFormatting>
  <conditionalFormatting sqref="C82">
    <cfRule type="cellIs" dxfId="2164" priority="791" stopIfTrue="1" operator="equal">
      <formula>"Towel"</formula>
    </cfRule>
  </conditionalFormatting>
  <conditionalFormatting sqref="B82:C82">
    <cfRule type="cellIs" dxfId="2163" priority="787" stopIfTrue="1" operator="equal">
      <formula>"Towel"</formula>
    </cfRule>
    <cfRule type="cellIs" dxfId="2162" priority="788" stopIfTrue="1" operator="equal">
      <formula>"Napkin Hs"</formula>
    </cfRule>
  </conditionalFormatting>
  <conditionalFormatting sqref="C82">
    <cfRule type="cellIs" dxfId="2161" priority="786" stopIfTrue="1" operator="equal">
      <formula>"Napkin Hs"</formula>
    </cfRule>
  </conditionalFormatting>
  <conditionalFormatting sqref="C82">
    <cfRule type="cellIs" dxfId="2160" priority="783" stopIfTrue="1" operator="equal">
      <formula>"Towel"</formula>
    </cfRule>
    <cfRule type="cellIs" dxfId="2159" priority="784" stopIfTrue="1" operator="equal">
      <formula>"Napkin Hs"</formula>
    </cfRule>
  </conditionalFormatting>
  <conditionalFormatting sqref="C82">
    <cfRule type="cellIs" dxfId="2158" priority="785" stopIfTrue="1" operator="equal">
      <formula>"Towel"</formula>
    </cfRule>
  </conditionalFormatting>
  <conditionalFormatting sqref="C81">
    <cfRule type="cellIs" dxfId="2157" priority="769" stopIfTrue="1" operator="equal">
      <formula>"Towel"</formula>
    </cfRule>
    <cfRule type="cellIs" dxfId="2156" priority="770" stopIfTrue="1" operator="equal">
      <formula>"Napkin Hs"</formula>
    </cfRule>
  </conditionalFormatting>
  <conditionalFormatting sqref="C81">
    <cfRule type="cellIs" dxfId="2155" priority="768" stopIfTrue="1" operator="equal">
      <formula>"Napkin Hs"</formula>
    </cfRule>
  </conditionalFormatting>
  <conditionalFormatting sqref="C81">
    <cfRule type="cellIs" dxfId="2154" priority="765" stopIfTrue="1" operator="equal">
      <formula>"Towel"</formula>
    </cfRule>
    <cfRule type="cellIs" dxfId="2153" priority="766" stopIfTrue="1" operator="equal">
      <formula>"Napkin Hs"</formula>
    </cfRule>
  </conditionalFormatting>
  <conditionalFormatting sqref="C81">
    <cfRule type="cellIs" dxfId="2152" priority="767" stopIfTrue="1" operator="equal">
      <formula>"Towel"</formula>
    </cfRule>
  </conditionalFormatting>
  <conditionalFormatting sqref="C81">
    <cfRule type="cellIs" dxfId="2151" priority="763" stopIfTrue="1" operator="equal">
      <formula>"Towel"</formula>
    </cfRule>
    <cfRule type="cellIs" dxfId="2150" priority="764" stopIfTrue="1" operator="equal">
      <formula>"Napkin Hs"</formula>
    </cfRule>
  </conditionalFormatting>
  <conditionalFormatting sqref="C81">
    <cfRule type="cellIs" dxfId="2149" priority="762" stopIfTrue="1" operator="equal">
      <formula>"Napkin Hs"</formula>
    </cfRule>
  </conditionalFormatting>
  <conditionalFormatting sqref="C81">
    <cfRule type="cellIs" dxfId="2148" priority="759" stopIfTrue="1" operator="equal">
      <formula>"Towel"</formula>
    </cfRule>
    <cfRule type="cellIs" dxfId="2147" priority="760" stopIfTrue="1" operator="equal">
      <formula>"Napkin Hs"</formula>
    </cfRule>
  </conditionalFormatting>
  <conditionalFormatting sqref="C81">
    <cfRule type="cellIs" dxfId="2146" priority="761" stopIfTrue="1" operator="equal">
      <formula>"Towel"</formula>
    </cfRule>
  </conditionalFormatting>
  <conditionalFormatting sqref="B88:C89">
    <cfRule type="cellIs" dxfId="2145" priority="757" stopIfTrue="1" operator="equal">
      <formula>"Towel"</formula>
    </cfRule>
    <cfRule type="cellIs" dxfId="2144" priority="758" stopIfTrue="1" operator="equal">
      <formula>"Napkin Hs"</formula>
    </cfRule>
  </conditionalFormatting>
  <conditionalFormatting sqref="C88:C89">
    <cfRule type="cellIs" dxfId="2143" priority="756" stopIfTrue="1" operator="equal">
      <formula>"Napkin Hs"</formula>
    </cfRule>
  </conditionalFormatting>
  <conditionalFormatting sqref="C88:C89">
    <cfRule type="cellIs" dxfId="2142" priority="753" stopIfTrue="1" operator="equal">
      <formula>"Towel"</formula>
    </cfRule>
    <cfRule type="cellIs" dxfId="2141" priority="754" stopIfTrue="1" operator="equal">
      <formula>"Napkin Hs"</formula>
    </cfRule>
  </conditionalFormatting>
  <conditionalFormatting sqref="C88:C89">
    <cfRule type="cellIs" dxfId="2140" priority="755" stopIfTrue="1" operator="equal">
      <formula>"Towel"</formula>
    </cfRule>
  </conditionalFormatting>
  <conditionalFormatting sqref="B88:C89">
    <cfRule type="cellIs" dxfId="2139" priority="751" stopIfTrue="1" operator="equal">
      <formula>"Towel"</formula>
    </cfRule>
    <cfRule type="cellIs" dxfId="2138" priority="752" stopIfTrue="1" operator="equal">
      <formula>"Napkin Hs"</formula>
    </cfRule>
  </conditionalFormatting>
  <conditionalFormatting sqref="C88:C89">
    <cfRule type="cellIs" dxfId="2137" priority="750" stopIfTrue="1" operator="equal">
      <formula>"Napkin Hs"</formula>
    </cfRule>
  </conditionalFormatting>
  <conditionalFormatting sqref="C88:C89">
    <cfRule type="cellIs" dxfId="2136" priority="747" stopIfTrue="1" operator="equal">
      <formula>"Towel"</formula>
    </cfRule>
    <cfRule type="cellIs" dxfId="2135" priority="748" stopIfTrue="1" operator="equal">
      <formula>"Napkin Hs"</formula>
    </cfRule>
  </conditionalFormatting>
  <conditionalFormatting sqref="C88:C89">
    <cfRule type="cellIs" dxfId="2134" priority="749" stopIfTrue="1" operator="equal">
      <formula>"Towel"</formula>
    </cfRule>
  </conditionalFormatting>
  <conditionalFormatting sqref="B87:C87">
    <cfRule type="cellIs" dxfId="2133" priority="745" stopIfTrue="1" operator="equal">
      <formula>"Towel"</formula>
    </cfRule>
    <cfRule type="cellIs" dxfId="2132" priority="746" stopIfTrue="1" operator="equal">
      <formula>"Napkin Hs"</formula>
    </cfRule>
  </conditionalFormatting>
  <conditionalFormatting sqref="C87">
    <cfRule type="cellIs" dxfId="2131" priority="744" stopIfTrue="1" operator="equal">
      <formula>"Napkin Hs"</formula>
    </cfRule>
  </conditionalFormatting>
  <conditionalFormatting sqref="C87">
    <cfRule type="cellIs" dxfId="2130" priority="741" stopIfTrue="1" operator="equal">
      <formula>"Towel"</formula>
    </cfRule>
    <cfRule type="cellIs" dxfId="2129" priority="742" stopIfTrue="1" operator="equal">
      <formula>"Napkin Hs"</formula>
    </cfRule>
  </conditionalFormatting>
  <conditionalFormatting sqref="C87">
    <cfRule type="cellIs" dxfId="2128" priority="743" stopIfTrue="1" operator="equal">
      <formula>"Towel"</formula>
    </cfRule>
  </conditionalFormatting>
  <conditionalFormatting sqref="B87:C87">
    <cfRule type="cellIs" dxfId="2127" priority="739" stopIfTrue="1" operator="equal">
      <formula>"Towel"</formula>
    </cfRule>
    <cfRule type="cellIs" dxfId="2126" priority="740" stopIfTrue="1" operator="equal">
      <formula>"Napkin Hs"</formula>
    </cfRule>
  </conditionalFormatting>
  <conditionalFormatting sqref="C87">
    <cfRule type="cellIs" dxfId="2125" priority="738" stopIfTrue="1" operator="equal">
      <formula>"Napkin Hs"</formula>
    </cfRule>
  </conditionalFormatting>
  <conditionalFormatting sqref="C87">
    <cfRule type="cellIs" dxfId="2124" priority="735" stopIfTrue="1" operator="equal">
      <formula>"Towel"</formula>
    </cfRule>
    <cfRule type="cellIs" dxfId="2123" priority="736" stopIfTrue="1" operator="equal">
      <formula>"Napkin Hs"</formula>
    </cfRule>
  </conditionalFormatting>
  <conditionalFormatting sqref="C87">
    <cfRule type="cellIs" dxfId="2122" priority="737" stopIfTrue="1" operator="equal">
      <formula>"Towel"</formula>
    </cfRule>
  </conditionalFormatting>
  <conditionalFormatting sqref="C86">
    <cfRule type="cellIs" dxfId="2121" priority="733" stopIfTrue="1" operator="equal">
      <formula>"Towel"</formula>
    </cfRule>
    <cfRule type="cellIs" dxfId="2120" priority="734" stopIfTrue="1" operator="equal">
      <formula>"Napkin Hs"</formula>
    </cfRule>
  </conditionalFormatting>
  <conditionalFormatting sqref="C86">
    <cfRule type="cellIs" dxfId="2119" priority="732" stopIfTrue="1" operator="equal">
      <formula>"Napkin Hs"</formula>
    </cfRule>
  </conditionalFormatting>
  <conditionalFormatting sqref="C86">
    <cfRule type="cellIs" dxfId="2118" priority="729" stopIfTrue="1" operator="equal">
      <formula>"Towel"</formula>
    </cfRule>
    <cfRule type="cellIs" dxfId="2117" priority="730" stopIfTrue="1" operator="equal">
      <formula>"Napkin Hs"</formula>
    </cfRule>
  </conditionalFormatting>
  <conditionalFormatting sqref="C86">
    <cfRule type="cellIs" dxfId="2116" priority="731" stopIfTrue="1" operator="equal">
      <formula>"Towel"</formula>
    </cfRule>
  </conditionalFormatting>
  <conditionalFormatting sqref="C86">
    <cfRule type="cellIs" dxfId="2115" priority="727" stopIfTrue="1" operator="equal">
      <formula>"Towel"</formula>
    </cfRule>
    <cfRule type="cellIs" dxfId="2114" priority="728" stopIfTrue="1" operator="equal">
      <formula>"Napkin Hs"</formula>
    </cfRule>
  </conditionalFormatting>
  <conditionalFormatting sqref="C86">
    <cfRule type="cellIs" dxfId="2113" priority="726" stopIfTrue="1" operator="equal">
      <formula>"Napkin Hs"</formula>
    </cfRule>
  </conditionalFormatting>
  <conditionalFormatting sqref="C86">
    <cfRule type="cellIs" dxfId="2112" priority="723" stopIfTrue="1" operator="equal">
      <formula>"Towel"</formula>
    </cfRule>
    <cfRule type="cellIs" dxfId="2111" priority="724" stopIfTrue="1" operator="equal">
      <formula>"Napkin Hs"</formula>
    </cfRule>
  </conditionalFormatting>
  <conditionalFormatting sqref="C86">
    <cfRule type="cellIs" dxfId="2110" priority="725" stopIfTrue="1" operator="equal">
      <formula>"Towel"</formula>
    </cfRule>
  </conditionalFormatting>
  <conditionalFormatting sqref="B86">
    <cfRule type="cellIs" dxfId="2109" priority="721" stopIfTrue="1" operator="equal">
      <formula>"Towel"</formula>
    </cfRule>
    <cfRule type="cellIs" dxfId="2108" priority="722" stopIfTrue="1" operator="equal">
      <formula>"Napkin Hs"</formula>
    </cfRule>
  </conditionalFormatting>
  <conditionalFormatting sqref="B86">
    <cfRule type="cellIs" dxfId="2107" priority="719" stopIfTrue="1" operator="equal">
      <formula>"Towel"</formula>
    </cfRule>
    <cfRule type="cellIs" dxfId="2106" priority="720" stopIfTrue="1" operator="equal">
      <formula>"Napkin Hs"</formula>
    </cfRule>
  </conditionalFormatting>
  <conditionalFormatting sqref="B81">
    <cfRule type="cellIs" dxfId="2105" priority="717" stopIfTrue="1" operator="equal">
      <formula>"Towel"</formula>
    </cfRule>
    <cfRule type="cellIs" dxfId="2104" priority="718" stopIfTrue="1" operator="equal">
      <formula>"Napkin Hs"</formula>
    </cfRule>
  </conditionalFormatting>
  <conditionalFormatting sqref="B81">
    <cfRule type="cellIs" dxfId="2103" priority="715" stopIfTrue="1" operator="equal">
      <formula>"Towel"</formula>
    </cfRule>
    <cfRule type="cellIs" dxfId="2102" priority="716" stopIfTrue="1" operator="equal">
      <formula>"Napkin Hs"</formula>
    </cfRule>
  </conditionalFormatting>
  <conditionalFormatting sqref="B95:C95">
    <cfRule type="cellIs" dxfId="2101" priority="707" stopIfTrue="1" operator="equal">
      <formula>"Towel"</formula>
    </cfRule>
    <cfRule type="cellIs" dxfId="2100" priority="708" stopIfTrue="1" operator="equal">
      <formula>"Napkin Hs"</formula>
    </cfRule>
  </conditionalFormatting>
  <conditionalFormatting sqref="C95">
    <cfRule type="cellIs" dxfId="2099" priority="706" stopIfTrue="1" operator="equal">
      <formula>"Napkin Hs"</formula>
    </cfRule>
  </conditionalFormatting>
  <conditionalFormatting sqref="C95">
    <cfRule type="cellIs" dxfId="2098" priority="703" stopIfTrue="1" operator="equal">
      <formula>"Towel"</formula>
    </cfRule>
    <cfRule type="cellIs" dxfId="2097" priority="704" stopIfTrue="1" operator="equal">
      <formula>"Napkin Hs"</formula>
    </cfRule>
  </conditionalFormatting>
  <conditionalFormatting sqref="C95">
    <cfRule type="cellIs" dxfId="2096" priority="705" stopIfTrue="1" operator="equal">
      <formula>"Towel"</formula>
    </cfRule>
  </conditionalFormatting>
  <conditionalFormatting sqref="B93:C94">
    <cfRule type="cellIs" dxfId="2095" priority="701" stopIfTrue="1" operator="equal">
      <formula>"Towel"</formula>
    </cfRule>
    <cfRule type="cellIs" dxfId="2094" priority="702" stopIfTrue="1" operator="equal">
      <formula>"Napkin Hs"</formula>
    </cfRule>
  </conditionalFormatting>
  <conditionalFormatting sqref="C93:C94">
    <cfRule type="cellIs" dxfId="2093" priority="700" stopIfTrue="1" operator="equal">
      <formula>"Napkin Hs"</formula>
    </cfRule>
  </conditionalFormatting>
  <conditionalFormatting sqref="C93:C94">
    <cfRule type="cellIs" dxfId="2092" priority="697" stopIfTrue="1" operator="equal">
      <formula>"Towel"</formula>
    </cfRule>
    <cfRule type="cellIs" dxfId="2091" priority="698" stopIfTrue="1" operator="equal">
      <formula>"Napkin Hs"</formula>
    </cfRule>
  </conditionalFormatting>
  <conditionalFormatting sqref="C93:C94">
    <cfRule type="cellIs" dxfId="2090" priority="699" stopIfTrue="1" operator="equal">
      <formula>"Towel"</formula>
    </cfRule>
  </conditionalFormatting>
  <conditionalFormatting sqref="B93:C94">
    <cfRule type="cellIs" dxfId="2089" priority="695" stopIfTrue="1" operator="equal">
      <formula>"Towel"</formula>
    </cfRule>
    <cfRule type="cellIs" dxfId="2088" priority="696" stopIfTrue="1" operator="equal">
      <formula>"Napkin Hs"</formula>
    </cfRule>
  </conditionalFormatting>
  <conditionalFormatting sqref="C93:C94">
    <cfRule type="cellIs" dxfId="2087" priority="694" stopIfTrue="1" operator="equal">
      <formula>"Napkin Hs"</formula>
    </cfRule>
  </conditionalFormatting>
  <conditionalFormatting sqref="C93:C94">
    <cfRule type="cellIs" dxfId="2086" priority="691" stopIfTrue="1" operator="equal">
      <formula>"Towel"</formula>
    </cfRule>
    <cfRule type="cellIs" dxfId="2085" priority="692" stopIfTrue="1" operator="equal">
      <formula>"Napkin Hs"</formula>
    </cfRule>
  </conditionalFormatting>
  <conditionalFormatting sqref="C93:C94">
    <cfRule type="cellIs" dxfId="2084" priority="693" stopIfTrue="1" operator="equal">
      <formula>"Towel"</formula>
    </cfRule>
  </conditionalFormatting>
  <conditionalFormatting sqref="B92:C92">
    <cfRule type="cellIs" dxfId="2083" priority="689" stopIfTrue="1" operator="equal">
      <formula>"Towel"</formula>
    </cfRule>
    <cfRule type="cellIs" dxfId="2082" priority="690" stopIfTrue="1" operator="equal">
      <formula>"Napkin Hs"</formula>
    </cfRule>
  </conditionalFormatting>
  <conditionalFormatting sqref="C92">
    <cfRule type="cellIs" dxfId="2081" priority="688" stopIfTrue="1" operator="equal">
      <formula>"Napkin Hs"</formula>
    </cfRule>
  </conditionalFormatting>
  <conditionalFormatting sqref="C92">
    <cfRule type="cellIs" dxfId="2080" priority="685" stopIfTrue="1" operator="equal">
      <formula>"Towel"</formula>
    </cfRule>
    <cfRule type="cellIs" dxfId="2079" priority="686" stopIfTrue="1" operator="equal">
      <formula>"Napkin Hs"</formula>
    </cfRule>
  </conditionalFormatting>
  <conditionalFormatting sqref="C92">
    <cfRule type="cellIs" dxfId="2078" priority="687" stopIfTrue="1" operator="equal">
      <formula>"Towel"</formula>
    </cfRule>
  </conditionalFormatting>
  <conditionalFormatting sqref="B92:C92">
    <cfRule type="cellIs" dxfId="2077" priority="683" stopIfTrue="1" operator="equal">
      <formula>"Towel"</formula>
    </cfRule>
    <cfRule type="cellIs" dxfId="2076" priority="684" stopIfTrue="1" operator="equal">
      <formula>"Napkin Hs"</formula>
    </cfRule>
  </conditionalFormatting>
  <conditionalFormatting sqref="C92">
    <cfRule type="cellIs" dxfId="2075" priority="682" stopIfTrue="1" operator="equal">
      <formula>"Napkin Hs"</formula>
    </cfRule>
  </conditionalFormatting>
  <conditionalFormatting sqref="C92">
    <cfRule type="cellIs" dxfId="2074" priority="679" stopIfTrue="1" operator="equal">
      <formula>"Towel"</formula>
    </cfRule>
    <cfRule type="cellIs" dxfId="2073" priority="680" stopIfTrue="1" operator="equal">
      <formula>"Napkin Hs"</formula>
    </cfRule>
  </conditionalFormatting>
  <conditionalFormatting sqref="C92">
    <cfRule type="cellIs" dxfId="2072" priority="681" stopIfTrue="1" operator="equal">
      <formula>"Towel"</formula>
    </cfRule>
  </conditionalFormatting>
  <conditionalFormatting sqref="C91">
    <cfRule type="cellIs" dxfId="2071" priority="677" stopIfTrue="1" operator="equal">
      <formula>"Towel"</formula>
    </cfRule>
    <cfRule type="cellIs" dxfId="2070" priority="678" stopIfTrue="1" operator="equal">
      <formula>"Napkin Hs"</formula>
    </cfRule>
  </conditionalFormatting>
  <conditionalFormatting sqref="C91">
    <cfRule type="cellIs" dxfId="2069" priority="676" stopIfTrue="1" operator="equal">
      <formula>"Napkin Hs"</formula>
    </cfRule>
  </conditionalFormatting>
  <conditionalFormatting sqref="C91">
    <cfRule type="cellIs" dxfId="2068" priority="673" stopIfTrue="1" operator="equal">
      <formula>"Towel"</formula>
    </cfRule>
    <cfRule type="cellIs" dxfId="2067" priority="674" stopIfTrue="1" operator="equal">
      <formula>"Napkin Hs"</formula>
    </cfRule>
  </conditionalFormatting>
  <conditionalFormatting sqref="C91">
    <cfRule type="cellIs" dxfId="2066" priority="675" stopIfTrue="1" operator="equal">
      <formula>"Towel"</formula>
    </cfRule>
  </conditionalFormatting>
  <conditionalFormatting sqref="C91">
    <cfRule type="cellIs" dxfId="2065" priority="671" stopIfTrue="1" operator="equal">
      <formula>"Towel"</formula>
    </cfRule>
    <cfRule type="cellIs" dxfId="2064" priority="672" stopIfTrue="1" operator="equal">
      <formula>"Napkin Hs"</formula>
    </cfRule>
  </conditionalFormatting>
  <conditionalFormatting sqref="C91">
    <cfRule type="cellIs" dxfId="2063" priority="670" stopIfTrue="1" operator="equal">
      <formula>"Napkin Hs"</formula>
    </cfRule>
  </conditionalFormatting>
  <conditionalFormatting sqref="C91">
    <cfRule type="cellIs" dxfId="2062" priority="667" stopIfTrue="1" operator="equal">
      <formula>"Towel"</formula>
    </cfRule>
    <cfRule type="cellIs" dxfId="2061" priority="668" stopIfTrue="1" operator="equal">
      <formula>"Napkin Hs"</formula>
    </cfRule>
  </conditionalFormatting>
  <conditionalFormatting sqref="C91">
    <cfRule type="cellIs" dxfId="2060" priority="669" stopIfTrue="1" operator="equal">
      <formula>"Towel"</formula>
    </cfRule>
  </conditionalFormatting>
  <conditionalFormatting sqref="B91">
    <cfRule type="cellIs" dxfId="2059" priority="665" stopIfTrue="1" operator="equal">
      <formula>"Towel"</formula>
    </cfRule>
    <cfRule type="cellIs" dxfId="2058" priority="666" stopIfTrue="1" operator="equal">
      <formula>"Napkin Hs"</formula>
    </cfRule>
  </conditionalFormatting>
  <conditionalFormatting sqref="B91">
    <cfRule type="cellIs" dxfId="2057" priority="663" stopIfTrue="1" operator="equal">
      <formula>"Towel"</formula>
    </cfRule>
    <cfRule type="cellIs" dxfId="2056" priority="664" stopIfTrue="1" operator="equal">
      <formula>"Napkin Hs"</formula>
    </cfRule>
  </conditionalFormatting>
  <conditionalFormatting sqref="B97:C97">
    <cfRule type="cellIs" dxfId="2055" priority="661" stopIfTrue="1" operator="equal">
      <formula>"Towel"</formula>
    </cfRule>
    <cfRule type="cellIs" dxfId="2054" priority="662" stopIfTrue="1" operator="equal">
      <formula>"Napkin Hs"</formula>
    </cfRule>
  </conditionalFormatting>
  <conditionalFormatting sqref="C97">
    <cfRule type="cellIs" dxfId="2053" priority="659" stopIfTrue="1" operator="equal">
      <formula>"Towel"</formula>
    </cfRule>
    <cfRule type="cellIs" dxfId="2052" priority="660" stopIfTrue="1" operator="equal">
      <formula>"Napkin Hs"</formula>
    </cfRule>
  </conditionalFormatting>
  <conditionalFormatting sqref="C97">
    <cfRule type="cellIs" dxfId="2051" priority="657" stopIfTrue="1" operator="equal">
      <formula>"Towel"</formula>
    </cfRule>
    <cfRule type="cellIs" dxfId="2050" priority="658" stopIfTrue="1" operator="equal">
      <formula>"Napkin Hs"</formula>
    </cfRule>
  </conditionalFormatting>
  <conditionalFormatting sqref="B96:C96">
    <cfRule type="cellIs" dxfId="2049" priority="655" stopIfTrue="1" operator="equal">
      <formula>"Towel"</formula>
    </cfRule>
    <cfRule type="cellIs" dxfId="2048" priority="656" stopIfTrue="1" operator="equal">
      <formula>"Napkin Hs"</formula>
    </cfRule>
  </conditionalFormatting>
  <conditionalFormatting sqref="C96">
    <cfRule type="cellIs" dxfId="2047" priority="654" stopIfTrue="1" operator="equal">
      <formula>"Napkin Hs"</formula>
    </cfRule>
  </conditionalFormatting>
  <conditionalFormatting sqref="C96">
    <cfRule type="cellIs" dxfId="2046" priority="651" stopIfTrue="1" operator="equal">
      <formula>"Towel"</formula>
    </cfRule>
    <cfRule type="cellIs" dxfId="2045" priority="652" stopIfTrue="1" operator="equal">
      <formula>"Napkin Hs"</formula>
    </cfRule>
  </conditionalFormatting>
  <conditionalFormatting sqref="C96">
    <cfRule type="cellIs" dxfId="2044" priority="653" stopIfTrue="1" operator="equal">
      <formula>"Towel"</formula>
    </cfRule>
  </conditionalFormatting>
  <conditionalFormatting sqref="B99:C99">
    <cfRule type="cellIs" dxfId="2043" priority="649" stopIfTrue="1" operator="equal">
      <formula>"Towel"</formula>
    </cfRule>
    <cfRule type="cellIs" dxfId="2042" priority="650" stopIfTrue="1" operator="equal">
      <formula>"Napkin Hs"</formula>
    </cfRule>
  </conditionalFormatting>
  <conditionalFormatting sqref="C99">
    <cfRule type="cellIs" dxfId="2041" priority="648" stopIfTrue="1" operator="equal">
      <formula>"Napkin Hs"</formula>
    </cfRule>
  </conditionalFormatting>
  <conditionalFormatting sqref="C99">
    <cfRule type="cellIs" dxfId="2040" priority="645" stopIfTrue="1" operator="equal">
      <formula>"Towel"</formula>
    </cfRule>
    <cfRule type="cellIs" dxfId="2039" priority="646" stopIfTrue="1" operator="equal">
      <formula>"Napkin Hs"</formula>
    </cfRule>
  </conditionalFormatting>
  <conditionalFormatting sqref="C99">
    <cfRule type="cellIs" dxfId="2038" priority="647" stopIfTrue="1" operator="equal">
      <formula>"Towel"</formula>
    </cfRule>
  </conditionalFormatting>
  <conditionalFormatting sqref="B98:C98">
    <cfRule type="cellIs" dxfId="2037" priority="643" stopIfTrue="1" operator="equal">
      <formula>"Towel"</formula>
    </cfRule>
    <cfRule type="cellIs" dxfId="2036" priority="644" stopIfTrue="1" operator="equal">
      <formula>"Napkin Hs"</formula>
    </cfRule>
  </conditionalFormatting>
  <conditionalFormatting sqref="C98">
    <cfRule type="cellIs" dxfId="2035" priority="642" stopIfTrue="1" operator="equal">
      <formula>"Napkin Hs"</formula>
    </cfRule>
  </conditionalFormatting>
  <conditionalFormatting sqref="C98">
    <cfRule type="cellIs" dxfId="2034" priority="639" stopIfTrue="1" operator="equal">
      <formula>"Towel"</formula>
    </cfRule>
    <cfRule type="cellIs" dxfId="2033" priority="640" stopIfTrue="1" operator="equal">
      <formula>"Napkin Hs"</formula>
    </cfRule>
  </conditionalFormatting>
  <conditionalFormatting sqref="C98">
    <cfRule type="cellIs" dxfId="2032" priority="641" stopIfTrue="1" operator="equal">
      <formula>"Towel"</formula>
    </cfRule>
  </conditionalFormatting>
  <conditionalFormatting sqref="B98:C99">
    <cfRule type="cellIs" dxfId="2031" priority="637" stopIfTrue="1" operator="equal">
      <formula>"Towel"</formula>
    </cfRule>
    <cfRule type="cellIs" dxfId="2030" priority="638" stopIfTrue="1" operator="equal">
      <formula>"Napkin Hs"</formula>
    </cfRule>
  </conditionalFormatting>
  <conditionalFormatting sqref="C98:C99">
    <cfRule type="cellIs" dxfId="2029" priority="636" stopIfTrue="1" operator="equal">
      <formula>"Napkin Hs"</formula>
    </cfRule>
  </conditionalFormatting>
  <conditionalFormatting sqref="C98:C99">
    <cfRule type="cellIs" dxfId="2028" priority="633" stopIfTrue="1" operator="equal">
      <formula>"Towel"</formula>
    </cfRule>
    <cfRule type="cellIs" dxfId="2027" priority="634" stopIfTrue="1" operator="equal">
      <formula>"Napkin Hs"</formula>
    </cfRule>
  </conditionalFormatting>
  <conditionalFormatting sqref="C98:C99">
    <cfRule type="cellIs" dxfId="2026" priority="635" stopIfTrue="1" operator="equal">
      <formula>"Towel"</formula>
    </cfRule>
  </conditionalFormatting>
  <conditionalFormatting sqref="B98:C99">
    <cfRule type="cellIs" dxfId="2025" priority="631" stopIfTrue="1" operator="equal">
      <formula>"Towel"</formula>
    </cfRule>
    <cfRule type="cellIs" dxfId="2024" priority="632" stopIfTrue="1" operator="equal">
      <formula>"Napkin Hs"</formula>
    </cfRule>
  </conditionalFormatting>
  <conditionalFormatting sqref="C98:C99">
    <cfRule type="cellIs" dxfId="2023" priority="630" stopIfTrue="1" operator="equal">
      <formula>"Napkin Hs"</formula>
    </cfRule>
  </conditionalFormatting>
  <conditionalFormatting sqref="C98:C99">
    <cfRule type="cellIs" dxfId="2022" priority="627" stopIfTrue="1" operator="equal">
      <formula>"Towel"</formula>
    </cfRule>
    <cfRule type="cellIs" dxfId="2021" priority="628" stopIfTrue="1" operator="equal">
      <formula>"Napkin Hs"</formula>
    </cfRule>
  </conditionalFormatting>
  <conditionalFormatting sqref="C98:C99">
    <cfRule type="cellIs" dxfId="2020" priority="629" stopIfTrue="1" operator="equal">
      <formula>"Towel"</formula>
    </cfRule>
  </conditionalFormatting>
  <conditionalFormatting sqref="B97:C97">
    <cfRule type="cellIs" dxfId="2019" priority="625" stopIfTrue="1" operator="equal">
      <formula>"Towel"</formula>
    </cfRule>
    <cfRule type="cellIs" dxfId="2018" priority="626" stopIfTrue="1" operator="equal">
      <formula>"Napkin Hs"</formula>
    </cfRule>
  </conditionalFormatting>
  <conditionalFormatting sqref="C97">
    <cfRule type="cellIs" dxfId="2017" priority="624" stopIfTrue="1" operator="equal">
      <formula>"Napkin Hs"</formula>
    </cfRule>
  </conditionalFormatting>
  <conditionalFormatting sqref="C97">
    <cfRule type="cellIs" dxfId="2016" priority="621" stopIfTrue="1" operator="equal">
      <formula>"Towel"</formula>
    </cfRule>
    <cfRule type="cellIs" dxfId="2015" priority="622" stopIfTrue="1" operator="equal">
      <formula>"Napkin Hs"</formula>
    </cfRule>
  </conditionalFormatting>
  <conditionalFormatting sqref="C97">
    <cfRule type="cellIs" dxfId="2014" priority="623" stopIfTrue="1" operator="equal">
      <formula>"Towel"</formula>
    </cfRule>
  </conditionalFormatting>
  <conditionalFormatting sqref="B97:C97">
    <cfRule type="cellIs" dxfId="2013" priority="619" stopIfTrue="1" operator="equal">
      <formula>"Towel"</formula>
    </cfRule>
    <cfRule type="cellIs" dxfId="2012" priority="620" stopIfTrue="1" operator="equal">
      <formula>"Napkin Hs"</formula>
    </cfRule>
  </conditionalFormatting>
  <conditionalFormatting sqref="C97">
    <cfRule type="cellIs" dxfId="2011" priority="618" stopIfTrue="1" operator="equal">
      <formula>"Napkin Hs"</formula>
    </cfRule>
  </conditionalFormatting>
  <conditionalFormatting sqref="C97">
    <cfRule type="cellIs" dxfId="2010" priority="615" stopIfTrue="1" operator="equal">
      <formula>"Towel"</formula>
    </cfRule>
    <cfRule type="cellIs" dxfId="2009" priority="616" stopIfTrue="1" operator="equal">
      <formula>"Napkin Hs"</formula>
    </cfRule>
  </conditionalFormatting>
  <conditionalFormatting sqref="C97">
    <cfRule type="cellIs" dxfId="2008" priority="617" stopIfTrue="1" operator="equal">
      <formula>"Towel"</formula>
    </cfRule>
  </conditionalFormatting>
  <conditionalFormatting sqref="C96">
    <cfRule type="cellIs" dxfId="2007" priority="613" stopIfTrue="1" operator="equal">
      <formula>"Towel"</formula>
    </cfRule>
    <cfRule type="cellIs" dxfId="2006" priority="614" stopIfTrue="1" operator="equal">
      <formula>"Napkin Hs"</formula>
    </cfRule>
  </conditionalFormatting>
  <conditionalFormatting sqref="C96">
    <cfRule type="cellIs" dxfId="2005" priority="612" stopIfTrue="1" operator="equal">
      <formula>"Napkin Hs"</formula>
    </cfRule>
  </conditionalFormatting>
  <conditionalFormatting sqref="C96">
    <cfRule type="cellIs" dxfId="2004" priority="609" stopIfTrue="1" operator="equal">
      <formula>"Towel"</formula>
    </cfRule>
    <cfRule type="cellIs" dxfId="2003" priority="610" stopIfTrue="1" operator="equal">
      <formula>"Napkin Hs"</formula>
    </cfRule>
  </conditionalFormatting>
  <conditionalFormatting sqref="C96">
    <cfRule type="cellIs" dxfId="2002" priority="611" stopIfTrue="1" operator="equal">
      <formula>"Towel"</formula>
    </cfRule>
  </conditionalFormatting>
  <conditionalFormatting sqref="C96">
    <cfRule type="cellIs" dxfId="2001" priority="607" stopIfTrue="1" operator="equal">
      <formula>"Towel"</formula>
    </cfRule>
    <cfRule type="cellIs" dxfId="2000" priority="608" stopIfTrue="1" operator="equal">
      <formula>"Napkin Hs"</formula>
    </cfRule>
  </conditionalFormatting>
  <conditionalFormatting sqref="C96">
    <cfRule type="cellIs" dxfId="1999" priority="606" stopIfTrue="1" operator="equal">
      <formula>"Napkin Hs"</formula>
    </cfRule>
  </conditionalFormatting>
  <conditionalFormatting sqref="C96">
    <cfRule type="cellIs" dxfId="1998" priority="603" stopIfTrue="1" operator="equal">
      <formula>"Towel"</formula>
    </cfRule>
    <cfRule type="cellIs" dxfId="1997" priority="604" stopIfTrue="1" operator="equal">
      <formula>"Napkin Hs"</formula>
    </cfRule>
  </conditionalFormatting>
  <conditionalFormatting sqref="C96">
    <cfRule type="cellIs" dxfId="1996" priority="605" stopIfTrue="1" operator="equal">
      <formula>"Towel"</formula>
    </cfRule>
  </conditionalFormatting>
  <conditionalFormatting sqref="B96">
    <cfRule type="cellIs" dxfId="1995" priority="601" stopIfTrue="1" operator="equal">
      <formula>"Towel"</formula>
    </cfRule>
    <cfRule type="cellIs" dxfId="1994" priority="602" stopIfTrue="1" operator="equal">
      <formula>"Napkin Hs"</formula>
    </cfRule>
  </conditionalFormatting>
  <conditionalFormatting sqref="B96">
    <cfRule type="cellIs" dxfId="1993" priority="599" stopIfTrue="1" operator="equal">
      <formula>"Towel"</formula>
    </cfRule>
    <cfRule type="cellIs" dxfId="1992" priority="600" stopIfTrue="1" operator="equal">
      <formula>"Napkin Hs"</formula>
    </cfRule>
  </conditionalFormatting>
  <conditionalFormatting sqref="B102:C102">
    <cfRule type="cellIs" dxfId="1991" priority="597" stopIfTrue="1" operator="equal">
      <formula>"Towel"</formula>
    </cfRule>
    <cfRule type="cellIs" dxfId="1990" priority="598" stopIfTrue="1" operator="equal">
      <formula>"Napkin Hs"</formula>
    </cfRule>
  </conditionalFormatting>
  <conditionalFormatting sqref="C102">
    <cfRule type="cellIs" dxfId="1989" priority="595" stopIfTrue="1" operator="equal">
      <formula>"Towel"</formula>
    </cfRule>
    <cfRule type="cellIs" dxfId="1988" priority="596" stopIfTrue="1" operator="equal">
      <formula>"Napkin Hs"</formula>
    </cfRule>
  </conditionalFormatting>
  <conditionalFormatting sqref="C102">
    <cfRule type="cellIs" dxfId="1987" priority="593" stopIfTrue="1" operator="equal">
      <formula>"Towel"</formula>
    </cfRule>
    <cfRule type="cellIs" dxfId="1986" priority="594" stopIfTrue="1" operator="equal">
      <formula>"Napkin Hs"</formula>
    </cfRule>
  </conditionalFormatting>
  <conditionalFormatting sqref="B101:C101">
    <cfRule type="cellIs" dxfId="1985" priority="591" stopIfTrue="1" operator="equal">
      <formula>"Towel"</formula>
    </cfRule>
    <cfRule type="cellIs" dxfId="1984" priority="592" stopIfTrue="1" operator="equal">
      <formula>"Napkin Hs"</formula>
    </cfRule>
  </conditionalFormatting>
  <conditionalFormatting sqref="C101">
    <cfRule type="cellIs" dxfId="1983" priority="590" stopIfTrue="1" operator="equal">
      <formula>"Napkin Hs"</formula>
    </cfRule>
  </conditionalFormatting>
  <conditionalFormatting sqref="C101">
    <cfRule type="cellIs" dxfId="1982" priority="587" stopIfTrue="1" operator="equal">
      <formula>"Towel"</formula>
    </cfRule>
    <cfRule type="cellIs" dxfId="1981" priority="588" stopIfTrue="1" operator="equal">
      <formula>"Napkin Hs"</formula>
    </cfRule>
  </conditionalFormatting>
  <conditionalFormatting sqref="C101">
    <cfRule type="cellIs" dxfId="1980" priority="589" stopIfTrue="1" operator="equal">
      <formula>"Towel"</formula>
    </cfRule>
  </conditionalFormatting>
  <conditionalFormatting sqref="B104:C104">
    <cfRule type="cellIs" dxfId="1979" priority="585" stopIfTrue="1" operator="equal">
      <formula>"Towel"</formula>
    </cfRule>
    <cfRule type="cellIs" dxfId="1978" priority="586" stopIfTrue="1" operator="equal">
      <formula>"Napkin Hs"</formula>
    </cfRule>
  </conditionalFormatting>
  <conditionalFormatting sqref="C104">
    <cfRule type="cellIs" dxfId="1977" priority="584" stopIfTrue="1" operator="equal">
      <formula>"Napkin Hs"</formula>
    </cfRule>
  </conditionalFormatting>
  <conditionalFormatting sqref="C104">
    <cfRule type="cellIs" dxfId="1976" priority="581" stopIfTrue="1" operator="equal">
      <formula>"Towel"</formula>
    </cfRule>
    <cfRule type="cellIs" dxfId="1975" priority="582" stopIfTrue="1" operator="equal">
      <formula>"Napkin Hs"</formula>
    </cfRule>
  </conditionalFormatting>
  <conditionalFormatting sqref="C104">
    <cfRule type="cellIs" dxfId="1974" priority="583" stopIfTrue="1" operator="equal">
      <formula>"Towel"</formula>
    </cfRule>
  </conditionalFormatting>
  <conditionalFormatting sqref="B103:C103">
    <cfRule type="cellIs" dxfId="1973" priority="579" stopIfTrue="1" operator="equal">
      <formula>"Towel"</formula>
    </cfRule>
    <cfRule type="cellIs" dxfId="1972" priority="580" stopIfTrue="1" operator="equal">
      <formula>"Napkin Hs"</formula>
    </cfRule>
  </conditionalFormatting>
  <conditionalFormatting sqref="C103">
    <cfRule type="cellIs" dxfId="1971" priority="578" stopIfTrue="1" operator="equal">
      <formula>"Napkin Hs"</formula>
    </cfRule>
  </conditionalFormatting>
  <conditionalFormatting sqref="C103">
    <cfRule type="cellIs" dxfId="1970" priority="575" stopIfTrue="1" operator="equal">
      <formula>"Towel"</formula>
    </cfRule>
    <cfRule type="cellIs" dxfId="1969" priority="576" stopIfTrue="1" operator="equal">
      <formula>"Napkin Hs"</formula>
    </cfRule>
  </conditionalFormatting>
  <conditionalFormatting sqref="C103">
    <cfRule type="cellIs" dxfId="1968" priority="577" stopIfTrue="1" operator="equal">
      <formula>"Towel"</formula>
    </cfRule>
  </conditionalFormatting>
  <conditionalFormatting sqref="B103:C104">
    <cfRule type="cellIs" dxfId="1967" priority="573" stopIfTrue="1" operator="equal">
      <formula>"Towel"</formula>
    </cfRule>
    <cfRule type="cellIs" dxfId="1966" priority="574" stopIfTrue="1" operator="equal">
      <formula>"Napkin Hs"</formula>
    </cfRule>
  </conditionalFormatting>
  <conditionalFormatting sqref="C103:C104">
    <cfRule type="cellIs" dxfId="1965" priority="572" stopIfTrue="1" operator="equal">
      <formula>"Napkin Hs"</formula>
    </cfRule>
  </conditionalFormatting>
  <conditionalFormatting sqref="C103:C104">
    <cfRule type="cellIs" dxfId="1964" priority="569" stopIfTrue="1" operator="equal">
      <formula>"Towel"</formula>
    </cfRule>
    <cfRule type="cellIs" dxfId="1963" priority="570" stopIfTrue="1" operator="equal">
      <formula>"Napkin Hs"</formula>
    </cfRule>
  </conditionalFormatting>
  <conditionalFormatting sqref="C103:C104">
    <cfRule type="cellIs" dxfId="1962" priority="571" stopIfTrue="1" operator="equal">
      <formula>"Towel"</formula>
    </cfRule>
  </conditionalFormatting>
  <conditionalFormatting sqref="B103:C104">
    <cfRule type="cellIs" dxfId="1961" priority="567" stopIfTrue="1" operator="equal">
      <formula>"Towel"</formula>
    </cfRule>
    <cfRule type="cellIs" dxfId="1960" priority="568" stopIfTrue="1" operator="equal">
      <formula>"Napkin Hs"</formula>
    </cfRule>
  </conditionalFormatting>
  <conditionalFormatting sqref="C103:C104">
    <cfRule type="cellIs" dxfId="1959" priority="566" stopIfTrue="1" operator="equal">
      <formula>"Napkin Hs"</formula>
    </cfRule>
  </conditionalFormatting>
  <conditionalFormatting sqref="C103:C104">
    <cfRule type="cellIs" dxfId="1958" priority="563" stopIfTrue="1" operator="equal">
      <formula>"Towel"</formula>
    </cfRule>
    <cfRule type="cellIs" dxfId="1957" priority="564" stopIfTrue="1" operator="equal">
      <formula>"Napkin Hs"</formula>
    </cfRule>
  </conditionalFormatting>
  <conditionalFormatting sqref="C103:C104">
    <cfRule type="cellIs" dxfId="1956" priority="565" stopIfTrue="1" operator="equal">
      <formula>"Towel"</formula>
    </cfRule>
  </conditionalFormatting>
  <conditionalFormatting sqref="B102:C102">
    <cfRule type="cellIs" dxfId="1955" priority="561" stopIfTrue="1" operator="equal">
      <formula>"Towel"</formula>
    </cfRule>
    <cfRule type="cellIs" dxfId="1954" priority="562" stopIfTrue="1" operator="equal">
      <formula>"Napkin Hs"</formula>
    </cfRule>
  </conditionalFormatting>
  <conditionalFormatting sqref="C102">
    <cfRule type="cellIs" dxfId="1953" priority="560" stopIfTrue="1" operator="equal">
      <formula>"Napkin Hs"</formula>
    </cfRule>
  </conditionalFormatting>
  <conditionalFormatting sqref="C102">
    <cfRule type="cellIs" dxfId="1952" priority="557" stopIfTrue="1" operator="equal">
      <formula>"Towel"</formula>
    </cfRule>
    <cfRule type="cellIs" dxfId="1951" priority="558" stopIfTrue="1" operator="equal">
      <formula>"Napkin Hs"</formula>
    </cfRule>
  </conditionalFormatting>
  <conditionalFormatting sqref="C102">
    <cfRule type="cellIs" dxfId="1950" priority="559" stopIfTrue="1" operator="equal">
      <formula>"Towel"</formula>
    </cfRule>
  </conditionalFormatting>
  <conditionalFormatting sqref="B102:C102">
    <cfRule type="cellIs" dxfId="1949" priority="555" stopIfTrue="1" operator="equal">
      <formula>"Towel"</formula>
    </cfRule>
    <cfRule type="cellIs" dxfId="1948" priority="556" stopIfTrue="1" operator="equal">
      <formula>"Napkin Hs"</formula>
    </cfRule>
  </conditionalFormatting>
  <conditionalFormatting sqref="C102">
    <cfRule type="cellIs" dxfId="1947" priority="554" stopIfTrue="1" operator="equal">
      <formula>"Napkin Hs"</formula>
    </cfRule>
  </conditionalFormatting>
  <conditionalFormatting sqref="C102">
    <cfRule type="cellIs" dxfId="1946" priority="551" stopIfTrue="1" operator="equal">
      <formula>"Towel"</formula>
    </cfRule>
    <cfRule type="cellIs" dxfId="1945" priority="552" stopIfTrue="1" operator="equal">
      <formula>"Napkin Hs"</formula>
    </cfRule>
  </conditionalFormatting>
  <conditionalFormatting sqref="C102">
    <cfRule type="cellIs" dxfId="1944" priority="553" stopIfTrue="1" operator="equal">
      <formula>"Towel"</formula>
    </cfRule>
  </conditionalFormatting>
  <conditionalFormatting sqref="C101">
    <cfRule type="cellIs" dxfId="1943" priority="549" stopIfTrue="1" operator="equal">
      <formula>"Towel"</formula>
    </cfRule>
    <cfRule type="cellIs" dxfId="1942" priority="550" stopIfTrue="1" operator="equal">
      <formula>"Napkin Hs"</formula>
    </cfRule>
  </conditionalFormatting>
  <conditionalFormatting sqref="C101">
    <cfRule type="cellIs" dxfId="1941" priority="548" stopIfTrue="1" operator="equal">
      <formula>"Napkin Hs"</formula>
    </cfRule>
  </conditionalFormatting>
  <conditionalFormatting sqref="C101">
    <cfRule type="cellIs" dxfId="1940" priority="545" stopIfTrue="1" operator="equal">
      <formula>"Towel"</formula>
    </cfRule>
    <cfRule type="cellIs" dxfId="1939" priority="546" stopIfTrue="1" operator="equal">
      <formula>"Napkin Hs"</formula>
    </cfRule>
  </conditionalFormatting>
  <conditionalFormatting sqref="C101">
    <cfRule type="cellIs" dxfId="1938" priority="547" stopIfTrue="1" operator="equal">
      <formula>"Towel"</formula>
    </cfRule>
  </conditionalFormatting>
  <conditionalFormatting sqref="C101">
    <cfRule type="cellIs" dxfId="1937" priority="543" stopIfTrue="1" operator="equal">
      <formula>"Towel"</formula>
    </cfRule>
    <cfRule type="cellIs" dxfId="1936" priority="544" stopIfTrue="1" operator="equal">
      <formula>"Napkin Hs"</formula>
    </cfRule>
  </conditionalFormatting>
  <conditionalFormatting sqref="C101">
    <cfRule type="cellIs" dxfId="1935" priority="542" stopIfTrue="1" operator="equal">
      <formula>"Napkin Hs"</formula>
    </cfRule>
  </conditionalFormatting>
  <conditionalFormatting sqref="C101">
    <cfRule type="cellIs" dxfId="1934" priority="539" stopIfTrue="1" operator="equal">
      <formula>"Towel"</formula>
    </cfRule>
    <cfRule type="cellIs" dxfId="1933" priority="540" stopIfTrue="1" operator="equal">
      <formula>"Napkin Hs"</formula>
    </cfRule>
  </conditionalFormatting>
  <conditionalFormatting sqref="C101">
    <cfRule type="cellIs" dxfId="1932" priority="541" stopIfTrue="1" operator="equal">
      <formula>"Towel"</formula>
    </cfRule>
  </conditionalFormatting>
  <conditionalFormatting sqref="B101">
    <cfRule type="cellIs" dxfId="1931" priority="537" stopIfTrue="1" operator="equal">
      <formula>"Towel"</formula>
    </cfRule>
    <cfRule type="cellIs" dxfId="1930" priority="538" stopIfTrue="1" operator="equal">
      <formula>"Napkin Hs"</formula>
    </cfRule>
  </conditionalFormatting>
  <conditionalFormatting sqref="B101">
    <cfRule type="cellIs" dxfId="1929" priority="535" stopIfTrue="1" operator="equal">
      <formula>"Towel"</formula>
    </cfRule>
    <cfRule type="cellIs" dxfId="1928" priority="536" stopIfTrue="1" operator="equal">
      <formula>"Napkin Hs"</formula>
    </cfRule>
  </conditionalFormatting>
  <conditionalFormatting sqref="B107:C107">
    <cfRule type="cellIs" dxfId="1927" priority="533" stopIfTrue="1" operator="equal">
      <formula>"Towel"</formula>
    </cfRule>
    <cfRule type="cellIs" dxfId="1926" priority="534" stopIfTrue="1" operator="equal">
      <formula>"Napkin Hs"</formula>
    </cfRule>
  </conditionalFormatting>
  <conditionalFormatting sqref="C107">
    <cfRule type="cellIs" dxfId="1925" priority="531" stopIfTrue="1" operator="equal">
      <formula>"Towel"</formula>
    </cfRule>
    <cfRule type="cellIs" dxfId="1924" priority="532" stopIfTrue="1" operator="equal">
      <formula>"Napkin Hs"</formula>
    </cfRule>
  </conditionalFormatting>
  <conditionalFormatting sqref="C107">
    <cfRule type="cellIs" dxfId="1923" priority="529" stopIfTrue="1" operator="equal">
      <formula>"Towel"</formula>
    </cfRule>
    <cfRule type="cellIs" dxfId="1922" priority="530" stopIfTrue="1" operator="equal">
      <formula>"Napkin Hs"</formula>
    </cfRule>
  </conditionalFormatting>
  <conditionalFormatting sqref="B106:C106">
    <cfRule type="cellIs" dxfId="1921" priority="527" stopIfTrue="1" operator="equal">
      <formula>"Towel"</formula>
    </cfRule>
    <cfRule type="cellIs" dxfId="1920" priority="528" stopIfTrue="1" operator="equal">
      <formula>"Napkin Hs"</formula>
    </cfRule>
  </conditionalFormatting>
  <conditionalFormatting sqref="C106">
    <cfRule type="cellIs" dxfId="1919" priority="526" stopIfTrue="1" operator="equal">
      <formula>"Napkin Hs"</formula>
    </cfRule>
  </conditionalFormatting>
  <conditionalFormatting sqref="C106">
    <cfRule type="cellIs" dxfId="1918" priority="523" stopIfTrue="1" operator="equal">
      <formula>"Towel"</formula>
    </cfRule>
    <cfRule type="cellIs" dxfId="1917" priority="524" stopIfTrue="1" operator="equal">
      <formula>"Napkin Hs"</formula>
    </cfRule>
  </conditionalFormatting>
  <conditionalFormatting sqref="C106">
    <cfRule type="cellIs" dxfId="1916" priority="525" stopIfTrue="1" operator="equal">
      <formula>"Towel"</formula>
    </cfRule>
  </conditionalFormatting>
  <conditionalFormatting sqref="B109:C109">
    <cfRule type="cellIs" dxfId="1915" priority="521" stopIfTrue="1" operator="equal">
      <formula>"Towel"</formula>
    </cfRule>
    <cfRule type="cellIs" dxfId="1914" priority="522" stopIfTrue="1" operator="equal">
      <formula>"Napkin Hs"</formula>
    </cfRule>
  </conditionalFormatting>
  <conditionalFormatting sqref="C109">
    <cfRule type="cellIs" dxfId="1913" priority="520" stopIfTrue="1" operator="equal">
      <formula>"Napkin Hs"</formula>
    </cfRule>
  </conditionalFormatting>
  <conditionalFormatting sqref="C109">
    <cfRule type="cellIs" dxfId="1912" priority="517" stopIfTrue="1" operator="equal">
      <formula>"Towel"</formula>
    </cfRule>
    <cfRule type="cellIs" dxfId="1911" priority="518" stopIfTrue="1" operator="equal">
      <formula>"Napkin Hs"</formula>
    </cfRule>
  </conditionalFormatting>
  <conditionalFormatting sqref="C109">
    <cfRule type="cellIs" dxfId="1910" priority="519" stopIfTrue="1" operator="equal">
      <formula>"Towel"</formula>
    </cfRule>
  </conditionalFormatting>
  <conditionalFormatting sqref="B108:C108">
    <cfRule type="cellIs" dxfId="1909" priority="515" stopIfTrue="1" operator="equal">
      <formula>"Towel"</formula>
    </cfRule>
    <cfRule type="cellIs" dxfId="1908" priority="516" stopIfTrue="1" operator="equal">
      <formula>"Napkin Hs"</formula>
    </cfRule>
  </conditionalFormatting>
  <conditionalFormatting sqref="C108">
    <cfRule type="cellIs" dxfId="1907" priority="514" stopIfTrue="1" operator="equal">
      <formula>"Napkin Hs"</formula>
    </cfRule>
  </conditionalFormatting>
  <conditionalFormatting sqref="C108">
    <cfRule type="cellIs" dxfId="1906" priority="511" stopIfTrue="1" operator="equal">
      <formula>"Towel"</formula>
    </cfRule>
    <cfRule type="cellIs" dxfId="1905" priority="512" stopIfTrue="1" operator="equal">
      <formula>"Napkin Hs"</formula>
    </cfRule>
  </conditionalFormatting>
  <conditionalFormatting sqref="C108">
    <cfRule type="cellIs" dxfId="1904" priority="513" stopIfTrue="1" operator="equal">
      <formula>"Towel"</formula>
    </cfRule>
  </conditionalFormatting>
  <conditionalFormatting sqref="B108:C109">
    <cfRule type="cellIs" dxfId="1903" priority="509" stopIfTrue="1" operator="equal">
      <formula>"Towel"</formula>
    </cfRule>
    <cfRule type="cellIs" dxfId="1902" priority="510" stopIfTrue="1" operator="equal">
      <formula>"Napkin Hs"</formula>
    </cfRule>
  </conditionalFormatting>
  <conditionalFormatting sqref="C108:C109">
    <cfRule type="cellIs" dxfId="1901" priority="508" stopIfTrue="1" operator="equal">
      <formula>"Napkin Hs"</formula>
    </cfRule>
  </conditionalFormatting>
  <conditionalFormatting sqref="C108:C109">
    <cfRule type="cellIs" dxfId="1900" priority="505" stopIfTrue="1" operator="equal">
      <formula>"Towel"</formula>
    </cfRule>
    <cfRule type="cellIs" dxfId="1899" priority="506" stopIfTrue="1" operator="equal">
      <formula>"Napkin Hs"</formula>
    </cfRule>
  </conditionalFormatting>
  <conditionalFormatting sqref="C108:C109">
    <cfRule type="cellIs" dxfId="1898" priority="507" stopIfTrue="1" operator="equal">
      <formula>"Towel"</formula>
    </cfRule>
  </conditionalFormatting>
  <conditionalFormatting sqref="B108:C109">
    <cfRule type="cellIs" dxfId="1897" priority="503" stopIfTrue="1" operator="equal">
      <formula>"Towel"</formula>
    </cfRule>
    <cfRule type="cellIs" dxfId="1896" priority="504" stopIfTrue="1" operator="equal">
      <formula>"Napkin Hs"</formula>
    </cfRule>
  </conditionalFormatting>
  <conditionalFormatting sqref="C108:C109">
    <cfRule type="cellIs" dxfId="1895" priority="502" stopIfTrue="1" operator="equal">
      <formula>"Napkin Hs"</formula>
    </cfRule>
  </conditionalFormatting>
  <conditionalFormatting sqref="C108:C109">
    <cfRule type="cellIs" dxfId="1894" priority="499" stopIfTrue="1" operator="equal">
      <formula>"Towel"</formula>
    </cfRule>
    <cfRule type="cellIs" dxfId="1893" priority="500" stopIfTrue="1" operator="equal">
      <formula>"Napkin Hs"</formula>
    </cfRule>
  </conditionalFormatting>
  <conditionalFormatting sqref="C108:C109">
    <cfRule type="cellIs" dxfId="1892" priority="501" stopIfTrue="1" operator="equal">
      <formula>"Towel"</formula>
    </cfRule>
  </conditionalFormatting>
  <conditionalFormatting sqref="B107:C107">
    <cfRule type="cellIs" dxfId="1891" priority="497" stopIfTrue="1" operator="equal">
      <formula>"Towel"</formula>
    </cfRule>
    <cfRule type="cellIs" dxfId="1890" priority="498" stopIfTrue="1" operator="equal">
      <formula>"Napkin Hs"</formula>
    </cfRule>
  </conditionalFormatting>
  <conditionalFormatting sqref="C107">
    <cfRule type="cellIs" dxfId="1889" priority="496" stopIfTrue="1" operator="equal">
      <formula>"Napkin Hs"</formula>
    </cfRule>
  </conditionalFormatting>
  <conditionalFormatting sqref="C107">
    <cfRule type="cellIs" dxfId="1888" priority="493" stopIfTrue="1" operator="equal">
      <formula>"Towel"</formula>
    </cfRule>
    <cfRule type="cellIs" dxfId="1887" priority="494" stopIfTrue="1" operator="equal">
      <formula>"Napkin Hs"</formula>
    </cfRule>
  </conditionalFormatting>
  <conditionalFormatting sqref="C107">
    <cfRule type="cellIs" dxfId="1886" priority="495" stopIfTrue="1" operator="equal">
      <formula>"Towel"</formula>
    </cfRule>
  </conditionalFormatting>
  <conditionalFormatting sqref="B107:C107">
    <cfRule type="cellIs" dxfId="1885" priority="491" stopIfTrue="1" operator="equal">
      <formula>"Towel"</formula>
    </cfRule>
    <cfRule type="cellIs" dxfId="1884" priority="492" stopIfTrue="1" operator="equal">
      <formula>"Napkin Hs"</formula>
    </cfRule>
  </conditionalFormatting>
  <conditionalFormatting sqref="C107">
    <cfRule type="cellIs" dxfId="1883" priority="490" stopIfTrue="1" operator="equal">
      <formula>"Napkin Hs"</formula>
    </cfRule>
  </conditionalFormatting>
  <conditionalFormatting sqref="C107">
    <cfRule type="cellIs" dxfId="1882" priority="487" stopIfTrue="1" operator="equal">
      <formula>"Towel"</formula>
    </cfRule>
    <cfRule type="cellIs" dxfId="1881" priority="488" stopIfTrue="1" operator="equal">
      <formula>"Napkin Hs"</formula>
    </cfRule>
  </conditionalFormatting>
  <conditionalFormatting sqref="C107">
    <cfRule type="cellIs" dxfId="1880" priority="489" stopIfTrue="1" operator="equal">
      <formula>"Towel"</formula>
    </cfRule>
  </conditionalFormatting>
  <conditionalFormatting sqref="C106">
    <cfRule type="cellIs" dxfId="1879" priority="485" stopIfTrue="1" operator="equal">
      <formula>"Towel"</formula>
    </cfRule>
    <cfRule type="cellIs" dxfId="1878" priority="486" stopIfTrue="1" operator="equal">
      <formula>"Napkin Hs"</formula>
    </cfRule>
  </conditionalFormatting>
  <conditionalFormatting sqref="C106">
    <cfRule type="cellIs" dxfId="1877" priority="484" stopIfTrue="1" operator="equal">
      <formula>"Napkin Hs"</formula>
    </cfRule>
  </conditionalFormatting>
  <conditionalFormatting sqref="C106">
    <cfRule type="cellIs" dxfId="1876" priority="481" stopIfTrue="1" operator="equal">
      <formula>"Towel"</formula>
    </cfRule>
    <cfRule type="cellIs" dxfId="1875" priority="482" stopIfTrue="1" operator="equal">
      <formula>"Napkin Hs"</formula>
    </cfRule>
  </conditionalFormatting>
  <conditionalFormatting sqref="C106">
    <cfRule type="cellIs" dxfId="1874" priority="483" stopIfTrue="1" operator="equal">
      <formula>"Towel"</formula>
    </cfRule>
  </conditionalFormatting>
  <conditionalFormatting sqref="C106">
    <cfRule type="cellIs" dxfId="1873" priority="479" stopIfTrue="1" operator="equal">
      <formula>"Towel"</formula>
    </cfRule>
    <cfRule type="cellIs" dxfId="1872" priority="480" stopIfTrue="1" operator="equal">
      <formula>"Napkin Hs"</formula>
    </cfRule>
  </conditionalFormatting>
  <conditionalFormatting sqref="C106">
    <cfRule type="cellIs" dxfId="1871" priority="478" stopIfTrue="1" operator="equal">
      <formula>"Napkin Hs"</formula>
    </cfRule>
  </conditionalFormatting>
  <conditionalFormatting sqref="C106">
    <cfRule type="cellIs" dxfId="1870" priority="475" stopIfTrue="1" operator="equal">
      <formula>"Towel"</formula>
    </cfRule>
    <cfRule type="cellIs" dxfId="1869" priority="476" stopIfTrue="1" operator="equal">
      <formula>"Napkin Hs"</formula>
    </cfRule>
  </conditionalFormatting>
  <conditionalFormatting sqref="C106">
    <cfRule type="cellIs" dxfId="1868" priority="477" stopIfTrue="1" operator="equal">
      <formula>"Towel"</formula>
    </cfRule>
  </conditionalFormatting>
  <conditionalFormatting sqref="B106">
    <cfRule type="cellIs" dxfId="1867" priority="473" stopIfTrue="1" operator="equal">
      <formula>"Towel"</formula>
    </cfRule>
    <cfRule type="cellIs" dxfId="1866" priority="474" stopIfTrue="1" operator="equal">
      <formula>"Napkin Hs"</formula>
    </cfRule>
  </conditionalFormatting>
  <conditionalFormatting sqref="B106">
    <cfRule type="cellIs" dxfId="1865" priority="471" stopIfTrue="1" operator="equal">
      <formula>"Towel"</formula>
    </cfRule>
    <cfRule type="cellIs" dxfId="1864" priority="472" stopIfTrue="1" operator="equal">
      <formula>"Napkin Hs"</formula>
    </cfRule>
  </conditionalFormatting>
  <conditionalFormatting sqref="B112:C112">
    <cfRule type="cellIs" dxfId="1863" priority="469" stopIfTrue="1" operator="equal">
      <formula>"Towel"</formula>
    </cfRule>
    <cfRule type="cellIs" dxfId="1862" priority="470" stopIfTrue="1" operator="equal">
      <formula>"Napkin Hs"</formula>
    </cfRule>
  </conditionalFormatting>
  <conditionalFormatting sqref="C112">
    <cfRule type="cellIs" dxfId="1861" priority="467" stopIfTrue="1" operator="equal">
      <formula>"Towel"</formula>
    </cfRule>
    <cfRule type="cellIs" dxfId="1860" priority="468" stopIfTrue="1" operator="equal">
      <formula>"Napkin Hs"</formula>
    </cfRule>
  </conditionalFormatting>
  <conditionalFormatting sqref="C112">
    <cfRule type="cellIs" dxfId="1859" priority="465" stopIfTrue="1" operator="equal">
      <formula>"Towel"</formula>
    </cfRule>
    <cfRule type="cellIs" dxfId="1858" priority="466" stopIfTrue="1" operator="equal">
      <formula>"Napkin Hs"</formula>
    </cfRule>
  </conditionalFormatting>
  <conditionalFormatting sqref="B111:C111">
    <cfRule type="cellIs" dxfId="1857" priority="463" stopIfTrue="1" operator="equal">
      <formula>"Towel"</formula>
    </cfRule>
    <cfRule type="cellIs" dxfId="1856" priority="464" stopIfTrue="1" operator="equal">
      <formula>"Napkin Hs"</formula>
    </cfRule>
  </conditionalFormatting>
  <conditionalFormatting sqref="C111">
    <cfRule type="cellIs" dxfId="1855" priority="462" stopIfTrue="1" operator="equal">
      <formula>"Napkin Hs"</formula>
    </cfRule>
  </conditionalFormatting>
  <conditionalFormatting sqref="C111">
    <cfRule type="cellIs" dxfId="1854" priority="459" stopIfTrue="1" operator="equal">
      <formula>"Towel"</formula>
    </cfRule>
    <cfRule type="cellIs" dxfId="1853" priority="460" stopIfTrue="1" operator="equal">
      <formula>"Napkin Hs"</formula>
    </cfRule>
  </conditionalFormatting>
  <conditionalFormatting sqref="C111">
    <cfRule type="cellIs" dxfId="1852" priority="461" stopIfTrue="1" operator="equal">
      <formula>"Towel"</formula>
    </cfRule>
  </conditionalFormatting>
  <conditionalFormatting sqref="B114:C114">
    <cfRule type="cellIs" dxfId="1851" priority="457" stopIfTrue="1" operator="equal">
      <formula>"Towel"</formula>
    </cfRule>
    <cfRule type="cellIs" dxfId="1850" priority="458" stopIfTrue="1" operator="equal">
      <formula>"Napkin Hs"</formula>
    </cfRule>
  </conditionalFormatting>
  <conditionalFormatting sqref="C114">
    <cfRule type="cellIs" dxfId="1849" priority="456" stopIfTrue="1" operator="equal">
      <formula>"Napkin Hs"</formula>
    </cfRule>
  </conditionalFormatting>
  <conditionalFormatting sqref="C114">
    <cfRule type="cellIs" dxfId="1848" priority="453" stopIfTrue="1" operator="equal">
      <formula>"Towel"</formula>
    </cfRule>
    <cfRule type="cellIs" dxfId="1847" priority="454" stopIfTrue="1" operator="equal">
      <formula>"Napkin Hs"</formula>
    </cfRule>
  </conditionalFormatting>
  <conditionalFormatting sqref="C114">
    <cfRule type="cellIs" dxfId="1846" priority="455" stopIfTrue="1" operator="equal">
      <formula>"Towel"</formula>
    </cfRule>
  </conditionalFormatting>
  <conditionalFormatting sqref="B113:C113">
    <cfRule type="cellIs" dxfId="1845" priority="451" stopIfTrue="1" operator="equal">
      <formula>"Towel"</formula>
    </cfRule>
    <cfRule type="cellIs" dxfId="1844" priority="452" stopIfTrue="1" operator="equal">
      <formula>"Napkin Hs"</formula>
    </cfRule>
  </conditionalFormatting>
  <conditionalFormatting sqref="C113">
    <cfRule type="cellIs" dxfId="1843" priority="450" stopIfTrue="1" operator="equal">
      <formula>"Napkin Hs"</formula>
    </cfRule>
  </conditionalFormatting>
  <conditionalFormatting sqref="C113">
    <cfRule type="cellIs" dxfId="1842" priority="447" stopIfTrue="1" operator="equal">
      <formula>"Towel"</formula>
    </cfRule>
    <cfRule type="cellIs" dxfId="1841" priority="448" stopIfTrue="1" operator="equal">
      <formula>"Napkin Hs"</formula>
    </cfRule>
  </conditionalFormatting>
  <conditionalFormatting sqref="C113">
    <cfRule type="cellIs" dxfId="1840" priority="449" stopIfTrue="1" operator="equal">
      <formula>"Towel"</formula>
    </cfRule>
  </conditionalFormatting>
  <conditionalFormatting sqref="B113:C114">
    <cfRule type="cellIs" dxfId="1839" priority="445" stopIfTrue="1" operator="equal">
      <formula>"Towel"</formula>
    </cfRule>
    <cfRule type="cellIs" dxfId="1838" priority="446" stopIfTrue="1" operator="equal">
      <formula>"Napkin Hs"</formula>
    </cfRule>
  </conditionalFormatting>
  <conditionalFormatting sqref="C113:C114">
    <cfRule type="cellIs" dxfId="1837" priority="444" stopIfTrue="1" operator="equal">
      <formula>"Napkin Hs"</formula>
    </cfRule>
  </conditionalFormatting>
  <conditionalFormatting sqref="C113:C114">
    <cfRule type="cellIs" dxfId="1836" priority="441" stopIfTrue="1" operator="equal">
      <formula>"Towel"</formula>
    </cfRule>
    <cfRule type="cellIs" dxfId="1835" priority="442" stopIfTrue="1" operator="equal">
      <formula>"Napkin Hs"</formula>
    </cfRule>
  </conditionalFormatting>
  <conditionalFormatting sqref="C113:C114">
    <cfRule type="cellIs" dxfId="1834" priority="443" stopIfTrue="1" operator="equal">
      <formula>"Towel"</formula>
    </cfRule>
  </conditionalFormatting>
  <conditionalFormatting sqref="B113:C114">
    <cfRule type="cellIs" dxfId="1833" priority="439" stopIfTrue="1" operator="equal">
      <formula>"Towel"</formula>
    </cfRule>
    <cfRule type="cellIs" dxfId="1832" priority="440" stopIfTrue="1" operator="equal">
      <formula>"Napkin Hs"</formula>
    </cfRule>
  </conditionalFormatting>
  <conditionalFormatting sqref="C113:C114">
    <cfRule type="cellIs" dxfId="1831" priority="438" stopIfTrue="1" operator="equal">
      <formula>"Napkin Hs"</formula>
    </cfRule>
  </conditionalFormatting>
  <conditionalFormatting sqref="C113:C114">
    <cfRule type="cellIs" dxfId="1830" priority="435" stopIfTrue="1" operator="equal">
      <formula>"Towel"</formula>
    </cfRule>
    <cfRule type="cellIs" dxfId="1829" priority="436" stopIfTrue="1" operator="equal">
      <formula>"Napkin Hs"</formula>
    </cfRule>
  </conditionalFormatting>
  <conditionalFormatting sqref="C113:C114">
    <cfRule type="cellIs" dxfId="1828" priority="437" stopIfTrue="1" operator="equal">
      <formula>"Towel"</formula>
    </cfRule>
  </conditionalFormatting>
  <conditionalFormatting sqref="B112:C112">
    <cfRule type="cellIs" dxfId="1827" priority="433" stopIfTrue="1" operator="equal">
      <formula>"Towel"</formula>
    </cfRule>
    <cfRule type="cellIs" dxfId="1826" priority="434" stopIfTrue="1" operator="equal">
      <formula>"Napkin Hs"</formula>
    </cfRule>
  </conditionalFormatting>
  <conditionalFormatting sqref="C112">
    <cfRule type="cellIs" dxfId="1825" priority="432" stopIfTrue="1" operator="equal">
      <formula>"Napkin Hs"</formula>
    </cfRule>
  </conditionalFormatting>
  <conditionalFormatting sqref="C112">
    <cfRule type="cellIs" dxfId="1824" priority="429" stopIfTrue="1" operator="equal">
      <formula>"Towel"</formula>
    </cfRule>
    <cfRule type="cellIs" dxfId="1823" priority="430" stopIfTrue="1" operator="equal">
      <formula>"Napkin Hs"</formula>
    </cfRule>
  </conditionalFormatting>
  <conditionalFormatting sqref="C112">
    <cfRule type="cellIs" dxfId="1822" priority="431" stopIfTrue="1" operator="equal">
      <formula>"Towel"</formula>
    </cfRule>
  </conditionalFormatting>
  <conditionalFormatting sqref="B112:C112">
    <cfRule type="cellIs" dxfId="1821" priority="427" stopIfTrue="1" operator="equal">
      <formula>"Towel"</formula>
    </cfRule>
    <cfRule type="cellIs" dxfId="1820" priority="428" stopIfTrue="1" operator="equal">
      <formula>"Napkin Hs"</formula>
    </cfRule>
  </conditionalFormatting>
  <conditionalFormatting sqref="C112">
    <cfRule type="cellIs" dxfId="1819" priority="426" stopIfTrue="1" operator="equal">
      <formula>"Napkin Hs"</formula>
    </cfRule>
  </conditionalFormatting>
  <conditionalFormatting sqref="C112">
    <cfRule type="cellIs" dxfId="1818" priority="423" stopIfTrue="1" operator="equal">
      <formula>"Towel"</formula>
    </cfRule>
    <cfRule type="cellIs" dxfId="1817" priority="424" stopIfTrue="1" operator="equal">
      <formula>"Napkin Hs"</formula>
    </cfRule>
  </conditionalFormatting>
  <conditionalFormatting sqref="C112">
    <cfRule type="cellIs" dxfId="1816" priority="425" stopIfTrue="1" operator="equal">
      <formula>"Towel"</formula>
    </cfRule>
  </conditionalFormatting>
  <conditionalFormatting sqref="C111">
    <cfRule type="cellIs" dxfId="1815" priority="421" stopIfTrue="1" operator="equal">
      <formula>"Towel"</formula>
    </cfRule>
    <cfRule type="cellIs" dxfId="1814" priority="422" stopIfTrue="1" operator="equal">
      <formula>"Napkin Hs"</formula>
    </cfRule>
  </conditionalFormatting>
  <conditionalFormatting sqref="C111">
    <cfRule type="cellIs" dxfId="1813" priority="420" stopIfTrue="1" operator="equal">
      <formula>"Napkin Hs"</formula>
    </cfRule>
  </conditionalFormatting>
  <conditionalFormatting sqref="C111">
    <cfRule type="cellIs" dxfId="1812" priority="417" stopIfTrue="1" operator="equal">
      <formula>"Towel"</formula>
    </cfRule>
    <cfRule type="cellIs" dxfId="1811" priority="418" stopIfTrue="1" operator="equal">
      <formula>"Napkin Hs"</formula>
    </cfRule>
  </conditionalFormatting>
  <conditionalFormatting sqref="C111">
    <cfRule type="cellIs" dxfId="1810" priority="419" stopIfTrue="1" operator="equal">
      <formula>"Towel"</formula>
    </cfRule>
  </conditionalFormatting>
  <conditionalFormatting sqref="C111">
    <cfRule type="cellIs" dxfId="1809" priority="415" stopIfTrue="1" operator="equal">
      <formula>"Towel"</formula>
    </cfRule>
    <cfRule type="cellIs" dxfId="1808" priority="416" stopIfTrue="1" operator="equal">
      <formula>"Napkin Hs"</formula>
    </cfRule>
  </conditionalFormatting>
  <conditionalFormatting sqref="C111">
    <cfRule type="cellIs" dxfId="1807" priority="414" stopIfTrue="1" operator="equal">
      <formula>"Napkin Hs"</formula>
    </cfRule>
  </conditionalFormatting>
  <conditionalFormatting sqref="C111">
    <cfRule type="cellIs" dxfId="1806" priority="411" stopIfTrue="1" operator="equal">
      <formula>"Towel"</formula>
    </cfRule>
    <cfRule type="cellIs" dxfId="1805" priority="412" stopIfTrue="1" operator="equal">
      <formula>"Napkin Hs"</formula>
    </cfRule>
  </conditionalFormatting>
  <conditionalFormatting sqref="C111">
    <cfRule type="cellIs" dxfId="1804" priority="413" stopIfTrue="1" operator="equal">
      <formula>"Towel"</formula>
    </cfRule>
  </conditionalFormatting>
  <conditionalFormatting sqref="B111">
    <cfRule type="cellIs" dxfId="1803" priority="409" stopIfTrue="1" operator="equal">
      <formula>"Towel"</formula>
    </cfRule>
    <cfRule type="cellIs" dxfId="1802" priority="410" stopIfTrue="1" operator="equal">
      <formula>"Napkin Hs"</formula>
    </cfRule>
  </conditionalFormatting>
  <conditionalFormatting sqref="B111">
    <cfRule type="cellIs" dxfId="1801" priority="407" stopIfTrue="1" operator="equal">
      <formula>"Towel"</formula>
    </cfRule>
    <cfRule type="cellIs" dxfId="1800" priority="408" stopIfTrue="1" operator="equal">
      <formula>"Napkin Hs"</formula>
    </cfRule>
  </conditionalFormatting>
  <conditionalFormatting sqref="B117:C117">
    <cfRule type="cellIs" dxfId="1799" priority="405" stopIfTrue="1" operator="equal">
      <formula>"Towel"</formula>
    </cfRule>
    <cfRule type="cellIs" dxfId="1798" priority="406" stopIfTrue="1" operator="equal">
      <formula>"Napkin Hs"</formula>
    </cfRule>
  </conditionalFormatting>
  <conditionalFormatting sqref="C117">
    <cfRule type="cellIs" dxfId="1797" priority="403" stopIfTrue="1" operator="equal">
      <formula>"Towel"</formula>
    </cfRule>
    <cfRule type="cellIs" dxfId="1796" priority="404" stopIfTrue="1" operator="equal">
      <formula>"Napkin Hs"</formula>
    </cfRule>
  </conditionalFormatting>
  <conditionalFormatting sqref="C117">
    <cfRule type="cellIs" dxfId="1795" priority="401" stopIfTrue="1" operator="equal">
      <formula>"Towel"</formula>
    </cfRule>
    <cfRule type="cellIs" dxfId="1794" priority="402" stopIfTrue="1" operator="equal">
      <formula>"Napkin Hs"</formula>
    </cfRule>
  </conditionalFormatting>
  <conditionalFormatting sqref="B116:C116">
    <cfRule type="cellIs" dxfId="1793" priority="399" stopIfTrue="1" operator="equal">
      <formula>"Towel"</formula>
    </cfRule>
    <cfRule type="cellIs" dxfId="1792" priority="400" stopIfTrue="1" operator="equal">
      <formula>"Napkin Hs"</formula>
    </cfRule>
  </conditionalFormatting>
  <conditionalFormatting sqref="C116">
    <cfRule type="cellIs" dxfId="1791" priority="398" stopIfTrue="1" operator="equal">
      <formula>"Napkin Hs"</formula>
    </cfRule>
  </conditionalFormatting>
  <conditionalFormatting sqref="C116">
    <cfRule type="cellIs" dxfId="1790" priority="395" stopIfTrue="1" operator="equal">
      <formula>"Towel"</formula>
    </cfRule>
    <cfRule type="cellIs" dxfId="1789" priority="396" stopIfTrue="1" operator="equal">
      <formula>"Napkin Hs"</formula>
    </cfRule>
  </conditionalFormatting>
  <conditionalFormatting sqref="C116">
    <cfRule type="cellIs" dxfId="1788" priority="397" stopIfTrue="1" operator="equal">
      <formula>"Towel"</formula>
    </cfRule>
  </conditionalFormatting>
  <conditionalFormatting sqref="B119:C119">
    <cfRule type="cellIs" dxfId="1787" priority="393" stopIfTrue="1" operator="equal">
      <formula>"Towel"</formula>
    </cfRule>
    <cfRule type="cellIs" dxfId="1786" priority="394" stopIfTrue="1" operator="equal">
      <formula>"Napkin Hs"</formula>
    </cfRule>
  </conditionalFormatting>
  <conditionalFormatting sqref="C119">
    <cfRule type="cellIs" dxfId="1785" priority="392" stopIfTrue="1" operator="equal">
      <formula>"Napkin Hs"</formula>
    </cfRule>
  </conditionalFormatting>
  <conditionalFormatting sqref="C119">
    <cfRule type="cellIs" dxfId="1784" priority="389" stopIfTrue="1" operator="equal">
      <formula>"Towel"</formula>
    </cfRule>
    <cfRule type="cellIs" dxfId="1783" priority="390" stopIfTrue="1" operator="equal">
      <formula>"Napkin Hs"</formula>
    </cfRule>
  </conditionalFormatting>
  <conditionalFormatting sqref="C119">
    <cfRule type="cellIs" dxfId="1782" priority="391" stopIfTrue="1" operator="equal">
      <formula>"Towel"</formula>
    </cfRule>
  </conditionalFormatting>
  <conditionalFormatting sqref="B118:C118">
    <cfRule type="cellIs" dxfId="1781" priority="387" stopIfTrue="1" operator="equal">
      <formula>"Towel"</formula>
    </cfRule>
    <cfRule type="cellIs" dxfId="1780" priority="388" stopIfTrue="1" operator="equal">
      <formula>"Napkin Hs"</formula>
    </cfRule>
  </conditionalFormatting>
  <conditionalFormatting sqref="C118">
    <cfRule type="cellIs" dxfId="1779" priority="386" stopIfTrue="1" operator="equal">
      <formula>"Napkin Hs"</formula>
    </cfRule>
  </conditionalFormatting>
  <conditionalFormatting sqref="C118">
    <cfRule type="cellIs" dxfId="1778" priority="383" stopIfTrue="1" operator="equal">
      <formula>"Towel"</formula>
    </cfRule>
    <cfRule type="cellIs" dxfId="1777" priority="384" stopIfTrue="1" operator="equal">
      <formula>"Napkin Hs"</formula>
    </cfRule>
  </conditionalFormatting>
  <conditionalFormatting sqref="C118">
    <cfRule type="cellIs" dxfId="1776" priority="385" stopIfTrue="1" operator="equal">
      <formula>"Towel"</formula>
    </cfRule>
  </conditionalFormatting>
  <conditionalFormatting sqref="B118:C119">
    <cfRule type="cellIs" dxfId="1775" priority="381" stopIfTrue="1" operator="equal">
      <formula>"Towel"</formula>
    </cfRule>
    <cfRule type="cellIs" dxfId="1774" priority="382" stopIfTrue="1" operator="equal">
      <formula>"Napkin Hs"</formula>
    </cfRule>
  </conditionalFormatting>
  <conditionalFormatting sqref="C118:C119">
    <cfRule type="cellIs" dxfId="1773" priority="380" stopIfTrue="1" operator="equal">
      <formula>"Napkin Hs"</formula>
    </cfRule>
  </conditionalFormatting>
  <conditionalFormatting sqref="C118:C119">
    <cfRule type="cellIs" dxfId="1772" priority="377" stopIfTrue="1" operator="equal">
      <formula>"Towel"</formula>
    </cfRule>
    <cfRule type="cellIs" dxfId="1771" priority="378" stopIfTrue="1" operator="equal">
      <formula>"Napkin Hs"</formula>
    </cfRule>
  </conditionalFormatting>
  <conditionalFormatting sqref="C118:C119">
    <cfRule type="cellIs" dxfId="1770" priority="379" stopIfTrue="1" operator="equal">
      <formula>"Towel"</formula>
    </cfRule>
  </conditionalFormatting>
  <conditionalFormatting sqref="B118:C119">
    <cfRule type="cellIs" dxfId="1769" priority="375" stopIfTrue="1" operator="equal">
      <formula>"Towel"</formula>
    </cfRule>
    <cfRule type="cellIs" dxfId="1768" priority="376" stopIfTrue="1" operator="equal">
      <formula>"Napkin Hs"</formula>
    </cfRule>
  </conditionalFormatting>
  <conditionalFormatting sqref="C118:C119">
    <cfRule type="cellIs" dxfId="1767" priority="374" stopIfTrue="1" operator="equal">
      <formula>"Napkin Hs"</formula>
    </cfRule>
  </conditionalFormatting>
  <conditionalFormatting sqref="C118:C119">
    <cfRule type="cellIs" dxfId="1766" priority="371" stopIfTrue="1" operator="equal">
      <formula>"Towel"</formula>
    </cfRule>
    <cfRule type="cellIs" dxfId="1765" priority="372" stopIfTrue="1" operator="equal">
      <formula>"Napkin Hs"</formula>
    </cfRule>
  </conditionalFormatting>
  <conditionalFormatting sqref="C118:C119">
    <cfRule type="cellIs" dxfId="1764" priority="373" stopIfTrue="1" operator="equal">
      <formula>"Towel"</formula>
    </cfRule>
  </conditionalFormatting>
  <conditionalFormatting sqref="B117:C117">
    <cfRule type="cellIs" dxfId="1763" priority="369" stopIfTrue="1" operator="equal">
      <formula>"Towel"</formula>
    </cfRule>
    <cfRule type="cellIs" dxfId="1762" priority="370" stopIfTrue="1" operator="equal">
      <formula>"Napkin Hs"</formula>
    </cfRule>
  </conditionalFormatting>
  <conditionalFormatting sqref="C117">
    <cfRule type="cellIs" dxfId="1761" priority="368" stopIfTrue="1" operator="equal">
      <formula>"Napkin Hs"</formula>
    </cfRule>
  </conditionalFormatting>
  <conditionalFormatting sqref="C117">
    <cfRule type="cellIs" dxfId="1760" priority="365" stopIfTrue="1" operator="equal">
      <formula>"Towel"</formula>
    </cfRule>
    <cfRule type="cellIs" dxfId="1759" priority="366" stopIfTrue="1" operator="equal">
      <formula>"Napkin Hs"</formula>
    </cfRule>
  </conditionalFormatting>
  <conditionalFormatting sqref="C117">
    <cfRule type="cellIs" dxfId="1758" priority="367" stopIfTrue="1" operator="equal">
      <formula>"Towel"</formula>
    </cfRule>
  </conditionalFormatting>
  <conditionalFormatting sqref="B117:C117">
    <cfRule type="cellIs" dxfId="1757" priority="363" stopIfTrue="1" operator="equal">
      <formula>"Towel"</formula>
    </cfRule>
    <cfRule type="cellIs" dxfId="1756" priority="364" stopIfTrue="1" operator="equal">
      <formula>"Napkin Hs"</formula>
    </cfRule>
  </conditionalFormatting>
  <conditionalFormatting sqref="C117">
    <cfRule type="cellIs" dxfId="1755" priority="362" stopIfTrue="1" operator="equal">
      <formula>"Napkin Hs"</formula>
    </cfRule>
  </conditionalFormatting>
  <conditionalFormatting sqref="C117">
    <cfRule type="cellIs" dxfId="1754" priority="359" stopIfTrue="1" operator="equal">
      <formula>"Towel"</formula>
    </cfRule>
    <cfRule type="cellIs" dxfId="1753" priority="360" stopIfTrue="1" operator="equal">
      <formula>"Napkin Hs"</formula>
    </cfRule>
  </conditionalFormatting>
  <conditionalFormatting sqref="C117">
    <cfRule type="cellIs" dxfId="1752" priority="361" stopIfTrue="1" operator="equal">
      <formula>"Towel"</formula>
    </cfRule>
  </conditionalFormatting>
  <conditionalFormatting sqref="C116">
    <cfRule type="cellIs" dxfId="1751" priority="357" stopIfTrue="1" operator="equal">
      <formula>"Towel"</formula>
    </cfRule>
    <cfRule type="cellIs" dxfId="1750" priority="358" stopIfTrue="1" operator="equal">
      <formula>"Napkin Hs"</formula>
    </cfRule>
  </conditionalFormatting>
  <conditionalFormatting sqref="C116">
    <cfRule type="cellIs" dxfId="1749" priority="356" stopIfTrue="1" operator="equal">
      <formula>"Napkin Hs"</formula>
    </cfRule>
  </conditionalFormatting>
  <conditionalFormatting sqref="C116">
    <cfRule type="cellIs" dxfId="1748" priority="353" stopIfTrue="1" operator="equal">
      <formula>"Towel"</formula>
    </cfRule>
    <cfRule type="cellIs" dxfId="1747" priority="354" stopIfTrue="1" operator="equal">
      <formula>"Napkin Hs"</formula>
    </cfRule>
  </conditionalFormatting>
  <conditionalFormatting sqref="C116">
    <cfRule type="cellIs" dxfId="1746" priority="355" stopIfTrue="1" operator="equal">
      <formula>"Towel"</formula>
    </cfRule>
  </conditionalFormatting>
  <conditionalFormatting sqref="C116">
    <cfRule type="cellIs" dxfId="1745" priority="351" stopIfTrue="1" operator="equal">
      <formula>"Towel"</formula>
    </cfRule>
    <cfRule type="cellIs" dxfId="1744" priority="352" stopIfTrue="1" operator="equal">
      <formula>"Napkin Hs"</formula>
    </cfRule>
  </conditionalFormatting>
  <conditionalFormatting sqref="C116">
    <cfRule type="cellIs" dxfId="1743" priority="350" stopIfTrue="1" operator="equal">
      <formula>"Napkin Hs"</formula>
    </cfRule>
  </conditionalFormatting>
  <conditionalFormatting sqref="C116">
    <cfRule type="cellIs" dxfId="1742" priority="347" stopIfTrue="1" operator="equal">
      <formula>"Towel"</formula>
    </cfRule>
    <cfRule type="cellIs" dxfId="1741" priority="348" stopIfTrue="1" operator="equal">
      <formula>"Napkin Hs"</formula>
    </cfRule>
  </conditionalFormatting>
  <conditionalFormatting sqref="C116">
    <cfRule type="cellIs" dxfId="1740" priority="349" stopIfTrue="1" operator="equal">
      <formula>"Towel"</formula>
    </cfRule>
  </conditionalFormatting>
  <conditionalFormatting sqref="B116">
    <cfRule type="cellIs" dxfId="1739" priority="345" stopIfTrue="1" operator="equal">
      <formula>"Towel"</formula>
    </cfRule>
    <cfRule type="cellIs" dxfId="1738" priority="346" stopIfTrue="1" operator="equal">
      <formula>"Napkin Hs"</formula>
    </cfRule>
  </conditionalFormatting>
  <conditionalFormatting sqref="B116">
    <cfRule type="cellIs" dxfId="1737" priority="343" stopIfTrue="1" operator="equal">
      <formula>"Towel"</formula>
    </cfRule>
    <cfRule type="cellIs" dxfId="1736" priority="344" stopIfTrue="1" operator="equal">
      <formula>"Napkin Hs"</formula>
    </cfRule>
  </conditionalFormatting>
  <conditionalFormatting sqref="B122:C122">
    <cfRule type="cellIs" dxfId="1735" priority="341" stopIfTrue="1" operator="equal">
      <formula>"Towel"</formula>
    </cfRule>
    <cfRule type="cellIs" dxfId="1734" priority="342" stopIfTrue="1" operator="equal">
      <formula>"Napkin Hs"</formula>
    </cfRule>
  </conditionalFormatting>
  <conditionalFormatting sqref="C122">
    <cfRule type="cellIs" dxfId="1733" priority="339" stopIfTrue="1" operator="equal">
      <formula>"Towel"</formula>
    </cfRule>
    <cfRule type="cellIs" dxfId="1732" priority="340" stopIfTrue="1" operator="equal">
      <formula>"Napkin Hs"</formula>
    </cfRule>
  </conditionalFormatting>
  <conditionalFormatting sqref="C122">
    <cfRule type="cellIs" dxfId="1731" priority="337" stopIfTrue="1" operator="equal">
      <formula>"Towel"</formula>
    </cfRule>
    <cfRule type="cellIs" dxfId="1730" priority="338" stopIfTrue="1" operator="equal">
      <formula>"Napkin Hs"</formula>
    </cfRule>
  </conditionalFormatting>
  <conditionalFormatting sqref="B121:C121">
    <cfRule type="cellIs" dxfId="1729" priority="335" stopIfTrue="1" operator="equal">
      <formula>"Towel"</formula>
    </cfRule>
    <cfRule type="cellIs" dxfId="1728" priority="336" stopIfTrue="1" operator="equal">
      <formula>"Napkin Hs"</formula>
    </cfRule>
  </conditionalFormatting>
  <conditionalFormatting sqref="C121">
    <cfRule type="cellIs" dxfId="1727" priority="334" stopIfTrue="1" operator="equal">
      <formula>"Napkin Hs"</formula>
    </cfRule>
  </conditionalFormatting>
  <conditionalFormatting sqref="C121">
    <cfRule type="cellIs" dxfId="1726" priority="331" stopIfTrue="1" operator="equal">
      <formula>"Towel"</formula>
    </cfRule>
    <cfRule type="cellIs" dxfId="1725" priority="332" stopIfTrue="1" operator="equal">
      <formula>"Napkin Hs"</formula>
    </cfRule>
  </conditionalFormatting>
  <conditionalFormatting sqref="C121">
    <cfRule type="cellIs" dxfId="1724" priority="333" stopIfTrue="1" operator="equal">
      <formula>"Towel"</formula>
    </cfRule>
  </conditionalFormatting>
  <conditionalFormatting sqref="B124:C124">
    <cfRule type="cellIs" dxfId="1723" priority="329" stopIfTrue="1" operator="equal">
      <formula>"Towel"</formula>
    </cfRule>
    <cfRule type="cellIs" dxfId="1722" priority="330" stopIfTrue="1" operator="equal">
      <formula>"Napkin Hs"</formula>
    </cfRule>
  </conditionalFormatting>
  <conditionalFormatting sqref="C124">
    <cfRule type="cellIs" dxfId="1721" priority="328" stopIfTrue="1" operator="equal">
      <formula>"Napkin Hs"</formula>
    </cfRule>
  </conditionalFormatting>
  <conditionalFormatting sqref="C124">
    <cfRule type="cellIs" dxfId="1720" priority="325" stopIfTrue="1" operator="equal">
      <formula>"Towel"</formula>
    </cfRule>
    <cfRule type="cellIs" dxfId="1719" priority="326" stopIfTrue="1" operator="equal">
      <formula>"Napkin Hs"</formula>
    </cfRule>
  </conditionalFormatting>
  <conditionalFormatting sqref="C124">
    <cfRule type="cellIs" dxfId="1718" priority="327" stopIfTrue="1" operator="equal">
      <formula>"Towel"</formula>
    </cfRule>
  </conditionalFormatting>
  <conditionalFormatting sqref="B123:C123">
    <cfRule type="cellIs" dxfId="1717" priority="323" stopIfTrue="1" operator="equal">
      <formula>"Towel"</formula>
    </cfRule>
    <cfRule type="cellIs" dxfId="1716" priority="324" stopIfTrue="1" operator="equal">
      <formula>"Napkin Hs"</formula>
    </cfRule>
  </conditionalFormatting>
  <conditionalFormatting sqref="C123">
    <cfRule type="cellIs" dxfId="1715" priority="322" stopIfTrue="1" operator="equal">
      <formula>"Napkin Hs"</formula>
    </cfRule>
  </conditionalFormatting>
  <conditionalFormatting sqref="C123">
    <cfRule type="cellIs" dxfId="1714" priority="319" stopIfTrue="1" operator="equal">
      <formula>"Towel"</formula>
    </cfRule>
    <cfRule type="cellIs" dxfId="1713" priority="320" stopIfTrue="1" operator="equal">
      <formula>"Napkin Hs"</formula>
    </cfRule>
  </conditionalFormatting>
  <conditionalFormatting sqref="C123">
    <cfRule type="cellIs" dxfId="1712" priority="321" stopIfTrue="1" operator="equal">
      <formula>"Towel"</formula>
    </cfRule>
  </conditionalFormatting>
  <conditionalFormatting sqref="B123:C124">
    <cfRule type="cellIs" dxfId="1711" priority="317" stopIfTrue="1" operator="equal">
      <formula>"Towel"</formula>
    </cfRule>
    <cfRule type="cellIs" dxfId="1710" priority="318" stopIfTrue="1" operator="equal">
      <formula>"Napkin Hs"</formula>
    </cfRule>
  </conditionalFormatting>
  <conditionalFormatting sqref="C123:C124">
    <cfRule type="cellIs" dxfId="1709" priority="316" stopIfTrue="1" operator="equal">
      <formula>"Napkin Hs"</formula>
    </cfRule>
  </conditionalFormatting>
  <conditionalFormatting sqref="C123:C124">
    <cfRule type="cellIs" dxfId="1708" priority="313" stopIfTrue="1" operator="equal">
      <formula>"Towel"</formula>
    </cfRule>
    <cfRule type="cellIs" dxfId="1707" priority="314" stopIfTrue="1" operator="equal">
      <formula>"Napkin Hs"</formula>
    </cfRule>
  </conditionalFormatting>
  <conditionalFormatting sqref="C123:C124">
    <cfRule type="cellIs" dxfId="1706" priority="315" stopIfTrue="1" operator="equal">
      <formula>"Towel"</formula>
    </cfRule>
  </conditionalFormatting>
  <conditionalFormatting sqref="B123:C124">
    <cfRule type="cellIs" dxfId="1705" priority="311" stopIfTrue="1" operator="equal">
      <formula>"Towel"</formula>
    </cfRule>
    <cfRule type="cellIs" dxfId="1704" priority="312" stopIfTrue="1" operator="equal">
      <formula>"Napkin Hs"</formula>
    </cfRule>
  </conditionalFormatting>
  <conditionalFormatting sqref="C123:C124">
    <cfRule type="cellIs" dxfId="1703" priority="310" stopIfTrue="1" operator="equal">
      <formula>"Napkin Hs"</formula>
    </cfRule>
  </conditionalFormatting>
  <conditionalFormatting sqref="C123:C124">
    <cfRule type="cellIs" dxfId="1702" priority="307" stopIfTrue="1" operator="equal">
      <formula>"Towel"</formula>
    </cfRule>
    <cfRule type="cellIs" dxfId="1701" priority="308" stopIfTrue="1" operator="equal">
      <formula>"Napkin Hs"</formula>
    </cfRule>
  </conditionalFormatting>
  <conditionalFormatting sqref="C123:C124">
    <cfRule type="cellIs" dxfId="1700" priority="309" stopIfTrue="1" operator="equal">
      <formula>"Towel"</formula>
    </cfRule>
  </conditionalFormatting>
  <conditionalFormatting sqref="B122:C122">
    <cfRule type="cellIs" dxfId="1699" priority="305" stopIfTrue="1" operator="equal">
      <formula>"Towel"</formula>
    </cfRule>
    <cfRule type="cellIs" dxfId="1698" priority="306" stopIfTrue="1" operator="equal">
      <formula>"Napkin Hs"</formula>
    </cfRule>
  </conditionalFormatting>
  <conditionalFormatting sqref="C122">
    <cfRule type="cellIs" dxfId="1697" priority="304" stopIfTrue="1" operator="equal">
      <formula>"Napkin Hs"</formula>
    </cfRule>
  </conditionalFormatting>
  <conditionalFormatting sqref="C122">
    <cfRule type="cellIs" dxfId="1696" priority="301" stopIfTrue="1" operator="equal">
      <formula>"Towel"</formula>
    </cfRule>
    <cfRule type="cellIs" dxfId="1695" priority="302" stopIfTrue="1" operator="equal">
      <formula>"Napkin Hs"</formula>
    </cfRule>
  </conditionalFormatting>
  <conditionalFormatting sqref="C122">
    <cfRule type="cellIs" dxfId="1694" priority="303" stopIfTrue="1" operator="equal">
      <formula>"Towel"</formula>
    </cfRule>
  </conditionalFormatting>
  <conditionalFormatting sqref="B122:C122">
    <cfRule type="cellIs" dxfId="1693" priority="299" stopIfTrue="1" operator="equal">
      <formula>"Towel"</formula>
    </cfRule>
    <cfRule type="cellIs" dxfId="1692" priority="300" stopIfTrue="1" operator="equal">
      <formula>"Napkin Hs"</formula>
    </cfRule>
  </conditionalFormatting>
  <conditionalFormatting sqref="C122">
    <cfRule type="cellIs" dxfId="1691" priority="298" stopIfTrue="1" operator="equal">
      <formula>"Napkin Hs"</formula>
    </cfRule>
  </conditionalFormatting>
  <conditionalFormatting sqref="C122">
    <cfRule type="cellIs" dxfId="1690" priority="295" stopIfTrue="1" operator="equal">
      <formula>"Towel"</formula>
    </cfRule>
    <cfRule type="cellIs" dxfId="1689" priority="296" stopIfTrue="1" operator="equal">
      <formula>"Napkin Hs"</formula>
    </cfRule>
  </conditionalFormatting>
  <conditionalFormatting sqref="C122">
    <cfRule type="cellIs" dxfId="1688" priority="297" stopIfTrue="1" operator="equal">
      <formula>"Towel"</formula>
    </cfRule>
  </conditionalFormatting>
  <conditionalFormatting sqref="C121">
    <cfRule type="cellIs" dxfId="1687" priority="293" stopIfTrue="1" operator="equal">
      <formula>"Towel"</formula>
    </cfRule>
    <cfRule type="cellIs" dxfId="1686" priority="294" stopIfTrue="1" operator="equal">
      <formula>"Napkin Hs"</formula>
    </cfRule>
  </conditionalFormatting>
  <conditionalFormatting sqref="C121">
    <cfRule type="cellIs" dxfId="1685" priority="292" stopIfTrue="1" operator="equal">
      <formula>"Napkin Hs"</formula>
    </cfRule>
  </conditionalFormatting>
  <conditionalFormatting sqref="C121">
    <cfRule type="cellIs" dxfId="1684" priority="289" stopIfTrue="1" operator="equal">
      <formula>"Towel"</formula>
    </cfRule>
    <cfRule type="cellIs" dxfId="1683" priority="290" stopIfTrue="1" operator="equal">
      <formula>"Napkin Hs"</formula>
    </cfRule>
  </conditionalFormatting>
  <conditionalFormatting sqref="C121">
    <cfRule type="cellIs" dxfId="1682" priority="291" stopIfTrue="1" operator="equal">
      <formula>"Towel"</formula>
    </cfRule>
  </conditionalFormatting>
  <conditionalFormatting sqref="C121">
    <cfRule type="cellIs" dxfId="1681" priority="287" stopIfTrue="1" operator="equal">
      <formula>"Towel"</formula>
    </cfRule>
    <cfRule type="cellIs" dxfId="1680" priority="288" stopIfTrue="1" operator="equal">
      <formula>"Napkin Hs"</formula>
    </cfRule>
  </conditionalFormatting>
  <conditionalFormatting sqref="C121">
    <cfRule type="cellIs" dxfId="1679" priority="286" stopIfTrue="1" operator="equal">
      <formula>"Napkin Hs"</formula>
    </cfRule>
  </conditionalFormatting>
  <conditionalFormatting sqref="C121">
    <cfRule type="cellIs" dxfId="1678" priority="283" stopIfTrue="1" operator="equal">
      <formula>"Towel"</formula>
    </cfRule>
    <cfRule type="cellIs" dxfId="1677" priority="284" stopIfTrue="1" operator="equal">
      <formula>"Napkin Hs"</formula>
    </cfRule>
  </conditionalFormatting>
  <conditionalFormatting sqref="C121">
    <cfRule type="cellIs" dxfId="1676" priority="285" stopIfTrue="1" operator="equal">
      <formula>"Towel"</formula>
    </cfRule>
  </conditionalFormatting>
  <conditionalFormatting sqref="B121">
    <cfRule type="cellIs" dxfId="1675" priority="281" stopIfTrue="1" operator="equal">
      <formula>"Towel"</formula>
    </cfRule>
    <cfRule type="cellIs" dxfId="1674" priority="282" stopIfTrue="1" operator="equal">
      <formula>"Napkin Hs"</formula>
    </cfRule>
  </conditionalFormatting>
  <conditionalFormatting sqref="B121">
    <cfRule type="cellIs" dxfId="1673" priority="279" stopIfTrue="1" operator="equal">
      <formula>"Towel"</formula>
    </cfRule>
    <cfRule type="cellIs" dxfId="1672" priority="280" stopIfTrue="1" operator="equal">
      <formula>"Napkin Hs"</formula>
    </cfRule>
  </conditionalFormatting>
  <conditionalFormatting sqref="B126:C127">
    <cfRule type="cellIs" dxfId="1671" priority="271" stopIfTrue="1" operator="equal">
      <formula>"Towel"</formula>
    </cfRule>
    <cfRule type="cellIs" dxfId="1670" priority="272" stopIfTrue="1" operator="equal">
      <formula>"Napkin Hs"</formula>
    </cfRule>
  </conditionalFormatting>
  <conditionalFormatting sqref="C126:C127">
    <cfRule type="cellIs" dxfId="1669" priority="270" stopIfTrue="1" operator="equal">
      <formula>"Napkin Hs"</formula>
    </cfRule>
  </conditionalFormatting>
  <conditionalFormatting sqref="C126:C127">
    <cfRule type="cellIs" dxfId="1668" priority="267" stopIfTrue="1" operator="equal">
      <formula>"Towel"</formula>
    </cfRule>
    <cfRule type="cellIs" dxfId="1667" priority="268" stopIfTrue="1" operator="equal">
      <formula>"Napkin Hs"</formula>
    </cfRule>
  </conditionalFormatting>
  <conditionalFormatting sqref="C126:C127">
    <cfRule type="cellIs" dxfId="1666" priority="269" stopIfTrue="1" operator="equal">
      <formula>"Towel"</formula>
    </cfRule>
  </conditionalFormatting>
  <conditionalFormatting sqref="B129:C129">
    <cfRule type="cellIs" dxfId="1665" priority="265" stopIfTrue="1" operator="equal">
      <formula>"Towel"</formula>
    </cfRule>
    <cfRule type="cellIs" dxfId="1664" priority="266" stopIfTrue="1" operator="equal">
      <formula>"Napkin Hs"</formula>
    </cfRule>
  </conditionalFormatting>
  <conditionalFormatting sqref="C129">
    <cfRule type="cellIs" dxfId="1663" priority="264" stopIfTrue="1" operator="equal">
      <formula>"Napkin Hs"</formula>
    </cfRule>
  </conditionalFormatting>
  <conditionalFormatting sqref="C129">
    <cfRule type="cellIs" dxfId="1662" priority="261" stopIfTrue="1" operator="equal">
      <formula>"Towel"</formula>
    </cfRule>
    <cfRule type="cellIs" dxfId="1661" priority="262" stopIfTrue="1" operator="equal">
      <formula>"Napkin Hs"</formula>
    </cfRule>
  </conditionalFormatting>
  <conditionalFormatting sqref="C129">
    <cfRule type="cellIs" dxfId="1660" priority="263" stopIfTrue="1" operator="equal">
      <formula>"Towel"</formula>
    </cfRule>
  </conditionalFormatting>
  <conditionalFormatting sqref="B128:C128">
    <cfRule type="cellIs" dxfId="1659" priority="259" stopIfTrue="1" operator="equal">
      <formula>"Towel"</formula>
    </cfRule>
    <cfRule type="cellIs" dxfId="1658" priority="260" stopIfTrue="1" operator="equal">
      <formula>"Napkin Hs"</formula>
    </cfRule>
  </conditionalFormatting>
  <conditionalFormatting sqref="C128">
    <cfRule type="cellIs" dxfId="1657" priority="258" stopIfTrue="1" operator="equal">
      <formula>"Napkin Hs"</formula>
    </cfRule>
  </conditionalFormatting>
  <conditionalFormatting sqref="C128">
    <cfRule type="cellIs" dxfId="1656" priority="255" stopIfTrue="1" operator="equal">
      <formula>"Towel"</formula>
    </cfRule>
    <cfRule type="cellIs" dxfId="1655" priority="256" stopIfTrue="1" operator="equal">
      <formula>"Napkin Hs"</formula>
    </cfRule>
  </conditionalFormatting>
  <conditionalFormatting sqref="C128">
    <cfRule type="cellIs" dxfId="1654" priority="257" stopIfTrue="1" operator="equal">
      <formula>"Towel"</formula>
    </cfRule>
  </conditionalFormatting>
  <conditionalFormatting sqref="B128:C129">
    <cfRule type="cellIs" dxfId="1653" priority="253" stopIfTrue="1" operator="equal">
      <formula>"Towel"</formula>
    </cfRule>
    <cfRule type="cellIs" dxfId="1652" priority="254" stopIfTrue="1" operator="equal">
      <formula>"Napkin Hs"</formula>
    </cfRule>
  </conditionalFormatting>
  <conditionalFormatting sqref="C128:C129">
    <cfRule type="cellIs" dxfId="1651" priority="252" stopIfTrue="1" operator="equal">
      <formula>"Napkin Hs"</formula>
    </cfRule>
  </conditionalFormatting>
  <conditionalFormatting sqref="C128:C129">
    <cfRule type="cellIs" dxfId="1650" priority="249" stopIfTrue="1" operator="equal">
      <formula>"Towel"</formula>
    </cfRule>
    <cfRule type="cellIs" dxfId="1649" priority="250" stopIfTrue="1" operator="equal">
      <formula>"Napkin Hs"</formula>
    </cfRule>
  </conditionalFormatting>
  <conditionalFormatting sqref="C128:C129">
    <cfRule type="cellIs" dxfId="1648" priority="251" stopIfTrue="1" operator="equal">
      <formula>"Towel"</formula>
    </cfRule>
  </conditionalFormatting>
  <conditionalFormatting sqref="B128:C129">
    <cfRule type="cellIs" dxfId="1647" priority="247" stopIfTrue="1" operator="equal">
      <formula>"Towel"</formula>
    </cfRule>
    <cfRule type="cellIs" dxfId="1646" priority="248" stopIfTrue="1" operator="equal">
      <formula>"Napkin Hs"</formula>
    </cfRule>
  </conditionalFormatting>
  <conditionalFormatting sqref="C128:C129">
    <cfRule type="cellIs" dxfId="1645" priority="246" stopIfTrue="1" operator="equal">
      <formula>"Napkin Hs"</formula>
    </cfRule>
  </conditionalFormatting>
  <conditionalFormatting sqref="C128:C129">
    <cfRule type="cellIs" dxfId="1644" priority="243" stopIfTrue="1" operator="equal">
      <formula>"Towel"</formula>
    </cfRule>
    <cfRule type="cellIs" dxfId="1643" priority="244" stopIfTrue="1" operator="equal">
      <formula>"Napkin Hs"</formula>
    </cfRule>
  </conditionalFormatting>
  <conditionalFormatting sqref="C128:C129">
    <cfRule type="cellIs" dxfId="1642" priority="245" stopIfTrue="1" operator="equal">
      <formula>"Towel"</formula>
    </cfRule>
  </conditionalFormatting>
  <conditionalFormatting sqref="C126:C127">
    <cfRule type="cellIs" dxfId="1641" priority="229" stopIfTrue="1" operator="equal">
      <formula>"Towel"</formula>
    </cfRule>
    <cfRule type="cellIs" dxfId="1640" priority="230" stopIfTrue="1" operator="equal">
      <formula>"Napkin Hs"</formula>
    </cfRule>
  </conditionalFormatting>
  <conditionalFormatting sqref="C126:C127">
    <cfRule type="cellIs" dxfId="1639" priority="228" stopIfTrue="1" operator="equal">
      <formula>"Napkin Hs"</formula>
    </cfRule>
  </conditionalFormatting>
  <conditionalFormatting sqref="C126:C127">
    <cfRule type="cellIs" dxfId="1638" priority="225" stopIfTrue="1" operator="equal">
      <formula>"Towel"</formula>
    </cfRule>
    <cfRule type="cellIs" dxfId="1637" priority="226" stopIfTrue="1" operator="equal">
      <formula>"Napkin Hs"</formula>
    </cfRule>
  </conditionalFormatting>
  <conditionalFormatting sqref="C126:C127">
    <cfRule type="cellIs" dxfId="1636" priority="227" stopIfTrue="1" operator="equal">
      <formula>"Towel"</formula>
    </cfRule>
  </conditionalFormatting>
  <conditionalFormatting sqref="C126:C127">
    <cfRule type="cellIs" dxfId="1635" priority="223" stopIfTrue="1" operator="equal">
      <formula>"Towel"</formula>
    </cfRule>
    <cfRule type="cellIs" dxfId="1634" priority="224" stopIfTrue="1" operator="equal">
      <formula>"Napkin Hs"</formula>
    </cfRule>
  </conditionalFormatting>
  <conditionalFormatting sqref="C126:C127">
    <cfRule type="cellIs" dxfId="1633" priority="222" stopIfTrue="1" operator="equal">
      <formula>"Napkin Hs"</formula>
    </cfRule>
  </conditionalFormatting>
  <conditionalFormatting sqref="C126:C127">
    <cfRule type="cellIs" dxfId="1632" priority="219" stopIfTrue="1" operator="equal">
      <formula>"Towel"</formula>
    </cfRule>
    <cfRule type="cellIs" dxfId="1631" priority="220" stopIfTrue="1" operator="equal">
      <formula>"Napkin Hs"</formula>
    </cfRule>
  </conditionalFormatting>
  <conditionalFormatting sqref="C126:C127">
    <cfRule type="cellIs" dxfId="1630" priority="221" stopIfTrue="1" operator="equal">
      <formula>"Towel"</formula>
    </cfRule>
  </conditionalFormatting>
  <conditionalFormatting sqref="B126:B127">
    <cfRule type="cellIs" dxfId="1629" priority="217" stopIfTrue="1" operator="equal">
      <formula>"Towel"</formula>
    </cfRule>
    <cfRule type="cellIs" dxfId="1628" priority="218" stopIfTrue="1" operator="equal">
      <formula>"Napkin Hs"</formula>
    </cfRule>
  </conditionalFormatting>
  <conditionalFormatting sqref="B126:B127">
    <cfRule type="cellIs" dxfId="1627" priority="215" stopIfTrue="1" operator="equal">
      <formula>"Towel"</formula>
    </cfRule>
    <cfRule type="cellIs" dxfId="1626" priority="216" stopIfTrue="1" operator="equal">
      <formula>"Napkin Hs"</formula>
    </cfRule>
  </conditionalFormatting>
  <conditionalFormatting sqref="B132:C132">
    <cfRule type="cellIs" dxfId="1625" priority="213" stopIfTrue="1" operator="equal">
      <formula>"Towel"</formula>
    </cfRule>
    <cfRule type="cellIs" dxfId="1624" priority="214" stopIfTrue="1" operator="equal">
      <formula>"Napkin Hs"</formula>
    </cfRule>
  </conditionalFormatting>
  <conditionalFormatting sqref="C132">
    <cfRule type="cellIs" dxfId="1623" priority="211" stopIfTrue="1" operator="equal">
      <formula>"Towel"</formula>
    </cfRule>
    <cfRule type="cellIs" dxfId="1622" priority="212" stopIfTrue="1" operator="equal">
      <formula>"Napkin Hs"</formula>
    </cfRule>
  </conditionalFormatting>
  <conditionalFormatting sqref="C132">
    <cfRule type="cellIs" dxfId="1621" priority="209" stopIfTrue="1" operator="equal">
      <formula>"Towel"</formula>
    </cfRule>
    <cfRule type="cellIs" dxfId="1620" priority="210" stopIfTrue="1" operator="equal">
      <formula>"Napkin Hs"</formula>
    </cfRule>
  </conditionalFormatting>
  <conditionalFormatting sqref="B134:C134">
    <cfRule type="cellIs" dxfId="1619" priority="201" stopIfTrue="1" operator="equal">
      <formula>"Towel"</formula>
    </cfRule>
    <cfRule type="cellIs" dxfId="1618" priority="202" stopIfTrue="1" operator="equal">
      <formula>"Napkin Hs"</formula>
    </cfRule>
  </conditionalFormatting>
  <conditionalFormatting sqref="C134">
    <cfRule type="cellIs" dxfId="1617" priority="200" stopIfTrue="1" operator="equal">
      <formula>"Napkin Hs"</formula>
    </cfRule>
  </conditionalFormatting>
  <conditionalFormatting sqref="C134">
    <cfRule type="cellIs" dxfId="1616" priority="197" stopIfTrue="1" operator="equal">
      <formula>"Towel"</formula>
    </cfRule>
    <cfRule type="cellIs" dxfId="1615" priority="198" stopIfTrue="1" operator="equal">
      <formula>"Napkin Hs"</formula>
    </cfRule>
  </conditionalFormatting>
  <conditionalFormatting sqref="C134">
    <cfRule type="cellIs" dxfId="1614" priority="199" stopIfTrue="1" operator="equal">
      <formula>"Towel"</formula>
    </cfRule>
  </conditionalFormatting>
  <conditionalFormatting sqref="B133:C133">
    <cfRule type="cellIs" dxfId="1613" priority="195" stopIfTrue="1" operator="equal">
      <formula>"Towel"</formula>
    </cfRule>
    <cfRule type="cellIs" dxfId="1612" priority="196" stopIfTrue="1" operator="equal">
      <formula>"Napkin Hs"</formula>
    </cfRule>
  </conditionalFormatting>
  <conditionalFormatting sqref="C133">
    <cfRule type="cellIs" dxfId="1611" priority="194" stopIfTrue="1" operator="equal">
      <formula>"Napkin Hs"</formula>
    </cfRule>
  </conditionalFormatting>
  <conditionalFormatting sqref="C133">
    <cfRule type="cellIs" dxfId="1610" priority="191" stopIfTrue="1" operator="equal">
      <formula>"Towel"</formula>
    </cfRule>
    <cfRule type="cellIs" dxfId="1609" priority="192" stopIfTrue="1" operator="equal">
      <formula>"Napkin Hs"</formula>
    </cfRule>
  </conditionalFormatting>
  <conditionalFormatting sqref="C133">
    <cfRule type="cellIs" dxfId="1608" priority="193" stopIfTrue="1" operator="equal">
      <formula>"Towel"</formula>
    </cfRule>
  </conditionalFormatting>
  <conditionalFormatting sqref="B133:C134">
    <cfRule type="cellIs" dxfId="1607" priority="189" stopIfTrue="1" operator="equal">
      <formula>"Towel"</formula>
    </cfRule>
    <cfRule type="cellIs" dxfId="1606" priority="190" stopIfTrue="1" operator="equal">
      <formula>"Napkin Hs"</formula>
    </cfRule>
  </conditionalFormatting>
  <conditionalFormatting sqref="C133:C134">
    <cfRule type="cellIs" dxfId="1605" priority="188" stopIfTrue="1" operator="equal">
      <formula>"Napkin Hs"</formula>
    </cfRule>
  </conditionalFormatting>
  <conditionalFormatting sqref="C133:C134">
    <cfRule type="cellIs" dxfId="1604" priority="185" stopIfTrue="1" operator="equal">
      <formula>"Towel"</formula>
    </cfRule>
    <cfRule type="cellIs" dxfId="1603" priority="186" stopIfTrue="1" operator="equal">
      <formula>"Napkin Hs"</formula>
    </cfRule>
  </conditionalFormatting>
  <conditionalFormatting sqref="C133:C134">
    <cfRule type="cellIs" dxfId="1602" priority="187" stopIfTrue="1" operator="equal">
      <formula>"Towel"</formula>
    </cfRule>
  </conditionalFormatting>
  <conditionalFormatting sqref="B133:C134">
    <cfRule type="cellIs" dxfId="1601" priority="183" stopIfTrue="1" operator="equal">
      <formula>"Towel"</formula>
    </cfRule>
    <cfRule type="cellIs" dxfId="1600" priority="184" stopIfTrue="1" operator="equal">
      <formula>"Napkin Hs"</formula>
    </cfRule>
  </conditionalFormatting>
  <conditionalFormatting sqref="C133:C134">
    <cfRule type="cellIs" dxfId="1599" priority="182" stopIfTrue="1" operator="equal">
      <formula>"Napkin Hs"</formula>
    </cfRule>
  </conditionalFormatting>
  <conditionalFormatting sqref="C133:C134">
    <cfRule type="cellIs" dxfId="1598" priority="179" stopIfTrue="1" operator="equal">
      <formula>"Towel"</formula>
    </cfRule>
    <cfRule type="cellIs" dxfId="1597" priority="180" stopIfTrue="1" operator="equal">
      <formula>"Napkin Hs"</formula>
    </cfRule>
  </conditionalFormatting>
  <conditionalFormatting sqref="C133:C134">
    <cfRule type="cellIs" dxfId="1596" priority="181" stopIfTrue="1" operator="equal">
      <formula>"Towel"</formula>
    </cfRule>
  </conditionalFormatting>
  <conditionalFormatting sqref="B132:C132">
    <cfRule type="cellIs" dxfId="1595" priority="177" stopIfTrue="1" operator="equal">
      <formula>"Towel"</formula>
    </cfRule>
    <cfRule type="cellIs" dxfId="1594" priority="178" stopIfTrue="1" operator="equal">
      <formula>"Napkin Hs"</formula>
    </cfRule>
  </conditionalFormatting>
  <conditionalFormatting sqref="C132">
    <cfRule type="cellIs" dxfId="1593" priority="176" stopIfTrue="1" operator="equal">
      <formula>"Napkin Hs"</formula>
    </cfRule>
  </conditionalFormatting>
  <conditionalFormatting sqref="C132">
    <cfRule type="cellIs" dxfId="1592" priority="173" stopIfTrue="1" operator="equal">
      <formula>"Towel"</formula>
    </cfRule>
    <cfRule type="cellIs" dxfId="1591" priority="174" stopIfTrue="1" operator="equal">
      <formula>"Napkin Hs"</formula>
    </cfRule>
  </conditionalFormatting>
  <conditionalFormatting sqref="C132">
    <cfRule type="cellIs" dxfId="1590" priority="175" stopIfTrue="1" operator="equal">
      <formula>"Towel"</formula>
    </cfRule>
  </conditionalFormatting>
  <conditionalFormatting sqref="B132:C132">
    <cfRule type="cellIs" dxfId="1589" priority="171" stopIfTrue="1" operator="equal">
      <formula>"Towel"</formula>
    </cfRule>
    <cfRule type="cellIs" dxfId="1588" priority="172" stopIfTrue="1" operator="equal">
      <formula>"Napkin Hs"</formula>
    </cfRule>
  </conditionalFormatting>
  <conditionalFormatting sqref="C132">
    <cfRule type="cellIs" dxfId="1587" priority="170" stopIfTrue="1" operator="equal">
      <formula>"Napkin Hs"</formula>
    </cfRule>
  </conditionalFormatting>
  <conditionalFormatting sqref="C132">
    <cfRule type="cellIs" dxfId="1586" priority="167" stopIfTrue="1" operator="equal">
      <formula>"Towel"</formula>
    </cfRule>
    <cfRule type="cellIs" dxfId="1585" priority="168" stopIfTrue="1" operator="equal">
      <formula>"Napkin Hs"</formula>
    </cfRule>
  </conditionalFormatting>
  <conditionalFormatting sqref="C132">
    <cfRule type="cellIs" dxfId="1584" priority="169" stopIfTrue="1" operator="equal">
      <formula>"Towel"</formula>
    </cfRule>
  </conditionalFormatting>
  <conditionalFormatting sqref="B131:C131">
    <cfRule type="cellIs" dxfId="1583" priority="149" stopIfTrue="1" operator="equal">
      <formula>"Towel"</formula>
    </cfRule>
    <cfRule type="cellIs" dxfId="1582" priority="150" stopIfTrue="1" operator="equal">
      <formula>"Napkin Hs"</formula>
    </cfRule>
  </conditionalFormatting>
  <conditionalFormatting sqref="C131">
    <cfRule type="cellIs" dxfId="1581" priority="148" stopIfTrue="1" operator="equal">
      <formula>"Napkin Hs"</formula>
    </cfRule>
  </conditionalFormatting>
  <conditionalFormatting sqref="C131">
    <cfRule type="cellIs" dxfId="1580" priority="145" stopIfTrue="1" operator="equal">
      <formula>"Towel"</formula>
    </cfRule>
    <cfRule type="cellIs" dxfId="1579" priority="146" stopIfTrue="1" operator="equal">
      <formula>"Napkin Hs"</formula>
    </cfRule>
  </conditionalFormatting>
  <conditionalFormatting sqref="C131">
    <cfRule type="cellIs" dxfId="1578" priority="147" stopIfTrue="1" operator="equal">
      <formula>"Towel"</formula>
    </cfRule>
  </conditionalFormatting>
  <conditionalFormatting sqref="C131">
    <cfRule type="cellIs" dxfId="1577" priority="143" stopIfTrue="1" operator="equal">
      <formula>"Towel"</formula>
    </cfRule>
    <cfRule type="cellIs" dxfId="1576" priority="144" stopIfTrue="1" operator="equal">
      <formula>"Napkin Hs"</formula>
    </cfRule>
  </conditionalFormatting>
  <conditionalFormatting sqref="C131">
    <cfRule type="cellIs" dxfId="1575" priority="142" stopIfTrue="1" operator="equal">
      <formula>"Napkin Hs"</formula>
    </cfRule>
  </conditionalFormatting>
  <conditionalFormatting sqref="C131">
    <cfRule type="cellIs" dxfId="1574" priority="139" stopIfTrue="1" operator="equal">
      <formula>"Towel"</formula>
    </cfRule>
    <cfRule type="cellIs" dxfId="1573" priority="140" stopIfTrue="1" operator="equal">
      <formula>"Napkin Hs"</formula>
    </cfRule>
  </conditionalFormatting>
  <conditionalFormatting sqref="C131">
    <cfRule type="cellIs" dxfId="1572" priority="141" stopIfTrue="1" operator="equal">
      <formula>"Towel"</formula>
    </cfRule>
  </conditionalFormatting>
  <conditionalFormatting sqref="C131">
    <cfRule type="cellIs" dxfId="1571" priority="137" stopIfTrue="1" operator="equal">
      <formula>"Towel"</formula>
    </cfRule>
    <cfRule type="cellIs" dxfId="1570" priority="138" stopIfTrue="1" operator="equal">
      <formula>"Napkin Hs"</formula>
    </cfRule>
  </conditionalFormatting>
  <conditionalFormatting sqref="C131">
    <cfRule type="cellIs" dxfId="1569" priority="136" stopIfTrue="1" operator="equal">
      <formula>"Napkin Hs"</formula>
    </cfRule>
  </conditionalFormatting>
  <conditionalFormatting sqref="C131">
    <cfRule type="cellIs" dxfId="1568" priority="133" stopIfTrue="1" operator="equal">
      <formula>"Towel"</formula>
    </cfRule>
    <cfRule type="cellIs" dxfId="1567" priority="134" stopIfTrue="1" operator="equal">
      <formula>"Napkin Hs"</formula>
    </cfRule>
  </conditionalFormatting>
  <conditionalFormatting sqref="C131">
    <cfRule type="cellIs" dxfId="1566" priority="135" stopIfTrue="1" operator="equal">
      <formula>"Towel"</formula>
    </cfRule>
  </conditionalFormatting>
  <conditionalFormatting sqref="B131">
    <cfRule type="cellIs" dxfId="1565" priority="131" stopIfTrue="1" operator="equal">
      <formula>"Towel"</formula>
    </cfRule>
    <cfRule type="cellIs" dxfId="1564" priority="132" stopIfTrue="1" operator="equal">
      <formula>"Napkin Hs"</formula>
    </cfRule>
  </conditionalFormatting>
  <conditionalFormatting sqref="B131">
    <cfRule type="cellIs" dxfId="1563" priority="129" stopIfTrue="1" operator="equal">
      <formula>"Towel"</formula>
    </cfRule>
    <cfRule type="cellIs" dxfId="1562" priority="130" stopIfTrue="1" operator="equal">
      <formula>"Napkin Hs"</formula>
    </cfRule>
  </conditionalFormatting>
  <conditionalFormatting sqref="B137:C137">
    <cfRule type="cellIs" dxfId="1561" priority="127" stopIfTrue="1" operator="equal">
      <formula>"Towel"</formula>
    </cfRule>
    <cfRule type="cellIs" dxfId="1560" priority="128" stopIfTrue="1" operator="equal">
      <formula>"Napkin Hs"</formula>
    </cfRule>
  </conditionalFormatting>
  <conditionalFormatting sqref="C137">
    <cfRule type="cellIs" dxfId="1559" priority="125" stopIfTrue="1" operator="equal">
      <formula>"Towel"</formula>
    </cfRule>
    <cfRule type="cellIs" dxfId="1558" priority="126" stopIfTrue="1" operator="equal">
      <formula>"Napkin Hs"</formula>
    </cfRule>
  </conditionalFormatting>
  <conditionalFormatting sqref="C137">
    <cfRule type="cellIs" dxfId="1557" priority="123" stopIfTrue="1" operator="equal">
      <formula>"Towel"</formula>
    </cfRule>
    <cfRule type="cellIs" dxfId="1556" priority="124" stopIfTrue="1" operator="equal">
      <formula>"Napkin Hs"</formula>
    </cfRule>
  </conditionalFormatting>
  <conditionalFormatting sqref="B136:C136">
    <cfRule type="cellIs" dxfId="1555" priority="121" stopIfTrue="1" operator="equal">
      <formula>"Towel"</formula>
    </cfRule>
    <cfRule type="cellIs" dxfId="1554" priority="122" stopIfTrue="1" operator="equal">
      <formula>"Napkin Hs"</formula>
    </cfRule>
  </conditionalFormatting>
  <conditionalFormatting sqref="C136">
    <cfRule type="cellIs" dxfId="1553" priority="120" stopIfTrue="1" operator="equal">
      <formula>"Napkin Hs"</formula>
    </cfRule>
  </conditionalFormatting>
  <conditionalFormatting sqref="C136">
    <cfRule type="cellIs" dxfId="1552" priority="117" stopIfTrue="1" operator="equal">
      <formula>"Towel"</formula>
    </cfRule>
    <cfRule type="cellIs" dxfId="1551" priority="118" stopIfTrue="1" operator="equal">
      <formula>"Napkin Hs"</formula>
    </cfRule>
  </conditionalFormatting>
  <conditionalFormatting sqref="C136">
    <cfRule type="cellIs" dxfId="1550" priority="119" stopIfTrue="1" operator="equal">
      <formula>"Towel"</formula>
    </cfRule>
  </conditionalFormatting>
  <conditionalFormatting sqref="B139:C139">
    <cfRule type="cellIs" dxfId="1549" priority="115" stopIfTrue="1" operator="equal">
      <formula>"Towel"</formula>
    </cfRule>
    <cfRule type="cellIs" dxfId="1548" priority="116" stopIfTrue="1" operator="equal">
      <formula>"Napkin Hs"</formula>
    </cfRule>
  </conditionalFormatting>
  <conditionalFormatting sqref="C139">
    <cfRule type="cellIs" dxfId="1547" priority="114" stopIfTrue="1" operator="equal">
      <formula>"Napkin Hs"</formula>
    </cfRule>
  </conditionalFormatting>
  <conditionalFormatting sqref="C139">
    <cfRule type="cellIs" dxfId="1546" priority="111" stopIfTrue="1" operator="equal">
      <formula>"Towel"</formula>
    </cfRule>
    <cfRule type="cellIs" dxfId="1545" priority="112" stopIfTrue="1" operator="equal">
      <formula>"Napkin Hs"</formula>
    </cfRule>
  </conditionalFormatting>
  <conditionalFormatting sqref="C139">
    <cfRule type="cellIs" dxfId="1544" priority="113" stopIfTrue="1" operator="equal">
      <formula>"Towel"</formula>
    </cfRule>
  </conditionalFormatting>
  <conditionalFormatting sqref="B138:C138">
    <cfRule type="cellIs" dxfId="1543" priority="109" stopIfTrue="1" operator="equal">
      <formula>"Towel"</formula>
    </cfRule>
    <cfRule type="cellIs" dxfId="1542" priority="110" stopIfTrue="1" operator="equal">
      <formula>"Napkin Hs"</formula>
    </cfRule>
  </conditionalFormatting>
  <conditionalFormatting sqref="C138">
    <cfRule type="cellIs" dxfId="1541" priority="108" stopIfTrue="1" operator="equal">
      <formula>"Napkin Hs"</formula>
    </cfRule>
  </conditionalFormatting>
  <conditionalFormatting sqref="C138">
    <cfRule type="cellIs" dxfId="1540" priority="105" stopIfTrue="1" operator="equal">
      <formula>"Towel"</formula>
    </cfRule>
    <cfRule type="cellIs" dxfId="1539" priority="106" stopIfTrue="1" operator="equal">
      <formula>"Napkin Hs"</formula>
    </cfRule>
  </conditionalFormatting>
  <conditionalFormatting sqref="C138">
    <cfRule type="cellIs" dxfId="1538" priority="107" stopIfTrue="1" operator="equal">
      <formula>"Towel"</formula>
    </cfRule>
  </conditionalFormatting>
  <conditionalFormatting sqref="B138:C139">
    <cfRule type="cellIs" dxfId="1537" priority="103" stopIfTrue="1" operator="equal">
      <formula>"Towel"</formula>
    </cfRule>
    <cfRule type="cellIs" dxfId="1536" priority="104" stopIfTrue="1" operator="equal">
      <formula>"Napkin Hs"</formula>
    </cfRule>
  </conditionalFormatting>
  <conditionalFormatting sqref="C138:C139">
    <cfRule type="cellIs" dxfId="1535" priority="102" stopIfTrue="1" operator="equal">
      <formula>"Napkin Hs"</formula>
    </cfRule>
  </conditionalFormatting>
  <conditionalFormatting sqref="C138:C139">
    <cfRule type="cellIs" dxfId="1534" priority="99" stopIfTrue="1" operator="equal">
      <formula>"Towel"</formula>
    </cfRule>
    <cfRule type="cellIs" dxfId="1533" priority="100" stopIfTrue="1" operator="equal">
      <formula>"Napkin Hs"</formula>
    </cfRule>
  </conditionalFormatting>
  <conditionalFormatting sqref="C138:C139">
    <cfRule type="cellIs" dxfId="1532" priority="101" stopIfTrue="1" operator="equal">
      <formula>"Towel"</formula>
    </cfRule>
  </conditionalFormatting>
  <conditionalFormatting sqref="B138:C139">
    <cfRule type="cellIs" dxfId="1531" priority="97" stopIfTrue="1" operator="equal">
      <formula>"Towel"</formula>
    </cfRule>
    <cfRule type="cellIs" dxfId="1530" priority="98" stopIfTrue="1" operator="equal">
      <formula>"Napkin Hs"</formula>
    </cfRule>
  </conditionalFormatting>
  <conditionalFormatting sqref="C138:C139">
    <cfRule type="cellIs" dxfId="1529" priority="96" stopIfTrue="1" operator="equal">
      <formula>"Napkin Hs"</formula>
    </cfRule>
  </conditionalFormatting>
  <conditionalFormatting sqref="C138:C139">
    <cfRule type="cellIs" dxfId="1528" priority="93" stopIfTrue="1" operator="equal">
      <formula>"Towel"</formula>
    </cfRule>
    <cfRule type="cellIs" dxfId="1527" priority="94" stopIfTrue="1" operator="equal">
      <formula>"Napkin Hs"</formula>
    </cfRule>
  </conditionalFormatting>
  <conditionalFormatting sqref="C138:C139">
    <cfRule type="cellIs" dxfId="1526" priority="95" stopIfTrue="1" operator="equal">
      <formula>"Towel"</formula>
    </cfRule>
  </conditionalFormatting>
  <conditionalFormatting sqref="B137:C137">
    <cfRule type="cellIs" dxfId="1525" priority="91" stopIfTrue="1" operator="equal">
      <formula>"Towel"</formula>
    </cfRule>
    <cfRule type="cellIs" dxfId="1524" priority="92" stopIfTrue="1" operator="equal">
      <formula>"Napkin Hs"</formula>
    </cfRule>
  </conditionalFormatting>
  <conditionalFormatting sqref="C137">
    <cfRule type="cellIs" dxfId="1523" priority="90" stopIfTrue="1" operator="equal">
      <formula>"Napkin Hs"</formula>
    </cfRule>
  </conditionalFormatting>
  <conditionalFormatting sqref="C137">
    <cfRule type="cellIs" dxfId="1522" priority="87" stopIfTrue="1" operator="equal">
      <formula>"Towel"</formula>
    </cfRule>
    <cfRule type="cellIs" dxfId="1521" priority="88" stopIfTrue="1" operator="equal">
      <formula>"Napkin Hs"</formula>
    </cfRule>
  </conditionalFormatting>
  <conditionalFormatting sqref="C137">
    <cfRule type="cellIs" dxfId="1520" priority="89" stopIfTrue="1" operator="equal">
      <formula>"Towel"</formula>
    </cfRule>
  </conditionalFormatting>
  <conditionalFormatting sqref="B137:C137">
    <cfRule type="cellIs" dxfId="1519" priority="85" stopIfTrue="1" operator="equal">
      <formula>"Towel"</formula>
    </cfRule>
    <cfRule type="cellIs" dxfId="1518" priority="86" stopIfTrue="1" operator="equal">
      <formula>"Napkin Hs"</formula>
    </cfRule>
  </conditionalFormatting>
  <conditionalFormatting sqref="C137">
    <cfRule type="cellIs" dxfId="1517" priority="84" stopIfTrue="1" operator="equal">
      <formula>"Napkin Hs"</formula>
    </cfRule>
  </conditionalFormatting>
  <conditionalFormatting sqref="C137">
    <cfRule type="cellIs" dxfId="1516" priority="81" stopIfTrue="1" operator="equal">
      <formula>"Towel"</formula>
    </cfRule>
    <cfRule type="cellIs" dxfId="1515" priority="82" stopIfTrue="1" operator="equal">
      <formula>"Napkin Hs"</formula>
    </cfRule>
  </conditionalFormatting>
  <conditionalFormatting sqref="C137">
    <cfRule type="cellIs" dxfId="1514" priority="83" stopIfTrue="1" operator="equal">
      <formula>"Towel"</formula>
    </cfRule>
  </conditionalFormatting>
  <conditionalFormatting sqref="C136">
    <cfRule type="cellIs" dxfId="1513" priority="79" stopIfTrue="1" operator="equal">
      <formula>"Towel"</formula>
    </cfRule>
    <cfRule type="cellIs" dxfId="1512" priority="80" stopIfTrue="1" operator="equal">
      <formula>"Napkin Hs"</formula>
    </cfRule>
  </conditionalFormatting>
  <conditionalFormatting sqref="C136">
    <cfRule type="cellIs" dxfId="1511" priority="78" stopIfTrue="1" operator="equal">
      <formula>"Napkin Hs"</formula>
    </cfRule>
  </conditionalFormatting>
  <conditionalFormatting sqref="C136">
    <cfRule type="cellIs" dxfId="1510" priority="75" stopIfTrue="1" operator="equal">
      <formula>"Towel"</formula>
    </cfRule>
    <cfRule type="cellIs" dxfId="1509" priority="76" stopIfTrue="1" operator="equal">
      <formula>"Napkin Hs"</formula>
    </cfRule>
  </conditionalFormatting>
  <conditionalFormatting sqref="C136">
    <cfRule type="cellIs" dxfId="1508" priority="77" stopIfTrue="1" operator="equal">
      <formula>"Towel"</formula>
    </cfRule>
  </conditionalFormatting>
  <conditionalFormatting sqref="C136">
    <cfRule type="cellIs" dxfId="1507" priority="73" stopIfTrue="1" operator="equal">
      <formula>"Towel"</formula>
    </cfRule>
    <cfRule type="cellIs" dxfId="1506" priority="74" stopIfTrue="1" operator="equal">
      <formula>"Napkin Hs"</formula>
    </cfRule>
  </conditionalFormatting>
  <conditionalFormatting sqref="C136">
    <cfRule type="cellIs" dxfId="1505" priority="72" stopIfTrue="1" operator="equal">
      <formula>"Napkin Hs"</formula>
    </cfRule>
  </conditionalFormatting>
  <conditionalFormatting sqref="C136">
    <cfRule type="cellIs" dxfId="1504" priority="69" stopIfTrue="1" operator="equal">
      <formula>"Towel"</formula>
    </cfRule>
    <cfRule type="cellIs" dxfId="1503" priority="70" stopIfTrue="1" operator="equal">
      <formula>"Napkin Hs"</formula>
    </cfRule>
  </conditionalFormatting>
  <conditionalFormatting sqref="C136">
    <cfRule type="cellIs" dxfId="1502" priority="71" stopIfTrue="1" operator="equal">
      <formula>"Towel"</formula>
    </cfRule>
  </conditionalFormatting>
  <conditionalFormatting sqref="B136">
    <cfRule type="cellIs" dxfId="1501" priority="67" stopIfTrue="1" operator="equal">
      <formula>"Towel"</formula>
    </cfRule>
    <cfRule type="cellIs" dxfId="1500" priority="68" stopIfTrue="1" operator="equal">
      <formula>"Napkin Hs"</formula>
    </cfRule>
  </conditionalFormatting>
  <conditionalFormatting sqref="B136">
    <cfRule type="cellIs" dxfId="1499" priority="65" stopIfTrue="1" operator="equal">
      <formula>"Towel"</formula>
    </cfRule>
    <cfRule type="cellIs" dxfId="1498" priority="66" stopIfTrue="1" operator="equal">
      <formula>"Napkin Hs"</formula>
    </cfRule>
  </conditionalFormatting>
  <conditionalFormatting sqref="B142:C142">
    <cfRule type="cellIs" dxfId="1497" priority="63" stopIfTrue="1" operator="equal">
      <formula>"Towel"</formula>
    </cfRule>
    <cfRule type="cellIs" dxfId="1496" priority="64" stopIfTrue="1" operator="equal">
      <formula>"Napkin Hs"</formula>
    </cfRule>
  </conditionalFormatting>
  <conditionalFormatting sqref="C142">
    <cfRule type="cellIs" dxfId="1495" priority="61" stopIfTrue="1" operator="equal">
      <formula>"Towel"</formula>
    </cfRule>
    <cfRule type="cellIs" dxfId="1494" priority="62" stopIfTrue="1" operator="equal">
      <formula>"Napkin Hs"</formula>
    </cfRule>
  </conditionalFormatting>
  <conditionalFormatting sqref="C142">
    <cfRule type="cellIs" dxfId="1493" priority="59" stopIfTrue="1" operator="equal">
      <formula>"Towel"</formula>
    </cfRule>
    <cfRule type="cellIs" dxfId="1492" priority="60" stopIfTrue="1" operator="equal">
      <formula>"Napkin Hs"</formula>
    </cfRule>
  </conditionalFormatting>
  <conditionalFormatting sqref="B141:C141">
    <cfRule type="cellIs" dxfId="1491" priority="57" stopIfTrue="1" operator="equal">
      <formula>"Towel"</formula>
    </cfRule>
    <cfRule type="cellIs" dxfId="1490" priority="58" stopIfTrue="1" operator="equal">
      <formula>"Napkin Hs"</formula>
    </cfRule>
  </conditionalFormatting>
  <conditionalFormatting sqref="C141">
    <cfRule type="cellIs" dxfId="1489" priority="56" stopIfTrue="1" operator="equal">
      <formula>"Napkin Hs"</formula>
    </cfRule>
  </conditionalFormatting>
  <conditionalFormatting sqref="C141">
    <cfRule type="cellIs" dxfId="1488" priority="53" stopIfTrue="1" operator="equal">
      <formula>"Towel"</formula>
    </cfRule>
    <cfRule type="cellIs" dxfId="1487" priority="54" stopIfTrue="1" operator="equal">
      <formula>"Napkin Hs"</formula>
    </cfRule>
  </conditionalFormatting>
  <conditionalFormatting sqref="C141">
    <cfRule type="cellIs" dxfId="1486" priority="55" stopIfTrue="1" operator="equal">
      <formula>"Towel"</formula>
    </cfRule>
  </conditionalFormatting>
  <conditionalFormatting sqref="B144:C144">
    <cfRule type="cellIs" dxfId="1485" priority="51" stopIfTrue="1" operator="equal">
      <formula>"Towel"</formula>
    </cfRule>
    <cfRule type="cellIs" dxfId="1484" priority="52" stopIfTrue="1" operator="equal">
      <formula>"Napkin Hs"</formula>
    </cfRule>
  </conditionalFormatting>
  <conditionalFormatting sqref="C144">
    <cfRule type="cellIs" dxfId="1483" priority="50" stopIfTrue="1" operator="equal">
      <formula>"Napkin Hs"</formula>
    </cfRule>
  </conditionalFormatting>
  <conditionalFormatting sqref="C144">
    <cfRule type="cellIs" dxfId="1482" priority="47" stopIfTrue="1" operator="equal">
      <formula>"Towel"</formula>
    </cfRule>
    <cfRule type="cellIs" dxfId="1481" priority="48" stopIfTrue="1" operator="equal">
      <formula>"Napkin Hs"</formula>
    </cfRule>
  </conditionalFormatting>
  <conditionalFormatting sqref="C144">
    <cfRule type="cellIs" dxfId="1480" priority="49" stopIfTrue="1" operator="equal">
      <formula>"Towel"</formula>
    </cfRule>
  </conditionalFormatting>
  <conditionalFormatting sqref="B143:C143">
    <cfRule type="cellIs" dxfId="1479" priority="45" stopIfTrue="1" operator="equal">
      <formula>"Towel"</formula>
    </cfRule>
    <cfRule type="cellIs" dxfId="1478" priority="46" stopIfTrue="1" operator="equal">
      <formula>"Napkin Hs"</formula>
    </cfRule>
  </conditionalFormatting>
  <conditionalFormatting sqref="C143">
    <cfRule type="cellIs" dxfId="1477" priority="44" stopIfTrue="1" operator="equal">
      <formula>"Napkin Hs"</formula>
    </cfRule>
  </conditionalFormatting>
  <conditionalFormatting sqref="C143">
    <cfRule type="cellIs" dxfId="1476" priority="41" stopIfTrue="1" operator="equal">
      <formula>"Towel"</formula>
    </cfRule>
    <cfRule type="cellIs" dxfId="1475" priority="42" stopIfTrue="1" operator="equal">
      <formula>"Napkin Hs"</formula>
    </cfRule>
  </conditionalFormatting>
  <conditionalFormatting sqref="C143">
    <cfRule type="cellIs" dxfId="1474" priority="43" stopIfTrue="1" operator="equal">
      <formula>"Towel"</formula>
    </cfRule>
  </conditionalFormatting>
  <conditionalFormatting sqref="B143:C144">
    <cfRule type="cellIs" dxfId="1473" priority="39" stopIfTrue="1" operator="equal">
      <formula>"Towel"</formula>
    </cfRule>
    <cfRule type="cellIs" dxfId="1472" priority="40" stopIfTrue="1" operator="equal">
      <formula>"Napkin Hs"</formula>
    </cfRule>
  </conditionalFormatting>
  <conditionalFormatting sqref="C143:C144">
    <cfRule type="cellIs" dxfId="1471" priority="38" stopIfTrue="1" operator="equal">
      <formula>"Napkin Hs"</formula>
    </cfRule>
  </conditionalFormatting>
  <conditionalFormatting sqref="C143:C144">
    <cfRule type="cellIs" dxfId="1470" priority="35" stopIfTrue="1" operator="equal">
      <formula>"Towel"</formula>
    </cfRule>
    <cfRule type="cellIs" dxfId="1469" priority="36" stopIfTrue="1" operator="equal">
      <formula>"Napkin Hs"</formula>
    </cfRule>
  </conditionalFormatting>
  <conditionalFormatting sqref="C143:C144">
    <cfRule type="cellIs" dxfId="1468" priority="37" stopIfTrue="1" operator="equal">
      <formula>"Towel"</formula>
    </cfRule>
  </conditionalFormatting>
  <conditionalFormatting sqref="B143:C144">
    <cfRule type="cellIs" dxfId="1467" priority="33" stopIfTrue="1" operator="equal">
      <formula>"Towel"</formula>
    </cfRule>
    <cfRule type="cellIs" dxfId="1466" priority="34" stopIfTrue="1" operator="equal">
      <formula>"Napkin Hs"</formula>
    </cfRule>
  </conditionalFormatting>
  <conditionalFormatting sqref="C143:C144">
    <cfRule type="cellIs" dxfId="1465" priority="32" stopIfTrue="1" operator="equal">
      <formula>"Napkin Hs"</formula>
    </cfRule>
  </conditionalFormatting>
  <conditionalFormatting sqref="C143:C144">
    <cfRule type="cellIs" dxfId="1464" priority="29" stopIfTrue="1" operator="equal">
      <formula>"Towel"</formula>
    </cfRule>
    <cfRule type="cellIs" dxfId="1463" priority="30" stopIfTrue="1" operator="equal">
      <formula>"Napkin Hs"</formula>
    </cfRule>
  </conditionalFormatting>
  <conditionalFormatting sqref="C143:C144">
    <cfRule type="cellIs" dxfId="1462" priority="31" stopIfTrue="1" operator="equal">
      <formula>"Towel"</formula>
    </cfRule>
  </conditionalFormatting>
  <conditionalFormatting sqref="B142:C142">
    <cfRule type="cellIs" dxfId="1461" priority="27" stopIfTrue="1" operator="equal">
      <formula>"Towel"</formula>
    </cfRule>
    <cfRule type="cellIs" dxfId="1460" priority="28" stopIfTrue="1" operator="equal">
      <formula>"Napkin Hs"</formula>
    </cfRule>
  </conditionalFormatting>
  <conditionalFormatting sqref="C142">
    <cfRule type="cellIs" dxfId="1459" priority="26" stopIfTrue="1" operator="equal">
      <formula>"Napkin Hs"</formula>
    </cfRule>
  </conditionalFormatting>
  <conditionalFormatting sqref="C142">
    <cfRule type="cellIs" dxfId="1458" priority="23" stopIfTrue="1" operator="equal">
      <formula>"Towel"</formula>
    </cfRule>
    <cfRule type="cellIs" dxfId="1457" priority="24" stopIfTrue="1" operator="equal">
      <formula>"Napkin Hs"</formula>
    </cfRule>
  </conditionalFormatting>
  <conditionalFormatting sqref="C142">
    <cfRule type="cellIs" dxfId="1456" priority="25" stopIfTrue="1" operator="equal">
      <formula>"Towel"</formula>
    </cfRule>
  </conditionalFormatting>
  <conditionalFormatting sqref="B142:C142">
    <cfRule type="cellIs" dxfId="1455" priority="21" stopIfTrue="1" operator="equal">
      <formula>"Towel"</formula>
    </cfRule>
    <cfRule type="cellIs" dxfId="1454" priority="22" stopIfTrue="1" operator="equal">
      <formula>"Napkin Hs"</formula>
    </cfRule>
  </conditionalFormatting>
  <conditionalFormatting sqref="C142">
    <cfRule type="cellIs" dxfId="1453" priority="20" stopIfTrue="1" operator="equal">
      <formula>"Napkin Hs"</formula>
    </cfRule>
  </conditionalFormatting>
  <conditionalFormatting sqref="C142">
    <cfRule type="cellIs" dxfId="1452" priority="17" stopIfTrue="1" operator="equal">
      <formula>"Towel"</formula>
    </cfRule>
    <cfRule type="cellIs" dxfId="1451" priority="18" stopIfTrue="1" operator="equal">
      <formula>"Napkin Hs"</formula>
    </cfRule>
  </conditionalFormatting>
  <conditionalFormatting sqref="C142">
    <cfRule type="cellIs" dxfId="1450" priority="19" stopIfTrue="1" operator="equal">
      <formula>"Towel"</formula>
    </cfRule>
  </conditionalFormatting>
  <conditionalFormatting sqref="C141">
    <cfRule type="cellIs" dxfId="1449" priority="15" stopIfTrue="1" operator="equal">
      <formula>"Towel"</formula>
    </cfRule>
    <cfRule type="cellIs" dxfId="1448" priority="16" stopIfTrue="1" operator="equal">
      <formula>"Napkin Hs"</formula>
    </cfRule>
  </conditionalFormatting>
  <conditionalFormatting sqref="C141">
    <cfRule type="cellIs" dxfId="1447" priority="14" stopIfTrue="1" operator="equal">
      <formula>"Napkin Hs"</formula>
    </cfRule>
  </conditionalFormatting>
  <conditionalFormatting sqref="C141">
    <cfRule type="cellIs" dxfId="1446" priority="11" stopIfTrue="1" operator="equal">
      <formula>"Towel"</formula>
    </cfRule>
    <cfRule type="cellIs" dxfId="1445" priority="12" stopIfTrue="1" operator="equal">
      <formula>"Napkin Hs"</formula>
    </cfRule>
  </conditionalFormatting>
  <conditionalFormatting sqref="C141">
    <cfRule type="cellIs" dxfId="1444" priority="13" stopIfTrue="1" operator="equal">
      <formula>"Towel"</formula>
    </cfRule>
  </conditionalFormatting>
  <conditionalFormatting sqref="C141">
    <cfRule type="cellIs" dxfId="1443" priority="9" stopIfTrue="1" operator="equal">
      <formula>"Towel"</formula>
    </cfRule>
    <cfRule type="cellIs" dxfId="1442" priority="10" stopIfTrue="1" operator="equal">
      <formula>"Napkin Hs"</formula>
    </cfRule>
  </conditionalFormatting>
  <conditionalFormatting sqref="C141">
    <cfRule type="cellIs" dxfId="1441" priority="8" stopIfTrue="1" operator="equal">
      <formula>"Napkin Hs"</formula>
    </cfRule>
  </conditionalFormatting>
  <conditionalFormatting sqref="C141">
    <cfRule type="cellIs" dxfId="1440" priority="5" stopIfTrue="1" operator="equal">
      <formula>"Towel"</formula>
    </cfRule>
    <cfRule type="cellIs" dxfId="1439" priority="6" stopIfTrue="1" operator="equal">
      <formula>"Napkin Hs"</formula>
    </cfRule>
  </conditionalFormatting>
  <conditionalFormatting sqref="C141">
    <cfRule type="cellIs" dxfId="1438" priority="7" stopIfTrue="1" operator="equal">
      <formula>"Towel"</formula>
    </cfRule>
  </conditionalFormatting>
  <conditionalFormatting sqref="B141">
    <cfRule type="cellIs" dxfId="1437" priority="3" stopIfTrue="1" operator="equal">
      <formula>"Towel"</formula>
    </cfRule>
    <cfRule type="cellIs" dxfId="1436" priority="4" stopIfTrue="1" operator="equal">
      <formula>"Napkin Hs"</formula>
    </cfRule>
  </conditionalFormatting>
  <conditionalFormatting sqref="B141">
    <cfRule type="cellIs" dxfId="1435" priority="1" stopIfTrue="1" operator="equal">
      <formula>"Towel"</formula>
    </cfRule>
    <cfRule type="cellIs" dxfId="1434" priority="2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14"/>
  <sheetViews>
    <sheetView zoomScale="90" zoomScaleNormal="90" workbookViewId="0">
      <pane xSplit="6" ySplit="6" topLeftCell="X154" activePane="bottomRight" state="frozen"/>
      <selection pane="topRight" activeCell="F1" sqref="F1"/>
      <selection pane="bottomLeft" activeCell="A7" sqref="A7"/>
      <selection pane="bottomRight" activeCell="X175" sqref="X175"/>
    </sheetView>
  </sheetViews>
  <sheetFormatPr defaultColWidth="10.28515625" defaultRowHeight="12"/>
  <cols>
    <col min="1" max="1" width="12.28515625" style="31" customWidth="1"/>
    <col min="2" max="3" width="14.140625" style="31" customWidth="1"/>
    <col min="4" max="4" width="10.28515625" style="31" customWidth="1"/>
    <col min="5" max="5" width="7.5703125" style="31" bestFit="1" customWidth="1"/>
    <col min="6" max="6" width="7" style="59" customWidth="1"/>
    <col min="7" max="9" width="10.28515625" style="31" customWidth="1"/>
    <col min="10" max="11" width="10.28515625" style="88" customWidth="1"/>
    <col min="12" max="13" width="12.7109375" style="60" customWidth="1"/>
    <col min="14" max="15" width="10.28515625" style="31" customWidth="1"/>
    <col min="16" max="16" width="16.85546875" style="31" bestFit="1" customWidth="1"/>
    <col min="17" max="17" width="12.7109375" style="339" customWidth="1"/>
    <col min="18" max="19" width="10.28515625" style="31" customWidth="1"/>
    <col min="20" max="20" width="10.7109375" style="31" customWidth="1"/>
    <col min="21" max="21" width="10.28515625" style="31" customWidth="1"/>
    <col min="22" max="22" width="12.28515625" style="31" customWidth="1"/>
    <col min="23" max="23" width="13" style="31" customWidth="1"/>
    <col min="24" max="24" width="10.28515625" style="31" customWidth="1"/>
    <col min="25" max="25" width="10.140625" style="31" customWidth="1"/>
    <col min="26" max="28" width="10.28515625" style="31" customWidth="1"/>
    <col min="29" max="29" width="12" style="31" customWidth="1"/>
    <col min="30" max="30" width="11.42578125" style="31" bestFit="1" customWidth="1"/>
    <col min="31" max="31" width="41.42578125" style="31" customWidth="1"/>
    <col min="32" max="38" width="10.28515625" style="31" customWidth="1"/>
    <col min="39" max="39" width="11.7109375" style="31" customWidth="1"/>
    <col min="40" max="41" width="10.28515625" style="31" customWidth="1"/>
    <col min="42" max="43" width="12.42578125" style="31" customWidth="1"/>
    <col min="44" max="44" width="29.7109375" style="31" bestFit="1" customWidth="1"/>
    <col min="45" max="16384" width="10.28515625" style="31"/>
  </cols>
  <sheetData>
    <row r="1" spans="1:58" s="24" customFormat="1" ht="15.75">
      <c r="A1" s="23" t="s">
        <v>394</v>
      </c>
      <c r="G1" s="25"/>
      <c r="H1" s="25"/>
      <c r="I1" s="25"/>
      <c r="J1" s="85"/>
      <c r="K1" s="85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95"/>
      <c r="G2" s="25"/>
      <c r="H2" s="25"/>
      <c r="I2" s="25"/>
      <c r="J2" s="85"/>
      <c r="K2" s="85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655" t="s">
        <v>8</v>
      </c>
      <c r="B3" s="655" t="s">
        <v>9</v>
      </c>
      <c r="C3" s="655" t="s">
        <v>183</v>
      </c>
      <c r="D3" s="655" t="s">
        <v>91</v>
      </c>
      <c r="E3" s="655" t="s">
        <v>92</v>
      </c>
      <c r="F3" s="655" t="s">
        <v>93</v>
      </c>
      <c r="G3" s="668" t="s">
        <v>94</v>
      </c>
      <c r="H3" s="669"/>
      <c r="I3" s="669"/>
      <c r="J3" s="669"/>
      <c r="K3" s="670"/>
      <c r="L3" s="674" t="s">
        <v>95</v>
      </c>
      <c r="M3" s="675"/>
      <c r="N3" s="676"/>
      <c r="O3" s="680" t="s">
        <v>96</v>
      </c>
      <c r="P3" s="667" t="s">
        <v>108</v>
      </c>
      <c r="Q3" s="680" t="s">
        <v>97</v>
      </c>
      <c r="R3" s="653" t="s">
        <v>98</v>
      </c>
      <c r="S3" s="653" t="s">
        <v>99</v>
      </c>
      <c r="T3" s="655" t="s">
        <v>155</v>
      </c>
      <c r="U3" s="655" t="s">
        <v>154</v>
      </c>
      <c r="V3" s="655" t="s">
        <v>156</v>
      </c>
      <c r="W3" s="653" t="s">
        <v>144</v>
      </c>
      <c r="X3" s="660" t="s">
        <v>101</v>
      </c>
      <c r="Y3" s="660" t="s">
        <v>296</v>
      </c>
      <c r="Z3" s="653" t="s">
        <v>102</v>
      </c>
      <c r="AA3" s="655" t="s">
        <v>157</v>
      </c>
      <c r="AB3" s="655" t="s">
        <v>168</v>
      </c>
      <c r="AC3" s="655" t="s">
        <v>166</v>
      </c>
      <c r="AD3" s="655" t="s">
        <v>126</v>
      </c>
      <c r="AE3" s="655" t="s">
        <v>127</v>
      </c>
      <c r="AF3" s="695" t="s">
        <v>128</v>
      </c>
      <c r="AG3" s="695"/>
      <c r="AH3" s="695"/>
      <c r="AI3" s="695"/>
      <c r="AJ3" s="695"/>
      <c r="AK3" s="695"/>
      <c r="AL3" s="695"/>
      <c r="AM3" s="692" t="s">
        <v>129</v>
      </c>
      <c r="AN3" s="700" t="s">
        <v>103</v>
      </c>
      <c r="AO3" s="700"/>
      <c r="AP3" s="700"/>
      <c r="AQ3" s="700"/>
      <c r="AR3" s="700"/>
      <c r="AS3" s="701" t="s">
        <v>104</v>
      </c>
      <c r="AT3" s="688" t="s">
        <v>292</v>
      </c>
      <c r="AU3" s="689"/>
      <c r="AV3" s="696" t="s">
        <v>130</v>
      </c>
      <c r="AW3" s="697"/>
      <c r="AX3" s="698" t="s">
        <v>130</v>
      </c>
      <c r="AY3" s="699"/>
      <c r="AZ3" s="682" t="s">
        <v>308</v>
      </c>
      <c r="BA3" s="687" t="s">
        <v>105</v>
      </c>
      <c r="BB3" s="651" t="s">
        <v>106</v>
      </c>
      <c r="BC3" s="651" t="s">
        <v>107</v>
      </c>
      <c r="BD3" s="645" t="s">
        <v>395</v>
      </c>
      <c r="BE3" s="648" t="s">
        <v>396</v>
      </c>
      <c r="BF3" s="651" t="s">
        <v>397</v>
      </c>
    </row>
    <row r="4" spans="1:58" ht="12" customHeight="1">
      <c r="A4" s="656"/>
      <c r="B4" s="656"/>
      <c r="C4" s="656"/>
      <c r="D4" s="656"/>
      <c r="E4" s="656"/>
      <c r="F4" s="656"/>
      <c r="G4" s="671"/>
      <c r="H4" s="672"/>
      <c r="I4" s="672"/>
      <c r="J4" s="672"/>
      <c r="K4" s="673"/>
      <c r="L4" s="677"/>
      <c r="M4" s="678"/>
      <c r="N4" s="679"/>
      <c r="O4" s="681"/>
      <c r="P4" s="663"/>
      <c r="Q4" s="681"/>
      <c r="R4" s="654"/>
      <c r="S4" s="654"/>
      <c r="T4" s="656"/>
      <c r="U4" s="656"/>
      <c r="V4" s="656"/>
      <c r="W4" s="654"/>
      <c r="X4" s="661"/>
      <c r="Y4" s="661"/>
      <c r="Z4" s="654"/>
      <c r="AA4" s="656"/>
      <c r="AB4" s="656"/>
      <c r="AC4" s="656"/>
      <c r="AD4" s="656"/>
      <c r="AE4" s="656"/>
      <c r="AF4" s="657" t="s">
        <v>131</v>
      </c>
      <c r="AG4" s="658"/>
      <c r="AH4" s="659"/>
      <c r="AI4" s="663" t="s">
        <v>222</v>
      </c>
      <c r="AJ4" s="663" t="s">
        <v>15</v>
      </c>
      <c r="AK4" s="663" t="s">
        <v>132</v>
      </c>
      <c r="AL4" s="663" t="s">
        <v>18</v>
      </c>
      <c r="AM4" s="693"/>
      <c r="AN4" s="666" t="s">
        <v>109</v>
      </c>
      <c r="AO4" s="666" t="s">
        <v>15</v>
      </c>
      <c r="AP4" s="666" t="s">
        <v>110</v>
      </c>
      <c r="AQ4" s="666" t="s">
        <v>18</v>
      </c>
      <c r="AR4" s="687" t="s">
        <v>111</v>
      </c>
      <c r="AS4" s="701"/>
      <c r="AT4" s="690"/>
      <c r="AU4" s="691"/>
      <c r="AV4" s="520" t="s">
        <v>6</v>
      </c>
      <c r="AW4" s="520" t="s">
        <v>133</v>
      </c>
      <c r="AX4" s="521" t="s">
        <v>6</v>
      </c>
      <c r="AY4" s="522" t="s">
        <v>133</v>
      </c>
      <c r="AZ4" s="683"/>
      <c r="BA4" s="687"/>
      <c r="BB4" s="651"/>
      <c r="BC4" s="651"/>
      <c r="BD4" s="646"/>
      <c r="BE4" s="649"/>
      <c r="BF4" s="651"/>
    </row>
    <row r="5" spans="1:58" s="34" customFormat="1" ht="48">
      <c r="A5" s="656"/>
      <c r="B5" s="656"/>
      <c r="C5" s="665"/>
      <c r="D5" s="656"/>
      <c r="E5" s="656"/>
      <c r="F5" s="656"/>
      <c r="G5" s="538" t="s">
        <v>112</v>
      </c>
      <c r="H5" s="537" t="s">
        <v>113</v>
      </c>
      <c r="I5" s="32" t="s">
        <v>114</v>
      </c>
      <c r="J5" s="86" t="s">
        <v>115</v>
      </c>
      <c r="K5" s="86" t="s">
        <v>100</v>
      </c>
      <c r="L5" s="33" t="s">
        <v>116</v>
      </c>
      <c r="M5" s="33" t="s">
        <v>117</v>
      </c>
      <c r="N5" s="537" t="s">
        <v>118</v>
      </c>
      <c r="O5" s="681"/>
      <c r="P5" s="664"/>
      <c r="Q5" s="681"/>
      <c r="R5" s="654"/>
      <c r="S5" s="654"/>
      <c r="T5" s="656"/>
      <c r="U5" s="656"/>
      <c r="V5" s="656"/>
      <c r="W5" s="654"/>
      <c r="X5" s="661"/>
      <c r="Y5" s="662"/>
      <c r="Z5" s="654"/>
      <c r="AA5" s="656"/>
      <c r="AB5" s="665"/>
      <c r="AC5" s="656"/>
      <c r="AD5" s="665"/>
      <c r="AE5" s="656"/>
      <c r="AF5" s="450" t="s">
        <v>297</v>
      </c>
      <c r="AG5" s="536" t="s">
        <v>298</v>
      </c>
      <c r="AH5" s="536" t="s">
        <v>299</v>
      </c>
      <c r="AI5" s="664"/>
      <c r="AJ5" s="664"/>
      <c r="AK5" s="664"/>
      <c r="AL5" s="664"/>
      <c r="AM5" s="694"/>
      <c r="AN5" s="667"/>
      <c r="AO5" s="667"/>
      <c r="AP5" s="667"/>
      <c r="AQ5" s="667"/>
      <c r="AR5" s="653"/>
      <c r="AS5" s="702"/>
      <c r="AT5" s="539" t="s">
        <v>293</v>
      </c>
      <c r="AU5" s="539" t="s">
        <v>294</v>
      </c>
      <c r="AV5" s="523" t="s">
        <v>295</v>
      </c>
      <c r="AW5" s="523" t="s">
        <v>295</v>
      </c>
      <c r="AX5" s="521" t="s">
        <v>17</v>
      </c>
      <c r="AY5" s="521" t="s">
        <v>17</v>
      </c>
      <c r="AZ5" s="684"/>
      <c r="BA5" s="653"/>
      <c r="BB5" s="655"/>
      <c r="BC5" s="655"/>
      <c r="BD5" s="647"/>
      <c r="BE5" s="650"/>
      <c r="BF5" s="652"/>
    </row>
    <row r="6" spans="1:58" ht="12.75" customHeight="1">
      <c r="A6" s="42">
        <f>+Report1!A9</f>
        <v>45931</v>
      </c>
      <c r="B6" s="43" t="s">
        <v>7</v>
      </c>
      <c r="C6" s="421">
        <f t="shared" ref="C6" si="0">(M6*E6*O6*Q6)/100000000</f>
        <v>19.336906060452488</v>
      </c>
      <c r="D6" s="43" t="s">
        <v>304</v>
      </c>
      <c r="E6" s="44">
        <v>12</v>
      </c>
      <c r="F6" s="44">
        <v>1</v>
      </c>
      <c r="G6" s="506">
        <v>1230</v>
      </c>
      <c r="H6" s="46">
        <v>0.23</v>
      </c>
      <c r="I6" s="47">
        <v>0.88</v>
      </c>
      <c r="J6" s="87">
        <f t="shared" ref="J6" si="1">E6*G6*(1-H6)*1440/1000000*2.74</f>
        <v>44.842533120000006</v>
      </c>
      <c r="K6" s="87">
        <f t="shared" ref="K6" si="2">(IF(G6&lt;L6,L6,G6)*(1-IF(H6&lt;N6,H6,N6))*E6*O6*Q6)/100000000</f>
        <v>21.76663104</v>
      </c>
      <c r="L6" s="37">
        <v>1092.6998491704373</v>
      </c>
      <c r="M6" s="37">
        <v>841.37888386123677</v>
      </c>
      <c r="N6" s="48">
        <f t="shared" ref="N6" si="3">1-(M6/L6)</f>
        <v>0.22999999999999998</v>
      </c>
      <c r="O6" s="49">
        <f>+'Trim Rwd'!H4</f>
        <v>266</v>
      </c>
      <c r="P6" s="50">
        <f t="shared" ref="P6" si="4">O6*(Q6-R6-S6)</f>
        <v>168910</v>
      </c>
      <c r="Q6" s="49">
        <f>1440-720</f>
        <v>720</v>
      </c>
      <c r="R6" s="507">
        <f>777-720</f>
        <v>57</v>
      </c>
      <c r="S6" s="507">
        <v>28</v>
      </c>
      <c r="T6" s="39">
        <f t="shared" ref="T6" si="5">E6*M6*O6*Q6/100000000</f>
        <v>19.336906060452488</v>
      </c>
      <c r="U6" s="39">
        <f>E6*M6*O6*(Q6-R6-S6)/100000000</f>
        <v>17.054076872760181</v>
      </c>
      <c r="V6" s="39">
        <f>E6*G6*(1-N6)*O6/100*(R6+S6)/1000000</f>
        <v>2.5696717200000001</v>
      </c>
      <c r="W6" s="39">
        <f>+'1'!C34/1000</f>
        <v>8.9130000000000003</v>
      </c>
      <c r="X6" s="508">
        <f>SUM(W6:W10)/SUM(K6:K10)</f>
        <v>0.40947999640462507</v>
      </c>
      <c r="Y6" s="216">
        <v>0</v>
      </c>
      <c r="Z6" s="39">
        <f>+'1'!D25/1000</f>
        <v>2.0619999999999998</v>
      </c>
      <c r="AA6" s="51">
        <f>SUM(U6:U10)-SUM(W6:W10)-SUM(Z6:Z10)-SUM(Y6:Y10)</f>
        <v>6.0790768727601812</v>
      </c>
      <c r="AB6" s="51">
        <f>(SUM(K6:K10)-SUM(W6:W10)-SUM(Y6:Y10)-SUM(Z6:Z10)-SUM(AC6:AC10)-SUM(V6:V10))-AA6</f>
        <v>-0.28684253230769308</v>
      </c>
      <c r="AC6" s="39">
        <f>K6-T6</f>
        <v>2.4297249795475118</v>
      </c>
      <c r="AD6" s="39">
        <f>+AM6+BA6</f>
        <v>8</v>
      </c>
      <c r="AE6" s="235" t="s">
        <v>413</v>
      </c>
      <c r="AF6" s="39">
        <v>8</v>
      </c>
      <c r="AG6" s="39"/>
      <c r="AH6" s="39"/>
      <c r="AI6" s="509"/>
      <c r="AJ6" s="39"/>
      <c r="AK6" s="39"/>
      <c r="AL6" s="39"/>
      <c r="AM6" s="39">
        <f t="shared" ref="AM6:AM14" si="6">SUM(AF6:AL6)+AT6+AV6+AX6</f>
        <v>8</v>
      </c>
      <c r="AN6" s="39"/>
      <c r="AO6" s="39"/>
      <c r="AP6" s="39"/>
      <c r="AQ6" s="39"/>
      <c r="AR6" s="39">
        <f>SUM(AN6:AQ6)</f>
        <v>0</v>
      </c>
      <c r="AS6" s="39"/>
      <c r="AT6" s="39"/>
      <c r="AU6" s="39"/>
      <c r="AV6" s="39"/>
      <c r="AW6" s="39"/>
      <c r="AX6" s="39"/>
      <c r="AY6" s="39"/>
      <c r="AZ6" s="39"/>
      <c r="BA6" s="39">
        <f>+AR6+AS6+AU6+AW6+AY6+AZ6</f>
        <v>0</v>
      </c>
      <c r="BB6" s="35">
        <v>4</v>
      </c>
      <c r="BC6" s="53"/>
      <c r="BD6" s="53"/>
      <c r="BE6" s="35"/>
      <c r="BF6" s="53"/>
    </row>
    <row r="7" spans="1:58" ht="12.95" customHeight="1">
      <c r="A7" s="42"/>
      <c r="B7" s="43"/>
      <c r="C7" s="421"/>
      <c r="D7" s="43"/>
      <c r="E7" s="44"/>
      <c r="F7" s="44"/>
      <c r="G7" s="506"/>
      <c r="H7" s="46"/>
      <c r="I7" s="47"/>
      <c r="J7" s="87"/>
      <c r="K7" s="87"/>
      <c r="L7" s="37"/>
      <c r="M7" s="37"/>
      <c r="N7" s="48"/>
      <c r="O7" s="49"/>
      <c r="P7" s="50"/>
      <c r="Q7" s="49"/>
      <c r="R7" s="507"/>
      <c r="S7" s="507"/>
      <c r="T7" s="39"/>
      <c r="U7" s="39"/>
      <c r="V7" s="39"/>
      <c r="W7" s="39"/>
      <c r="X7" s="40"/>
      <c r="Y7" s="216"/>
      <c r="Z7" s="39"/>
      <c r="AA7" s="39"/>
      <c r="AB7" s="39"/>
      <c r="AC7" s="39"/>
      <c r="AD7" s="39">
        <f>+AM7+BA7</f>
        <v>0</v>
      </c>
      <c r="AE7" s="235" t="s">
        <v>286</v>
      </c>
      <c r="AF7" s="39"/>
      <c r="AG7" s="39">
        <v>0</v>
      </c>
      <c r="AH7" s="39"/>
      <c r="AI7" s="39"/>
      <c r="AJ7" s="39"/>
      <c r="AK7" s="39"/>
      <c r="AL7" s="39"/>
      <c r="AM7" s="39">
        <f t="shared" si="6"/>
        <v>0</v>
      </c>
      <c r="AN7" s="88"/>
      <c r="AO7" s="39"/>
      <c r="AP7" s="39"/>
      <c r="AQ7" s="39"/>
      <c r="AR7" s="39">
        <f t="shared" ref="AR7:AR8" si="7">SUM(AN7:AQ7)</f>
        <v>0</v>
      </c>
      <c r="AS7" s="39"/>
      <c r="AT7" s="39"/>
      <c r="AU7" s="39"/>
      <c r="AV7" s="39"/>
      <c r="AW7" s="39"/>
      <c r="AX7" s="39"/>
      <c r="AY7" s="39"/>
      <c r="AZ7" s="39"/>
      <c r="BA7" s="39">
        <f>+AR7+AS7+AU7+AW7+AY7+AZ7</f>
        <v>0</v>
      </c>
      <c r="BB7" s="52"/>
      <c r="BC7" s="53">
        <v>0</v>
      </c>
      <c r="BD7" s="53"/>
      <c r="BE7" s="52"/>
      <c r="BF7" s="53"/>
    </row>
    <row r="8" spans="1:58" ht="12.95" customHeight="1">
      <c r="A8" s="42"/>
      <c r="B8" s="43"/>
      <c r="C8" s="421"/>
      <c r="D8" s="43"/>
      <c r="E8" s="44"/>
      <c r="F8" s="44"/>
      <c r="G8" s="45"/>
      <c r="H8" s="46"/>
      <c r="I8" s="47"/>
      <c r="J8" s="87"/>
      <c r="K8" s="87"/>
      <c r="L8" s="37"/>
      <c r="M8" s="37"/>
      <c r="N8" s="48"/>
      <c r="O8" s="49"/>
      <c r="P8" s="50"/>
      <c r="Q8" s="49"/>
      <c r="R8" s="507"/>
      <c r="S8" s="507"/>
      <c r="T8" s="39"/>
      <c r="U8" s="39"/>
      <c r="V8" s="39"/>
      <c r="W8" s="39"/>
      <c r="X8" s="40"/>
      <c r="Y8" s="216"/>
      <c r="Z8" s="39"/>
      <c r="AA8" s="39"/>
      <c r="AB8" s="39"/>
      <c r="AC8" s="39"/>
      <c r="AD8" s="39">
        <f>+AM8+BA8</f>
        <v>20</v>
      </c>
      <c r="AE8" s="235" t="s">
        <v>414</v>
      </c>
      <c r="AF8" s="35"/>
      <c r="AG8" s="35"/>
      <c r="AH8" s="35">
        <v>20</v>
      </c>
      <c r="AI8" s="35"/>
      <c r="AJ8" s="39"/>
      <c r="AK8" s="39"/>
      <c r="AL8" s="39"/>
      <c r="AM8" s="39">
        <f t="shared" si="6"/>
        <v>20</v>
      </c>
      <c r="AN8" s="39"/>
      <c r="AO8" s="39"/>
      <c r="AP8" s="39"/>
      <c r="AQ8" s="39"/>
      <c r="AR8" s="39">
        <f t="shared" si="7"/>
        <v>0</v>
      </c>
      <c r="AS8" s="39"/>
      <c r="AT8" s="39"/>
      <c r="AU8" s="39"/>
      <c r="AV8" s="39"/>
      <c r="AW8" s="39"/>
      <c r="AX8" s="39"/>
      <c r="AY8" s="39"/>
      <c r="AZ8" s="39"/>
      <c r="BA8" s="39">
        <f>+AR8+AS8+AU8+AW8+AY8+AZ8</f>
        <v>0</v>
      </c>
      <c r="BB8" s="35"/>
      <c r="BC8" s="510"/>
      <c r="BD8" s="510"/>
      <c r="BE8" s="35"/>
      <c r="BF8" s="510"/>
    </row>
    <row r="9" spans="1:58" ht="12.95" customHeight="1">
      <c r="A9" s="42"/>
      <c r="B9" s="43"/>
      <c r="C9" s="421"/>
      <c r="D9" s="43"/>
      <c r="E9" s="44"/>
      <c r="F9" s="44"/>
      <c r="G9" s="45"/>
      <c r="H9" s="46"/>
      <c r="I9" s="47"/>
      <c r="J9" s="87"/>
      <c r="K9" s="87"/>
      <c r="L9" s="37"/>
      <c r="M9" s="37"/>
      <c r="N9" s="48"/>
      <c r="O9" s="49"/>
      <c r="P9" s="50"/>
      <c r="Q9" s="49"/>
      <c r="R9" s="507"/>
      <c r="S9" s="507"/>
      <c r="T9" s="39"/>
      <c r="U9" s="39"/>
      <c r="V9" s="39"/>
      <c r="W9" s="39"/>
      <c r="X9" s="40"/>
      <c r="Y9" s="216"/>
      <c r="Z9" s="39"/>
      <c r="AA9" s="39"/>
      <c r="AB9" s="39"/>
      <c r="AC9" s="39"/>
      <c r="AD9" s="39">
        <f>+AM9+BA9</f>
        <v>0</v>
      </c>
      <c r="AE9" s="235" t="s">
        <v>415</v>
      </c>
      <c r="AF9" s="35"/>
      <c r="AG9" s="35"/>
      <c r="AH9" s="35"/>
      <c r="AI9" s="35"/>
      <c r="AJ9" s="39"/>
      <c r="AK9" s="39"/>
      <c r="AL9" s="39"/>
      <c r="AM9" s="39">
        <f t="shared" ref="AM9" si="8">SUM(AF9:AL9)+AT9+AV9+AX9</f>
        <v>0</v>
      </c>
      <c r="AN9" s="39"/>
      <c r="AO9" s="39"/>
      <c r="AP9" s="39"/>
      <c r="AQ9" s="39"/>
      <c r="AR9" s="39">
        <f t="shared" ref="AR9" si="9">SUM(AN9:AQ9)</f>
        <v>0</v>
      </c>
      <c r="AS9" s="39"/>
      <c r="AT9" s="39"/>
      <c r="AU9" s="39">
        <f>720-720</f>
        <v>0</v>
      </c>
      <c r="AV9" s="39"/>
      <c r="AW9" s="39"/>
      <c r="AX9" s="39"/>
      <c r="AY9" s="39"/>
      <c r="AZ9" s="39"/>
      <c r="BA9" s="39">
        <f>+AR9+AS9+AU9+AW9+AY9+AZ9</f>
        <v>0</v>
      </c>
      <c r="BB9" s="35"/>
      <c r="BC9" s="510"/>
      <c r="BD9" s="510"/>
      <c r="BE9" s="35"/>
      <c r="BF9" s="510"/>
    </row>
    <row r="10" spans="1:58" ht="12.95" customHeight="1">
      <c r="A10" s="42"/>
      <c r="B10" s="43"/>
      <c r="C10" s="421"/>
      <c r="D10" s="43"/>
      <c r="E10" s="44"/>
      <c r="F10" s="44"/>
      <c r="G10" s="45"/>
      <c r="H10" s="46"/>
      <c r="I10" s="47"/>
      <c r="J10" s="87"/>
      <c r="K10" s="87"/>
      <c r="L10" s="37"/>
      <c r="M10" s="37"/>
      <c r="N10" s="48"/>
      <c r="O10" s="49"/>
      <c r="P10" s="50"/>
      <c r="Q10" s="49"/>
      <c r="R10" s="507"/>
      <c r="S10" s="507"/>
      <c r="T10" s="39"/>
      <c r="U10" s="39"/>
      <c r="V10" s="39"/>
      <c r="W10" s="39"/>
      <c r="X10" s="40"/>
      <c r="Y10" s="216"/>
      <c r="Z10" s="39"/>
      <c r="AA10" s="39"/>
      <c r="AB10" s="39"/>
      <c r="AC10" s="39"/>
      <c r="AD10" s="39">
        <f>+AM10+BA10</f>
        <v>57</v>
      </c>
      <c r="AE10" s="235" t="s">
        <v>416</v>
      </c>
      <c r="AF10" s="35"/>
      <c r="AG10" s="35"/>
      <c r="AH10" s="35"/>
      <c r="AI10" s="35"/>
      <c r="AJ10" s="39"/>
      <c r="AK10" s="39"/>
      <c r="AL10" s="39"/>
      <c r="AM10" s="39">
        <f t="shared" ref="AM10" si="10">SUM(AF10:AL10)+AT10+AV10+AX10</f>
        <v>0</v>
      </c>
      <c r="AN10" s="39"/>
      <c r="AO10" s="39"/>
      <c r="AP10" s="39">
        <f>777-720</f>
        <v>57</v>
      </c>
      <c r="AQ10" s="39"/>
      <c r="AR10" s="39">
        <f t="shared" ref="AR10" si="11">SUM(AN10:AQ10)</f>
        <v>57</v>
      </c>
      <c r="AS10" s="39"/>
      <c r="AT10" s="39"/>
      <c r="AU10" s="39"/>
      <c r="AV10" s="39"/>
      <c r="AW10" s="39"/>
      <c r="AX10" s="39"/>
      <c r="AY10" s="39"/>
      <c r="AZ10" s="39"/>
      <c r="BA10" s="39">
        <f>+AR10+AS10+AU10+AW10+AY10+AZ10</f>
        <v>57</v>
      </c>
      <c r="BB10" s="35"/>
      <c r="BC10" s="510"/>
      <c r="BD10" s="510"/>
      <c r="BE10" s="35"/>
      <c r="BF10" s="510"/>
    </row>
    <row r="11" spans="1:58" ht="12.95" customHeight="1">
      <c r="A11" s="42"/>
      <c r="B11" s="43"/>
      <c r="C11" s="421"/>
      <c r="D11" s="43"/>
      <c r="E11" s="44"/>
      <c r="F11" s="44"/>
      <c r="G11" s="506"/>
      <c r="H11" s="46"/>
      <c r="I11" s="47"/>
      <c r="J11" s="87"/>
      <c r="K11" s="87"/>
      <c r="L11" s="37"/>
      <c r="M11" s="37"/>
      <c r="N11" s="48"/>
      <c r="O11" s="49"/>
      <c r="P11" s="50"/>
      <c r="Q11" s="49"/>
      <c r="R11" s="507"/>
      <c r="S11" s="507"/>
      <c r="T11" s="39"/>
      <c r="U11" s="39"/>
      <c r="V11" s="39"/>
      <c r="W11" s="39"/>
      <c r="X11" s="508"/>
      <c r="Y11" s="216"/>
      <c r="Z11" s="39"/>
      <c r="AA11" s="51"/>
      <c r="AB11" s="51"/>
      <c r="AC11" s="39"/>
      <c r="AD11" s="39"/>
      <c r="AE11" s="235"/>
      <c r="AF11" s="39"/>
      <c r="AG11" s="39"/>
      <c r="AH11" s="39"/>
      <c r="AI11" s="509"/>
      <c r="AJ11" s="39"/>
      <c r="AK11" s="39"/>
      <c r="AL11" s="39"/>
      <c r="AM11" s="39">
        <f t="shared" si="6"/>
        <v>0</v>
      </c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5"/>
      <c r="BC11" s="53"/>
      <c r="BD11" s="53"/>
      <c r="BE11" s="52"/>
      <c r="BF11" s="53"/>
    </row>
    <row r="12" spans="1:58" ht="12.75" customHeight="1">
      <c r="A12" s="42">
        <v>45932</v>
      </c>
      <c r="B12" s="43" t="s">
        <v>7</v>
      </c>
      <c r="C12" s="421">
        <f t="shared" ref="C12" si="12">(M12*E12*O12*Q12)/100000000</f>
        <v>42.617132807586202</v>
      </c>
      <c r="D12" s="43" t="s">
        <v>304</v>
      </c>
      <c r="E12" s="44">
        <v>12</v>
      </c>
      <c r="F12" s="44">
        <v>1</v>
      </c>
      <c r="G12" s="506">
        <v>1230</v>
      </c>
      <c r="H12" s="46">
        <v>0.23</v>
      </c>
      <c r="I12" s="47">
        <v>0.88</v>
      </c>
      <c r="J12" s="87">
        <f t="shared" ref="J12" si="13">E12*G12*(1-H12)*1440/1000000*2.74</f>
        <v>44.842533120000006</v>
      </c>
      <c r="K12" s="87">
        <f t="shared" ref="K12" si="14">(IF(G12&lt;L12,L12,G12)*(1-IF(H12&lt;N12,H12,N12))*E12*O12*Q12)/100000000</f>
        <v>43.110006355862062</v>
      </c>
      <c r="L12" s="37">
        <v>1215.9375</v>
      </c>
      <c r="M12" s="37">
        <v>936.27187500000002</v>
      </c>
      <c r="N12" s="48">
        <f t="shared" ref="N12" si="15">1-(M12/L12)</f>
        <v>0.22999999999999998</v>
      </c>
      <c r="O12" s="49">
        <f>+'Trim Rwd'!H6</f>
        <v>263.41379310344826</v>
      </c>
      <c r="P12" s="50">
        <f t="shared" ref="P12" si="16">O12*(Q12-R12-S12)</f>
        <v>369569.55172413791</v>
      </c>
      <c r="Q12" s="49">
        <v>1440</v>
      </c>
      <c r="R12" s="507">
        <v>0</v>
      </c>
      <c r="S12" s="507">
        <v>37</v>
      </c>
      <c r="T12" s="39">
        <f t="shared" ref="T12" si="17">E12*M12*O12*Q12/100000000</f>
        <v>42.617132807586202</v>
      </c>
      <c r="U12" s="39">
        <f>E12*M12*O12*(Q12-R12-S12)/100000000</f>
        <v>41.522109256280167</v>
      </c>
      <c r="V12" s="39">
        <f>E12*G12*(1-N12)*O12/100*(R12+S12)/1000000</f>
        <v>1.1076876633103447</v>
      </c>
      <c r="W12" s="39">
        <f>+'2'!K7/1000</f>
        <v>36.587000000000003</v>
      </c>
      <c r="X12" s="508">
        <f>SUM(W12:W15)/SUM(K12:K15)</f>
        <v>0.84868927408601358</v>
      </c>
      <c r="Y12" s="216">
        <v>0</v>
      </c>
      <c r="Z12" s="39">
        <f>+'1'!D31/1000</f>
        <v>0</v>
      </c>
      <c r="AA12" s="51">
        <f>SUM(U12:U15)-SUM(W12:W15)-SUM(Z12:Z15)-SUM(Y12:Y15)</f>
        <v>4.9351092562801639</v>
      </c>
      <c r="AB12" s="51">
        <f>(SUM(K12:K15)-SUM(W12:W15)-SUM(Y12:Y15)-SUM(Z12:Z15)-SUM(AC12:AC15)-SUM(V12:V15))-AA12</f>
        <v>-1.2664112004309835E-2</v>
      </c>
      <c r="AC12" s="39">
        <f>K12-T12</f>
        <v>0.49287354827585972</v>
      </c>
      <c r="AD12" s="39">
        <f>+AM12+BA12</f>
        <v>8</v>
      </c>
      <c r="AE12" s="235" t="s">
        <v>413</v>
      </c>
      <c r="AF12" s="39">
        <v>8</v>
      </c>
      <c r="AG12" s="39"/>
      <c r="AH12" s="39"/>
      <c r="AI12" s="509"/>
      <c r="AJ12" s="39"/>
      <c r="AK12" s="39"/>
      <c r="AL12" s="39"/>
      <c r="AM12" s="39">
        <f t="shared" si="6"/>
        <v>8</v>
      </c>
      <c r="AN12" s="39"/>
      <c r="AO12" s="39"/>
      <c r="AP12" s="39"/>
      <c r="AQ12" s="39"/>
      <c r="AR12" s="39">
        <f>SUM(AN12:AQ12)</f>
        <v>0</v>
      </c>
      <c r="AS12" s="39"/>
      <c r="AT12" s="39"/>
      <c r="AU12" s="39"/>
      <c r="AV12" s="39"/>
      <c r="AW12" s="39"/>
      <c r="AX12" s="39"/>
      <c r="AY12" s="39"/>
      <c r="AZ12" s="39"/>
      <c r="BA12" s="39">
        <f>+AR12+AS12+AU12+AW12+AY12+AZ12</f>
        <v>0</v>
      </c>
      <c r="BB12" s="35">
        <v>4</v>
      </c>
      <c r="BC12" s="53"/>
      <c r="BD12" s="53"/>
      <c r="BE12" s="35"/>
      <c r="BF12" s="53"/>
    </row>
    <row r="13" spans="1:58" ht="12.95" customHeight="1">
      <c r="A13" s="42"/>
      <c r="B13" s="43"/>
      <c r="C13" s="421"/>
      <c r="D13" s="43"/>
      <c r="E13" s="44"/>
      <c r="F13" s="44"/>
      <c r="G13" s="506"/>
      <c r="H13" s="46"/>
      <c r="I13" s="47"/>
      <c r="J13" s="87"/>
      <c r="K13" s="87"/>
      <c r="L13" s="37"/>
      <c r="M13" s="37"/>
      <c r="N13" s="48"/>
      <c r="O13" s="49"/>
      <c r="P13" s="50"/>
      <c r="Q13" s="49"/>
      <c r="R13" s="507"/>
      <c r="S13" s="507"/>
      <c r="T13" s="39"/>
      <c r="U13" s="39"/>
      <c r="V13" s="39"/>
      <c r="W13" s="39"/>
      <c r="X13" s="40"/>
      <c r="Y13" s="216"/>
      <c r="Z13" s="39"/>
      <c r="AA13" s="39"/>
      <c r="AB13" s="39"/>
      <c r="AC13" s="39"/>
      <c r="AD13" s="39">
        <f>+AM13+BA13</f>
        <v>4</v>
      </c>
      <c r="AE13" s="235" t="s">
        <v>388</v>
      </c>
      <c r="AF13" s="39"/>
      <c r="AG13" s="39">
        <v>4</v>
      </c>
      <c r="AH13" s="39"/>
      <c r="AI13" s="39"/>
      <c r="AJ13" s="39"/>
      <c r="AK13" s="39"/>
      <c r="AL13" s="39"/>
      <c r="AM13" s="39">
        <f t="shared" si="6"/>
        <v>4</v>
      </c>
      <c r="AN13" s="88"/>
      <c r="AO13" s="39"/>
      <c r="AP13" s="39"/>
      <c r="AQ13" s="39"/>
      <c r="AR13" s="39">
        <f t="shared" ref="AR13:AR14" si="18">SUM(AN13:AQ13)</f>
        <v>0</v>
      </c>
      <c r="AS13" s="39"/>
      <c r="AT13" s="39"/>
      <c r="AU13" s="39"/>
      <c r="AV13" s="39"/>
      <c r="AW13" s="39"/>
      <c r="AX13" s="39"/>
      <c r="AY13" s="39"/>
      <c r="AZ13" s="39"/>
      <c r="BA13" s="39">
        <f>+AR13+AS13+AU13+AW13+AY13+AZ13</f>
        <v>0</v>
      </c>
      <c r="BB13" s="52"/>
      <c r="BC13" s="53">
        <v>5</v>
      </c>
      <c r="BD13" s="53"/>
      <c r="BE13" s="52"/>
      <c r="BF13" s="53"/>
    </row>
    <row r="14" spans="1:58" ht="12.95" customHeight="1">
      <c r="A14" s="42"/>
      <c r="B14" s="43"/>
      <c r="C14" s="421"/>
      <c r="D14" s="43"/>
      <c r="E14" s="44"/>
      <c r="F14" s="44"/>
      <c r="G14" s="45"/>
      <c r="H14" s="46"/>
      <c r="I14" s="47"/>
      <c r="J14" s="87"/>
      <c r="K14" s="87"/>
      <c r="L14" s="37"/>
      <c r="M14" s="37"/>
      <c r="N14" s="48"/>
      <c r="O14" s="49"/>
      <c r="P14" s="50"/>
      <c r="Q14" s="49"/>
      <c r="R14" s="507"/>
      <c r="S14" s="507"/>
      <c r="T14" s="39"/>
      <c r="U14" s="39"/>
      <c r="V14" s="39"/>
      <c r="W14" s="39"/>
      <c r="X14" s="40"/>
      <c r="Y14" s="216"/>
      <c r="Z14" s="39"/>
      <c r="AA14" s="39"/>
      <c r="AB14" s="39"/>
      <c r="AC14" s="39"/>
      <c r="AD14" s="39">
        <f>+AM14+BA14</f>
        <v>25</v>
      </c>
      <c r="AE14" s="235" t="s">
        <v>432</v>
      </c>
      <c r="AF14" s="35"/>
      <c r="AG14" s="35"/>
      <c r="AH14" s="35">
        <v>25</v>
      </c>
      <c r="AI14" s="35"/>
      <c r="AJ14" s="39"/>
      <c r="AK14" s="39"/>
      <c r="AL14" s="39"/>
      <c r="AM14" s="39">
        <f t="shared" si="6"/>
        <v>25</v>
      </c>
      <c r="AN14" s="39"/>
      <c r="AO14" s="39"/>
      <c r="AP14" s="39"/>
      <c r="AQ14" s="39"/>
      <c r="AR14" s="39">
        <f t="shared" si="18"/>
        <v>0</v>
      </c>
      <c r="AS14" s="39"/>
      <c r="AT14" s="39"/>
      <c r="AU14" s="39"/>
      <c r="AV14" s="39"/>
      <c r="AW14" s="39"/>
      <c r="AX14" s="39"/>
      <c r="AY14" s="39"/>
      <c r="AZ14" s="39"/>
      <c r="BA14" s="39">
        <f>+AR14+AS14+AU14+AW14+AY14+AZ14</f>
        <v>0</v>
      </c>
      <c r="BB14" s="35"/>
      <c r="BC14" s="510"/>
      <c r="BD14" s="510"/>
      <c r="BE14" s="35"/>
      <c r="BF14" s="510"/>
    </row>
    <row r="15" spans="1:58" ht="12.95" customHeight="1">
      <c r="A15" s="42"/>
      <c r="B15" s="43"/>
      <c r="C15" s="421"/>
      <c r="D15" s="43"/>
      <c r="E15" s="44"/>
      <c r="F15" s="44"/>
      <c r="G15" s="45"/>
      <c r="H15" s="46"/>
      <c r="I15" s="47"/>
      <c r="J15" s="87"/>
      <c r="K15" s="87"/>
      <c r="L15" s="37"/>
      <c r="M15" s="37"/>
      <c r="N15" s="48"/>
      <c r="O15" s="49"/>
      <c r="P15" s="50"/>
      <c r="Q15" s="36"/>
      <c r="R15" s="507"/>
      <c r="S15" s="507"/>
      <c r="T15" s="39"/>
      <c r="U15" s="39"/>
      <c r="V15" s="39"/>
      <c r="W15" s="39"/>
      <c r="X15" s="40"/>
      <c r="Y15" s="216"/>
      <c r="Z15" s="39"/>
      <c r="AA15" s="39"/>
      <c r="AB15" s="39"/>
      <c r="AC15" s="39"/>
      <c r="AD15" s="39"/>
      <c r="AE15" s="238"/>
      <c r="AF15" s="39"/>
      <c r="AG15" s="39"/>
      <c r="AH15" s="39"/>
      <c r="AI15" s="50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52"/>
      <c r="BC15" s="53"/>
      <c r="BD15" s="53"/>
      <c r="BE15" s="52"/>
      <c r="BF15" s="53"/>
    </row>
    <row r="16" spans="1:58" ht="12.75" customHeight="1">
      <c r="A16" s="42">
        <v>45933</v>
      </c>
      <c r="B16" s="43" t="s">
        <v>7</v>
      </c>
      <c r="C16" s="421">
        <f t="shared" ref="C16" si="19">(M16*E16*O16*Q16)/100000000</f>
        <v>42.296654400000001</v>
      </c>
      <c r="D16" s="43" t="s">
        <v>304</v>
      </c>
      <c r="E16" s="44">
        <v>12</v>
      </c>
      <c r="F16" s="44">
        <v>1</v>
      </c>
      <c r="G16" s="506">
        <v>1230</v>
      </c>
      <c r="H16" s="46">
        <v>0.23</v>
      </c>
      <c r="I16" s="47">
        <v>0.88</v>
      </c>
      <c r="J16" s="87">
        <f t="shared" ref="J16" si="20">E16*G16*(1-H16)*1440/1000000*2.74</f>
        <v>44.842533120000006</v>
      </c>
      <c r="K16" s="87">
        <f t="shared" ref="K16" si="21">(IF(G16&lt;L16,L16,G16)*(1-IF(H16&lt;N16,H16,N16))*E16*O16*Q16)/100000000</f>
        <v>42.551308799999994</v>
      </c>
      <c r="L16" s="37">
        <v>1222.6388888888889</v>
      </c>
      <c r="M16" s="37">
        <v>941.43194444444441</v>
      </c>
      <c r="N16" s="48">
        <f t="shared" ref="N16" si="22">1-(M16/L16)</f>
        <v>0.23000000000000009</v>
      </c>
      <c r="O16" s="49">
        <f>+'Trim Rwd'!H9</f>
        <v>260</v>
      </c>
      <c r="P16" s="50">
        <f t="shared" ref="P16" si="23">O16*(Q16-R16-S16)</f>
        <v>365300</v>
      </c>
      <c r="Q16" s="49">
        <v>1440</v>
      </c>
      <c r="R16" s="507">
        <v>0</v>
      </c>
      <c r="S16" s="507">
        <v>35</v>
      </c>
      <c r="T16" s="39">
        <f t="shared" ref="T16" si="24">E16*M16*O16*Q16/100000000</f>
        <v>42.296654400000001</v>
      </c>
      <c r="U16" s="39">
        <f>E16*M16*O16*(Q16-R16-S16)/100000000</f>
        <v>41.268610716666664</v>
      </c>
      <c r="V16" s="39">
        <f>E16*G16*(1-N16)*O16/100*(R16+S16)/1000000</f>
        <v>1.0342331999999999</v>
      </c>
      <c r="W16" s="39">
        <f>+'3'!K7/1000</f>
        <v>36.482999999999997</v>
      </c>
      <c r="X16" s="508">
        <f>SUM(W16:W19)/SUM(K16:K19)</f>
        <v>0.85738843360794581</v>
      </c>
      <c r="Y16" s="216">
        <v>0</v>
      </c>
      <c r="Z16" s="39">
        <f>+'3'!D16/1000</f>
        <v>0.11700000000000001</v>
      </c>
      <c r="AA16" s="51">
        <f>SUM(U16:U19)-SUM(W16:W19)-SUM(Z16:Z19)-SUM(Y16:Y19)</f>
        <v>4.6686107166666675</v>
      </c>
      <c r="AB16" s="51">
        <f>(SUM(K16:K19)-SUM(W16:W19)-SUM(Y16:Y19)-SUM(Z16:Z19)-SUM(AC16:AC19)-SUM(V16:V19))-AA16</f>
        <v>-6.1895166666632306E-3</v>
      </c>
      <c r="AC16" s="39">
        <f>K16-T16</f>
        <v>0.25465439999999262</v>
      </c>
      <c r="AD16" s="39">
        <f>+AM16+BA16</f>
        <v>0</v>
      </c>
      <c r="AE16" s="235" t="s">
        <v>386</v>
      </c>
      <c r="AF16" s="39">
        <v>0</v>
      </c>
      <c r="AG16" s="39"/>
      <c r="AH16" s="39"/>
      <c r="AI16" s="509"/>
      <c r="AJ16" s="39"/>
      <c r="AK16" s="39"/>
      <c r="AL16" s="39"/>
      <c r="AM16" s="39">
        <f t="shared" ref="AM16:AM18" si="25">SUM(AF16:AL16)+AT16+AV16+AX16</f>
        <v>0</v>
      </c>
      <c r="AN16" s="39"/>
      <c r="AO16" s="39"/>
      <c r="AP16" s="39"/>
      <c r="AQ16" s="39"/>
      <c r="AR16" s="39">
        <f>SUM(AN16:AQ16)</f>
        <v>0</v>
      </c>
      <c r="AS16" s="39"/>
      <c r="AT16" s="39"/>
      <c r="AU16" s="39"/>
      <c r="AV16" s="39"/>
      <c r="AW16" s="39"/>
      <c r="AX16" s="39"/>
      <c r="AY16" s="39"/>
      <c r="AZ16" s="39"/>
      <c r="BA16" s="39">
        <f>+AR16+AS16+AU16+AW16+AY16+AZ16</f>
        <v>0</v>
      </c>
      <c r="BB16" s="35">
        <v>0</v>
      </c>
      <c r="BC16" s="53"/>
      <c r="BD16" s="53"/>
      <c r="BE16" s="35"/>
      <c r="BF16" s="53"/>
    </row>
    <row r="17" spans="1:58" ht="12.95" customHeight="1">
      <c r="A17" s="42"/>
      <c r="B17" s="43"/>
      <c r="C17" s="421"/>
      <c r="D17" s="43"/>
      <c r="E17" s="44"/>
      <c r="F17" s="44"/>
      <c r="G17" s="506"/>
      <c r="H17" s="46"/>
      <c r="I17" s="47"/>
      <c r="J17" s="87"/>
      <c r="K17" s="87"/>
      <c r="L17" s="37"/>
      <c r="M17" s="37"/>
      <c r="N17" s="48"/>
      <c r="O17" s="49"/>
      <c r="P17" s="50"/>
      <c r="Q17" s="49"/>
      <c r="R17" s="507"/>
      <c r="S17" s="507"/>
      <c r="T17" s="39"/>
      <c r="U17" s="39"/>
      <c r="V17" s="39"/>
      <c r="W17" s="39"/>
      <c r="X17" s="40"/>
      <c r="Y17" s="216"/>
      <c r="Z17" s="39"/>
      <c r="AA17" s="39"/>
      <c r="AB17" s="39"/>
      <c r="AC17" s="39"/>
      <c r="AD17" s="39">
        <f>+AM17+BA17</f>
        <v>12</v>
      </c>
      <c r="AE17" s="235" t="s">
        <v>444</v>
      </c>
      <c r="AF17" s="39"/>
      <c r="AG17" s="39">
        <v>12</v>
      </c>
      <c r="AH17" s="39"/>
      <c r="AI17" s="39"/>
      <c r="AJ17" s="39"/>
      <c r="AK17" s="39"/>
      <c r="AL17" s="39"/>
      <c r="AM17" s="39">
        <f t="shared" si="25"/>
        <v>12</v>
      </c>
      <c r="AN17" s="88"/>
      <c r="AO17" s="39"/>
      <c r="AP17" s="39"/>
      <c r="AQ17" s="39"/>
      <c r="AR17" s="39">
        <f t="shared" ref="AR17:AR18" si="26">SUM(AN17:AQ17)</f>
        <v>0</v>
      </c>
      <c r="AS17" s="39"/>
      <c r="AT17" s="39"/>
      <c r="AU17" s="39"/>
      <c r="AV17" s="39"/>
      <c r="AW17" s="39"/>
      <c r="AX17" s="39"/>
      <c r="AY17" s="39"/>
      <c r="AZ17" s="39"/>
      <c r="BA17" s="39">
        <f>+AR17+AS17+AU17+AW17+AY17+AZ17</f>
        <v>0</v>
      </c>
      <c r="BB17" s="52"/>
      <c r="BC17" s="53">
        <v>9</v>
      </c>
      <c r="BD17" s="53"/>
      <c r="BE17" s="52"/>
      <c r="BF17" s="53"/>
    </row>
    <row r="18" spans="1:58" ht="12.95" customHeight="1">
      <c r="A18" s="42"/>
      <c r="B18" s="43"/>
      <c r="C18" s="421"/>
      <c r="D18" s="43"/>
      <c r="E18" s="44"/>
      <c r="F18" s="44"/>
      <c r="G18" s="45"/>
      <c r="H18" s="46"/>
      <c r="I18" s="47"/>
      <c r="J18" s="87"/>
      <c r="K18" s="87"/>
      <c r="L18" s="37"/>
      <c r="M18" s="37"/>
      <c r="N18" s="48"/>
      <c r="O18" s="49"/>
      <c r="P18" s="50"/>
      <c r="Q18" s="49"/>
      <c r="R18" s="507"/>
      <c r="S18" s="507"/>
      <c r="T18" s="39"/>
      <c r="U18" s="39"/>
      <c r="V18" s="39"/>
      <c r="W18" s="39"/>
      <c r="X18" s="40"/>
      <c r="Y18" s="216"/>
      <c r="Z18" s="39"/>
      <c r="AA18" s="39"/>
      <c r="AB18" s="39"/>
      <c r="AC18" s="39"/>
      <c r="AD18" s="39">
        <f>+AM18+BA18</f>
        <v>23</v>
      </c>
      <c r="AE18" s="235" t="s">
        <v>445</v>
      </c>
      <c r="AF18" s="35"/>
      <c r="AG18" s="35"/>
      <c r="AH18" s="35">
        <v>23</v>
      </c>
      <c r="AI18" s="35"/>
      <c r="AJ18" s="39"/>
      <c r="AK18" s="39"/>
      <c r="AL18" s="39"/>
      <c r="AM18" s="39">
        <f t="shared" si="25"/>
        <v>23</v>
      </c>
      <c r="AN18" s="39"/>
      <c r="AO18" s="39"/>
      <c r="AP18" s="39"/>
      <c r="AQ18" s="39"/>
      <c r="AR18" s="39">
        <f t="shared" si="26"/>
        <v>0</v>
      </c>
      <c r="AS18" s="39"/>
      <c r="AT18" s="39"/>
      <c r="AU18" s="39"/>
      <c r="AV18" s="39"/>
      <c r="AW18" s="39"/>
      <c r="AX18" s="39"/>
      <c r="AY18" s="39"/>
      <c r="AZ18" s="39"/>
      <c r="BA18" s="39">
        <f>+AR18+AS18+AU18+AW18+AY18+AZ18</f>
        <v>0</v>
      </c>
      <c r="BB18" s="35"/>
      <c r="BC18" s="510"/>
      <c r="BD18" s="510"/>
      <c r="BE18" s="35"/>
      <c r="BF18" s="510"/>
    </row>
    <row r="19" spans="1:58" ht="12.95" customHeight="1">
      <c r="A19" s="42"/>
      <c r="B19" s="43"/>
      <c r="C19" s="421"/>
      <c r="D19" s="43"/>
      <c r="E19" s="44"/>
      <c r="F19" s="44"/>
      <c r="G19" s="506"/>
      <c r="H19" s="46"/>
      <c r="I19" s="47"/>
      <c r="J19" s="87"/>
      <c r="K19" s="87"/>
      <c r="L19" s="37"/>
      <c r="M19" s="37"/>
      <c r="N19" s="48"/>
      <c r="O19" s="49"/>
      <c r="P19" s="50"/>
      <c r="Q19" s="49"/>
      <c r="R19" s="507"/>
      <c r="S19" s="507"/>
      <c r="T19" s="39"/>
      <c r="U19" s="39"/>
      <c r="V19" s="39"/>
      <c r="W19" s="39"/>
      <c r="X19" s="40"/>
      <c r="Y19" s="216"/>
      <c r="Z19" s="39"/>
      <c r="AA19" s="39"/>
      <c r="AB19" s="39"/>
      <c r="AC19" s="39"/>
      <c r="AD19" s="39"/>
      <c r="AE19" s="235"/>
      <c r="AF19" s="39"/>
      <c r="AG19" s="39"/>
      <c r="AH19" s="39"/>
      <c r="AI19" s="509"/>
      <c r="AJ19" s="39"/>
      <c r="AK19" s="39"/>
      <c r="AL19" s="39"/>
      <c r="AM19" s="39"/>
      <c r="AN19" s="88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52"/>
      <c r="BC19" s="53"/>
      <c r="BD19" s="53"/>
      <c r="BE19" s="52"/>
      <c r="BF19" s="53"/>
    </row>
    <row r="20" spans="1:58" ht="12.75" customHeight="1">
      <c r="A20" s="42">
        <v>45934</v>
      </c>
      <c r="B20" s="43" t="s">
        <v>7</v>
      </c>
      <c r="C20" s="421">
        <f t="shared" ref="C20:C22" si="27">(M20*E20*O20*Q20)/100000000</f>
        <v>2.1235737600000002</v>
      </c>
      <c r="D20" s="43" t="s">
        <v>304</v>
      </c>
      <c r="E20" s="44">
        <v>12</v>
      </c>
      <c r="F20" s="44">
        <v>1</v>
      </c>
      <c r="G20" s="506">
        <v>1230</v>
      </c>
      <c r="H20" s="46">
        <v>0.23</v>
      </c>
      <c r="I20" s="47">
        <v>0.88</v>
      </c>
      <c r="J20" s="87">
        <f t="shared" ref="J20:J22" si="28">E20*G20*(1-H20)*1440/1000000*2.74</f>
        <v>44.842533120000006</v>
      </c>
      <c r="K20" s="87">
        <f t="shared" ref="K20:K22" si="29">(IF(G20&lt;L20,L20,G20)*(1-IF(H20&lt;N20,H20,N20))*E20*O20*Q20)/100000000</f>
        <v>2.1766631040000002</v>
      </c>
      <c r="L20" s="37">
        <v>1200</v>
      </c>
      <c r="M20" s="37">
        <v>924</v>
      </c>
      <c r="N20" s="48">
        <f t="shared" ref="N20:N22" si="30">1-(M20/L20)</f>
        <v>0.22999999999999998</v>
      </c>
      <c r="O20" s="49">
        <f>+'Trim Rwd'!H11</f>
        <v>252</v>
      </c>
      <c r="P20" s="50">
        <f t="shared" ref="P20:P22" si="31">O20*(Q20-R20-S20)</f>
        <v>17136</v>
      </c>
      <c r="Q20" s="49">
        <v>76</v>
      </c>
      <c r="R20" s="507">
        <v>0</v>
      </c>
      <c r="S20" s="507">
        <v>8</v>
      </c>
      <c r="T20" s="39">
        <f t="shared" ref="T20:T22" si="32">E20*M20*O20*Q20/100000000</f>
        <v>2.1235737600000002</v>
      </c>
      <c r="U20" s="39">
        <f>E20*M20*O20*(Q20-R20-S20)/100000000</f>
        <v>1.9000396799999999</v>
      </c>
      <c r="V20" s="39">
        <f>E20*G20*(1-N20)*O20/100*(R20+S20)/1000000</f>
        <v>0.22912243200000004</v>
      </c>
      <c r="W20" s="39">
        <f>+'4'!K7/1000</f>
        <v>7.1980000000000004</v>
      </c>
      <c r="X20" s="508">
        <f>SUM(W20:W23)/SUM(K20:K23)</f>
        <v>0.91146147535282618</v>
      </c>
      <c r="Y20" s="216">
        <v>0</v>
      </c>
      <c r="Z20" s="39">
        <f>+'4'!D7/1000</f>
        <v>0.26300000000000001</v>
      </c>
      <c r="AA20" s="51">
        <f>SUM(U20:U23)-SUM(W20:W23)-SUM(Z20:Z23)-SUM(Y20:Y23)</f>
        <v>1.5814298065966579</v>
      </c>
      <c r="AB20" s="51">
        <f>(SUM(K20:K23)-SUM(W20:W23)-SUM(Y20:Y23)-SUM(Z20:Z23)-SUM(AC20:AC23)-SUM(V20:V23))-AA20</f>
        <v>0.4193253974033393</v>
      </c>
      <c r="AC20" s="39">
        <f>K20-T20</f>
        <v>5.3089343999999983E-2</v>
      </c>
      <c r="AD20" s="39">
        <f>+AM20+BA20</f>
        <v>9</v>
      </c>
      <c r="AE20" s="235" t="s">
        <v>458</v>
      </c>
      <c r="AF20" s="39">
        <v>9</v>
      </c>
      <c r="AG20" s="39"/>
      <c r="AH20" s="39"/>
      <c r="AI20" s="509"/>
      <c r="AJ20" s="39"/>
      <c r="AK20" s="39"/>
      <c r="AL20" s="39"/>
      <c r="AM20" s="39">
        <f t="shared" ref="AM20:AM22" si="33">SUM(AF20:AL20)+AT20+AV20+AX20</f>
        <v>9</v>
      </c>
      <c r="AN20" s="39"/>
      <c r="AO20" s="39"/>
      <c r="AP20" s="39"/>
      <c r="AQ20" s="39"/>
      <c r="AR20" s="39">
        <f>SUM(AN20:AQ20)</f>
        <v>0</v>
      </c>
      <c r="AS20" s="39"/>
      <c r="AT20" s="39"/>
      <c r="AU20" s="39"/>
      <c r="AV20" s="39"/>
      <c r="AW20" s="39"/>
      <c r="AX20" s="39"/>
      <c r="AY20" s="39"/>
      <c r="AZ20" s="39"/>
      <c r="BA20" s="39">
        <f>+AR20+AS20+AU20+AW20+AY20+AZ20</f>
        <v>0</v>
      </c>
      <c r="BB20" s="35">
        <v>3</v>
      </c>
      <c r="BC20" s="53"/>
      <c r="BD20" s="53"/>
      <c r="BE20" s="35"/>
      <c r="BF20" s="53"/>
    </row>
    <row r="21" spans="1:58" ht="12.95" customHeight="1">
      <c r="A21" s="42"/>
      <c r="B21" s="43" t="s">
        <v>7</v>
      </c>
      <c r="C21" s="421">
        <f t="shared" si="27"/>
        <v>12.456443999999998</v>
      </c>
      <c r="D21" s="43" t="s">
        <v>304</v>
      </c>
      <c r="E21" s="44">
        <v>12.5</v>
      </c>
      <c r="F21" s="44">
        <v>1</v>
      </c>
      <c r="G21" s="506">
        <v>1230</v>
      </c>
      <c r="H21" s="46">
        <v>0.23</v>
      </c>
      <c r="I21" s="47">
        <v>0.88</v>
      </c>
      <c r="J21" s="87">
        <f t="shared" si="28"/>
        <v>46.710971999999998</v>
      </c>
      <c r="K21" s="87">
        <f t="shared" si="29"/>
        <v>12.897134249999997</v>
      </c>
      <c r="L21" s="37">
        <v>1187.9713603818616</v>
      </c>
      <c r="M21" s="37">
        <v>914.73794749403328</v>
      </c>
      <c r="N21" s="48">
        <f t="shared" si="30"/>
        <v>0.23000000000000009</v>
      </c>
      <c r="O21" s="49">
        <f>+'Trim Rwd'!H12</f>
        <v>260</v>
      </c>
      <c r="P21" s="50">
        <f t="shared" si="31"/>
        <v>105040</v>
      </c>
      <c r="Q21" s="49">
        <v>419</v>
      </c>
      <c r="R21" s="507">
        <v>0</v>
      </c>
      <c r="S21" s="507">
        <v>15</v>
      </c>
      <c r="T21" s="39">
        <f t="shared" si="32"/>
        <v>12.456443999999998</v>
      </c>
      <c r="U21" s="39">
        <f t="shared" ref="U21:U22" si="34">E21*M21*O21*(Q21-R21-S21)/100000000</f>
        <v>12.010509250596657</v>
      </c>
      <c r="V21" s="39">
        <f t="shared" ref="V21:V22" si="35">E21*G21*(1-N21)*O21/100*(R21+S21)/1000000</f>
        <v>0.46171124999999996</v>
      </c>
      <c r="W21" s="39">
        <f>+'4'!K8/1000</f>
        <v>10.48</v>
      </c>
      <c r="X21" s="40"/>
      <c r="Y21" s="216"/>
      <c r="Z21" s="39"/>
      <c r="AA21" s="39"/>
      <c r="AB21" s="39"/>
      <c r="AC21" s="39"/>
      <c r="AD21" s="39">
        <f>+AM21+BA21</f>
        <v>9</v>
      </c>
      <c r="AE21" s="235" t="s">
        <v>471</v>
      </c>
      <c r="AF21" s="39"/>
      <c r="AG21" s="39">
        <v>9</v>
      </c>
      <c r="AH21" s="39"/>
      <c r="AI21" s="39"/>
      <c r="AJ21" s="39"/>
      <c r="AK21" s="39"/>
      <c r="AL21" s="39"/>
      <c r="AM21" s="39">
        <f t="shared" si="33"/>
        <v>9</v>
      </c>
      <c r="AN21" s="88"/>
      <c r="AO21" s="39"/>
      <c r="AP21" s="39"/>
      <c r="AQ21" s="39"/>
      <c r="AR21" s="39">
        <f t="shared" ref="AR21:AR22" si="36">SUM(AN21:AQ21)</f>
        <v>0</v>
      </c>
      <c r="AS21" s="39"/>
      <c r="AT21" s="39"/>
      <c r="AU21" s="39"/>
      <c r="AV21" s="39"/>
      <c r="AW21" s="39"/>
      <c r="AX21" s="39"/>
      <c r="AY21" s="39"/>
      <c r="AZ21" s="39"/>
      <c r="BA21" s="39">
        <f>+AR21+AS21+AU21+AW21+AY21+AZ21</f>
        <v>0</v>
      </c>
      <c r="BB21" s="52"/>
      <c r="BC21" s="53">
        <v>8</v>
      </c>
      <c r="BD21" s="53"/>
      <c r="BE21" s="52"/>
      <c r="BF21" s="53"/>
    </row>
    <row r="22" spans="1:58" ht="12.95" customHeight="1">
      <c r="A22" s="42"/>
      <c r="B22" s="43" t="s">
        <v>469</v>
      </c>
      <c r="C22" s="421">
        <f t="shared" si="27"/>
        <v>30.018618629999999</v>
      </c>
      <c r="D22" s="43" t="s">
        <v>304</v>
      </c>
      <c r="E22" s="44">
        <v>13</v>
      </c>
      <c r="F22" s="44">
        <v>1</v>
      </c>
      <c r="G22" s="506">
        <f>+L22</f>
        <v>1230</v>
      </c>
      <c r="H22" s="46">
        <f>+N22</f>
        <v>0.23000000000000009</v>
      </c>
      <c r="I22" s="47">
        <v>0.88</v>
      </c>
      <c r="J22" s="87">
        <f t="shared" si="28"/>
        <v>48.579410880000005</v>
      </c>
      <c r="K22" s="87">
        <f t="shared" si="29"/>
        <v>30.018618629999999</v>
      </c>
      <c r="L22" s="37">
        <v>1230</v>
      </c>
      <c r="M22" s="37">
        <v>947.09999999999991</v>
      </c>
      <c r="N22" s="48">
        <f t="shared" si="30"/>
        <v>0.23000000000000009</v>
      </c>
      <c r="O22" s="49">
        <f>+'Trim Rwd'!H13</f>
        <v>258</v>
      </c>
      <c r="P22" s="50">
        <f t="shared" si="31"/>
        <v>235812</v>
      </c>
      <c r="Q22" s="49">
        <v>945</v>
      </c>
      <c r="R22" s="507">
        <v>0</v>
      </c>
      <c r="S22" s="507">
        <f>54-S21-S20</f>
        <v>31</v>
      </c>
      <c r="T22" s="39">
        <f t="shared" si="32"/>
        <v>30.018618629999999</v>
      </c>
      <c r="U22" s="39">
        <f t="shared" si="34"/>
        <v>29.033880875999998</v>
      </c>
      <c r="V22" s="39">
        <f t="shared" si="35"/>
        <v>0.98473775399999997</v>
      </c>
      <c r="W22" s="39">
        <f>+'4'!K9/1000</f>
        <v>23.422000000000001</v>
      </c>
      <c r="X22" s="40"/>
      <c r="Y22" s="216"/>
      <c r="Z22" s="39"/>
      <c r="AA22" s="39"/>
      <c r="AB22" s="39"/>
      <c r="AC22" s="39"/>
      <c r="AD22" s="39">
        <f>+AM22+BA22</f>
        <v>36</v>
      </c>
      <c r="AE22" s="235" t="s">
        <v>432</v>
      </c>
      <c r="AF22" s="35"/>
      <c r="AG22" s="35"/>
      <c r="AH22" s="35">
        <v>36</v>
      </c>
      <c r="AI22" s="35"/>
      <c r="AJ22" s="39"/>
      <c r="AK22" s="39"/>
      <c r="AL22" s="39"/>
      <c r="AM22" s="39">
        <f t="shared" si="33"/>
        <v>36</v>
      </c>
      <c r="AN22" s="39"/>
      <c r="AO22" s="39"/>
      <c r="AP22" s="39"/>
      <c r="AQ22" s="39"/>
      <c r="AR22" s="39">
        <f t="shared" si="36"/>
        <v>0</v>
      </c>
      <c r="AS22" s="39"/>
      <c r="AT22" s="39"/>
      <c r="AU22" s="39"/>
      <c r="AV22" s="39"/>
      <c r="AW22" s="39"/>
      <c r="AX22" s="39"/>
      <c r="AY22" s="39"/>
      <c r="AZ22" s="39"/>
      <c r="BA22" s="39">
        <f>+AR22+AS22+AU22+AW22+AY22+AZ22</f>
        <v>0</v>
      </c>
      <c r="BB22" s="35"/>
      <c r="BC22" s="510"/>
      <c r="BD22" s="510"/>
      <c r="BE22" s="35"/>
      <c r="BF22" s="510"/>
    </row>
    <row r="23" spans="1:58" ht="12.95" customHeight="1">
      <c r="A23" s="42"/>
      <c r="B23" s="43"/>
      <c r="C23" s="421"/>
      <c r="D23" s="43"/>
      <c r="E23" s="44"/>
      <c r="F23" s="44"/>
      <c r="G23" s="506"/>
      <c r="H23" s="46"/>
      <c r="I23" s="47"/>
      <c r="J23" s="87"/>
      <c r="K23" s="87"/>
      <c r="L23" s="37"/>
      <c r="M23" s="37"/>
      <c r="N23" s="48"/>
      <c r="O23" s="49"/>
      <c r="P23" s="50"/>
      <c r="Q23" s="49"/>
      <c r="R23" s="507"/>
      <c r="S23" s="507"/>
      <c r="T23" s="39"/>
      <c r="U23" s="39"/>
      <c r="V23" s="39"/>
      <c r="W23" s="39"/>
      <c r="X23" s="40"/>
      <c r="Y23" s="216"/>
      <c r="Z23" s="39"/>
      <c r="AA23" s="39"/>
      <c r="AB23" s="39"/>
      <c r="AC23" s="39"/>
      <c r="AD23" s="39"/>
      <c r="AE23" s="235"/>
      <c r="AF23" s="39"/>
      <c r="AG23" s="39"/>
      <c r="AH23" s="39"/>
      <c r="AI23" s="509"/>
      <c r="AJ23" s="39"/>
      <c r="AK23" s="39"/>
      <c r="AL23" s="39"/>
      <c r="AM23" s="39"/>
      <c r="AN23" s="88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52"/>
      <c r="BC23" s="53"/>
      <c r="BD23" s="53"/>
      <c r="BE23" s="52"/>
      <c r="BF23" s="53"/>
    </row>
    <row r="24" spans="1:58" ht="12.75" customHeight="1">
      <c r="A24" s="42">
        <v>45935</v>
      </c>
      <c r="B24" s="43" t="s">
        <v>469</v>
      </c>
      <c r="C24" s="421">
        <f t="shared" ref="C24" si="37">(M24*E24*O24*Q24)/100000000</f>
        <v>43.387343999999999</v>
      </c>
      <c r="D24" s="43" t="s">
        <v>304</v>
      </c>
      <c r="E24" s="44">
        <v>13</v>
      </c>
      <c r="F24" s="44">
        <v>1</v>
      </c>
      <c r="G24" s="506">
        <f>+L24</f>
        <v>1166.6666666666667</v>
      </c>
      <c r="H24" s="46">
        <f>+N24</f>
        <v>0.22999999999999998</v>
      </c>
      <c r="I24" s="47">
        <v>0.88</v>
      </c>
      <c r="J24" s="87">
        <f t="shared" ref="J24" si="38">E24*G24*(1-H24)*1440/1000000*2.74</f>
        <v>46.078032000000007</v>
      </c>
      <c r="K24" s="87">
        <f t="shared" ref="K24" si="39">(IF(G24&lt;L24,L24,G24)*(1-IF(H24&lt;N24,H24,N24))*E24*O24*Q24)/100000000</f>
        <v>43.387343999999999</v>
      </c>
      <c r="L24" s="37">
        <v>1166.6666666666667</v>
      </c>
      <c r="M24" s="37">
        <v>898.33333333333337</v>
      </c>
      <c r="N24" s="48">
        <f t="shared" ref="N24" si="40">1-(M24/L24)</f>
        <v>0.22999999999999998</v>
      </c>
      <c r="O24" s="49">
        <f>+'Trim Rwd'!H15</f>
        <v>258</v>
      </c>
      <c r="P24" s="50">
        <f t="shared" ref="P24" si="41">O24*(Q24-R24-S24)</f>
        <v>358620</v>
      </c>
      <c r="Q24" s="49">
        <v>1440</v>
      </c>
      <c r="R24" s="507">
        <v>0</v>
      </c>
      <c r="S24" s="507">
        <v>50</v>
      </c>
      <c r="T24" s="39">
        <f t="shared" ref="T24" si="42">E24*M24*O24*Q24/100000000</f>
        <v>43.387343999999999</v>
      </c>
      <c r="U24" s="39">
        <f>E24*M24*O24*(Q24-R24-S24)/100000000</f>
        <v>41.880839000000002</v>
      </c>
      <c r="V24" s="39">
        <f>E24*G24*(1-N24)*O24/100*(R24+S24)/1000000</f>
        <v>1.506505</v>
      </c>
      <c r="W24" s="39">
        <f>+'5'!K9/1000</f>
        <v>40.323999999999998</v>
      </c>
      <c r="X24" s="508">
        <f>SUM(W24:W27)/SUM(K24:K27)</f>
        <v>0.92939544766787285</v>
      </c>
      <c r="Y24" s="216">
        <f>+SUM(RBP!AG3:AG4)</f>
        <v>0</v>
      </c>
      <c r="Z24" s="39">
        <f>+'5'!D25/1000</f>
        <v>0.25600000000000001</v>
      </c>
      <c r="AA24" s="51">
        <f>SUM(U24:U27)-SUM(W24:W27)-SUM(Z24:Z27)-SUM(Y24:Y27)</f>
        <v>1.3008390000000036</v>
      </c>
      <c r="AB24" s="51">
        <f>(SUM(K24:K27)-SUM(W24:W27)-SUM(Y24:Y27)-SUM(Z24:Z27)-SUM(AC24:AC27)-SUM(V24:V27))-AA24</f>
        <v>-3.1086244689504383E-15</v>
      </c>
      <c r="AC24" s="39">
        <f>K24-T24</f>
        <v>0</v>
      </c>
      <c r="AD24" s="39">
        <f>+AM24+BA24</f>
        <v>9</v>
      </c>
      <c r="AE24" s="235" t="s">
        <v>458</v>
      </c>
      <c r="AF24" s="39">
        <v>9</v>
      </c>
      <c r="AG24" s="39"/>
      <c r="AH24" s="39"/>
      <c r="AI24" s="509"/>
      <c r="AJ24" s="39"/>
      <c r="AK24" s="39"/>
      <c r="AL24" s="39"/>
      <c r="AM24" s="39">
        <f t="shared" ref="AM24:AM26" si="43">SUM(AF24:AL24)+AT24+AV24+AX24</f>
        <v>9</v>
      </c>
      <c r="AN24" s="39"/>
      <c r="AO24" s="39"/>
      <c r="AP24" s="39"/>
      <c r="AQ24" s="39"/>
      <c r="AR24" s="39">
        <f>SUM(AN24:AQ24)</f>
        <v>0</v>
      </c>
      <c r="AS24" s="39"/>
      <c r="AT24" s="39"/>
      <c r="AU24" s="39"/>
      <c r="AV24" s="39"/>
      <c r="AW24" s="39"/>
      <c r="AX24" s="39"/>
      <c r="AY24" s="39"/>
      <c r="AZ24" s="39"/>
      <c r="BA24" s="39">
        <f>+AR24+AS24+AU24+AW24+AY24+AZ24</f>
        <v>0</v>
      </c>
      <c r="BB24" s="35">
        <v>3</v>
      </c>
      <c r="BC24" s="53"/>
      <c r="BD24" s="53"/>
      <c r="BE24" s="35"/>
      <c r="BF24" s="53"/>
    </row>
    <row r="25" spans="1:58" ht="12.95" customHeight="1">
      <c r="A25" s="42"/>
      <c r="B25" s="43"/>
      <c r="C25" s="421"/>
      <c r="D25" s="43"/>
      <c r="E25" s="44"/>
      <c r="F25" s="44"/>
      <c r="G25" s="506"/>
      <c r="H25" s="46"/>
      <c r="I25" s="47"/>
      <c r="J25" s="87"/>
      <c r="K25" s="87"/>
      <c r="L25" s="37"/>
      <c r="M25" s="37"/>
      <c r="N25" s="48"/>
      <c r="O25" s="49"/>
      <c r="P25" s="50"/>
      <c r="Q25" s="49"/>
      <c r="R25" s="507"/>
      <c r="S25" s="507"/>
      <c r="T25" s="39"/>
      <c r="U25" s="39"/>
      <c r="V25" s="39"/>
      <c r="W25" s="39"/>
      <c r="X25" s="40"/>
      <c r="Y25" s="216"/>
      <c r="Z25" s="39"/>
      <c r="AA25" s="39"/>
      <c r="AB25" s="39"/>
      <c r="AC25" s="39"/>
      <c r="AD25" s="39">
        <f>+AM25+BA25</f>
        <v>11</v>
      </c>
      <c r="AE25" s="235" t="s">
        <v>471</v>
      </c>
      <c r="AF25" s="39"/>
      <c r="AG25" s="39">
        <v>11</v>
      </c>
      <c r="AH25" s="39"/>
      <c r="AI25" s="39"/>
      <c r="AJ25" s="39"/>
      <c r="AK25" s="39"/>
      <c r="AL25" s="39"/>
      <c r="AM25" s="39">
        <f t="shared" si="43"/>
        <v>11</v>
      </c>
      <c r="AN25" s="88"/>
      <c r="AO25" s="39"/>
      <c r="AP25" s="39"/>
      <c r="AQ25" s="39"/>
      <c r="AR25" s="39">
        <f t="shared" ref="AR25:AR26" si="44">SUM(AN25:AQ25)</f>
        <v>0</v>
      </c>
      <c r="AS25" s="39"/>
      <c r="AT25" s="39"/>
      <c r="AU25" s="39"/>
      <c r="AV25" s="39"/>
      <c r="AW25" s="39"/>
      <c r="AX25" s="39"/>
      <c r="AY25" s="39"/>
      <c r="AZ25" s="39"/>
      <c r="BA25" s="39">
        <f>+AR25+AS25+AU25+AW25+AY25+AZ25</f>
        <v>0</v>
      </c>
      <c r="BB25" s="52"/>
      <c r="BC25" s="53">
        <v>8</v>
      </c>
      <c r="BD25" s="53"/>
      <c r="BE25" s="52"/>
      <c r="BF25" s="53"/>
    </row>
    <row r="26" spans="1:58" ht="12.95" customHeight="1">
      <c r="A26" s="42"/>
      <c r="B26" s="43"/>
      <c r="C26" s="421"/>
      <c r="D26" s="43"/>
      <c r="E26" s="44"/>
      <c r="F26" s="44"/>
      <c r="G26" s="45"/>
      <c r="H26" s="46"/>
      <c r="I26" s="47"/>
      <c r="J26" s="87"/>
      <c r="K26" s="87"/>
      <c r="L26" s="37"/>
      <c r="M26" s="37"/>
      <c r="N26" s="48"/>
      <c r="O26" s="49"/>
      <c r="P26" s="50"/>
      <c r="Q26" s="49"/>
      <c r="R26" s="507"/>
      <c r="S26" s="507"/>
      <c r="T26" s="39"/>
      <c r="U26" s="39"/>
      <c r="V26" s="39"/>
      <c r="W26" s="39"/>
      <c r="X26" s="40"/>
      <c r="Y26" s="216"/>
      <c r="Z26" s="39"/>
      <c r="AA26" s="39"/>
      <c r="AB26" s="39"/>
      <c r="AC26" s="39"/>
      <c r="AD26" s="39">
        <f>+AM26+BA26</f>
        <v>30</v>
      </c>
      <c r="AE26" s="235" t="s">
        <v>472</v>
      </c>
      <c r="AF26" s="35"/>
      <c r="AG26" s="35"/>
      <c r="AH26" s="35">
        <v>30</v>
      </c>
      <c r="AI26" s="35"/>
      <c r="AJ26" s="39"/>
      <c r="AK26" s="39"/>
      <c r="AL26" s="39"/>
      <c r="AM26" s="39">
        <f t="shared" si="43"/>
        <v>30</v>
      </c>
      <c r="AN26" s="39"/>
      <c r="AO26" s="39"/>
      <c r="AP26" s="39"/>
      <c r="AQ26" s="39"/>
      <c r="AR26" s="39">
        <f t="shared" si="44"/>
        <v>0</v>
      </c>
      <c r="AS26" s="39"/>
      <c r="AT26" s="39"/>
      <c r="AU26" s="39"/>
      <c r="AV26" s="39"/>
      <c r="AW26" s="39"/>
      <c r="AX26" s="39"/>
      <c r="AY26" s="39"/>
      <c r="AZ26" s="39"/>
      <c r="BA26" s="39">
        <f>+AR26+AS26+AU26+AW26+AY26+AZ26</f>
        <v>0</v>
      </c>
      <c r="BB26" s="35"/>
      <c r="BC26" s="510"/>
      <c r="BD26" s="510"/>
      <c r="BE26" s="35"/>
      <c r="BF26" s="510"/>
    </row>
    <row r="27" spans="1:58" ht="12.95" customHeight="1">
      <c r="A27" s="42"/>
      <c r="B27" s="43"/>
      <c r="C27" s="421"/>
      <c r="D27" s="43"/>
      <c r="E27" s="44"/>
      <c r="F27" s="44"/>
      <c r="G27" s="45"/>
      <c r="H27" s="46"/>
      <c r="I27" s="47"/>
      <c r="J27" s="87"/>
      <c r="K27" s="87"/>
      <c r="L27" s="37"/>
      <c r="M27" s="37"/>
      <c r="N27" s="48"/>
      <c r="O27" s="49"/>
      <c r="P27" s="50"/>
      <c r="Q27" s="49"/>
      <c r="R27" s="507"/>
      <c r="S27" s="507"/>
      <c r="T27" s="39"/>
      <c r="U27" s="39"/>
      <c r="V27" s="39"/>
      <c r="W27" s="39"/>
      <c r="X27" s="40"/>
      <c r="Y27" s="216"/>
      <c r="Z27" s="39"/>
      <c r="AA27" s="39"/>
      <c r="AB27" s="39"/>
      <c r="AC27" s="39"/>
      <c r="AD27" s="39"/>
      <c r="AE27" s="235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52"/>
      <c r="BC27" s="53"/>
      <c r="BD27" s="53"/>
      <c r="BE27" s="52"/>
      <c r="BF27" s="53"/>
    </row>
    <row r="28" spans="1:58" ht="12.75" customHeight="1">
      <c r="A28" s="42">
        <v>45936</v>
      </c>
      <c r="B28" s="43" t="s">
        <v>469</v>
      </c>
      <c r="C28" s="421">
        <f t="shared" ref="C28" si="45">(M28*E28*O28*Q28)/100000000</f>
        <v>43.883199359999992</v>
      </c>
      <c r="D28" s="43" t="s">
        <v>304</v>
      </c>
      <c r="E28" s="44">
        <v>13</v>
      </c>
      <c r="F28" s="44">
        <v>1</v>
      </c>
      <c r="G28" s="506">
        <f>+L28</f>
        <v>1180</v>
      </c>
      <c r="H28" s="46">
        <f>+N28</f>
        <v>0.2300000000000002</v>
      </c>
      <c r="I28" s="47">
        <v>0.88</v>
      </c>
      <c r="J28" s="87">
        <f t="shared" ref="J28" si="46">E28*G28*(1-H28)*1440/1000000*2.74</f>
        <v>46.604638079999994</v>
      </c>
      <c r="K28" s="87">
        <f t="shared" ref="K28" si="47">(IF(G28&lt;L28,L28,G28)*(1-IF(H28&lt;N28,H28,N28))*E28*O28*Q28)/100000000</f>
        <v>43.883199359999992</v>
      </c>
      <c r="L28" s="37">
        <v>1180</v>
      </c>
      <c r="M28" s="37">
        <v>908.5999999999998</v>
      </c>
      <c r="N28" s="48">
        <f t="shared" ref="N28" si="48">1-(M28/L28)</f>
        <v>0.2300000000000002</v>
      </c>
      <c r="O28" s="49">
        <f>+'Trim Rwd'!H17</f>
        <v>258</v>
      </c>
      <c r="P28" s="50">
        <f t="shared" ref="P28" si="49">O28*(Q28-R28-S28)</f>
        <v>351912</v>
      </c>
      <c r="Q28" s="49">
        <v>1440</v>
      </c>
      <c r="R28" s="507">
        <v>0</v>
      </c>
      <c r="S28" s="507">
        <v>76</v>
      </c>
      <c r="T28" s="39">
        <f t="shared" ref="T28" si="50">E28*M28*O28*Q28/100000000</f>
        <v>43.883199359999992</v>
      </c>
      <c r="U28" s="39">
        <f>E28*M28*O28*(Q28-R28-S28)/100000000</f>
        <v>41.567141615999994</v>
      </c>
      <c r="V28" s="39">
        <f>E28*G28*(1-N28)*O28/100*(R28+S28)/1000000</f>
        <v>2.3160577439999996</v>
      </c>
      <c r="W28" s="39">
        <f>+'6'!K9/1000</f>
        <v>41.719000000000001</v>
      </c>
      <c r="X28" s="508">
        <f>SUM(W28:W31)/SUM(K28:K31)</f>
        <v>0.95068273527083169</v>
      </c>
      <c r="Y28" s="216">
        <v>0</v>
      </c>
      <c r="Z28" s="39">
        <f>+'5'!D29/1000</f>
        <v>0</v>
      </c>
      <c r="AA28" s="51">
        <f>SUM(U28:U31)-SUM(W28:W31)-SUM(Z28:Z31)-SUM(Y28:Y31)</f>
        <v>-0.15185838400000762</v>
      </c>
      <c r="AB28" s="51">
        <f>(SUM(K28:K31)-SUM(W28:W31)-SUM(Y28:Y31)-SUM(Z28:Z31)-SUM(AC28:AC31)-SUM(V28:V31))-AA28</f>
        <v>-1.3322676295501878E-15</v>
      </c>
      <c r="AC28" s="39">
        <f>K28-T28</f>
        <v>0</v>
      </c>
      <c r="AD28" s="39">
        <f>+AM28+BA28</f>
        <v>27</v>
      </c>
      <c r="AE28" s="235" t="s">
        <v>485</v>
      </c>
      <c r="AF28" s="39">
        <v>27</v>
      </c>
      <c r="AG28" s="39"/>
      <c r="AH28" s="39"/>
      <c r="AI28" s="509"/>
      <c r="AJ28" s="39"/>
      <c r="AK28" s="39"/>
      <c r="AL28" s="39"/>
      <c r="AM28" s="39">
        <f t="shared" ref="AM28:AM30" si="51">SUM(AF28:AL28)+AT28+AV28+AX28</f>
        <v>27</v>
      </c>
      <c r="AN28" s="39"/>
      <c r="AO28" s="39"/>
      <c r="AP28" s="39"/>
      <c r="AQ28" s="39"/>
      <c r="AR28" s="39">
        <f>SUM(AN28:AQ28)</f>
        <v>0</v>
      </c>
      <c r="AS28" s="39"/>
      <c r="AT28" s="39"/>
      <c r="AU28" s="39"/>
      <c r="AV28" s="39"/>
      <c r="AW28" s="39"/>
      <c r="AX28" s="39"/>
      <c r="AY28" s="39"/>
      <c r="AZ28" s="39"/>
      <c r="BA28" s="39">
        <f>+AR28+AS28+AU28+AW28+AY28+AZ28</f>
        <v>0</v>
      </c>
      <c r="BB28" s="35">
        <v>9</v>
      </c>
      <c r="BC28" s="53"/>
      <c r="BD28" s="53"/>
      <c r="BE28" s="35"/>
      <c r="BF28" s="53"/>
    </row>
    <row r="29" spans="1:58" ht="12.95" customHeight="1">
      <c r="A29" s="42"/>
      <c r="B29" s="43"/>
      <c r="C29" s="421"/>
      <c r="D29" s="43"/>
      <c r="E29" s="44"/>
      <c r="F29" s="44"/>
      <c r="G29" s="506"/>
      <c r="H29" s="46"/>
      <c r="I29" s="47"/>
      <c r="J29" s="87"/>
      <c r="K29" s="87"/>
      <c r="L29" s="37"/>
      <c r="M29" s="37"/>
      <c r="N29" s="48"/>
      <c r="O29" s="49"/>
      <c r="P29" s="50"/>
      <c r="Q29" s="49"/>
      <c r="R29" s="507"/>
      <c r="S29" s="507"/>
      <c r="T29" s="39"/>
      <c r="U29" s="39"/>
      <c r="V29" s="39"/>
      <c r="W29" s="39"/>
      <c r="X29" s="40"/>
      <c r="Y29" s="216"/>
      <c r="Z29" s="39"/>
      <c r="AA29" s="39"/>
      <c r="AB29" s="39"/>
      <c r="AC29" s="39"/>
      <c r="AD29" s="39">
        <f>+AM29+BA29</f>
        <v>0</v>
      </c>
      <c r="AE29" s="235" t="s">
        <v>286</v>
      </c>
      <c r="AF29" s="39"/>
      <c r="AG29" s="39">
        <v>0</v>
      </c>
      <c r="AH29" s="39"/>
      <c r="AI29" s="39"/>
      <c r="AJ29" s="39"/>
      <c r="AK29" s="39"/>
      <c r="AL29" s="39"/>
      <c r="AM29" s="39">
        <f t="shared" si="51"/>
        <v>0</v>
      </c>
      <c r="AN29" s="88"/>
      <c r="AO29" s="39"/>
      <c r="AP29" s="39"/>
      <c r="AQ29" s="39"/>
      <c r="AR29" s="39">
        <f t="shared" ref="AR29:AR30" si="52">SUM(AN29:AQ29)</f>
        <v>0</v>
      </c>
      <c r="AS29" s="39"/>
      <c r="AT29" s="39"/>
      <c r="AU29" s="39"/>
      <c r="AV29" s="39"/>
      <c r="AW29" s="39"/>
      <c r="AX29" s="39"/>
      <c r="AY29" s="39"/>
      <c r="AZ29" s="39"/>
      <c r="BA29" s="39">
        <f>+AR29+AS29+AU29+AW29+AY29+AZ29</f>
        <v>0</v>
      </c>
      <c r="BB29" s="52"/>
      <c r="BC29" s="53">
        <v>0</v>
      </c>
      <c r="BD29" s="53"/>
      <c r="BE29" s="52"/>
      <c r="BF29" s="53"/>
    </row>
    <row r="30" spans="1:58" ht="12.95" customHeight="1">
      <c r="A30" s="42"/>
      <c r="B30" s="43"/>
      <c r="C30" s="421"/>
      <c r="D30" s="43"/>
      <c r="E30" s="44"/>
      <c r="F30" s="44"/>
      <c r="G30" s="45"/>
      <c r="H30" s="46"/>
      <c r="I30" s="47"/>
      <c r="J30" s="87"/>
      <c r="K30" s="87"/>
      <c r="L30" s="37"/>
      <c r="M30" s="37"/>
      <c r="N30" s="48"/>
      <c r="O30" s="49"/>
      <c r="P30" s="50"/>
      <c r="Q30" s="49"/>
      <c r="R30" s="507"/>
      <c r="S30" s="507"/>
      <c r="T30" s="39"/>
      <c r="U30" s="39"/>
      <c r="V30" s="39"/>
      <c r="W30" s="39"/>
      <c r="X30" s="40"/>
      <c r="Y30" s="216"/>
      <c r="Z30" s="39"/>
      <c r="AA30" s="39"/>
      <c r="AB30" s="39"/>
      <c r="AC30" s="39"/>
      <c r="AD30" s="39">
        <f>+AM30+BA30</f>
        <v>49</v>
      </c>
      <c r="AE30" s="235" t="s">
        <v>432</v>
      </c>
      <c r="AF30" s="35"/>
      <c r="AG30" s="35"/>
      <c r="AH30" s="35">
        <v>49</v>
      </c>
      <c r="AI30" s="35"/>
      <c r="AJ30" s="39"/>
      <c r="AK30" s="39"/>
      <c r="AL30" s="39"/>
      <c r="AM30" s="39">
        <f t="shared" si="51"/>
        <v>49</v>
      </c>
      <c r="AN30" s="39"/>
      <c r="AO30" s="39"/>
      <c r="AP30" s="39"/>
      <c r="AQ30" s="39"/>
      <c r="AR30" s="39">
        <f t="shared" si="52"/>
        <v>0</v>
      </c>
      <c r="AS30" s="39"/>
      <c r="AT30" s="39"/>
      <c r="AU30" s="39"/>
      <c r="AV30" s="39"/>
      <c r="AW30" s="39"/>
      <c r="AX30" s="39"/>
      <c r="AY30" s="39"/>
      <c r="AZ30" s="39"/>
      <c r="BA30" s="39">
        <f>+AR30+AS30+AU30+AW30+AY30+AZ30</f>
        <v>0</v>
      </c>
      <c r="BB30" s="35"/>
      <c r="BC30" s="510"/>
      <c r="BD30" s="510"/>
      <c r="BE30" s="35"/>
      <c r="BF30" s="510"/>
    </row>
    <row r="31" spans="1:58" ht="12.95" customHeight="1">
      <c r="A31" s="42"/>
      <c r="B31" s="43"/>
      <c r="C31" s="421"/>
      <c r="D31" s="43"/>
      <c r="E31" s="44"/>
      <c r="F31" s="44"/>
      <c r="G31" s="45"/>
      <c r="H31" s="46"/>
      <c r="I31" s="47"/>
      <c r="J31" s="87"/>
      <c r="K31" s="87"/>
      <c r="L31" s="37"/>
      <c r="M31" s="37"/>
      <c r="N31" s="48"/>
      <c r="O31" s="49"/>
      <c r="P31" s="50"/>
      <c r="Q31" s="49"/>
      <c r="R31" s="507"/>
      <c r="S31" s="507"/>
      <c r="T31" s="39"/>
      <c r="U31" s="39"/>
      <c r="V31" s="39"/>
      <c r="W31" s="39"/>
      <c r="X31" s="40"/>
      <c r="Y31" s="216"/>
      <c r="Z31" s="39"/>
      <c r="AA31" s="39"/>
      <c r="AB31" s="39"/>
      <c r="AC31" s="39"/>
      <c r="AD31" s="39"/>
      <c r="AE31" s="235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52"/>
      <c r="BC31" s="53"/>
      <c r="BD31" s="53"/>
      <c r="BE31" s="52"/>
      <c r="BF31" s="53"/>
    </row>
    <row r="32" spans="1:58" ht="12.75" customHeight="1">
      <c r="A32" s="42">
        <v>45937</v>
      </c>
      <c r="B32" s="43" t="s">
        <v>469</v>
      </c>
      <c r="C32" s="421">
        <f t="shared" ref="C32:C33" si="53">(M32*E32*O32*Q32)/100000000</f>
        <v>3.19981662</v>
      </c>
      <c r="D32" s="43" t="s">
        <v>304</v>
      </c>
      <c r="E32" s="44">
        <v>13</v>
      </c>
      <c r="F32" s="44">
        <v>1</v>
      </c>
      <c r="G32" s="506">
        <f>+L32</f>
        <v>1180</v>
      </c>
      <c r="H32" s="46">
        <f>+N32</f>
        <v>0.23000000000000009</v>
      </c>
      <c r="I32" s="47">
        <v>0.88</v>
      </c>
      <c r="J32" s="87">
        <f t="shared" ref="J32:J33" si="54">E32*G32*(1-H32)*1440/1000000*2.74</f>
        <v>46.604638080000001</v>
      </c>
      <c r="K32" s="87">
        <f t="shared" ref="K32:K33" si="55">(IF(G32&lt;L32,L32,G32)*(1-IF(H32&lt;N32,H32,N32))*E32*O32*Q32)/100000000</f>
        <v>3.19981662</v>
      </c>
      <c r="L32" s="37">
        <v>1180</v>
      </c>
      <c r="M32" s="37">
        <v>908.59999999999991</v>
      </c>
      <c r="N32" s="48">
        <f t="shared" ref="N32:N33" si="56">1-(M32/L32)</f>
        <v>0.23000000000000009</v>
      </c>
      <c r="O32" s="49">
        <f>+'Trim Rwd'!H19</f>
        <v>258</v>
      </c>
      <c r="P32" s="50">
        <f t="shared" ref="P32:P33" si="57">O32*(Q32-R32-S32)</f>
        <v>22962</v>
      </c>
      <c r="Q32" s="49">
        <v>105</v>
      </c>
      <c r="R32" s="507">
        <v>0</v>
      </c>
      <c r="S32" s="507">
        <v>16</v>
      </c>
      <c r="T32" s="39">
        <f t="shared" ref="T32:T33" si="58">E32*M32*O32*Q32/100000000</f>
        <v>3.19981662</v>
      </c>
      <c r="U32" s="39">
        <f>E32*M32*O32*(Q32-R32-S32)/100000000</f>
        <v>2.7122255159999997</v>
      </c>
      <c r="V32" s="39">
        <f>E32*G32*(1-N32)*O32/100*(R32+S32)/1000000</f>
        <v>0.487591104</v>
      </c>
      <c r="W32" s="39">
        <f>+'7'!K9/1000</f>
        <v>6.74</v>
      </c>
      <c r="X32" s="508">
        <f>SUM(W32:W35)/SUM(K32:K35)</f>
        <v>0.96700039420516659</v>
      </c>
      <c r="Y32" s="216">
        <v>0</v>
      </c>
      <c r="Z32" s="39">
        <f>+'5'!D33/1000</f>
        <v>1.9355814305156511E-5</v>
      </c>
      <c r="AA32" s="51">
        <f>SUM(U32:U35)-SUM(W32:W35)-SUM(Z32:Z35)-SUM(Y32:Y35)</f>
        <v>-1.6657587634098077</v>
      </c>
      <c r="AB32" s="51">
        <f>(SUM(K32:K35)-SUM(W32:W35)-SUM(Y32:Y35)-SUM(Z32:Z35)-SUM(AC32:AC35)-SUM(V32:V35))-AA32</f>
        <v>0.49433311109550093</v>
      </c>
      <c r="AC32" s="39">
        <f>K32-T32</f>
        <v>0</v>
      </c>
      <c r="AD32" s="39">
        <f>+AM32+BA32</f>
        <v>24</v>
      </c>
      <c r="AE32" s="235" t="s">
        <v>485</v>
      </c>
      <c r="AF32" s="39">
        <v>24</v>
      </c>
      <c r="AG32" s="39"/>
      <c r="AH32" s="39"/>
      <c r="AI32" s="509"/>
      <c r="AJ32" s="39"/>
      <c r="AK32" s="39"/>
      <c r="AL32" s="39"/>
      <c r="AM32" s="39">
        <f t="shared" ref="AM32:AM34" si="59">SUM(AF32:AL32)+AT32+AV32+AX32</f>
        <v>24</v>
      </c>
      <c r="AN32" s="39"/>
      <c r="AO32" s="39"/>
      <c r="AP32" s="39"/>
      <c r="AQ32" s="39"/>
      <c r="AR32" s="39">
        <f>SUM(AN32:AQ32)</f>
        <v>0</v>
      </c>
      <c r="AS32" s="39"/>
      <c r="AT32" s="39"/>
      <c r="AU32" s="39"/>
      <c r="AV32" s="39"/>
      <c r="AW32" s="39"/>
      <c r="AX32" s="39"/>
      <c r="AY32" s="39"/>
      <c r="AZ32" s="39"/>
      <c r="BA32" s="39">
        <f>+AR32+AS32+AU32+AW32+AY32+AZ32</f>
        <v>0</v>
      </c>
      <c r="BB32" s="35">
        <v>9</v>
      </c>
      <c r="BC32" s="53"/>
      <c r="BD32" s="53"/>
      <c r="BE32" s="35"/>
      <c r="BF32" s="53"/>
    </row>
    <row r="33" spans="1:58" ht="12.95" customHeight="1">
      <c r="A33" s="42"/>
      <c r="B33" s="43" t="s">
        <v>469</v>
      </c>
      <c r="C33" s="421">
        <f t="shared" si="53"/>
        <v>40.096471800000003</v>
      </c>
      <c r="D33" s="43" t="s">
        <v>304</v>
      </c>
      <c r="E33" s="44">
        <v>12.5</v>
      </c>
      <c r="F33" s="44">
        <v>1</v>
      </c>
      <c r="G33" s="506">
        <v>1230</v>
      </c>
      <c r="H33" s="46">
        <f>+N33</f>
        <v>0.23000000000000009</v>
      </c>
      <c r="I33" s="47">
        <v>0.88</v>
      </c>
      <c r="J33" s="87">
        <f t="shared" si="54"/>
        <v>46.710971999999991</v>
      </c>
      <c r="K33" s="87">
        <f t="shared" si="55"/>
        <v>40.618159312499998</v>
      </c>
      <c r="L33" s="37">
        <v>1214.2022471910113</v>
      </c>
      <c r="M33" s="37">
        <v>934.93573033707867</v>
      </c>
      <c r="N33" s="48">
        <f t="shared" si="56"/>
        <v>0.23000000000000009</v>
      </c>
      <c r="O33" s="49">
        <f>+'Trim Rwd'!H20</f>
        <v>257</v>
      </c>
      <c r="P33" s="50">
        <f t="shared" si="57"/>
        <v>325105</v>
      </c>
      <c r="Q33" s="49">
        <v>1335</v>
      </c>
      <c r="R33" s="507">
        <v>0</v>
      </c>
      <c r="S33" s="507">
        <v>70</v>
      </c>
      <c r="T33" s="39">
        <f t="shared" si="58"/>
        <v>40.096471800000003</v>
      </c>
      <c r="U33" s="39">
        <f>E33*M33*O33*(Q33-R33-S33)/100000000</f>
        <v>37.994035076404501</v>
      </c>
      <c r="V33" s="39">
        <f>E33*G33*(1-N33)*O33/100*(R33+S33)/1000000</f>
        <v>2.1297911249999997</v>
      </c>
      <c r="W33" s="39">
        <f>+'7'!K10/1000</f>
        <v>35.631999999999998</v>
      </c>
      <c r="X33" s="40"/>
      <c r="Y33" s="216"/>
      <c r="Z33" s="39"/>
      <c r="AA33" s="39"/>
      <c r="AB33" s="39"/>
      <c r="AC33" s="39"/>
      <c r="AD33" s="39">
        <f>+AM33+BA33</f>
        <v>0</v>
      </c>
      <c r="AE33" s="235" t="s">
        <v>286</v>
      </c>
      <c r="AF33" s="39"/>
      <c r="AG33" s="39">
        <v>0</v>
      </c>
      <c r="AH33" s="39"/>
      <c r="AI33" s="39"/>
      <c r="AJ33" s="39"/>
      <c r="AK33" s="39"/>
      <c r="AL33" s="39"/>
      <c r="AM33" s="39">
        <f t="shared" si="59"/>
        <v>0</v>
      </c>
      <c r="AN33" s="88"/>
      <c r="AO33" s="39"/>
      <c r="AP33" s="39"/>
      <c r="AQ33" s="39"/>
      <c r="AR33" s="39">
        <f t="shared" ref="AR33:AR34" si="60">SUM(AN33:AQ33)</f>
        <v>0</v>
      </c>
      <c r="AS33" s="39"/>
      <c r="AT33" s="39"/>
      <c r="AU33" s="39"/>
      <c r="AV33" s="39"/>
      <c r="AW33" s="39"/>
      <c r="AX33" s="39"/>
      <c r="AY33" s="39"/>
      <c r="AZ33" s="39"/>
      <c r="BA33" s="39">
        <f>+AR33+AS33+AU33+AW33+AY33+AZ33</f>
        <v>0</v>
      </c>
      <c r="BB33" s="52"/>
      <c r="BC33" s="53">
        <v>0</v>
      </c>
      <c r="BD33" s="53"/>
      <c r="BE33" s="52"/>
      <c r="BF33" s="53"/>
    </row>
    <row r="34" spans="1:58" ht="12.95" customHeight="1">
      <c r="A34" s="42"/>
      <c r="B34" s="43"/>
      <c r="C34" s="421"/>
      <c r="D34" s="43"/>
      <c r="E34" s="44"/>
      <c r="F34" s="44"/>
      <c r="G34" s="45"/>
      <c r="H34" s="46"/>
      <c r="I34" s="47"/>
      <c r="J34" s="87"/>
      <c r="K34" s="87"/>
      <c r="L34" s="37"/>
      <c r="M34" s="37"/>
      <c r="N34" s="48"/>
      <c r="O34" s="49"/>
      <c r="P34" s="50"/>
      <c r="Q34" s="49"/>
      <c r="R34" s="507"/>
      <c r="S34" s="507"/>
      <c r="T34" s="39"/>
      <c r="U34" s="39"/>
      <c r="V34" s="39"/>
      <c r="W34" s="39"/>
      <c r="X34" s="40"/>
      <c r="Y34" s="216"/>
      <c r="Z34" s="39"/>
      <c r="AA34" s="39"/>
      <c r="AB34" s="39"/>
      <c r="AC34" s="39"/>
      <c r="AD34" s="39">
        <f>+AM34+BA34</f>
        <v>62</v>
      </c>
      <c r="AE34" s="235" t="s">
        <v>496</v>
      </c>
      <c r="AF34" s="35"/>
      <c r="AG34" s="35"/>
      <c r="AH34" s="35">
        <v>62</v>
      </c>
      <c r="AI34" s="35"/>
      <c r="AJ34" s="39"/>
      <c r="AK34" s="39"/>
      <c r="AL34" s="39"/>
      <c r="AM34" s="39">
        <f t="shared" si="59"/>
        <v>62</v>
      </c>
      <c r="AN34" s="39"/>
      <c r="AO34" s="39"/>
      <c r="AP34" s="39"/>
      <c r="AQ34" s="39"/>
      <c r="AR34" s="39">
        <f t="shared" si="60"/>
        <v>0</v>
      </c>
      <c r="AS34" s="39"/>
      <c r="AT34" s="39"/>
      <c r="AU34" s="39"/>
      <c r="AV34" s="39"/>
      <c r="AW34" s="39"/>
      <c r="AX34" s="39"/>
      <c r="AY34" s="39"/>
      <c r="AZ34" s="39"/>
      <c r="BA34" s="39">
        <f>+AR34+AS34+AU34+AW34+AY34+AZ34</f>
        <v>0</v>
      </c>
      <c r="BB34" s="35"/>
      <c r="BC34" s="510"/>
      <c r="BD34" s="510"/>
      <c r="BE34" s="35"/>
      <c r="BF34" s="510"/>
    </row>
    <row r="35" spans="1:58" ht="12.95" customHeight="1">
      <c r="A35" s="42"/>
      <c r="B35" s="43"/>
      <c r="C35" s="421"/>
      <c r="D35" s="43"/>
      <c r="E35" s="44"/>
      <c r="F35" s="44"/>
      <c r="G35" s="45"/>
      <c r="H35" s="46"/>
      <c r="I35" s="47"/>
      <c r="J35" s="87"/>
      <c r="K35" s="87"/>
      <c r="L35" s="37"/>
      <c r="M35" s="37"/>
      <c r="N35" s="48"/>
      <c r="O35" s="49"/>
      <c r="P35" s="50"/>
      <c r="Q35" s="49"/>
      <c r="R35" s="507"/>
      <c r="S35" s="507"/>
      <c r="T35" s="39"/>
      <c r="U35" s="39"/>
      <c r="V35" s="39"/>
      <c r="W35" s="39"/>
      <c r="X35" s="40"/>
      <c r="Y35" s="216"/>
      <c r="Z35" s="39"/>
      <c r="AA35" s="39"/>
      <c r="AB35" s="39"/>
      <c r="AC35" s="39"/>
      <c r="AD35" s="39"/>
      <c r="AE35" s="235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52"/>
      <c r="BC35" s="53"/>
      <c r="BD35" s="53"/>
      <c r="BE35" s="52"/>
      <c r="BF35" s="53"/>
    </row>
    <row r="36" spans="1:58" ht="12.75" customHeight="1">
      <c r="A36" s="42">
        <v>45938</v>
      </c>
      <c r="B36" s="43" t="s">
        <v>469</v>
      </c>
      <c r="C36" s="421">
        <f t="shared" ref="C36" si="61">(M36*E36*O36*Q36)/100000000</f>
        <v>43.456643999999997</v>
      </c>
      <c r="D36" s="43" t="s">
        <v>304</v>
      </c>
      <c r="E36" s="44">
        <v>12.5</v>
      </c>
      <c r="F36" s="44">
        <v>1</v>
      </c>
      <c r="G36" s="506">
        <v>1230</v>
      </c>
      <c r="H36" s="46">
        <f>+N36</f>
        <v>0.22999999999999998</v>
      </c>
      <c r="I36" s="47">
        <v>0.88</v>
      </c>
      <c r="J36" s="87">
        <f t="shared" ref="J36" si="62">E36*G36*(1-H36)*1440/1000000*2.74</f>
        <v>46.710971999999998</v>
      </c>
      <c r="K36" s="87">
        <f t="shared" ref="K36" si="63">(IF(G36&lt;L36,L36,G36)*(1-IF(H36&lt;N36,H36,N36))*E36*O36*Q36)/100000000</f>
        <v>43.812846</v>
      </c>
      <c r="L36" s="37">
        <v>1220</v>
      </c>
      <c r="M36" s="37">
        <v>939.4</v>
      </c>
      <c r="N36" s="48">
        <f t="shared" ref="N36" si="64">1-(M36/L36)</f>
        <v>0.22999999999999998</v>
      </c>
      <c r="O36" s="49">
        <f>+'Trim Rwd'!H22</f>
        <v>257</v>
      </c>
      <c r="P36" s="50">
        <f t="shared" ref="P36" si="65">O36*(Q36-R36-S36)</f>
        <v>349520</v>
      </c>
      <c r="Q36" s="49">
        <v>1440</v>
      </c>
      <c r="R36" s="507">
        <v>0</v>
      </c>
      <c r="S36" s="507">
        <v>80</v>
      </c>
      <c r="T36" s="39">
        <f t="shared" ref="T36" si="66">E36*M36*O36*Q36/100000000</f>
        <v>43.456643999999997</v>
      </c>
      <c r="U36" s="39">
        <f>E36*M36*O36*(Q36-R36-S36)/100000000</f>
        <v>41.042386</v>
      </c>
      <c r="V36" s="39">
        <f>E36*G36*(1-N36)*O36/100*(R36+S36)/1000000</f>
        <v>2.4340470000000001</v>
      </c>
      <c r="W36" s="39">
        <f>+'8'!K10/1000</f>
        <v>43.186999999999998</v>
      </c>
      <c r="X36" s="508">
        <f>SUM(W36:W39)/SUM(K36:K39)</f>
        <v>0.98571546801593302</v>
      </c>
      <c r="Y36" s="216">
        <f>+SUM(RBP!AG15:AG16)</f>
        <v>0</v>
      </c>
      <c r="Z36" s="39">
        <v>0</v>
      </c>
      <c r="AA36" s="51">
        <f>SUM(U36:U39)-SUM(W36:W39)-SUM(Z36:Z39)-SUM(Y36:Y39)</f>
        <v>-2.1446139999999971</v>
      </c>
      <c r="AB36" s="51">
        <f>(SUM(K36:K39)-SUM(W36:W39)-SUM(Y36:Y39)-SUM(Z36:Z39)-SUM(AC36:AC39)-SUM(V36:V39))-AA36</f>
        <v>-1.9789000000003387E-2</v>
      </c>
      <c r="AC36" s="39">
        <f>K36-T36</f>
        <v>0.35620200000000324</v>
      </c>
      <c r="AD36" s="39">
        <f>+AM36+BA36</f>
        <v>17</v>
      </c>
      <c r="AE36" s="235" t="s">
        <v>501</v>
      </c>
      <c r="AF36" s="39">
        <v>17</v>
      </c>
      <c r="AG36" s="39"/>
      <c r="AH36" s="39"/>
      <c r="AI36" s="509"/>
      <c r="AJ36" s="39"/>
      <c r="AK36" s="39"/>
      <c r="AL36" s="39"/>
      <c r="AM36" s="39">
        <f t="shared" ref="AM36:AM38" si="67">SUM(AF36:AL36)+AT36+AV36+AX36</f>
        <v>17</v>
      </c>
      <c r="AN36" s="39"/>
      <c r="AO36" s="39"/>
      <c r="AP36" s="39"/>
      <c r="AQ36" s="39"/>
      <c r="AR36" s="39">
        <f>SUM(AN36:AQ36)</f>
        <v>0</v>
      </c>
      <c r="AS36" s="39"/>
      <c r="AT36" s="39"/>
      <c r="AU36" s="39"/>
      <c r="AV36" s="39"/>
      <c r="AW36" s="39"/>
      <c r="AX36" s="39"/>
      <c r="AY36" s="39"/>
      <c r="AZ36" s="39"/>
      <c r="BA36" s="39">
        <f>+AR36+AS36+AU36+AW36+AY36+AZ36</f>
        <v>0</v>
      </c>
      <c r="BB36" s="35">
        <v>8</v>
      </c>
      <c r="BC36" s="53"/>
      <c r="BD36" s="53"/>
      <c r="BE36" s="35"/>
      <c r="BF36" s="53"/>
    </row>
    <row r="37" spans="1:58" ht="12.95" customHeight="1">
      <c r="A37" s="42"/>
      <c r="B37" s="43"/>
      <c r="C37" s="421"/>
      <c r="D37" s="43"/>
      <c r="E37" s="44"/>
      <c r="F37" s="44"/>
      <c r="G37" s="506"/>
      <c r="H37" s="46"/>
      <c r="I37" s="47"/>
      <c r="J37" s="87"/>
      <c r="K37" s="87"/>
      <c r="L37" s="37"/>
      <c r="M37" s="37"/>
      <c r="N37" s="48"/>
      <c r="O37" s="49"/>
      <c r="P37" s="50"/>
      <c r="Q37" s="49"/>
      <c r="R37" s="507"/>
      <c r="S37" s="507"/>
      <c r="T37" s="39"/>
      <c r="U37" s="39"/>
      <c r="V37" s="39"/>
      <c r="W37" s="39"/>
      <c r="X37" s="40"/>
      <c r="Y37" s="216"/>
      <c r="Z37" s="39"/>
      <c r="AA37" s="39"/>
      <c r="AB37" s="39"/>
      <c r="AC37" s="39"/>
      <c r="AD37" s="39">
        <f>+AM37+BA37</f>
        <v>14</v>
      </c>
      <c r="AE37" s="235" t="s">
        <v>460</v>
      </c>
      <c r="AF37" s="39"/>
      <c r="AG37" s="39">
        <v>14</v>
      </c>
      <c r="AH37" s="39"/>
      <c r="AI37" s="39"/>
      <c r="AJ37" s="39"/>
      <c r="AK37" s="39"/>
      <c r="AL37" s="39"/>
      <c r="AM37" s="39">
        <f t="shared" si="67"/>
        <v>14</v>
      </c>
      <c r="AN37" s="88"/>
      <c r="AO37" s="39"/>
      <c r="AP37" s="39"/>
      <c r="AQ37" s="39"/>
      <c r="AR37" s="39">
        <f t="shared" ref="AR37:AR38" si="68">SUM(AN37:AQ37)</f>
        <v>0</v>
      </c>
      <c r="AS37" s="39"/>
      <c r="AT37" s="39"/>
      <c r="AU37" s="39"/>
      <c r="AV37" s="39"/>
      <c r="AW37" s="39"/>
      <c r="AX37" s="39"/>
      <c r="AY37" s="39"/>
      <c r="AZ37" s="39"/>
      <c r="BA37" s="39">
        <f>+AR37+AS37+AU37+AW37+AY37+AZ37</f>
        <v>0</v>
      </c>
      <c r="BB37" s="52"/>
      <c r="BC37" s="53">
        <v>7</v>
      </c>
      <c r="BD37" s="53"/>
      <c r="BE37" s="52"/>
      <c r="BF37" s="53"/>
    </row>
    <row r="38" spans="1:58" ht="12.95" customHeight="1">
      <c r="A38" s="42"/>
      <c r="B38" s="43"/>
      <c r="C38" s="421"/>
      <c r="D38" s="43"/>
      <c r="E38" s="44"/>
      <c r="F38" s="44"/>
      <c r="G38" s="45"/>
      <c r="H38" s="46"/>
      <c r="I38" s="47"/>
      <c r="J38" s="87"/>
      <c r="K38" s="87"/>
      <c r="L38" s="37"/>
      <c r="M38" s="37"/>
      <c r="N38" s="48"/>
      <c r="O38" s="49"/>
      <c r="P38" s="50"/>
      <c r="Q38" s="49"/>
      <c r="R38" s="507"/>
      <c r="S38" s="507"/>
      <c r="T38" s="39"/>
      <c r="U38" s="39"/>
      <c r="V38" s="39"/>
      <c r="W38" s="39"/>
      <c r="X38" s="40"/>
      <c r="Y38" s="216"/>
      <c r="Z38" s="39"/>
      <c r="AA38" s="39"/>
      <c r="AB38" s="39"/>
      <c r="AC38" s="39"/>
      <c r="AD38" s="39">
        <f>+AM38+BA38</f>
        <v>49</v>
      </c>
      <c r="AE38" s="235" t="s">
        <v>472</v>
      </c>
      <c r="AF38" s="35"/>
      <c r="AG38" s="35"/>
      <c r="AH38" s="35">
        <v>49</v>
      </c>
      <c r="AI38" s="35"/>
      <c r="AJ38" s="39"/>
      <c r="AK38" s="39"/>
      <c r="AL38" s="39"/>
      <c r="AM38" s="39">
        <f t="shared" si="67"/>
        <v>49</v>
      </c>
      <c r="AN38" s="39"/>
      <c r="AO38" s="39"/>
      <c r="AP38" s="39"/>
      <c r="AQ38" s="39"/>
      <c r="AR38" s="39">
        <f t="shared" si="68"/>
        <v>0</v>
      </c>
      <c r="AS38" s="39"/>
      <c r="AT38" s="39"/>
      <c r="AU38" s="39"/>
      <c r="AV38" s="39"/>
      <c r="AW38" s="39"/>
      <c r="AX38" s="39"/>
      <c r="AY38" s="39"/>
      <c r="AZ38" s="39"/>
      <c r="BA38" s="39">
        <f>+AR38+AS38+AU38+AW38+AY38+AZ38</f>
        <v>0</v>
      </c>
      <c r="BB38" s="35"/>
      <c r="BC38" s="510"/>
      <c r="BD38" s="510"/>
      <c r="BE38" s="35"/>
      <c r="BF38" s="510"/>
    </row>
    <row r="39" spans="1:58" ht="12.95" customHeight="1">
      <c r="A39" s="42"/>
      <c r="B39" s="43"/>
      <c r="C39" s="421"/>
      <c r="D39" s="43"/>
      <c r="E39" s="44"/>
      <c r="F39" s="44"/>
      <c r="G39" s="506"/>
      <c r="H39" s="46"/>
      <c r="I39" s="47"/>
      <c r="J39" s="87"/>
      <c r="K39" s="87"/>
      <c r="L39" s="37"/>
      <c r="M39" s="37"/>
      <c r="N39" s="48"/>
      <c r="O39" s="49"/>
      <c r="P39" s="50"/>
      <c r="Q39" s="49"/>
      <c r="R39" s="507"/>
      <c r="S39" s="507"/>
      <c r="T39" s="39"/>
      <c r="U39" s="39"/>
      <c r="V39" s="39"/>
      <c r="W39" s="39"/>
      <c r="X39" s="508"/>
      <c r="Y39" s="216"/>
      <c r="Z39" s="39"/>
      <c r="AA39" s="51"/>
      <c r="AB39" s="51"/>
      <c r="AC39" s="39"/>
      <c r="AD39" s="39"/>
      <c r="AE39" s="235"/>
      <c r="AF39" s="39"/>
      <c r="AG39" s="39"/>
      <c r="AH39" s="39"/>
      <c r="AI39" s="50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5"/>
      <c r="BC39" s="53"/>
      <c r="BD39" s="53"/>
      <c r="BE39" s="35"/>
      <c r="BF39" s="53"/>
    </row>
    <row r="40" spans="1:58" ht="12.75" customHeight="1">
      <c r="A40" s="42">
        <v>45939</v>
      </c>
      <c r="B40" s="43" t="s">
        <v>469</v>
      </c>
      <c r="C40" s="421">
        <f t="shared" ref="C40" si="69">(M40*E40*O40*Q40)/100000000</f>
        <v>43.456643999999997</v>
      </c>
      <c r="D40" s="43" t="s">
        <v>304</v>
      </c>
      <c r="E40" s="44">
        <v>12.5</v>
      </c>
      <c r="F40" s="44">
        <v>1</v>
      </c>
      <c r="G40" s="506">
        <v>1230</v>
      </c>
      <c r="H40" s="46">
        <f>+N40</f>
        <v>0.22999999999999998</v>
      </c>
      <c r="I40" s="47">
        <v>0.88</v>
      </c>
      <c r="J40" s="87">
        <f t="shared" ref="J40" si="70">E40*G40*(1-H40)*1440/1000000*2.74</f>
        <v>46.710971999999998</v>
      </c>
      <c r="K40" s="87">
        <f t="shared" ref="K40" si="71">(IF(G40&lt;L40,L40,G40)*(1-IF(H40&lt;N40,H40,N40))*E40*O40*Q40)/100000000</f>
        <v>43.812846</v>
      </c>
      <c r="L40" s="37">
        <v>1220</v>
      </c>
      <c r="M40" s="37">
        <v>939.4</v>
      </c>
      <c r="N40" s="48">
        <f t="shared" ref="N40" si="72">1-(M40/L40)</f>
        <v>0.22999999999999998</v>
      </c>
      <c r="O40" s="49">
        <f>+'Trim Rwd'!H24</f>
        <v>257</v>
      </c>
      <c r="P40" s="50">
        <f t="shared" ref="P40" si="73">O40*(Q40-R40-S40)</f>
        <v>352861</v>
      </c>
      <c r="Q40" s="49">
        <v>1440</v>
      </c>
      <c r="R40" s="507">
        <v>0</v>
      </c>
      <c r="S40" s="507">
        <v>67</v>
      </c>
      <c r="T40" s="39">
        <f t="shared" ref="T40" si="74">E40*M40*O40*Q40/100000000</f>
        <v>43.456643999999997</v>
      </c>
      <c r="U40" s="39">
        <f>E40*M40*O40*(Q40-R40-S40)/100000000</f>
        <v>41.434702925000003</v>
      </c>
      <c r="V40" s="39">
        <f>E40*G40*(1-N40)*O40/100*(R40+S40)/1000000</f>
        <v>2.0385143625</v>
      </c>
      <c r="W40" s="39">
        <f>+'9'!K10/1000</f>
        <v>36.542999999999999</v>
      </c>
      <c r="X40" s="508">
        <f>SUM(W40:W43)/SUM(K40:K43)</f>
        <v>0.83407044591442425</v>
      </c>
      <c r="Y40" s="216">
        <v>0</v>
      </c>
      <c r="Z40" s="39">
        <v>0</v>
      </c>
      <c r="AA40" s="51">
        <f>SUM(U40:U43)-SUM(W40:W43)-SUM(Z40:Z43)-SUM(Y40:Y43)</f>
        <v>4.8917029250000041</v>
      </c>
      <c r="AB40" s="51">
        <f>(SUM(K40:K43)-SUM(W40:W43)-SUM(Y40:Y43)-SUM(Z40:Z43)-SUM(AC40:AC43)-SUM(V40:V43))-AA40</f>
        <v>-1.6573287500006195E-2</v>
      </c>
      <c r="AC40" s="39">
        <f>K40-T40</f>
        <v>0.35620200000000324</v>
      </c>
      <c r="AD40" s="39">
        <f>+AM40+BA40</f>
        <v>19</v>
      </c>
      <c r="AE40" s="235" t="s">
        <v>507</v>
      </c>
      <c r="AF40" s="39">
        <v>19</v>
      </c>
      <c r="AG40" s="39"/>
      <c r="AH40" s="39"/>
      <c r="AI40" s="509"/>
      <c r="AJ40" s="39"/>
      <c r="AK40" s="39"/>
      <c r="AL40" s="39"/>
      <c r="AM40" s="39">
        <f t="shared" ref="AM40:AM42" si="75">SUM(AF40:AL40)+AT40+AV40+AX40</f>
        <v>19</v>
      </c>
      <c r="AN40" s="39"/>
      <c r="AO40" s="39"/>
      <c r="AP40" s="39"/>
      <c r="AQ40" s="39"/>
      <c r="AR40" s="39">
        <f>SUM(AN40:AQ40)</f>
        <v>0</v>
      </c>
      <c r="AS40" s="39"/>
      <c r="AT40" s="39"/>
      <c r="AU40" s="39"/>
      <c r="AV40" s="39"/>
      <c r="AW40" s="39"/>
      <c r="AX40" s="39"/>
      <c r="AY40" s="39"/>
      <c r="AZ40" s="39"/>
      <c r="BA40" s="39">
        <f>+AR40+AS40+AU40+AW40+AY40+AZ40</f>
        <v>0</v>
      </c>
      <c r="BB40" s="35">
        <v>5</v>
      </c>
      <c r="BC40" s="53"/>
      <c r="BD40" s="53"/>
      <c r="BE40" s="35"/>
      <c r="BF40" s="53"/>
    </row>
    <row r="41" spans="1:58" ht="12.95" customHeight="1">
      <c r="A41" s="42"/>
      <c r="B41" s="43"/>
      <c r="C41" s="421"/>
      <c r="D41" s="43"/>
      <c r="E41" s="44"/>
      <c r="F41" s="44"/>
      <c r="G41" s="506"/>
      <c r="H41" s="46"/>
      <c r="I41" s="47"/>
      <c r="J41" s="87"/>
      <c r="K41" s="87"/>
      <c r="L41" s="37"/>
      <c r="M41" s="37"/>
      <c r="N41" s="48"/>
      <c r="O41" s="49"/>
      <c r="P41" s="50"/>
      <c r="Q41" s="49"/>
      <c r="R41" s="507"/>
      <c r="S41" s="507"/>
      <c r="T41" s="39"/>
      <c r="U41" s="39"/>
      <c r="V41" s="39"/>
      <c r="W41" s="39"/>
      <c r="X41" s="40"/>
      <c r="Y41" s="216"/>
      <c r="Z41" s="39"/>
      <c r="AA41" s="39"/>
      <c r="AB41" s="39"/>
      <c r="AC41" s="39"/>
      <c r="AD41" s="39">
        <f>+AM41+BA41</f>
        <v>12</v>
      </c>
      <c r="AE41" s="235" t="s">
        <v>508</v>
      </c>
      <c r="AF41" s="39"/>
      <c r="AG41" s="39">
        <v>12</v>
      </c>
      <c r="AH41" s="39"/>
      <c r="AI41" s="39"/>
      <c r="AJ41" s="39"/>
      <c r="AK41" s="39"/>
      <c r="AL41" s="39"/>
      <c r="AM41" s="39">
        <f t="shared" si="75"/>
        <v>12</v>
      </c>
      <c r="AN41" s="88"/>
      <c r="AO41" s="39"/>
      <c r="AP41" s="39"/>
      <c r="AQ41" s="39"/>
      <c r="AR41" s="39">
        <f t="shared" ref="AR41:AR42" si="76">SUM(AN41:AQ41)</f>
        <v>0</v>
      </c>
      <c r="AS41" s="39"/>
      <c r="AT41" s="39"/>
      <c r="AU41" s="39"/>
      <c r="AV41" s="39"/>
      <c r="AW41" s="39"/>
      <c r="AX41" s="39"/>
      <c r="AY41" s="39"/>
      <c r="AZ41" s="39"/>
      <c r="BA41" s="39">
        <f>+AR41+AS41+AU41+AW41+AY41+AZ41</f>
        <v>0</v>
      </c>
      <c r="BB41" s="52"/>
      <c r="BC41" s="53">
        <v>13</v>
      </c>
      <c r="BD41" s="53"/>
      <c r="BE41" s="52"/>
      <c r="BF41" s="53"/>
    </row>
    <row r="42" spans="1:58" ht="12.95" customHeight="1">
      <c r="A42" s="42"/>
      <c r="B42" s="43"/>
      <c r="C42" s="421"/>
      <c r="D42" s="43"/>
      <c r="E42" s="44"/>
      <c r="F42" s="44"/>
      <c r="G42" s="45"/>
      <c r="H42" s="46"/>
      <c r="I42" s="47"/>
      <c r="J42" s="87"/>
      <c r="K42" s="87"/>
      <c r="L42" s="37"/>
      <c r="M42" s="37"/>
      <c r="N42" s="48"/>
      <c r="O42" s="49"/>
      <c r="P42" s="50"/>
      <c r="Q42" s="49"/>
      <c r="R42" s="507"/>
      <c r="S42" s="507"/>
      <c r="T42" s="39"/>
      <c r="U42" s="39"/>
      <c r="V42" s="39"/>
      <c r="W42" s="39"/>
      <c r="X42" s="40"/>
      <c r="Y42" s="216"/>
      <c r="Z42" s="39"/>
      <c r="AA42" s="39"/>
      <c r="AB42" s="39"/>
      <c r="AC42" s="39"/>
      <c r="AD42" s="39">
        <f>+AM42+BA42</f>
        <v>36</v>
      </c>
      <c r="AE42" s="235" t="s">
        <v>472</v>
      </c>
      <c r="AF42" s="35"/>
      <c r="AG42" s="35"/>
      <c r="AH42" s="35">
        <v>36</v>
      </c>
      <c r="AI42" s="35"/>
      <c r="AJ42" s="39"/>
      <c r="AK42" s="39"/>
      <c r="AL42" s="39"/>
      <c r="AM42" s="39">
        <f t="shared" si="75"/>
        <v>36</v>
      </c>
      <c r="AN42" s="39"/>
      <c r="AO42" s="39"/>
      <c r="AP42" s="39"/>
      <c r="AQ42" s="39"/>
      <c r="AR42" s="39">
        <f t="shared" si="76"/>
        <v>0</v>
      </c>
      <c r="AS42" s="39"/>
      <c r="AT42" s="39"/>
      <c r="AU42" s="39"/>
      <c r="AV42" s="39"/>
      <c r="AW42" s="39"/>
      <c r="AX42" s="39"/>
      <c r="AY42" s="39"/>
      <c r="AZ42" s="39"/>
      <c r="BA42" s="39">
        <f>+AR42+AS42+AU42+AW42+AY42+AZ42</f>
        <v>0</v>
      </c>
      <c r="BB42" s="35"/>
      <c r="BC42" s="510"/>
      <c r="BD42" s="510"/>
      <c r="BE42" s="35"/>
      <c r="BF42" s="510"/>
    </row>
    <row r="43" spans="1:58" ht="12.95" customHeight="1">
      <c r="A43" s="42"/>
      <c r="B43" s="43"/>
      <c r="C43" s="421"/>
      <c r="D43" s="43"/>
      <c r="E43" s="44"/>
      <c r="F43" s="44"/>
      <c r="G43" s="45"/>
      <c r="H43" s="46"/>
      <c r="I43" s="47"/>
      <c r="J43" s="87"/>
      <c r="K43" s="87"/>
      <c r="L43" s="37"/>
      <c r="M43" s="37"/>
      <c r="N43" s="48"/>
      <c r="O43" s="49"/>
      <c r="P43" s="50"/>
      <c r="Q43" s="49"/>
      <c r="R43" s="507"/>
      <c r="S43" s="507"/>
      <c r="T43" s="39"/>
      <c r="U43" s="39"/>
      <c r="V43" s="39"/>
      <c r="W43" s="39"/>
      <c r="X43" s="40"/>
      <c r="Y43" s="216"/>
      <c r="Z43" s="39"/>
      <c r="AA43" s="51"/>
      <c r="AB43" s="51"/>
      <c r="AC43" s="39"/>
      <c r="AD43" s="39"/>
      <c r="AE43" s="235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5"/>
      <c r="BC43" s="53"/>
      <c r="BD43" s="53"/>
      <c r="BE43" s="53"/>
      <c r="BF43" s="53"/>
    </row>
    <row r="44" spans="1:58" ht="12.75" customHeight="1">
      <c r="A44" s="42">
        <v>45940</v>
      </c>
      <c r="B44" s="43" t="s">
        <v>469</v>
      </c>
      <c r="C44" s="421">
        <f t="shared" ref="C44" si="77">(M44*E44*O44*Q44)/100000000</f>
        <v>43.280769262499987</v>
      </c>
      <c r="D44" s="43" t="s">
        <v>304</v>
      </c>
      <c r="E44" s="44">
        <v>12.5</v>
      </c>
      <c r="F44" s="44">
        <v>1</v>
      </c>
      <c r="G44" s="506">
        <v>1230</v>
      </c>
      <c r="H44" s="46">
        <f>+N44</f>
        <v>0.23000000000000009</v>
      </c>
      <c r="I44" s="47">
        <v>0.88</v>
      </c>
      <c r="J44" s="87">
        <f t="shared" ref="J44" si="78">E44*G44*(1-H44)*1440/1000000*2.74</f>
        <v>46.710971999999991</v>
      </c>
      <c r="K44" s="87">
        <f t="shared" ref="K44" si="79">(IF(G44&lt;L44,L44,G44)*(1-IF(H44&lt;N44,H44,N44))*E44*O44*Q44)/100000000</f>
        <v>43.812845999999993</v>
      </c>
      <c r="L44" s="37">
        <v>1215.0625</v>
      </c>
      <c r="M44" s="37">
        <v>935.59812499999987</v>
      </c>
      <c r="N44" s="48">
        <f t="shared" ref="N44" si="80">1-(M44/L44)</f>
        <v>0.23000000000000009</v>
      </c>
      <c r="O44" s="49">
        <f>+'Trim Rwd'!H26</f>
        <v>257</v>
      </c>
      <c r="P44" s="50">
        <f t="shared" ref="P44" si="81">O44*(Q44-R44-S44)</f>
        <v>348749</v>
      </c>
      <c r="Q44" s="49">
        <v>1440</v>
      </c>
      <c r="R44" s="507">
        <v>0</v>
      </c>
      <c r="S44" s="507">
        <v>83</v>
      </c>
      <c r="T44" s="39">
        <f t="shared" ref="T44" si="82">E44*M44*O44*Q44/100000000</f>
        <v>43.280769262499987</v>
      </c>
      <c r="U44" s="39">
        <f>E44*M44*O44*(Q44-R44-S44)/100000000</f>
        <v>40.786113811953122</v>
      </c>
      <c r="V44" s="39">
        <f>E44*G44*(1-N44)*O44/100*(R44+S44)/1000000</f>
        <v>2.5253237624999998</v>
      </c>
      <c r="W44" s="39">
        <f>+'10'!K10/1000</f>
        <v>35.942</v>
      </c>
      <c r="X44" s="508">
        <f>SUM(W44:W47)/SUM(K44:K47)</f>
        <v>0.82035300788266541</v>
      </c>
      <c r="Y44" s="216">
        <f>+SUM(RBP!AG23:AG24)</f>
        <v>0</v>
      </c>
      <c r="Z44" s="39">
        <v>0</v>
      </c>
      <c r="AA44" s="51">
        <f>SUM(U44:U47)-SUM(W44:W47)-SUM(Z44:Z47)-SUM(Y44:Y47)</f>
        <v>4.8441138119531217</v>
      </c>
      <c r="AB44" s="51">
        <f>(SUM(K44:K47)-SUM(W44:W47)-SUM(Y44:Y47)-SUM(Z44:Z47)-SUM(AC44:AC47)-SUM(V44:V47))-AA44</f>
        <v>-3.0668311953133909E-2</v>
      </c>
      <c r="AC44" s="39">
        <f>K44-T44</f>
        <v>0.53207673750000595</v>
      </c>
      <c r="AD44" s="39">
        <f>+AM44+BA44</f>
        <v>23</v>
      </c>
      <c r="AE44" s="235" t="s">
        <v>516</v>
      </c>
      <c r="AF44" s="39">
        <v>23</v>
      </c>
      <c r="AG44" s="39"/>
      <c r="AH44" s="39"/>
      <c r="AI44" s="509"/>
      <c r="AJ44" s="39"/>
      <c r="AK44" s="39"/>
      <c r="AL44" s="39"/>
      <c r="AM44" s="39">
        <f t="shared" ref="AM44:AM46" si="83">SUM(AF44:AL44)+AT44+AV44+AX44</f>
        <v>23</v>
      </c>
      <c r="AN44" s="39"/>
      <c r="AO44" s="39"/>
      <c r="AP44" s="39"/>
      <c r="AQ44" s="39"/>
      <c r="AR44" s="39">
        <f>SUM(AN44:AQ44)</f>
        <v>0</v>
      </c>
      <c r="AS44" s="39"/>
      <c r="AT44" s="39"/>
      <c r="AU44" s="39"/>
      <c r="AV44" s="39"/>
      <c r="AW44" s="39"/>
      <c r="AX44" s="39"/>
      <c r="AY44" s="39"/>
      <c r="AZ44" s="39"/>
      <c r="BA44" s="39">
        <f>+AR44+AS44+AU44+AW44+AY44+AZ44</f>
        <v>0</v>
      </c>
      <c r="BB44" s="35">
        <v>6</v>
      </c>
      <c r="BC44" s="53"/>
      <c r="BD44" s="53"/>
      <c r="BE44" s="35"/>
      <c r="BF44" s="53"/>
    </row>
    <row r="45" spans="1:58" ht="12.95" customHeight="1">
      <c r="A45" s="42"/>
      <c r="B45" s="43"/>
      <c r="C45" s="421"/>
      <c r="D45" s="43"/>
      <c r="E45" s="44"/>
      <c r="F45" s="44"/>
      <c r="G45" s="506"/>
      <c r="H45" s="46"/>
      <c r="I45" s="47"/>
      <c r="J45" s="87"/>
      <c r="K45" s="87"/>
      <c r="L45" s="37"/>
      <c r="M45" s="37"/>
      <c r="N45" s="48"/>
      <c r="O45" s="49"/>
      <c r="P45" s="50"/>
      <c r="Q45" s="49"/>
      <c r="R45" s="507"/>
      <c r="S45" s="507"/>
      <c r="T45" s="39"/>
      <c r="U45" s="39"/>
      <c r="V45" s="39"/>
      <c r="W45" s="39"/>
      <c r="X45" s="40"/>
      <c r="Y45" s="216"/>
      <c r="Z45" s="39"/>
      <c r="AA45" s="39"/>
      <c r="AB45" s="39"/>
      <c r="AC45" s="39"/>
      <c r="AD45" s="39">
        <f>+AM45+BA45</f>
        <v>8</v>
      </c>
      <c r="AE45" s="235" t="s">
        <v>444</v>
      </c>
      <c r="AF45" s="39"/>
      <c r="AG45" s="39">
        <v>8</v>
      </c>
      <c r="AH45" s="39"/>
      <c r="AI45" s="39"/>
      <c r="AJ45" s="39"/>
      <c r="AK45" s="39"/>
      <c r="AL45" s="39"/>
      <c r="AM45" s="39">
        <f t="shared" si="83"/>
        <v>8</v>
      </c>
      <c r="AN45" s="88"/>
      <c r="AO45" s="39"/>
      <c r="AP45" s="39"/>
      <c r="AQ45" s="39"/>
      <c r="AR45" s="39">
        <f t="shared" ref="AR45:AR46" si="84">SUM(AN45:AQ45)</f>
        <v>0</v>
      </c>
      <c r="AS45" s="39"/>
      <c r="AT45" s="39"/>
      <c r="AU45" s="39"/>
      <c r="AV45" s="39"/>
      <c r="AW45" s="39"/>
      <c r="AX45" s="39"/>
      <c r="AY45" s="39"/>
      <c r="AZ45" s="39"/>
      <c r="BA45" s="39">
        <f>+AR45+AS45+AU45+AW45+AY45+AZ45</f>
        <v>0</v>
      </c>
      <c r="BB45" s="52"/>
      <c r="BC45" s="53">
        <v>9</v>
      </c>
      <c r="BD45" s="53"/>
      <c r="BE45" s="52"/>
      <c r="BF45" s="53"/>
    </row>
    <row r="46" spans="1:58" ht="12.95" customHeight="1">
      <c r="A46" s="42"/>
      <c r="B46" s="43"/>
      <c r="C46" s="421"/>
      <c r="D46" s="43"/>
      <c r="E46" s="44"/>
      <c r="F46" s="44"/>
      <c r="G46" s="45"/>
      <c r="H46" s="46"/>
      <c r="I46" s="47"/>
      <c r="J46" s="87"/>
      <c r="K46" s="87"/>
      <c r="L46" s="37"/>
      <c r="M46" s="37"/>
      <c r="N46" s="48"/>
      <c r="O46" s="49"/>
      <c r="P46" s="50"/>
      <c r="Q46" s="49"/>
      <c r="R46" s="507"/>
      <c r="S46" s="507"/>
      <c r="T46" s="39"/>
      <c r="U46" s="39"/>
      <c r="V46" s="39"/>
      <c r="W46" s="39"/>
      <c r="X46" s="40"/>
      <c r="Y46" s="216"/>
      <c r="Z46" s="39"/>
      <c r="AA46" s="39"/>
      <c r="AB46" s="39"/>
      <c r="AC46" s="39"/>
      <c r="AD46" s="39">
        <f>+AM46+BA46</f>
        <v>52</v>
      </c>
      <c r="AE46" s="235" t="s">
        <v>496</v>
      </c>
      <c r="AF46" s="35"/>
      <c r="AG46" s="35"/>
      <c r="AH46" s="35">
        <v>52</v>
      </c>
      <c r="AI46" s="35"/>
      <c r="AJ46" s="39"/>
      <c r="AK46" s="39"/>
      <c r="AL46" s="39"/>
      <c r="AM46" s="39">
        <f t="shared" si="83"/>
        <v>52</v>
      </c>
      <c r="AN46" s="39"/>
      <c r="AO46" s="39"/>
      <c r="AP46" s="39"/>
      <c r="AQ46" s="39"/>
      <c r="AR46" s="39">
        <f t="shared" si="84"/>
        <v>0</v>
      </c>
      <c r="AS46" s="39"/>
      <c r="AT46" s="39"/>
      <c r="AU46" s="39"/>
      <c r="AV46" s="39"/>
      <c r="AW46" s="39"/>
      <c r="AX46" s="39"/>
      <c r="AY46" s="39"/>
      <c r="AZ46" s="39"/>
      <c r="BA46" s="39">
        <f>+AR46+AS46+AU46+AW46+AY46+AZ46</f>
        <v>0</v>
      </c>
      <c r="BB46" s="35"/>
      <c r="BC46" s="510"/>
      <c r="BD46" s="510"/>
      <c r="BE46" s="35"/>
      <c r="BF46" s="510"/>
    </row>
    <row r="47" spans="1:58" ht="12.95" customHeight="1">
      <c r="A47" s="42"/>
      <c r="B47" s="43"/>
      <c r="C47" s="421"/>
      <c r="D47" s="43"/>
      <c r="E47" s="44"/>
      <c r="F47" s="44"/>
      <c r="G47" s="45"/>
      <c r="H47" s="46"/>
      <c r="I47" s="47"/>
      <c r="J47" s="87"/>
      <c r="K47" s="87"/>
      <c r="L47" s="37"/>
      <c r="M47" s="37"/>
      <c r="N47" s="48"/>
      <c r="O47" s="49"/>
      <c r="P47" s="50"/>
      <c r="Q47" s="49"/>
      <c r="R47" s="507"/>
      <c r="S47" s="507"/>
      <c r="T47" s="39"/>
      <c r="U47" s="39"/>
      <c r="V47" s="39"/>
      <c r="W47" s="39"/>
      <c r="X47" s="40"/>
      <c r="Y47" s="216"/>
      <c r="Z47" s="39"/>
      <c r="AA47" s="51"/>
      <c r="AB47" s="51"/>
      <c r="AC47" s="39"/>
      <c r="AD47" s="39"/>
      <c r="AE47" s="235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5"/>
      <c r="BC47" s="53"/>
      <c r="BD47" s="53"/>
      <c r="BE47" s="53"/>
      <c r="BF47" s="53"/>
    </row>
    <row r="48" spans="1:58" ht="12.75" customHeight="1">
      <c r="A48" s="42">
        <v>45941</v>
      </c>
      <c r="B48" s="43" t="s">
        <v>469</v>
      </c>
      <c r="C48" s="421">
        <f t="shared" ref="C48:C49" si="85">(M48*E48*O48*Q48)/100000000</f>
        <v>37.444993162499998</v>
      </c>
      <c r="D48" s="43" t="s">
        <v>304</v>
      </c>
      <c r="E48" s="44">
        <v>12.5</v>
      </c>
      <c r="F48" s="44">
        <v>1</v>
      </c>
      <c r="G48" s="506">
        <v>1230</v>
      </c>
      <c r="H48" s="46">
        <f>+N48</f>
        <v>0.22999999999999998</v>
      </c>
      <c r="I48" s="47">
        <v>0.88</v>
      </c>
      <c r="J48" s="87">
        <f t="shared" ref="J48:J49" si="86">E48*G48*(1-H48)*1440/1000000*2.74</f>
        <v>46.710971999999998</v>
      </c>
      <c r="K48" s="87">
        <f t="shared" ref="K48:K49" si="87">(IF(G48&lt;L48,L48,G48)*(1-IF(H48&lt;N48,H48,N48))*E48*O48*Q48)/100000000</f>
        <v>38.640496124999999</v>
      </c>
      <c r="L48" s="37">
        <v>1191.9448818897638</v>
      </c>
      <c r="M48" s="37">
        <v>917.79755905511809</v>
      </c>
      <c r="N48" s="48">
        <f t="shared" ref="N48:N49" si="88">1-(M48/L48)</f>
        <v>0.22999999999999998</v>
      </c>
      <c r="O48" s="49">
        <f>+'Trim Rwd'!H28</f>
        <v>257</v>
      </c>
      <c r="P48" s="50">
        <f t="shared" ref="P48:P49" si="89">O48*(Q48-R48-S48)</f>
        <v>313540</v>
      </c>
      <c r="Q48" s="49">
        <v>1270</v>
      </c>
      <c r="R48" s="507">
        <v>0</v>
      </c>
      <c r="S48" s="507">
        <v>50</v>
      </c>
      <c r="T48" s="39">
        <f t="shared" ref="T48:T49" si="90">E48*M48*O48*Q48/100000000</f>
        <v>37.444993162499998</v>
      </c>
      <c r="U48" s="39">
        <f>E48*M48*O48*(Q48-R48-S48)/100000000</f>
        <v>35.970780833267717</v>
      </c>
      <c r="V48" s="39">
        <f>E48*G48*(1-N48)*O48/100*(R48+S48)/1000000</f>
        <v>1.521279375</v>
      </c>
      <c r="W48" s="39">
        <f>+'11'!K10/1000</f>
        <v>36.798000000000002</v>
      </c>
      <c r="X48" s="508">
        <f>SUM(W48:W51)/SUM(K48:K51)</f>
        <v>0.91753522389796827</v>
      </c>
      <c r="Y48" s="216">
        <f>+SUM(RBP!AG27:AG28)</f>
        <v>0</v>
      </c>
      <c r="Z48" s="39">
        <v>0</v>
      </c>
      <c r="AA48" s="51">
        <f>SUM(U48:U51)-SUM(W48:W51)-SUM(Z48:Z51)-SUM(Y48:Y51)</f>
        <v>0.49059939326772195</v>
      </c>
      <c r="AB48" s="51">
        <f>(SUM(K48:K51)-SUM(W48:W51)-SUM(Y48:Y51)-SUM(Z48:Z51)-SUM(AC48:AC51)-SUM(V48:V51))-AA48</f>
        <v>7.1053418232279952E-2</v>
      </c>
      <c r="AC48" s="39">
        <f>K48-T48</f>
        <v>1.1955029625000009</v>
      </c>
      <c r="AD48" s="39">
        <f>+AM48+BA48</f>
        <v>6</v>
      </c>
      <c r="AE48" s="235" t="s">
        <v>458</v>
      </c>
      <c r="AF48" s="39">
        <v>6</v>
      </c>
      <c r="AG48" s="39"/>
      <c r="AH48" s="39"/>
      <c r="AI48" s="509"/>
      <c r="AJ48" s="39"/>
      <c r="AK48" s="39"/>
      <c r="AL48" s="39"/>
      <c r="AM48" s="39">
        <f t="shared" ref="AM48:AM50" si="91">SUM(AF48:AL48)+AT48+AV48+AX48</f>
        <v>6</v>
      </c>
      <c r="AN48" s="39"/>
      <c r="AO48" s="39"/>
      <c r="AP48" s="39"/>
      <c r="AQ48" s="39"/>
      <c r="AR48" s="39">
        <f>SUM(AN48:AQ48)</f>
        <v>0</v>
      </c>
      <c r="AS48" s="39"/>
      <c r="AT48" s="39"/>
      <c r="AU48" s="39"/>
      <c r="AV48" s="39"/>
      <c r="AW48" s="39"/>
      <c r="AX48" s="39"/>
      <c r="AY48" s="39"/>
      <c r="AZ48" s="39"/>
      <c r="BA48" s="39">
        <f>+AR48+AS48+AU48+AW48+AY48+AZ48</f>
        <v>0</v>
      </c>
      <c r="BB48" s="35">
        <v>3</v>
      </c>
      <c r="BC48" s="53"/>
      <c r="BD48" s="53"/>
      <c r="BE48" s="35"/>
      <c r="BF48" s="53"/>
    </row>
    <row r="49" spans="1:58" ht="12.95" customHeight="1">
      <c r="A49" s="42"/>
      <c r="B49" s="43" t="s">
        <v>469</v>
      </c>
      <c r="C49" s="421">
        <f t="shared" si="85"/>
        <v>5.0516927999999997</v>
      </c>
      <c r="D49" s="43" t="s">
        <v>304</v>
      </c>
      <c r="E49" s="44">
        <v>12</v>
      </c>
      <c r="F49" s="44">
        <v>1</v>
      </c>
      <c r="G49" s="506">
        <v>1230</v>
      </c>
      <c r="H49" s="46">
        <f>+N49</f>
        <v>0.22999999999999998</v>
      </c>
      <c r="I49" s="47">
        <v>0.88</v>
      </c>
      <c r="J49" s="87">
        <f t="shared" si="86"/>
        <v>44.842533120000006</v>
      </c>
      <c r="K49" s="87">
        <f t="shared" si="87"/>
        <v>5.1779851199999998</v>
      </c>
      <c r="L49" s="37">
        <v>1200</v>
      </c>
      <c r="M49" s="37">
        <v>924</v>
      </c>
      <c r="N49" s="48">
        <f t="shared" si="88"/>
        <v>0.22999999999999998</v>
      </c>
      <c r="O49" s="49">
        <f>+'Trim Rwd'!H29</f>
        <v>268</v>
      </c>
      <c r="P49" s="50">
        <f t="shared" si="89"/>
        <v>42612</v>
      </c>
      <c r="Q49" s="49">
        <v>170</v>
      </c>
      <c r="R49" s="507">
        <v>0</v>
      </c>
      <c r="S49" s="507">
        <v>11</v>
      </c>
      <c r="T49" s="39">
        <f t="shared" si="90"/>
        <v>5.0516927999999997</v>
      </c>
      <c r="U49" s="39">
        <f>E49*M49*O49*(Q49-R49-S49)/100000000</f>
        <v>4.7248185600000001</v>
      </c>
      <c r="V49" s="39">
        <f>E49*G49*(1-N49)*O49/100*(R49+S49)/1000000</f>
        <v>0.33504609600000002</v>
      </c>
      <c r="W49" s="39">
        <f>+'11'!K11/1000</f>
        <v>3.407</v>
      </c>
      <c r="X49" s="40"/>
      <c r="Y49" s="216"/>
      <c r="Z49" s="39"/>
      <c r="AA49" s="39"/>
      <c r="AB49" s="39"/>
      <c r="AC49" s="39"/>
      <c r="AD49" s="39">
        <f>+AM49+BA49</f>
        <v>14</v>
      </c>
      <c r="AE49" s="235" t="s">
        <v>537</v>
      </c>
      <c r="AF49" s="39"/>
      <c r="AG49" s="39">
        <v>14</v>
      </c>
      <c r="AH49" s="39"/>
      <c r="AI49" s="39"/>
      <c r="AJ49" s="39"/>
      <c r="AK49" s="39"/>
      <c r="AL49" s="39"/>
      <c r="AM49" s="39">
        <f t="shared" si="91"/>
        <v>14</v>
      </c>
      <c r="AN49" s="88"/>
      <c r="AO49" s="39"/>
      <c r="AP49" s="39"/>
      <c r="AQ49" s="39"/>
      <c r="AR49" s="39">
        <f t="shared" ref="AR49:AR50" si="92">SUM(AN49:AQ49)</f>
        <v>0</v>
      </c>
      <c r="AS49" s="39"/>
      <c r="AT49" s="39"/>
      <c r="AU49" s="39"/>
      <c r="AV49" s="39"/>
      <c r="AW49" s="39"/>
      <c r="AX49" s="39"/>
      <c r="AY49" s="39"/>
      <c r="AZ49" s="39"/>
      <c r="BA49" s="39">
        <f>+AR49+AS49+AU49+AW49+AY49+AZ49</f>
        <v>0</v>
      </c>
      <c r="BB49" s="52"/>
      <c r="BC49" s="53">
        <v>6</v>
      </c>
      <c r="BD49" s="53"/>
      <c r="BE49" s="52"/>
      <c r="BF49" s="53"/>
    </row>
    <row r="50" spans="1:58" ht="12.95" customHeight="1">
      <c r="A50" s="42"/>
      <c r="B50" s="43"/>
      <c r="C50" s="421"/>
      <c r="D50" s="43"/>
      <c r="E50" s="44"/>
      <c r="F50" s="44"/>
      <c r="G50" s="45"/>
      <c r="H50" s="46"/>
      <c r="I50" s="47"/>
      <c r="J50" s="87"/>
      <c r="K50" s="87"/>
      <c r="L50" s="37"/>
      <c r="M50" s="37"/>
      <c r="N50" s="48"/>
      <c r="O50" s="49"/>
      <c r="P50" s="50"/>
      <c r="Q50" s="49"/>
      <c r="R50" s="507"/>
      <c r="S50" s="507"/>
      <c r="T50" s="39"/>
      <c r="U50" s="39"/>
      <c r="V50" s="39"/>
      <c r="W50" s="39"/>
      <c r="X50" s="40"/>
      <c r="Y50" s="216"/>
      <c r="Z50" s="39"/>
      <c r="AA50" s="39"/>
      <c r="AB50" s="39"/>
      <c r="AC50" s="39"/>
      <c r="AD50" s="39">
        <f>+AM50+BA50</f>
        <v>41</v>
      </c>
      <c r="AE50" s="235" t="s">
        <v>432</v>
      </c>
      <c r="AF50" s="35"/>
      <c r="AG50" s="35"/>
      <c r="AH50" s="35">
        <v>41</v>
      </c>
      <c r="AI50" s="35"/>
      <c r="AJ50" s="39"/>
      <c r="AK50" s="39"/>
      <c r="AL50" s="39"/>
      <c r="AM50" s="39">
        <f t="shared" si="91"/>
        <v>41</v>
      </c>
      <c r="AN50" s="39"/>
      <c r="AO50" s="39"/>
      <c r="AP50" s="39"/>
      <c r="AQ50" s="39"/>
      <c r="AR50" s="39">
        <f t="shared" si="92"/>
        <v>0</v>
      </c>
      <c r="AS50" s="39"/>
      <c r="AT50" s="39"/>
      <c r="AU50" s="39"/>
      <c r="AV50" s="39"/>
      <c r="AW50" s="39"/>
      <c r="AX50" s="39"/>
      <c r="AY50" s="39"/>
      <c r="AZ50" s="39"/>
      <c r="BA50" s="39">
        <f>+AR50+AS50+AU50+AW50+AY50+AZ50</f>
        <v>0</v>
      </c>
      <c r="BB50" s="35"/>
      <c r="BC50" s="510"/>
      <c r="BD50" s="510"/>
      <c r="BE50" s="35"/>
      <c r="BF50" s="510"/>
    </row>
    <row r="51" spans="1:58" ht="12.95" customHeight="1">
      <c r="A51" s="42"/>
      <c r="B51" s="43"/>
      <c r="C51" s="421"/>
      <c r="D51" s="43"/>
      <c r="E51" s="44"/>
      <c r="F51" s="44"/>
      <c r="G51" s="506"/>
      <c r="H51" s="46"/>
      <c r="I51" s="47"/>
      <c r="J51" s="87"/>
      <c r="K51" s="87"/>
      <c r="L51" s="37"/>
      <c r="M51" s="37"/>
      <c r="N51" s="48"/>
      <c r="O51" s="49"/>
      <c r="P51" s="50"/>
      <c r="Q51" s="49"/>
      <c r="R51" s="507"/>
      <c r="S51" s="507"/>
      <c r="T51" s="39"/>
      <c r="U51" s="39"/>
      <c r="V51" s="39"/>
      <c r="W51" s="39"/>
      <c r="X51" s="40"/>
      <c r="Y51" s="216"/>
      <c r="Z51" s="39"/>
      <c r="AA51" s="39"/>
      <c r="AB51" s="39"/>
      <c r="AC51" s="39"/>
      <c r="AD51" s="39"/>
      <c r="AE51" s="235"/>
      <c r="AF51" s="39"/>
      <c r="AG51" s="39"/>
      <c r="AH51" s="39"/>
      <c r="AI51" s="509"/>
      <c r="AJ51" s="39"/>
      <c r="AK51" s="39"/>
      <c r="AL51" s="39"/>
      <c r="AM51" s="39"/>
      <c r="AN51" s="88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52"/>
      <c r="BC51" s="53"/>
      <c r="BD51" s="53"/>
      <c r="BE51" s="35"/>
      <c r="BF51" s="53"/>
    </row>
    <row r="52" spans="1:58" ht="12.75" customHeight="1">
      <c r="A52" s="42">
        <v>45942</v>
      </c>
      <c r="B52" s="43" t="s">
        <v>469</v>
      </c>
      <c r="C52" s="421">
        <f t="shared" ref="C52:C53" si="93">(M52*E52*O52*Q52)/100000000</f>
        <v>4.3385126400000003</v>
      </c>
      <c r="D52" s="43" t="s">
        <v>304</v>
      </c>
      <c r="E52" s="44">
        <v>12</v>
      </c>
      <c r="F52" s="44">
        <v>1</v>
      </c>
      <c r="G52" s="506">
        <v>1230</v>
      </c>
      <c r="H52" s="46">
        <f>+N52</f>
        <v>0.22999999999999998</v>
      </c>
      <c r="I52" s="47">
        <v>0.88</v>
      </c>
      <c r="J52" s="87">
        <f t="shared" ref="J52:J53" si="94">E52*G52*(1-H52)*1440/1000000*2.74</f>
        <v>44.842533120000006</v>
      </c>
      <c r="K52" s="87">
        <f t="shared" ref="K52:K53" si="95">(IF(G52&lt;L52,L52,G52)*(1-IF(H52&lt;N52,H52,N52))*E52*O52*Q52)/100000000</f>
        <v>4.4469754560000005</v>
      </c>
      <c r="L52" s="37">
        <v>1200</v>
      </c>
      <c r="M52" s="37">
        <v>924</v>
      </c>
      <c r="N52" s="48">
        <f t="shared" ref="N52:N53" si="96">1-(M52/L52)</f>
        <v>0.22999999999999998</v>
      </c>
      <c r="O52" s="49">
        <f>+'Trim Rwd'!H32</f>
        <v>268</v>
      </c>
      <c r="P52" s="50">
        <f t="shared" ref="P52:P53" si="97">O52*(Q52-R52-S52)</f>
        <v>35644</v>
      </c>
      <c r="Q52" s="49">
        <v>146</v>
      </c>
      <c r="R52" s="507">
        <v>0</v>
      </c>
      <c r="S52" s="507">
        <v>13</v>
      </c>
      <c r="T52" s="39">
        <f t="shared" ref="T52:T53" si="98">E52*M52*O52*Q52/100000000</f>
        <v>4.3385126400000003</v>
      </c>
      <c r="U52" s="39">
        <f>E52*M52*O52*(Q52-R52-S52)/100000000</f>
        <v>3.95220672</v>
      </c>
      <c r="V52" s="39">
        <f>E52*G52*(1-N52)*O52/100*(R52+S52)/1000000</f>
        <v>0.39596356800000004</v>
      </c>
      <c r="W52" s="39">
        <f>+'12'!K11/1000</f>
        <v>7.7210000000000001</v>
      </c>
      <c r="X52" s="508">
        <f>SUM(W52:W55)/SUM(K52:K55)</f>
        <v>0.87740189909938571</v>
      </c>
      <c r="Y52" s="216">
        <f>+SUM(RBP!AG31:AG32)</f>
        <v>0</v>
      </c>
      <c r="Z52" s="39">
        <v>0</v>
      </c>
      <c r="AA52" s="51">
        <f>SUM(U52:U55)-SUM(W52:W55)-SUM(Z52:Z55)-SUM(Y52:Y55)</f>
        <v>0.94414351683153797</v>
      </c>
      <c r="AB52" s="51">
        <f>(SUM(K52:K55)-SUM(W52:W55)-SUM(Y52:Y55)-SUM(Z52:Z55)-SUM(AC52:AC55)-SUM(V52:V55))-AA52</f>
        <v>1.9713222551684635</v>
      </c>
      <c r="AC52" s="39">
        <f>K52-T52</f>
        <v>0.10846281600000029</v>
      </c>
      <c r="AD52" s="39">
        <f>+AM52+BA52</f>
        <v>23</v>
      </c>
      <c r="AE52" s="235" t="s">
        <v>485</v>
      </c>
      <c r="AF52" s="39">
        <v>23</v>
      </c>
      <c r="AG52" s="39"/>
      <c r="AH52" s="39"/>
      <c r="AI52" s="509"/>
      <c r="AJ52" s="39"/>
      <c r="AK52" s="39"/>
      <c r="AL52" s="39"/>
      <c r="AM52" s="39">
        <f t="shared" ref="AM52:AM54" si="99">SUM(AF52:AL52)+AT52+AV52+AX52</f>
        <v>23</v>
      </c>
      <c r="AN52" s="39"/>
      <c r="AO52" s="39"/>
      <c r="AP52" s="39"/>
      <c r="AQ52" s="39"/>
      <c r="AR52" s="39">
        <f>SUM(AN52:AQ52)</f>
        <v>0</v>
      </c>
      <c r="AS52" s="39"/>
      <c r="AT52" s="39"/>
      <c r="AU52" s="39"/>
      <c r="AV52" s="39"/>
      <c r="AW52" s="39"/>
      <c r="AX52" s="39"/>
      <c r="AY52" s="39"/>
      <c r="AZ52" s="39"/>
      <c r="BA52" s="39">
        <f>+AR52+AS52+AU52+AW52+AY52+AZ52</f>
        <v>0</v>
      </c>
      <c r="BB52" s="35">
        <v>9</v>
      </c>
      <c r="BC52" s="53"/>
      <c r="BD52" s="53"/>
      <c r="BE52" s="35"/>
      <c r="BF52" s="53"/>
    </row>
    <row r="53" spans="1:58" ht="12.95" customHeight="1">
      <c r="A53" s="42"/>
      <c r="B53" s="43" t="s">
        <v>469</v>
      </c>
      <c r="C53" s="421">
        <f t="shared" si="93"/>
        <v>39.870779587500003</v>
      </c>
      <c r="D53" s="43" t="s">
        <v>304</v>
      </c>
      <c r="E53" s="44">
        <v>12.5</v>
      </c>
      <c r="F53" s="44">
        <v>1</v>
      </c>
      <c r="G53" s="506">
        <v>1230</v>
      </c>
      <c r="H53" s="46">
        <f>+N53</f>
        <v>0.20999999999999996</v>
      </c>
      <c r="I53" s="47">
        <v>0.88</v>
      </c>
      <c r="J53" s="87">
        <f t="shared" si="94"/>
        <v>47.924244000000009</v>
      </c>
      <c r="K53" s="87">
        <f t="shared" si="95"/>
        <v>41.965050824999999</v>
      </c>
      <c r="L53" s="37">
        <v>1168.6166924265842</v>
      </c>
      <c r="M53" s="37">
        <v>923.20718701700162</v>
      </c>
      <c r="N53" s="48">
        <f t="shared" si="96"/>
        <v>0.20999999999999996</v>
      </c>
      <c r="O53" s="49">
        <f>+'Trim Rwd'!H31</f>
        <v>267</v>
      </c>
      <c r="P53" s="50">
        <f t="shared" si="97"/>
        <v>326808</v>
      </c>
      <c r="Q53" s="49">
        <v>1294</v>
      </c>
      <c r="R53" s="507">
        <v>0</v>
      </c>
      <c r="S53" s="507">
        <v>70</v>
      </c>
      <c r="T53" s="39">
        <f t="shared" si="98"/>
        <v>39.870779587500003</v>
      </c>
      <c r="U53" s="39">
        <f>E53*M53*O53*(Q53-R53-S53)/100000000</f>
        <v>37.713936796831533</v>
      </c>
      <c r="V53" s="39">
        <f>E53*G53*(1-N53)*O53/100*(R53+S53)/1000000</f>
        <v>2.2701341249999998</v>
      </c>
      <c r="W53" s="39">
        <f>+'12'!K10/1000</f>
        <v>33.000999999999998</v>
      </c>
      <c r="X53" s="40"/>
      <c r="Y53" s="216"/>
      <c r="Z53" s="39"/>
      <c r="AA53" s="39"/>
      <c r="AB53" s="39"/>
      <c r="AC53" s="39"/>
      <c r="AD53" s="39">
        <f>+AM53+BA53</f>
        <v>8</v>
      </c>
      <c r="AE53" s="235" t="s">
        <v>286</v>
      </c>
      <c r="AF53" s="39"/>
      <c r="AG53" s="39">
        <v>8</v>
      </c>
      <c r="AH53" s="39"/>
      <c r="AI53" s="39"/>
      <c r="AJ53" s="39"/>
      <c r="AK53" s="39"/>
      <c r="AL53" s="39"/>
      <c r="AM53" s="39">
        <f t="shared" si="99"/>
        <v>8</v>
      </c>
      <c r="AN53" s="88"/>
      <c r="AO53" s="39"/>
      <c r="AP53" s="39"/>
      <c r="AQ53" s="39"/>
      <c r="AR53" s="39">
        <f t="shared" ref="AR53:AR54" si="100">SUM(AN53:AQ53)</f>
        <v>0</v>
      </c>
      <c r="AS53" s="39"/>
      <c r="AT53" s="39"/>
      <c r="AU53" s="39"/>
      <c r="AV53" s="39"/>
      <c r="AW53" s="39"/>
      <c r="AX53" s="39"/>
      <c r="AY53" s="39"/>
      <c r="AZ53" s="39"/>
      <c r="BA53" s="39">
        <f>+AR53+AS53+AU53+AW53+AY53+AZ53</f>
        <v>0</v>
      </c>
      <c r="BB53" s="52"/>
      <c r="BC53" s="53">
        <v>0</v>
      </c>
      <c r="BD53" s="53"/>
      <c r="BE53" s="52"/>
      <c r="BF53" s="53"/>
    </row>
    <row r="54" spans="1:58" ht="12.95" customHeight="1">
      <c r="A54" s="42"/>
      <c r="B54" s="43"/>
      <c r="C54" s="421"/>
      <c r="D54" s="43"/>
      <c r="E54" s="44"/>
      <c r="F54" s="44"/>
      <c r="G54" s="45"/>
      <c r="H54" s="46"/>
      <c r="I54" s="47"/>
      <c r="J54" s="87"/>
      <c r="K54" s="87"/>
      <c r="L54" s="37"/>
      <c r="M54" s="37"/>
      <c r="N54" s="48"/>
      <c r="O54" s="49"/>
      <c r="P54" s="50"/>
      <c r="Q54" s="49"/>
      <c r="R54" s="507"/>
      <c r="S54" s="507"/>
      <c r="T54" s="39"/>
      <c r="U54" s="39"/>
      <c r="V54" s="39"/>
      <c r="W54" s="39"/>
      <c r="X54" s="40"/>
      <c r="Y54" s="216"/>
      <c r="Z54" s="39"/>
      <c r="AA54" s="39"/>
      <c r="AB54" s="39"/>
      <c r="AC54" s="39"/>
      <c r="AD54" s="39">
        <f>+AM54+BA54</f>
        <v>52</v>
      </c>
      <c r="AE54" s="235" t="s">
        <v>538</v>
      </c>
      <c r="AF54" s="35"/>
      <c r="AG54" s="35"/>
      <c r="AH54" s="35">
        <v>52</v>
      </c>
      <c r="AI54" s="35"/>
      <c r="AJ54" s="39"/>
      <c r="AK54" s="39"/>
      <c r="AL54" s="39"/>
      <c r="AM54" s="39">
        <f t="shared" si="99"/>
        <v>52</v>
      </c>
      <c r="AN54" s="39"/>
      <c r="AO54" s="39"/>
      <c r="AP54" s="39"/>
      <c r="AQ54" s="39"/>
      <c r="AR54" s="39">
        <f t="shared" si="100"/>
        <v>0</v>
      </c>
      <c r="AS54" s="39"/>
      <c r="AT54" s="39"/>
      <c r="AU54" s="39"/>
      <c r="AV54" s="39"/>
      <c r="AW54" s="39"/>
      <c r="AX54" s="39"/>
      <c r="AY54" s="39"/>
      <c r="AZ54" s="39"/>
      <c r="BA54" s="39">
        <f>+AR54+AS54+AU54+AW54+AY54+AZ54</f>
        <v>0</v>
      </c>
      <c r="BB54" s="35"/>
      <c r="BC54" s="510"/>
      <c r="BD54" s="510"/>
      <c r="BE54" s="35"/>
      <c r="BF54" s="510"/>
    </row>
    <row r="55" spans="1:58" ht="13.5" customHeight="1">
      <c r="A55" s="42"/>
      <c r="B55" s="43"/>
      <c r="C55" s="421"/>
      <c r="D55" s="43"/>
      <c r="E55" s="44"/>
      <c r="F55" s="44"/>
      <c r="G55" s="506"/>
      <c r="H55" s="46"/>
      <c r="I55" s="47"/>
      <c r="J55" s="87"/>
      <c r="K55" s="87"/>
      <c r="L55" s="37"/>
      <c r="M55" s="37"/>
      <c r="N55" s="48"/>
      <c r="O55" s="49"/>
      <c r="P55" s="50"/>
      <c r="Q55" s="49"/>
      <c r="R55" s="507"/>
      <c r="S55" s="507"/>
      <c r="T55" s="39"/>
      <c r="U55" s="39"/>
      <c r="V55" s="39"/>
      <c r="W55" s="39"/>
      <c r="X55" s="508"/>
      <c r="Y55" s="216"/>
      <c r="Z55" s="39"/>
      <c r="AA55" s="51"/>
      <c r="AB55" s="51"/>
      <c r="AC55" s="39"/>
      <c r="AD55" s="39"/>
      <c r="AE55" s="235"/>
      <c r="AF55" s="39"/>
      <c r="AG55" s="39"/>
      <c r="AH55" s="39"/>
      <c r="AI55" s="50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5"/>
      <c r="BC55" s="53"/>
      <c r="BD55" s="53"/>
      <c r="BE55" s="35"/>
      <c r="BF55" s="53"/>
    </row>
    <row r="56" spans="1:58" ht="12.75" customHeight="1">
      <c r="A56" s="42">
        <v>45943</v>
      </c>
      <c r="B56" s="43" t="s">
        <v>469</v>
      </c>
      <c r="C56" s="421">
        <f t="shared" ref="C56" si="101">(M56*E56*O56*Q56)/100000000</f>
        <v>44.600901524999998</v>
      </c>
      <c r="D56" s="43" t="s">
        <v>304</v>
      </c>
      <c r="E56" s="44">
        <v>12.5</v>
      </c>
      <c r="F56" s="44">
        <v>1</v>
      </c>
      <c r="G56" s="506">
        <v>1230</v>
      </c>
      <c r="H56" s="46">
        <f>+N56</f>
        <v>0.21666338409594477</v>
      </c>
      <c r="I56" s="47">
        <v>0.88</v>
      </c>
      <c r="J56" s="87">
        <f t="shared" ref="J56" si="102">E56*G56*(1-H56)*1440/1000000*2.74</f>
        <v>47.520019132557245</v>
      </c>
      <c r="K56" s="87">
        <f t="shared" ref="K56" si="103">(IF(G56&lt;L56,L56,G56)*(1-IF(H56&lt;N56,H56,N56))*E56*O56*Q56)/100000000</f>
        <v>46.306004045229137</v>
      </c>
      <c r="L56" s="37">
        <v>1184.7083333333333</v>
      </c>
      <c r="M56" s="37">
        <v>928.02541666666673</v>
      </c>
      <c r="N56" s="48">
        <f t="shared" ref="N56" si="104">1-(M56/L56)</f>
        <v>0.21666338409594477</v>
      </c>
      <c r="O56" s="49">
        <f>+'Trim Rwd'!H34</f>
        <v>267</v>
      </c>
      <c r="P56" s="50">
        <f t="shared" ref="P56" si="105">O56*(Q56-R56-S56)</f>
        <v>360717</v>
      </c>
      <c r="Q56" s="49">
        <v>1440</v>
      </c>
      <c r="R56" s="507">
        <v>0</v>
      </c>
      <c r="S56" s="507">
        <v>89</v>
      </c>
      <c r="T56" s="39">
        <f t="shared" ref="T56" si="106">E56*M56*O56*Q56/100000000</f>
        <v>44.600901524999998</v>
      </c>
      <c r="U56" s="39">
        <f>E56*M56*O56*(Q56-R56-S56)/100000000</f>
        <v>41.844318027968747</v>
      </c>
      <c r="V56" s="39">
        <f>E56*G56*(1-N56)*O56/100*(R56+S56)/1000000</f>
        <v>2.8619683055731899</v>
      </c>
      <c r="W56" s="39">
        <f>+'13'!K10/1000</f>
        <v>39.529000000000003</v>
      </c>
      <c r="X56" s="508">
        <f>SUM(W56:W59)/SUM(K56:K59)</f>
        <v>0.85364740091566238</v>
      </c>
      <c r="Y56" s="216">
        <f>+SUM(RBP!AG35:AG36)</f>
        <v>0</v>
      </c>
      <c r="Z56" s="39">
        <v>0</v>
      </c>
      <c r="AA56" s="51">
        <f>SUM(U56:U59)-SUM(W56:W59)-SUM(Z56:Z59)-SUM(Y56:Y59)</f>
        <v>2.3153180279687433</v>
      </c>
      <c r="AB56" s="51">
        <f>(SUM(K56:K59)-SUM(W56:W59)-SUM(Y56:Y59)-SUM(Z56:Z59)-SUM(AC56:AC59)-SUM(V56:V59))-AA56</f>
        <v>-0.1053848085419391</v>
      </c>
      <c r="AC56" s="39">
        <f>K56-T56</f>
        <v>1.7051025202291399</v>
      </c>
      <c r="AD56" s="39">
        <f>+AM56+BA56</f>
        <v>38</v>
      </c>
      <c r="AE56" s="235" t="s">
        <v>553</v>
      </c>
      <c r="AF56" s="39">
        <v>38</v>
      </c>
      <c r="AG56" s="39"/>
      <c r="AH56" s="39"/>
      <c r="AI56" s="509"/>
      <c r="AJ56" s="39"/>
      <c r="AK56" s="39"/>
      <c r="AL56" s="39"/>
      <c r="AM56" s="39">
        <f t="shared" ref="AM56:AM58" si="107">SUM(AF56:AL56)+AT56+AV56+AX56</f>
        <v>38</v>
      </c>
      <c r="AN56" s="39"/>
      <c r="AO56" s="39"/>
      <c r="AP56" s="39"/>
      <c r="AQ56" s="39"/>
      <c r="AR56" s="39">
        <f>SUM(AN56:AQ56)</f>
        <v>0</v>
      </c>
      <c r="AS56" s="39"/>
      <c r="AT56" s="39"/>
      <c r="AU56" s="39"/>
      <c r="AV56" s="39"/>
      <c r="AW56" s="39"/>
      <c r="AX56" s="39"/>
      <c r="AY56" s="39"/>
      <c r="AZ56" s="39"/>
      <c r="BA56" s="39">
        <f>+AR56+AS56+AU56+AW56+AY56+AZ56</f>
        <v>0</v>
      </c>
      <c r="BB56" s="35">
        <v>11</v>
      </c>
      <c r="BC56" s="53"/>
      <c r="BD56" s="53"/>
      <c r="BE56" s="35"/>
      <c r="BF56" s="53"/>
    </row>
    <row r="57" spans="1:58" ht="12.95" customHeight="1">
      <c r="A57" s="42"/>
      <c r="B57" s="43"/>
      <c r="C57" s="421"/>
      <c r="D57" s="43"/>
      <c r="E57" s="44"/>
      <c r="F57" s="44"/>
      <c r="G57" s="506"/>
      <c r="H57" s="46"/>
      <c r="I57" s="47"/>
      <c r="J57" s="87"/>
      <c r="K57" s="87"/>
      <c r="L57" s="37"/>
      <c r="M57" s="37"/>
      <c r="N57" s="48"/>
      <c r="O57" s="49"/>
      <c r="P57" s="50"/>
      <c r="Q57" s="49"/>
      <c r="R57" s="507"/>
      <c r="S57" s="507"/>
      <c r="T57" s="39"/>
      <c r="U57" s="39"/>
      <c r="V57" s="39"/>
      <c r="W57" s="39"/>
      <c r="X57" s="40"/>
      <c r="Y57" s="216"/>
      <c r="Z57" s="39"/>
      <c r="AA57" s="39"/>
      <c r="AB57" s="39"/>
      <c r="AC57" s="39"/>
      <c r="AD57" s="39">
        <f>+AM57+BA57</f>
        <v>0</v>
      </c>
      <c r="AE57" s="235" t="s">
        <v>286</v>
      </c>
      <c r="AF57" s="39"/>
      <c r="AG57" s="39">
        <v>0</v>
      </c>
      <c r="AH57" s="39"/>
      <c r="AI57" s="39"/>
      <c r="AJ57" s="39"/>
      <c r="AK57" s="39"/>
      <c r="AL57" s="39"/>
      <c r="AM57" s="39">
        <f t="shared" si="107"/>
        <v>0</v>
      </c>
      <c r="AN57" s="88"/>
      <c r="AO57" s="39"/>
      <c r="AP57" s="39"/>
      <c r="AQ57" s="39"/>
      <c r="AR57" s="39">
        <f t="shared" ref="AR57:AR58" si="108">SUM(AN57:AQ57)</f>
        <v>0</v>
      </c>
      <c r="AS57" s="39"/>
      <c r="AT57" s="39"/>
      <c r="AU57" s="39"/>
      <c r="AV57" s="39"/>
      <c r="AW57" s="39"/>
      <c r="AX57" s="39"/>
      <c r="AY57" s="39"/>
      <c r="AZ57" s="39"/>
      <c r="BA57" s="39">
        <f>+AR57+AS57+AU57+AW57+AY57+AZ57</f>
        <v>0</v>
      </c>
      <c r="BB57" s="52"/>
      <c r="BC57" s="53">
        <v>0</v>
      </c>
      <c r="BD57" s="53"/>
      <c r="BE57" s="52"/>
      <c r="BF57" s="53"/>
    </row>
    <row r="58" spans="1:58" ht="12.95" customHeight="1">
      <c r="A58" s="42"/>
      <c r="B58" s="43"/>
      <c r="C58" s="421"/>
      <c r="D58" s="43"/>
      <c r="E58" s="44"/>
      <c r="F58" s="44"/>
      <c r="G58" s="45"/>
      <c r="H58" s="46"/>
      <c r="I58" s="47"/>
      <c r="J58" s="87"/>
      <c r="K58" s="87"/>
      <c r="L58" s="37"/>
      <c r="M58" s="37"/>
      <c r="N58" s="48"/>
      <c r="O58" s="49"/>
      <c r="P58" s="50"/>
      <c r="Q58" s="49"/>
      <c r="R58" s="507"/>
      <c r="S58" s="507"/>
      <c r="T58" s="39"/>
      <c r="U58" s="39"/>
      <c r="V58" s="39"/>
      <c r="W58" s="39"/>
      <c r="X58" s="40"/>
      <c r="Y58" s="216"/>
      <c r="Z58" s="39"/>
      <c r="AA58" s="39"/>
      <c r="AB58" s="39"/>
      <c r="AC58" s="39"/>
      <c r="AD58" s="39">
        <f>+AM58+BA58</f>
        <v>51</v>
      </c>
      <c r="AE58" s="235" t="s">
        <v>472</v>
      </c>
      <c r="AF58" s="35"/>
      <c r="AG58" s="35"/>
      <c r="AH58" s="35">
        <v>51</v>
      </c>
      <c r="AI58" s="35"/>
      <c r="AJ58" s="39"/>
      <c r="AK58" s="39"/>
      <c r="AL58" s="39"/>
      <c r="AM58" s="39">
        <f t="shared" si="107"/>
        <v>51</v>
      </c>
      <c r="AN58" s="39"/>
      <c r="AO58" s="39"/>
      <c r="AP58" s="39"/>
      <c r="AQ58" s="39"/>
      <c r="AR58" s="39">
        <f t="shared" si="108"/>
        <v>0</v>
      </c>
      <c r="AS58" s="39"/>
      <c r="AT58" s="39"/>
      <c r="AU58" s="39"/>
      <c r="AV58" s="39"/>
      <c r="AW58" s="39"/>
      <c r="AX58" s="39"/>
      <c r="AY58" s="39"/>
      <c r="AZ58" s="39"/>
      <c r="BA58" s="39">
        <f>+AR58+AS58+AU58+AW58+AY58+AZ58</f>
        <v>0</v>
      </c>
      <c r="BB58" s="35"/>
      <c r="BC58" s="510"/>
      <c r="BD58" s="510"/>
      <c r="BE58" s="35"/>
      <c r="BF58" s="510"/>
    </row>
    <row r="59" spans="1:58" ht="12.75" customHeight="1">
      <c r="A59" s="42"/>
      <c r="B59" s="43"/>
      <c r="C59" s="421"/>
      <c r="D59" s="43"/>
      <c r="E59" s="44"/>
      <c r="F59" s="44"/>
      <c r="G59" s="45"/>
      <c r="H59" s="46"/>
      <c r="I59" s="47"/>
      <c r="J59" s="87"/>
      <c r="K59" s="87"/>
      <c r="L59" s="37"/>
      <c r="M59" s="37"/>
      <c r="N59" s="48"/>
      <c r="O59" s="49"/>
      <c r="P59" s="50"/>
      <c r="Q59" s="49"/>
      <c r="R59" s="507"/>
      <c r="S59" s="507"/>
      <c r="T59" s="39"/>
      <c r="U59" s="39"/>
      <c r="V59" s="39"/>
      <c r="W59" s="39"/>
      <c r="X59" s="40"/>
      <c r="Y59" s="216"/>
      <c r="Z59" s="39"/>
      <c r="AA59" s="39"/>
      <c r="AB59" s="39"/>
      <c r="AC59" s="39"/>
      <c r="AD59" s="39"/>
      <c r="AE59" s="238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5"/>
      <c r="BC59" s="53"/>
      <c r="BD59" s="53"/>
      <c r="BE59" s="53"/>
      <c r="BF59" s="53"/>
    </row>
    <row r="60" spans="1:58" ht="12.75" customHeight="1">
      <c r="A60" s="42">
        <v>45944</v>
      </c>
      <c r="B60" s="43" t="s">
        <v>469</v>
      </c>
      <c r="C60" s="421">
        <f t="shared" ref="C60" si="109">(M60*E60*O60*Q60)/100000000</f>
        <v>44.898179325000001</v>
      </c>
      <c r="D60" s="43" t="s">
        <v>304</v>
      </c>
      <c r="E60" s="44">
        <v>12.5</v>
      </c>
      <c r="F60" s="44">
        <v>1</v>
      </c>
      <c r="G60" s="506">
        <v>1230</v>
      </c>
      <c r="H60" s="46">
        <f>+N60</f>
        <v>0.21260532630962825</v>
      </c>
      <c r="I60" s="47">
        <v>0.88</v>
      </c>
      <c r="J60" s="87">
        <f t="shared" ref="J60" si="110">E60*G60*(1-H60)*1440/1000000*2.74</f>
        <v>47.766195526883244</v>
      </c>
      <c r="K60" s="87">
        <f t="shared" ref="K60" si="111">(IF(G60&lt;L60,L60,G60)*(1-IF(H60&lt;N60,H60,N60))*E60*O60*Q60)/100000000</f>
        <v>46.545891261597887</v>
      </c>
      <c r="L60" s="37">
        <v>1186.4583333333333</v>
      </c>
      <c r="M60" s="37">
        <v>934.21097222222227</v>
      </c>
      <c r="N60" s="48">
        <f t="shared" ref="N60" si="112">1-(M60/L60)</f>
        <v>0.21260532630962825</v>
      </c>
      <c r="O60" s="49">
        <f>+'Trim Rwd'!H36</f>
        <v>267</v>
      </c>
      <c r="P60" s="50">
        <f t="shared" ref="P60" si="113">O60*(Q60-R60-S60)</f>
        <v>362853</v>
      </c>
      <c r="Q60" s="49">
        <v>1440</v>
      </c>
      <c r="R60" s="507">
        <v>0</v>
      </c>
      <c r="S60" s="507">
        <v>81</v>
      </c>
      <c r="T60" s="39">
        <f t="shared" ref="T60" si="114">E60*M60*O60*Q60/100000000</f>
        <v>44.898179325000001</v>
      </c>
      <c r="U60" s="39">
        <f>E60*M60*O60*(Q60-R60-S60)/100000000</f>
        <v>42.372656737968754</v>
      </c>
      <c r="V60" s="39">
        <f>E60*G60*(1-N60)*O60/100*(R60+S60)/1000000</f>
        <v>2.6182063834648819</v>
      </c>
      <c r="W60" s="39">
        <f>+'14'!K10/1000</f>
        <v>34.832999999999998</v>
      </c>
      <c r="X60" s="508">
        <f>SUM(W60:W63)/SUM(K60:K63)</f>
        <v>0.74835821284914428</v>
      </c>
      <c r="Y60" s="216">
        <v>0</v>
      </c>
      <c r="Z60" s="39">
        <v>0</v>
      </c>
      <c r="AA60" s="51">
        <f>SUM(U60:U63)-SUM(W60:W63)-SUM(Z60:Z63)-SUM(Y60:Y63)</f>
        <v>7.5396567379687554</v>
      </c>
      <c r="AB60" s="51">
        <f>(SUM(K60:K63)-SUM(W60:W63)-SUM(Y60:Y63)-SUM(Z60:Z63)-SUM(AC60:AC63)-SUM(V60:V63))-AA60</f>
        <v>-9.2683796433634669E-2</v>
      </c>
      <c r="AC60" s="39">
        <f>K60-T60</f>
        <v>1.6477119365978865</v>
      </c>
      <c r="AD60" s="39">
        <f>+AM60+BA60</f>
        <v>15</v>
      </c>
      <c r="AE60" s="235" t="s">
        <v>516</v>
      </c>
      <c r="AF60" s="39">
        <v>15</v>
      </c>
      <c r="AG60" s="39"/>
      <c r="AH60" s="39"/>
      <c r="AI60" s="509"/>
      <c r="AJ60" s="39"/>
      <c r="AK60" s="39"/>
      <c r="AL60" s="39"/>
      <c r="AM60" s="39">
        <f t="shared" ref="AM60:AM62" si="115">SUM(AF60:AL60)+AT60+AV60+AX60</f>
        <v>15</v>
      </c>
      <c r="AN60" s="39"/>
      <c r="AO60" s="39"/>
      <c r="AP60" s="39"/>
      <c r="AQ60" s="39"/>
      <c r="AR60" s="39">
        <f>SUM(AN60:AQ60)</f>
        <v>0</v>
      </c>
      <c r="AS60" s="39"/>
      <c r="AT60" s="39"/>
      <c r="AU60" s="39"/>
      <c r="AV60" s="39"/>
      <c r="AW60" s="39"/>
      <c r="AX60" s="39"/>
      <c r="AY60" s="39"/>
      <c r="AZ60" s="39"/>
      <c r="BA60" s="39">
        <f>+AR60+AS60+AU60+AW60+AY60+AZ60</f>
        <v>0</v>
      </c>
      <c r="BB60" s="35">
        <v>6</v>
      </c>
      <c r="BC60" s="53"/>
      <c r="BD60" s="53"/>
      <c r="BE60" s="35"/>
      <c r="BF60" s="53"/>
    </row>
    <row r="61" spans="1:58" ht="12.95" customHeight="1">
      <c r="A61" s="42"/>
      <c r="B61" s="43"/>
      <c r="C61" s="421"/>
      <c r="D61" s="43"/>
      <c r="E61" s="44"/>
      <c r="F61" s="44"/>
      <c r="G61" s="506"/>
      <c r="H61" s="46"/>
      <c r="I61" s="47"/>
      <c r="J61" s="87"/>
      <c r="K61" s="87"/>
      <c r="L61" s="37"/>
      <c r="M61" s="37"/>
      <c r="N61" s="48"/>
      <c r="O61" s="49"/>
      <c r="P61" s="50"/>
      <c r="Q61" s="49"/>
      <c r="R61" s="507"/>
      <c r="S61" s="507"/>
      <c r="T61" s="39"/>
      <c r="U61" s="39"/>
      <c r="V61" s="39"/>
      <c r="W61" s="39"/>
      <c r="X61" s="40"/>
      <c r="Y61" s="216"/>
      <c r="Z61" s="39"/>
      <c r="AA61" s="39"/>
      <c r="AB61" s="39"/>
      <c r="AC61" s="39"/>
      <c r="AD61" s="39">
        <f>+AM61+BA61</f>
        <v>12</v>
      </c>
      <c r="AE61" s="235" t="s">
        <v>537</v>
      </c>
      <c r="AF61" s="39"/>
      <c r="AG61" s="39">
        <v>12</v>
      </c>
      <c r="AH61" s="39"/>
      <c r="AI61" s="39"/>
      <c r="AJ61" s="39"/>
      <c r="AK61" s="39"/>
      <c r="AL61" s="39"/>
      <c r="AM61" s="39">
        <f t="shared" si="115"/>
        <v>12</v>
      </c>
      <c r="AN61" s="88"/>
      <c r="AO61" s="39"/>
      <c r="AP61" s="39"/>
      <c r="AQ61" s="39"/>
      <c r="AR61" s="39">
        <f t="shared" ref="AR61:AR62" si="116">SUM(AN61:AQ61)</f>
        <v>0</v>
      </c>
      <c r="AS61" s="39"/>
      <c r="AT61" s="39"/>
      <c r="AU61" s="39"/>
      <c r="AV61" s="39"/>
      <c r="AW61" s="39"/>
      <c r="AX61" s="39"/>
      <c r="AY61" s="39"/>
      <c r="AZ61" s="39"/>
      <c r="BA61" s="39">
        <f>+AR61+AS61+AU61+AW61+AY61+AZ61</f>
        <v>0</v>
      </c>
      <c r="BB61" s="52"/>
      <c r="BC61" s="53">
        <v>6</v>
      </c>
      <c r="BD61" s="53"/>
      <c r="BE61" s="52"/>
      <c r="BF61" s="53"/>
    </row>
    <row r="62" spans="1:58" ht="12.95" customHeight="1">
      <c r="A62" s="42"/>
      <c r="B62" s="43"/>
      <c r="C62" s="421"/>
      <c r="D62" s="43"/>
      <c r="E62" s="44"/>
      <c r="F62" s="44"/>
      <c r="G62" s="45"/>
      <c r="H62" s="46"/>
      <c r="I62" s="47"/>
      <c r="J62" s="87"/>
      <c r="K62" s="87"/>
      <c r="L62" s="37"/>
      <c r="M62" s="37"/>
      <c r="N62" s="48"/>
      <c r="O62" s="49"/>
      <c r="P62" s="50"/>
      <c r="Q62" s="49"/>
      <c r="R62" s="507"/>
      <c r="S62" s="507"/>
      <c r="T62" s="39"/>
      <c r="U62" s="39"/>
      <c r="V62" s="39"/>
      <c r="W62" s="39"/>
      <c r="X62" s="40"/>
      <c r="Y62" s="216"/>
      <c r="Z62" s="39"/>
      <c r="AA62" s="39"/>
      <c r="AB62" s="39"/>
      <c r="AC62" s="39"/>
      <c r="AD62" s="39">
        <f>+AM62+BA62</f>
        <v>54</v>
      </c>
      <c r="AE62" s="235" t="s">
        <v>496</v>
      </c>
      <c r="AF62" s="35"/>
      <c r="AG62" s="35"/>
      <c r="AH62" s="35">
        <v>54</v>
      </c>
      <c r="AI62" s="35"/>
      <c r="AJ62" s="39"/>
      <c r="AK62" s="39"/>
      <c r="AL62" s="39"/>
      <c r="AM62" s="39">
        <f t="shared" si="115"/>
        <v>54</v>
      </c>
      <c r="AN62" s="39"/>
      <c r="AO62" s="39"/>
      <c r="AP62" s="39"/>
      <c r="AQ62" s="39"/>
      <c r="AR62" s="39">
        <f t="shared" si="116"/>
        <v>0</v>
      </c>
      <c r="AS62" s="39"/>
      <c r="AT62" s="39"/>
      <c r="AU62" s="39"/>
      <c r="AV62" s="39"/>
      <c r="AW62" s="39"/>
      <c r="AX62" s="39"/>
      <c r="AY62" s="39"/>
      <c r="AZ62" s="39"/>
      <c r="BA62" s="39">
        <f>+AR62+AS62+AU62+AW62+AY62+AZ62</f>
        <v>0</v>
      </c>
      <c r="BB62" s="35"/>
      <c r="BC62" s="510"/>
      <c r="BD62" s="510"/>
      <c r="BE62" s="35"/>
      <c r="BF62" s="510"/>
    </row>
    <row r="63" spans="1:58" ht="12.95" customHeight="1">
      <c r="A63" s="42"/>
      <c r="B63" s="43"/>
      <c r="C63" s="421"/>
      <c r="D63" s="43"/>
      <c r="E63" s="44"/>
      <c r="F63" s="44"/>
      <c r="G63" s="45"/>
      <c r="H63" s="46"/>
      <c r="I63" s="47"/>
      <c r="J63" s="87"/>
      <c r="K63" s="87"/>
      <c r="L63" s="37"/>
      <c r="M63" s="37"/>
      <c r="N63" s="48"/>
      <c r="O63" s="49"/>
      <c r="P63" s="50"/>
      <c r="Q63" s="36"/>
      <c r="R63" s="507"/>
      <c r="S63" s="507"/>
      <c r="T63" s="39"/>
      <c r="U63" s="39"/>
      <c r="V63" s="39"/>
      <c r="W63" s="39"/>
      <c r="X63" s="40"/>
      <c r="Y63" s="216"/>
      <c r="Z63" s="39"/>
      <c r="AA63" s="39"/>
      <c r="AB63" s="39"/>
      <c r="AC63" s="39"/>
      <c r="AD63" s="39"/>
      <c r="AE63" s="238"/>
      <c r="AF63" s="39"/>
      <c r="AG63" s="39"/>
      <c r="AH63" s="39"/>
      <c r="AI63" s="50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52"/>
      <c r="BC63" s="53"/>
      <c r="BD63" s="53"/>
      <c r="BE63" s="52"/>
      <c r="BF63" s="53"/>
    </row>
    <row r="64" spans="1:58" ht="12.75" customHeight="1">
      <c r="A64" s="42">
        <v>45945</v>
      </c>
      <c r="B64" s="43" t="s">
        <v>469</v>
      </c>
      <c r="C64" s="421">
        <f t="shared" ref="C64:C65" si="117">(M64*E64*O64*Q64)/100000000</f>
        <v>12.149534624999998</v>
      </c>
      <c r="D64" s="43" t="s">
        <v>304</v>
      </c>
      <c r="E64" s="44">
        <v>12.5</v>
      </c>
      <c r="F64" s="44">
        <v>1</v>
      </c>
      <c r="G64" s="506">
        <v>1230</v>
      </c>
      <c r="H64" s="46">
        <f>+N64</f>
        <v>0.22923777260215972</v>
      </c>
      <c r="I64" s="47">
        <v>0.88</v>
      </c>
      <c r="J64" s="87">
        <f t="shared" ref="J64:J65" si="118">E64*G64*(1-H64)*1440/1000000*2.74</f>
        <v>46.757211457971628</v>
      </c>
      <c r="K64" s="87">
        <f t="shared" ref="K64:K65" si="119">(IF(G64&lt;L64,L64,G64)*(1-IF(H64&lt;N64,H64,N64))*E64*O64*Q64)/100000000</f>
        <v>12.656301154986238</v>
      </c>
      <c r="L64" s="37">
        <v>1180.75</v>
      </c>
      <c r="M64" s="37">
        <v>910.07749999999987</v>
      </c>
      <c r="N64" s="48">
        <f t="shared" ref="N64:N65" si="120">1-(M64/L64)</f>
        <v>0.22923777260215972</v>
      </c>
      <c r="O64" s="49">
        <f>+'Trim Rwd'!H38</f>
        <v>267</v>
      </c>
      <c r="P64" s="50">
        <f t="shared" ref="P64:P65" si="121">O64*(Q64-R64-S64)</f>
        <v>97989</v>
      </c>
      <c r="Q64" s="49">
        <v>400</v>
      </c>
      <c r="R64" s="507">
        <v>0</v>
      </c>
      <c r="S64" s="507">
        <v>33</v>
      </c>
      <c r="T64" s="39">
        <f t="shared" ref="T64:T65" si="122">E64*M64*O64*Q64/100000000</f>
        <v>12.149534624999998</v>
      </c>
      <c r="U64" s="39">
        <f>E64*M64*O64*(Q64-R64-S64)/100000000</f>
        <v>11.147198018437498</v>
      </c>
      <c r="V64" s="39">
        <f>E64*G64*(1-N64)*O64/100*(R64+S64)/1000000</f>
        <v>1.0441448452863646</v>
      </c>
      <c r="W64" s="39">
        <f>+'15'!K10/1000</f>
        <v>15.006</v>
      </c>
      <c r="X64" s="508">
        <f>SUM(W64:W67)/SUM(K64:K67)</f>
        <v>0.77149255241027948</v>
      </c>
      <c r="Y64" s="216">
        <f>+SUM(RBP!AG43:AG44)</f>
        <v>0</v>
      </c>
      <c r="Z64" s="39">
        <v>0</v>
      </c>
      <c r="AA64" s="51">
        <f>SUM(U64:U67)-SUM(W64:W67)-SUM(Z64:Z67)-SUM(Y64:Y67)</f>
        <v>3.8370858227397022</v>
      </c>
      <c r="AB64" s="51">
        <f>(SUM(K64:K67)-SUM(W64:W67)-SUM(Y64:Y67)-SUM(Z64:Z67)-SUM(AC64:AC67)-SUM(V64:V67))-AA64</f>
        <v>0.62851209685383935</v>
      </c>
      <c r="AC64" s="39">
        <f>K64-T64</f>
        <v>0.5067665299862405</v>
      </c>
      <c r="AD64" s="39">
        <f>+AM64+BA64</f>
        <v>18</v>
      </c>
      <c r="AE64" s="235" t="s">
        <v>516</v>
      </c>
      <c r="AF64" s="39">
        <v>18</v>
      </c>
      <c r="AG64" s="39"/>
      <c r="AH64" s="39"/>
      <c r="AI64" s="509"/>
      <c r="AJ64" s="39"/>
      <c r="AK64" s="39"/>
      <c r="AL64" s="39"/>
      <c r="AM64" s="39">
        <f t="shared" ref="AM64:AM66" si="123">SUM(AF64:AL64)+AT64+AV64+AX64</f>
        <v>18</v>
      </c>
      <c r="AN64" s="39"/>
      <c r="AO64" s="39"/>
      <c r="AP64" s="39"/>
      <c r="AQ64" s="39"/>
      <c r="AR64" s="39">
        <f>SUM(AN64:AQ64)</f>
        <v>0</v>
      </c>
      <c r="AS64" s="39"/>
      <c r="AT64" s="39"/>
      <c r="AU64" s="39"/>
      <c r="AV64" s="39"/>
      <c r="AW64" s="39"/>
      <c r="AX64" s="39"/>
      <c r="AY64" s="39"/>
      <c r="AZ64" s="39"/>
      <c r="BA64" s="39">
        <f>+AR64+AS64+AU64+AW64+AY64+AZ64</f>
        <v>0</v>
      </c>
      <c r="BB64" s="35">
        <v>6</v>
      </c>
      <c r="BC64" s="53"/>
      <c r="BD64" s="53"/>
      <c r="BE64" s="35"/>
      <c r="BF64" s="53"/>
    </row>
    <row r="65" spans="1:58" ht="12.95" customHeight="1">
      <c r="A65" s="42"/>
      <c r="B65" s="43" t="s">
        <v>7</v>
      </c>
      <c r="C65" s="421">
        <f t="shared" si="117"/>
        <v>31.513137670514165</v>
      </c>
      <c r="D65" s="43" t="s">
        <v>304</v>
      </c>
      <c r="E65" s="44">
        <v>12.5</v>
      </c>
      <c r="F65" s="44">
        <v>1</v>
      </c>
      <c r="G65" s="506">
        <v>1230</v>
      </c>
      <c r="H65" s="46">
        <f>+N65</f>
        <v>0.2308250594322474</v>
      </c>
      <c r="I65" s="47">
        <v>0.88</v>
      </c>
      <c r="J65" s="87">
        <f t="shared" si="118"/>
        <v>46.66092092462592</v>
      </c>
      <c r="K65" s="87">
        <f t="shared" si="119"/>
        <v>32.285156661655705</v>
      </c>
      <c r="L65" s="37">
        <v>1200.5876180482687</v>
      </c>
      <c r="M65" s="37">
        <v>923.46190975865682</v>
      </c>
      <c r="N65" s="48">
        <f t="shared" si="120"/>
        <v>0.2308250594322474</v>
      </c>
      <c r="O65" s="49">
        <f>+'Trim Rwd'!H39</f>
        <v>262.5</v>
      </c>
      <c r="P65" s="50">
        <f t="shared" si="121"/>
        <v>237037.5</v>
      </c>
      <c r="Q65" s="49">
        <f>953+87</f>
        <v>1040</v>
      </c>
      <c r="R65" s="507">
        <v>87</v>
      </c>
      <c r="S65" s="507">
        <v>50</v>
      </c>
      <c r="T65" s="39">
        <f t="shared" si="122"/>
        <v>31.513137670514165</v>
      </c>
      <c r="U65" s="39">
        <f>E65*M65*O65*(Q65-R65-S65)/100000000</f>
        <v>27.361887804302203</v>
      </c>
      <c r="V65" s="39">
        <f>E65*G65*(1-N65)*O65/100*(R65+S65)/1000000</f>
        <v>4.2529485217757994</v>
      </c>
      <c r="W65" s="39">
        <f>+'15'!K8/1000</f>
        <v>19.666</v>
      </c>
      <c r="X65" s="40"/>
      <c r="Y65" s="216"/>
      <c r="Z65" s="39"/>
      <c r="AA65" s="39"/>
      <c r="AB65" s="39"/>
      <c r="AC65" s="39"/>
      <c r="AD65" s="39">
        <f>+AM65+BA65</f>
        <v>6</v>
      </c>
      <c r="AE65" s="235" t="s">
        <v>442</v>
      </c>
      <c r="AF65" s="39"/>
      <c r="AG65" s="39">
        <v>6</v>
      </c>
      <c r="AH65" s="39"/>
      <c r="AI65" s="39"/>
      <c r="AJ65" s="39"/>
      <c r="AK65" s="39"/>
      <c r="AL65" s="39"/>
      <c r="AM65" s="39">
        <f t="shared" si="123"/>
        <v>6</v>
      </c>
      <c r="AN65" s="88"/>
      <c r="AO65" s="39"/>
      <c r="AP65" s="39"/>
      <c r="AQ65" s="39"/>
      <c r="AR65" s="39">
        <f t="shared" ref="AR65:AR66" si="124">SUM(AN65:AQ65)</f>
        <v>0</v>
      </c>
      <c r="AS65" s="39"/>
      <c r="AT65" s="39"/>
      <c r="AU65" s="39"/>
      <c r="AV65" s="39"/>
      <c r="AW65" s="39"/>
      <c r="AX65" s="39"/>
      <c r="AY65" s="39"/>
      <c r="AZ65" s="39"/>
      <c r="BA65" s="39">
        <f>+AR65+AS65+AU65+AW65+AY65+AZ65</f>
        <v>0</v>
      </c>
      <c r="BB65" s="52"/>
      <c r="BC65" s="53">
        <v>2</v>
      </c>
      <c r="BD65" s="53"/>
      <c r="BE65" s="52"/>
      <c r="BF65" s="53"/>
    </row>
    <row r="66" spans="1:58" ht="12.95" customHeight="1">
      <c r="A66" s="42"/>
      <c r="B66" s="43"/>
      <c r="C66" s="421"/>
      <c r="D66" s="43"/>
      <c r="E66" s="44"/>
      <c r="F66" s="44"/>
      <c r="G66" s="45"/>
      <c r="H66" s="46"/>
      <c r="I66" s="47"/>
      <c r="J66" s="87"/>
      <c r="K66" s="87"/>
      <c r="L66" s="37"/>
      <c r="M66" s="37"/>
      <c r="N66" s="48"/>
      <c r="O66" s="49"/>
      <c r="P66" s="50"/>
      <c r="Q66" s="49"/>
      <c r="R66" s="507"/>
      <c r="S66" s="507"/>
      <c r="T66" s="39"/>
      <c r="U66" s="39"/>
      <c r="V66" s="39"/>
      <c r="W66" s="39"/>
      <c r="X66" s="40"/>
      <c r="Y66" s="216"/>
      <c r="Z66" s="39"/>
      <c r="AA66" s="39"/>
      <c r="AB66" s="39"/>
      <c r="AC66" s="39"/>
      <c r="AD66" s="39">
        <f>+AM66+BA66</f>
        <v>59</v>
      </c>
      <c r="AE66" s="235" t="s">
        <v>496</v>
      </c>
      <c r="AF66" s="35"/>
      <c r="AG66" s="35"/>
      <c r="AH66" s="35">
        <v>59</v>
      </c>
      <c r="AI66" s="35"/>
      <c r="AJ66" s="39"/>
      <c r="AK66" s="39"/>
      <c r="AL66" s="39"/>
      <c r="AM66" s="39">
        <f t="shared" si="123"/>
        <v>59</v>
      </c>
      <c r="AN66" s="39"/>
      <c r="AO66" s="39"/>
      <c r="AP66" s="39"/>
      <c r="AQ66" s="39"/>
      <c r="AR66" s="39">
        <f t="shared" si="124"/>
        <v>0</v>
      </c>
      <c r="AS66" s="39"/>
      <c r="AT66" s="39"/>
      <c r="AU66" s="39"/>
      <c r="AV66" s="39"/>
      <c r="AW66" s="39"/>
      <c r="AX66" s="39"/>
      <c r="AY66" s="39"/>
      <c r="AZ66" s="39"/>
      <c r="BA66" s="39">
        <f>+AR66+AS66+AU66+AW66+AY66+AZ66</f>
        <v>0</v>
      </c>
      <c r="BB66" s="35"/>
      <c r="BC66" s="510"/>
      <c r="BD66" s="510"/>
      <c r="BE66" s="35"/>
      <c r="BF66" s="510"/>
    </row>
    <row r="67" spans="1:58" ht="12.95" customHeight="1">
      <c r="A67" s="42"/>
      <c r="B67" s="43"/>
      <c r="C67" s="421"/>
      <c r="D67" s="43"/>
      <c r="E67" s="44"/>
      <c r="F67" s="44"/>
      <c r="G67" s="45"/>
      <c r="H67" s="46"/>
      <c r="I67" s="47"/>
      <c r="J67" s="87"/>
      <c r="K67" s="87"/>
      <c r="L67" s="37"/>
      <c r="M67" s="37"/>
      <c r="N67" s="48"/>
      <c r="O67" s="49"/>
      <c r="P67" s="50"/>
      <c r="Q67" s="49"/>
      <c r="R67" s="507"/>
      <c r="S67" s="507"/>
      <c r="T67" s="39"/>
      <c r="U67" s="39"/>
      <c r="V67" s="39"/>
      <c r="W67" s="39"/>
      <c r="X67" s="40"/>
      <c r="Y67" s="216"/>
      <c r="Z67" s="39"/>
      <c r="AA67" s="39"/>
      <c r="AB67" s="39"/>
      <c r="AC67" s="39"/>
      <c r="AD67" s="39">
        <f>+AM67+BA67</f>
        <v>87</v>
      </c>
      <c r="AE67" s="235" t="s">
        <v>576</v>
      </c>
      <c r="AF67" s="35"/>
      <c r="AG67" s="35"/>
      <c r="AH67" s="35"/>
      <c r="AI67" s="35"/>
      <c r="AJ67" s="39"/>
      <c r="AK67" s="39"/>
      <c r="AL67" s="39"/>
      <c r="AM67" s="39">
        <f t="shared" ref="AM67" si="125">SUM(AF67:AL67)+AT67+AV67+AX67</f>
        <v>0</v>
      </c>
      <c r="AN67" s="39"/>
      <c r="AO67" s="39"/>
      <c r="AP67" s="39">
        <v>87</v>
      </c>
      <c r="AQ67" s="39"/>
      <c r="AR67" s="39">
        <f t="shared" ref="AR67" si="126">SUM(AN67:AQ67)</f>
        <v>87</v>
      </c>
      <c r="AS67" s="39"/>
      <c r="AT67" s="39"/>
      <c r="AU67" s="39"/>
      <c r="AV67" s="39"/>
      <c r="AW67" s="39"/>
      <c r="AX67" s="39"/>
      <c r="AY67" s="39"/>
      <c r="AZ67" s="39"/>
      <c r="BA67" s="39">
        <f>+AR67+AS67+AU67+AW67+AY67+AZ67</f>
        <v>87</v>
      </c>
      <c r="BB67" s="35"/>
      <c r="BC67" s="510"/>
      <c r="BD67" s="510"/>
      <c r="BE67" s="35"/>
      <c r="BF67" s="510"/>
    </row>
    <row r="68" spans="1:58" ht="12.95" customHeight="1">
      <c r="A68" s="42"/>
      <c r="B68" s="43"/>
      <c r="C68" s="421"/>
      <c r="D68" s="43"/>
      <c r="E68" s="44"/>
      <c r="F68" s="44"/>
      <c r="G68" s="45"/>
      <c r="H68" s="46"/>
      <c r="I68" s="47"/>
      <c r="J68" s="87"/>
      <c r="K68" s="87"/>
      <c r="L68" s="37"/>
      <c r="M68" s="37"/>
      <c r="N68" s="48"/>
      <c r="O68" s="49"/>
      <c r="P68" s="50"/>
      <c r="Q68" s="49"/>
      <c r="R68" s="507"/>
      <c r="S68" s="507"/>
      <c r="T68" s="39"/>
      <c r="U68" s="39"/>
      <c r="V68" s="39"/>
      <c r="W68" s="39"/>
      <c r="X68" s="40"/>
      <c r="Y68" s="216"/>
      <c r="Z68" s="39"/>
      <c r="AA68" s="39"/>
      <c r="AB68" s="39"/>
      <c r="AC68" s="39"/>
      <c r="AD68" s="39"/>
      <c r="AE68" s="235"/>
      <c r="AF68" s="35"/>
      <c r="AG68" s="35"/>
      <c r="AH68" s="35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5"/>
      <c r="BC68" s="510"/>
      <c r="BD68" s="53"/>
      <c r="BE68" s="52"/>
      <c r="BF68" s="53"/>
    </row>
    <row r="69" spans="1:58" ht="12.75" customHeight="1">
      <c r="A69" s="42">
        <v>45946</v>
      </c>
      <c r="B69" s="43" t="s">
        <v>7</v>
      </c>
      <c r="C69" s="421">
        <f t="shared" ref="C69:C70" si="127">(M69*E69*O69*Q69)/100000000</f>
        <v>24.180865041666671</v>
      </c>
      <c r="D69" s="43" t="s">
        <v>304</v>
      </c>
      <c r="E69" s="44">
        <v>12.5</v>
      </c>
      <c r="F69" s="44">
        <v>1</v>
      </c>
      <c r="G69" s="506">
        <v>1230</v>
      </c>
      <c r="H69" s="46">
        <f>+N69</f>
        <v>0.22999999999999998</v>
      </c>
      <c r="I69" s="47">
        <v>0.88</v>
      </c>
      <c r="J69" s="87">
        <f t="shared" ref="J69:J70" si="128">E69*G69*(1-H69)*1440/1000000*2.74</f>
        <v>46.710971999999998</v>
      </c>
      <c r="K69" s="87">
        <f t="shared" ref="K69:K70" si="129">(IF(G69&lt;L69,L69,G69)*(1-IF(H69&lt;N69,H69,N69))*E69*O69*Q69)/100000000</f>
        <v>24.275751499999998</v>
      </c>
      <c r="L69" s="37">
        <v>1225.1923076923076</v>
      </c>
      <c r="M69" s="37">
        <v>943.39807692307693</v>
      </c>
      <c r="N69" s="48">
        <f t="shared" ref="N69:N70" si="130">1-(M69/L69)</f>
        <v>0.22999999999999998</v>
      </c>
      <c r="O69" s="49">
        <f>+'Trim Rwd'!H42</f>
        <v>262.88888888888891</v>
      </c>
      <c r="P69" s="50">
        <f t="shared" ref="P69:P70" si="131">O69*(Q69-R69-S69)</f>
        <v>196903.77777777781</v>
      </c>
      <c r="Q69" s="49">
        <v>780</v>
      </c>
      <c r="R69" s="507">
        <v>0</v>
      </c>
      <c r="S69" s="507">
        <v>31</v>
      </c>
      <c r="T69" s="39">
        <f t="shared" ref="T69:T70" si="132">E69*M69*O69*Q69/100000000</f>
        <v>24.180865041666671</v>
      </c>
      <c r="U69" s="39">
        <f>E69*M69*O69*(Q69-R69-S69)/100000000</f>
        <v>23.21983066180556</v>
      </c>
      <c r="V69" s="39">
        <f>E69*G69*(1-N69)*O69/100*(R69+S69)/1000000</f>
        <v>0.96480550833333345</v>
      </c>
      <c r="W69" s="39">
        <f>+'16'!K8/1000</f>
        <v>24.206</v>
      </c>
      <c r="X69" s="508">
        <f>SUM(W69:W72)/SUM(K69:K72)</f>
        <v>0.84942606328376835</v>
      </c>
      <c r="Y69" s="216">
        <f>+SUM(RBP!AG48:AG49)</f>
        <v>0</v>
      </c>
      <c r="Z69" s="39">
        <f>+'16'!D16/1000</f>
        <v>0.25</v>
      </c>
      <c r="AA69" s="51">
        <f>SUM(U69:U72)-SUM(W69:W72)-SUM(Z69:Z72)-SUM(Y69:Y72)</f>
        <v>4.2922430818055544</v>
      </c>
      <c r="AB69" s="51">
        <f>(SUM(K69:K72)-SUM(W69:W72)-SUM(Y69:Y72)-SUM(Z69:Z72)-SUM(AC69:AC72)-SUM(V69:V72))-AA69</f>
        <v>-3.7711284722243832E-3</v>
      </c>
      <c r="AC69" s="39">
        <f>K69-T69</f>
        <v>9.4886458333327539E-2</v>
      </c>
      <c r="AD69" s="39">
        <f>+AM69+BA69</f>
        <v>21</v>
      </c>
      <c r="AE69" s="235" t="s">
        <v>516</v>
      </c>
      <c r="AF69" s="39">
        <v>21</v>
      </c>
      <c r="AG69" s="39"/>
      <c r="AH69" s="39"/>
      <c r="AI69" s="509"/>
      <c r="AJ69" s="39"/>
      <c r="AK69" s="39"/>
      <c r="AL69" s="39"/>
      <c r="AM69" s="39">
        <f t="shared" ref="AM69:AM71" si="133">SUM(AF69:AL69)+AT69+AV69+AX69</f>
        <v>21</v>
      </c>
      <c r="AN69" s="39"/>
      <c r="AO69" s="39"/>
      <c r="AP69" s="39"/>
      <c r="AQ69" s="39"/>
      <c r="AR69" s="39">
        <f>SUM(AN69:AQ69)</f>
        <v>0</v>
      </c>
      <c r="AS69" s="39"/>
      <c r="AT69" s="39"/>
      <c r="AU69" s="39"/>
      <c r="AV69" s="39"/>
      <c r="AW69" s="39"/>
      <c r="AX69" s="39"/>
      <c r="AY69" s="39"/>
      <c r="AZ69" s="39"/>
      <c r="BA69" s="39">
        <f>+AR69+AS69+AU69+AW69+AY69+AZ69</f>
        <v>0</v>
      </c>
      <c r="BB69" s="35">
        <v>6</v>
      </c>
      <c r="BC69" s="53"/>
      <c r="BD69" s="53"/>
      <c r="BE69" s="35"/>
      <c r="BF69" s="53"/>
    </row>
    <row r="70" spans="1:58" ht="12.95" customHeight="1">
      <c r="A70" s="42"/>
      <c r="B70" s="43" t="s">
        <v>7</v>
      </c>
      <c r="C70" s="421">
        <f t="shared" si="127"/>
        <v>20.965384439999994</v>
      </c>
      <c r="D70" s="43" t="s">
        <v>304</v>
      </c>
      <c r="E70" s="44">
        <v>13</v>
      </c>
      <c r="F70" s="44">
        <v>1</v>
      </c>
      <c r="G70" s="506">
        <v>1230</v>
      </c>
      <c r="H70" s="46">
        <f>+N70</f>
        <v>0.2300000000000002</v>
      </c>
      <c r="I70" s="47">
        <v>0.88</v>
      </c>
      <c r="J70" s="87">
        <f t="shared" si="128"/>
        <v>48.57941087999999</v>
      </c>
      <c r="K70" s="87">
        <f t="shared" si="129"/>
        <v>20.965384439999994</v>
      </c>
      <c r="L70" s="37">
        <v>1230</v>
      </c>
      <c r="M70" s="37">
        <v>947.0999999999998</v>
      </c>
      <c r="N70" s="48">
        <f t="shared" si="130"/>
        <v>0.2300000000000002</v>
      </c>
      <c r="O70" s="49">
        <f>+'Trim Rwd'!H44</f>
        <v>258</v>
      </c>
      <c r="P70" s="50">
        <f t="shared" si="131"/>
        <v>162540</v>
      </c>
      <c r="Q70" s="49">
        <v>660</v>
      </c>
      <c r="R70" s="507">
        <v>0</v>
      </c>
      <c r="S70" s="507">
        <v>30</v>
      </c>
      <c r="T70" s="39">
        <f t="shared" si="132"/>
        <v>20.965384439999994</v>
      </c>
      <c r="U70" s="39">
        <f>E70*M70*O70*(Q70-R70-S70)/100000000</f>
        <v>20.012412419999997</v>
      </c>
      <c r="V70" s="39">
        <f>E70*G70*(1-N70)*O70/100*(R70+S70)/1000000</f>
        <v>0.95297201999999981</v>
      </c>
      <c r="W70" s="39">
        <f>+'16'!K12/1000</f>
        <v>14.223000000000001</v>
      </c>
      <c r="X70" s="40"/>
      <c r="Y70" s="216"/>
      <c r="Z70" s="39">
        <f>+'16'!D25/1000</f>
        <v>0.26100000000000001</v>
      </c>
      <c r="AA70" s="39"/>
      <c r="AB70" s="39"/>
      <c r="AC70" s="39"/>
      <c r="AD70" s="39">
        <f>+AM70+BA70</f>
        <v>10</v>
      </c>
      <c r="AE70" s="235" t="s">
        <v>388</v>
      </c>
      <c r="AF70" s="39"/>
      <c r="AG70" s="39">
        <v>10</v>
      </c>
      <c r="AH70" s="39"/>
      <c r="AI70" s="39"/>
      <c r="AJ70" s="39"/>
      <c r="AK70" s="39"/>
      <c r="AL70" s="39"/>
      <c r="AM70" s="39">
        <f t="shared" si="133"/>
        <v>10</v>
      </c>
      <c r="AN70" s="88"/>
      <c r="AO70" s="39"/>
      <c r="AP70" s="39"/>
      <c r="AQ70" s="39"/>
      <c r="AR70" s="39">
        <f t="shared" ref="AR70:AR71" si="134">SUM(AN70:AQ70)</f>
        <v>0</v>
      </c>
      <c r="AS70" s="39"/>
      <c r="AT70" s="39"/>
      <c r="AU70" s="39"/>
      <c r="AV70" s="39"/>
      <c r="AW70" s="39"/>
      <c r="AX70" s="39"/>
      <c r="AY70" s="39"/>
      <c r="AZ70" s="39"/>
      <c r="BA70" s="39">
        <f>+AR70+AS70+AU70+AW70+AY70+AZ70</f>
        <v>0</v>
      </c>
      <c r="BB70" s="52"/>
      <c r="BC70" s="53">
        <v>5</v>
      </c>
      <c r="BD70" s="53"/>
      <c r="BE70" s="52"/>
      <c r="BF70" s="53"/>
    </row>
    <row r="71" spans="1:58" ht="12.95" customHeight="1">
      <c r="A71" s="42"/>
      <c r="B71" s="43"/>
      <c r="C71" s="421"/>
      <c r="D71" s="43"/>
      <c r="E71" s="44"/>
      <c r="F71" s="44"/>
      <c r="G71" s="45"/>
      <c r="H71" s="46"/>
      <c r="I71" s="47"/>
      <c r="J71" s="87"/>
      <c r="K71" s="87"/>
      <c r="L71" s="37"/>
      <c r="M71" s="37"/>
      <c r="N71" s="48"/>
      <c r="O71" s="49"/>
      <c r="P71" s="50"/>
      <c r="Q71" s="49"/>
      <c r="R71" s="507"/>
      <c r="S71" s="507"/>
      <c r="T71" s="39"/>
      <c r="U71" s="39"/>
      <c r="V71" s="39"/>
      <c r="W71" s="39"/>
      <c r="X71" s="40"/>
      <c r="Y71" s="216"/>
      <c r="Z71" s="39"/>
      <c r="AA71" s="39"/>
      <c r="AB71" s="39"/>
      <c r="AC71" s="39"/>
      <c r="AD71" s="39">
        <f>+AM71+BA71</f>
        <v>30</v>
      </c>
      <c r="AE71" s="235" t="s">
        <v>496</v>
      </c>
      <c r="AF71" s="35"/>
      <c r="AG71" s="35"/>
      <c r="AH71" s="35">
        <v>30</v>
      </c>
      <c r="AI71" s="35"/>
      <c r="AJ71" s="39"/>
      <c r="AK71" s="39"/>
      <c r="AL71" s="39"/>
      <c r="AM71" s="39">
        <f t="shared" si="133"/>
        <v>30</v>
      </c>
      <c r="AN71" s="39"/>
      <c r="AO71" s="39"/>
      <c r="AP71" s="39"/>
      <c r="AQ71" s="39"/>
      <c r="AR71" s="39">
        <f t="shared" si="134"/>
        <v>0</v>
      </c>
      <c r="AS71" s="39"/>
      <c r="AT71" s="39"/>
      <c r="AU71" s="39"/>
      <c r="AV71" s="39"/>
      <c r="AW71" s="39"/>
      <c r="AX71" s="39"/>
      <c r="AY71" s="39"/>
      <c r="AZ71" s="39"/>
      <c r="BA71" s="39">
        <f>+AR71+AS71+AU71+AW71+AY71+AZ71</f>
        <v>0</v>
      </c>
      <c r="BB71" s="35"/>
      <c r="BC71" s="510"/>
      <c r="BD71" s="510"/>
      <c r="BE71" s="35"/>
      <c r="BF71" s="510"/>
    </row>
    <row r="72" spans="1:58" ht="12.95" customHeight="1">
      <c r="A72" s="42"/>
      <c r="B72" s="43"/>
      <c r="C72" s="421"/>
      <c r="D72" s="43"/>
      <c r="E72" s="44"/>
      <c r="F72" s="44"/>
      <c r="G72" s="45"/>
      <c r="H72" s="46"/>
      <c r="I72" s="47"/>
      <c r="J72" s="87"/>
      <c r="K72" s="87"/>
      <c r="L72" s="37"/>
      <c r="M72" s="37"/>
      <c r="N72" s="48"/>
      <c r="O72" s="49"/>
      <c r="P72" s="50"/>
      <c r="Q72" s="49"/>
      <c r="R72" s="507"/>
      <c r="S72" s="507"/>
      <c r="T72" s="39"/>
      <c r="U72" s="39"/>
      <c r="V72" s="39"/>
      <c r="W72" s="39"/>
      <c r="X72" s="40"/>
      <c r="Y72" s="216"/>
      <c r="Z72" s="39"/>
      <c r="AA72" s="39"/>
      <c r="AB72" s="39"/>
      <c r="AC72" s="39"/>
      <c r="AD72" s="39"/>
      <c r="AE72" s="235"/>
      <c r="AF72" s="35"/>
      <c r="AG72" s="35"/>
      <c r="AH72" s="35"/>
      <c r="AI72" s="35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5"/>
      <c r="BC72" s="510"/>
      <c r="BD72" s="510"/>
      <c r="BE72" s="35"/>
      <c r="BF72" s="510"/>
    </row>
    <row r="73" spans="1:58" ht="12.75" customHeight="1">
      <c r="A73" s="42">
        <v>45947</v>
      </c>
      <c r="B73" s="43" t="s">
        <v>7</v>
      </c>
      <c r="C73" s="421">
        <f t="shared" ref="C73:C75" si="135">(M73*E73*O73*Q73)/100000000</f>
        <v>4.0759149599999995</v>
      </c>
      <c r="D73" s="43" t="s">
        <v>304</v>
      </c>
      <c r="E73" s="44">
        <v>13</v>
      </c>
      <c r="F73" s="44">
        <v>1</v>
      </c>
      <c r="G73" s="506">
        <v>1230</v>
      </c>
      <c r="H73" s="46">
        <f>+N73</f>
        <v>0.24</v>
      </c>
      <c r="I73" s="47">
        <v>0.88</v>
      </c>
      <c r="J73" s="87">
        <f t="shared" ref="J73:J75" si="136">E73*G73*(1-H73)*1440/1000000*2.74</f>
        <v>47.948509440000002</v>
      </c>
      <c r="K73" s="87">
        <f t="shared" ref="K73:K75" si="137">(IF(G73&lt;L73,L73,G73)*(1-IF(H73&lt;N73,H73,N73))*E73*O73*Q73)/100000000</f>
        <v>4.0759149599999995</v>
      </c>
      <c r="L73" s="37">
        <v>1230</v>
      </c>
      <c r="M73" s="37">
        <v>934.8</v>
      </c>
      <c r="N73" s="48">
        <f t="shared" ref="N73:N75" si="138">1-(M73/L73)</f>
        <v>0.24</v>
      </c>
      <c r="O73" s="49">
        <f>+'Trim Rwd'!H46</f>
        <v>258</v>
      </c>
      <c r="P73" s="50">
        <f t="shared" ref="P73:P75" si="139">O73*(Q73-R73-S73)</f>
        <v>30702</v>
      </c>
      <c r="Q73" s="49">
        <v>130</v>
      </c>
      <c r="R73" s="507">
        <v>0</v>
      </c>
      <c r="S73" s="507">
        <v>11</v>
      </c>
      <c r="T73" s="39">
        <f t="shared" ref="T73:T75" si="140">E73*M73*O73*Q73/100000000</f>
        <v>4.0759149599999995</v>
      </c>
      <c r="U73" s="39">
        <f>E73*M73*O73*(Q73-R73-S73)/100000000</f>
        <v>3.7310298479999995</v>
      </c>
      <c r="V73" s="39">
        <f>E73*G73*(1-N73)*O73/100*(R73+S73)/1000000</f>
        <v>0.34488511199999994</v>
      </c>
      <c r="W73" s="39">
        <f>+'17'!K12/1000</f>
        <v>13.881</v>
      </c>
      <c r="X73" s="508">
        <f>SUM(W73:W76)/SUM(K73:K76)</f>
        <v>0.86844313177403887</v>
      </c>
      <c r="Y73" s="216">
        <f>+SUM(RBP!AG52:AG53)</f>
        <v>0</v>
      </c>
      <c r="Z73" s="39">
        <f>+'16'!D20/1000</f>
        <v>0</v>
      </c>
      <c r="AA73" s="51">
        <f>SUM(U73:U76)-SUM(W73:W76)-SUM(Z73:Z76)-SUM(Y73:Y76)</f>
        <v>2.369704994945943</v>
      </c>
      <c r="AB73" s="51">
        <f>(SUM(K73:K76)-SUM(W73:W76)-SUM(Y73:Y76)-SUM(Z73:Z76)-SUM(AC73:AC76)-SUM(V73:V76))-AA73</f>
        <v>0.27569528969754042</v>
      </c>
      <c r="AC73" s="39">
        <f>K73-T73</f>
        <v>0</v>
      </c>
      <c r="AD73" s="39">
        <f>+AM73+BA73</f>
        <v>0</v>
      </c>
      <c r="AE73" s="235" t="s">
        <v>386</v>
      </c>
      <c r="AF73" s="39">
        <v>0</v>
      </c>
      <c r="AG73" s="39"/>
      <c r="AH73" s="39"/>
      <c r="AI73" s="509"/>
      <c r="AJ73" s="39"/>
      <c r="AK73" s="39"/>
      <c r="AL73" s="39"/>
      <c r="AM73" s="39">
        <f t="shared" ref="AM73:AM75" si="141">SUM(AF73:AL73)+AT73+AV73+AX73</f>
        <v>0</v>
      </c>
      <c r="AN73" s="39"/>
      <c r="AO73" s="39"/>
      <c r="AP73" s="39"/>
      <c r="AQ73" s="39"/>
      <c r="AR73" s="39">
        <f>SUM(AN73:AQ73)</f>
        <v>0</v>
      </c>
      <c r="AS73" s="39"/>
      <c r="AT73" s="39"/>
      <c r="AU73" s="39"/>
      <c r="AV73" s="39"/>
      <c r="AW73" s="39"/>
      <c r="AX73" s="39"/>
      <c r="AY73" s="39"/>
      <c r="AZ73" s="39"/>
      <c r="BA73" s="39">
        <f>+AR73+AS73+AU73+AW73+AY73+AZ73</f>
        <v>0</v>
      </c>
      <c r="BB73" s="35">
        <v>0</v>
      </c>
      <c r="BC73" s="53"/>
      <c r="BD73" s="53"/>
      <c r="BE73" s="35"/>
      <c r="BF73" s="53"/>
    </row>
    <row r="74" spans="1:58" ht="12.95" customHeight="1">
      <c r="A74" s="42"/>
      <c r="B74" s="43" t="s">
        <v>7</v>
      </c>
      <c r="C74" s="421">
        <f t="shared" si="135"/>
        <v>13.498351019999999</v>
      </c>
      <c r="D74" s="43" t="s">
        <v>304</v>
      </c>
      <c r="E74" s="44">
        <v>11</v>
      </c>
      <c r="F74" s="44">
        <v>1</v>
      </c>
      <c r="G74" s="506">
        <v>1230</v>
      </c>
      <c r="H74" s="46">
        <f>+N74</f>
        <v>0.22699658703071679</v>
      </c>
      <c r="I74" s="47">
        <v>0.88</v>
      </c>
      <c r="J74" s="87">
        <f t="shared" si="136"/>
        <v>41.265989461843006</v>
      </c>
      <c r="K74" s="87">
        <f t="shared" si="137"/>
        <v>13.599703826293517</v>
      </c>
      <c r="L74" s="37">
        <v>1220.8333333333333</v>
      </c>
      <c r="M74" s="37">
        <v>943.70833333333326</v>
      </c>
      <c r="N74" s="48">
        <f t="shared" si="138"/>
        <v>0.22699658703071679</v>
      </c>
      <c r="O74" s="49">
        <f>+'Trim Rwd'!H47</f>
        <v>258</v>
      </c>
      <c r="P74" s="50">
        <f t="shared" si="139"/>
        <v>122292</v>
      </c>
      <c r="Q74" s="49">
        <v>504</v>
      </c>
      <c r="R74" s="507">
        <v>0</v>
      </c>
      <c r="S74" s="507">
        <v>30</v>
      </c>
      <c r="T74" s="39">
        <f t="shared" si="140"/>
        <v>13.498351019999999</v>
      </c>
      <c r="U74" s="39">
        <f>E74*M74*O74*(Q74-R74-S74)/100000000</f>
        <v>12.694877744999999</v>
      </c>
      <c r="V74" s="39">
        <f>E74*G74*(1-N74)*O74/100*(R74+S74)/1000000</f>
        <v>0.80950618013651876</v>
      </c>
      <c r="W74" s="39">
        <f>+'17'!K13/1000</f>
        <v>11.154</v>
      </c>
      <c r="X74" s="40"/>
      <c r="Y74" s="216"/>
      <c r="Z74" s="39">
        <f>+'16'!D29/1000</f>
        <v>0</v>
      </c>
      <c r="AA74" s="39"/>
      <c r="AB74" s="39"/>
      <c r="AC74" s="39"/>
      <c r="AD74" s="39">
        <f>+AM74+BA74</f>
        <v>40</v>
      </c>
      <c r="AE74" s="235" t="s">
        <v>603</v>
      </c>
      <c r="AF74" s="39"/>
      <c r="AG74" s="39">
        <v>40</v>
      </c>
      <c r="AH74" s="39"/>
      <c r="AI74" s="39"/>
      <c r="AJ74" s="39"/>
      <c r="AK74" s="39"/>
      <c r="AL74" s="39"/>
      <c r="AM74" s="39">
        <f t="shared" si="141"/>
        <v>40</v>
      </c>
      <c r="AN74" s="88"/>
      <c r="AO74" s="39"/>
      <c r="AP74" s="39"/>
      <c r="AQ74" s="39"/>
      <c r="AR74" s="39">
        <f t="shared" ref="AR74:AR75" si="142">SUM(AN74:AQ74)</f>
        <v>0</v>
      </c>
      <c r="AS74" s="39"/>
      <c r="AT74" s="39"/>
      <c r="AU74" s="39"/>
      <c r="AV74" s="39"/>
      <c r="AW74" s="39"/>
      <c r="AX74" s="39"/>
      <c r="AY74" s="39"/>
      <c r="AZ74" s="39"/>
      <c r="BA74" s="39">
        <f>+AR74+AS74+AU74+AW74+AY74+AZ74</f>
        <v>0</v>
      </c>
      <c r="BB74" s="52"/>
      <c r="BC74" s="53">
        <v>15</v>
      </c>
      <c r="BD74" s="53"/>
      <c r="BE74" s="52"/>
      <c r="BF74" s="53"/>
    </row>
    <row r="75" spans="1:58" ht="12.95" customHeight="1">
      <c r="A75" s="42"/>
      <c r="B75" s="43" t="s">
        <v>7</v>
      </c>
      <c r="C75" s="421">
        <f t="shared" si="135"/>
        <v>23.461207283027026</v>
      </c>
      <c r="D75" s="43" t="s">
        <v>304</v>
      </c>
      <c r="E75" s="44">
        <v>12</v>
      </c>
      <c r="F75" s="44">
        <v>1</v>
      </c>
      <c r="G75" s="506">
        <v>1230</v>
      </c>
      <c r="H75" s="46">
        <f>+N75</f>
        <v>0.22999999999999998</v>
      </c>
      <c r="I75" s="47">
        <v>0.88</v>
      </c>
      <c r="J75" s="87">
        <f t="shared" si="136"/>
        <v>44.842533120000006</v>
      </c>
      <c r="K75" s="87">
        <f t="shared" si="137"/>
        <v>23.653512260756756</v>
      </c>
      <c r="L75" s="37">
        <v>1220</v>
      </c>
      <c r="M75" s="37">
        <v>939.4</v>
      </c>
      <c r="N75" s="48">
        <f t="shared" si="138"/>
        <v>0.22999999999999998</v>
      </c>
      <c r="O75" s="49">
        <f>+'Trim Rwd'!H48</f>
        <v>258.2162162162162</v>
      </c>
      <c r="P75" s="50">
        <f t="shared" si="139"/>
        <v>195211.45945945944</v>
      </c>
      <c r="Q75" s="49">
        <v>806</v>
      </c>
      <c r="R75" s="507">
        <v>0</v>
      </c>
      <c r="S75" s="507">
        <f>91-S73-S74</f>
        <v>50</v>
      </c>
      <c r="T75" s="39">
        <f t="shared" si="140"/>
        <v>23.461207283027026</v>
      </c>
      <c r="U75" s="39">
        <f>E75*M75*O75*(Q75-R75-S75)/100000000</f>
        <v>22.005797401945941</v>
      </c>
      <c r="V75" s="39">
        <f>E75*G75*(1-N75)*O75/100*(R75+S75)/1000000</f>
        <v>1.4673394702702702</v>
      </c>
      <c r="W75" s="39">
        <f>+'17'!K7/1000</f>
        <v>10.856999999999999</v>
      </c>
      <c r="X75" s="40"/>
      <c r="Y75" s="216"/>
      <c r="Z75" s="39">
        <f>+'17'!D25/1000</f>
        <v>0.17</v>
      </c>
      <c r="AA75" s="39"/>
      <c r="AB75" s="39"/>
      <c r="AC75" s="39"/>
      <c r="AD75" s="39">
        <f>+AM75+BA75</f>
        <v>51</v>
      </c>
      <c r="AE75" s="235" t="s">
        <v>604</v>
      </c>
      <c r="AF75" s="35"/>
      <c r="AG75" s="35"/>
      <c r="AH75" s="35">
        <v>51</v>
      </c>
      <c r="AI75" s="35"/>
      <c r="AJ75" s="39"/>
      <c r="AK75" s="39"/>
      <c r="AL75" s="39"/>
      <c r="AM75" s="39">
        <f t="shared" si="141"/>
        <v>51</v>
      </c>
      <c r="AN75" s="39"/>
      <c r="AO75" s="39"/>
      <c r="AP75" s="39"/>
      <c r="AQ75" s="39"/>
      <c r="AR75" s="39">
        <f t="shared" si="142"/>
        <v>0</v>
      </c>
      <c r="AS75" s="39"/>
      <c r="AT75" s="39"/>
      <c r="AU75" s="39"/>
      <c r="AV75" s="39"/>
      <c r="AW75" s="39"/>
      <c r="AX75" s="39"/>
      <c r="AY75" s="39"/>
      <c r="AZ75" s="39"/>
      <c r="BA75" s="39">
        <f>+AR75+AS75+AU75+AW75+AY75+AZ75</f>
        <v>0</v>
      </c>
      <c r="BB75" s="35"/>
      <c r="BC75" s="510"/>
      <c r="BD75" s="510"/>
      <c r="BE75" s="35"/>
      <c r="BF75" s="510"/>
    </row>
    <row r="76" spans="1:58" ht="12.95" customHeight="1">
      <c r="A76" s="42"/>
      <c r="B76" s="43"/>
      <c r="C76" s="421"/>
      <c r="D76" s="43"/>
      <c r="E76" s="44"/>
      <c r="F76" s="44"/>
      <c r="G76" s="45"/>
      <c r="H76" s="46"/>
      <c r="I76" s="47"/>
      <c r="J76" s="87"/>
      <c r="K76" s="87"/>
      <c r="L76" s="37"/>
      <c r="M76" s="37"/>
      <c r="N76" s="48"/>
      <c r="O76" s="49"/>
      <c r="P76" s="50"/>
      <c r="Q76" s="49"/>
      <c r="R76" s="507"/>
      <c r="S76" s="507"/>
      <c r="T76" s="39"/>
      <c r="U76" s="39"/>
      <c r="V76" s="39"/>
      <c r="W76" s="39"/>
      <c r="X76" s="40"/>
      <c r="Y76" s="216"/>
      <c r="Z76" s="39"/>
      <c r="AA76" s="39"/>
      <c r="AB76" s="39"/>
      <c r="AC76" s="39"/>
      <c r="AD76" s="39"/>
      <c r="AE76" s="235"/>
      <c r="AF76" s="35"/>
      <c r="AG76" s="35"/>
      <c r="AH76" s="35"/>
      <c r="AI76" s="35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5"/>
      <c r="BC76" s="510"/>
      <c r="BD76" s="510"/>
      <c r="BE76" s="35"/>
      <c r="BF76" s="510"/>
    </row>
    <row r="77" spans="1:58" ht="12.75" customHeight="1">
      <c r="A77" s="42">
        <v>45948</v>
      </c>
      <c r="B77" s="43" t="s">
        <v>7</v>
      </c>
      <c r="C77" s="421">
        <f t="shared" ref="C77" si="143">(M77*E77*O77*Q77)/100000000</f>
        <v>42.225304274999999</v>
      </c>
      <c r="D77" s="43" t="s">
        <v>304</v>
      </c>
      <c r="E77" s="44">
        <v>12</v>
      </c>
      <c r="F77" s="44">
        <v>1</v>
      </c>
      <c r="G77" s="506">
        <v>1230</v>
      </c>
      <c r="H77" s="46">
        <f>+N77</f>
        <v>0.22999999999999998</v>
      </c>
      <c r="I77" s="47">
        <v>0.88</v>
      </c>
      <c r="J77" s="87">
        <f t="shared" ref="J77" si="144">E77*G77*(1-H77)*1440/1000000*2.74</f>
        <v>44.842533120000006</v>
      </c>
      <c r="K77" s="87">
        <f t="shared" ref="K77" si="145">(IF(G77&lt;L77,L77,G77)*(1-IF(H77&lt;N77,H77,N77))*E77*O77*Q77)/100000000</f>
        <v>42.455414924999999</v>
      </c>
      <c r="L77" s="37">
        <v>1223.3333333333333</v>
      </c>
      <c r="M77" s="37">
        <v>941.9666666666667</v>
      </c>
      <c r="N77" s="48">
        <f t="shared" ref="N77" si="146">1-(M77/L77)</f>
        <v>0.22999999999999998</v>
      </c>
      <c r="O77" s="49">
        <f>+'Trim Rwd'!H51</f>
        <v>259.4140625</v>
      </c>
      <c r="P77" s="50">
        <f t="shared" ref="P77" si="147">O77*(Q77-R77-S77)</f>
        <v>354100.1953125</v>
      </c>
      <c r="Q77" s="49">
        <v>1440</v>
      </c>
      <c r="R77" s="507">
        <v>0</v>
      </c>
      <c r="S77" s="507">
        <v>75</v>
      </c>
      <c r="T77" s="39">
        <f t="shared" ref="T77" si="148">E77*M77*O77*Q77/100000000</f>
        <v>42.225304274999999</v>
      </c>
      <c r="U77" s="39">
        <f>E77*M77*O77*(Q77-R77-S77)/100000000</f>
        <v>40.026069677343749</v>
      </c>
      <c r="V77" s="39">
        <f>E77*G77*(1-N77)*O77/100*(R77+S77)/1000000</f>
        <v>2.2112195273437498</v>
      </c>
      <c r="W77" s="39">
        <f>+'18'!K7/1000</f>
        <v>27.89</v>
      </c>
      <c r="X77" s="508">
        <f>SUM(W77:W80)/SUM(K77:K80)</f>
        <v>0.83094229705022715</v>
      </c>
      <c r="Y77" s="216">
        <f>+SUM(RBP!AG56:AG57)</f>
        <v>0</v>
      </c>
      <c r="Z77" s="39">
        <f>+'16'!D24/1000</f>
        <v>1.9823963206724287E-5</v>
      </c>
      <c r="AA77" s="51">
        <f>SUM(U77:U80)-SUM(W77:W80)-SUM(Z77:Z80)-SUM(Y77:Y80)</f>
        <v>4.7480303772220473</v>
      </c>
      <c r="AB77" s="51">
        <f>(SUM(K77:K80)-SUM(W77:W80)-SUM(Y77:Y80)-SUM(Z77:Z80)-SUM(AC77:AC80)-SUM(V77:V80))-AA77</f>
        <v>-1.1984929687499424E-2</v>
      </c>
      <c r="AC77" s="39">
        <f>K77-T77</f>
        <v>0.23011065000000031</v>
      </c>
      <c r="AD77" s="39">
        <f>+AM77+BA77</f>
        <v>15</v>
      </c>
      <c r="AE77" s="235" t="s">
        <v>516</v>
      </c>
      <c r="AF77" s="39">
        <v>15</v>
      </c>
      <c r="AG77" s="39"/>
      <c r="AH77" s="39"/>
      <c r="AI77" s="509"/>
      <c r="AJ77" s="39"/>
      <c r="AK77" s="39"/>
      <c r="AL77" s="39"/>
      <c r="AM77" s="39">
        <f t="shared" ref="AM77:AM79" si="149">SUM(AF77:AL77)+AT77+AV77+AX77</f>
        <v>15</v>
      </c>
      <c r="AN77" s="39"/>
      <c r="AO77" s="39"/>
      <c r="AP77" s="39"/>
      <c r="AQ77" s="39"/>
      <c r="AR77" s="39">
        <f>SUM(AN77:AQ77)</f>
        <v>0</v>
      </c>
      <c r="AS77" s="39"/>
      <c r="AT77" s="39"/>
      <c r="AU77" s="39"/>
      <c r="AV77" s="39"/>
      <c r="AW77" s="39"/>
      <c r="AX77" s="39"/>
      <c r="AY77" s="39"/>
      <c r="AZ77" s="39"/>
      <c r="BA77" s="39">
        <f>+AR77+AS77+AU77+AW77+AY77+AZ77</f>
        <v>0</v>
      </c>
      <c r="BB77" s="35">
        <v>6</v>
      </c>
      <c r="BC77" s="53"/>
      <c r="BD77" s="53"/>
      <c r="BE77" s="35"/>
      <c r="BF77" s="53"/>
    </row>
    <row r="78" spans="1:58" ht="12.95" customHeight="1">
      <c r="A78" s="42"/>
      <c r="B78" s="43" t="s">
        <v>7</v>
      </c>
      <c r="C78" s="421"/>
      <c r="D78" s="43"/>
      <c r="E78" s="44">
        <v>13</v>
      </c>
      <c r="F78" s="44"/>
      <c r="G78" s="506"/>
      <c r="H78" s="46"/>
      <c r="I78" s="47"/>
      <c r="J78" s="87"/>
      <c r="K78" s="87"/>
      <c r="L78" s="37"/>
      <c r="M78" s="37"/>
      <c r="N78" s="48"/>
      <c r="O78" s="49"/>
      <c r="P78" s="50"/>
      <c r="Q78" s="49"/>
      <c r="R78" s="507"/>
      <c r="S78" s="507"/>
      <c r="T78" s="39"/>
      <c r="U78" s="39"/>
      <c r="V78" s="39"/>
      <c r="W78" s="39">
        <f>+'18'!K12/1000</f>
        <v>7.3879999999999999</v>
      </c>
      <c r="X78" s="40"/>
      <c r="Y78" s="216"/>
      <c r="Z78" s="39">
        <f>+'16'!D33/1000</f>
        <v>1.9476158495634655E-5</v>
      </c>
      <c r="AA78" s="39"/>
      <c r="AB78" s="39"/>
      <c r="AC78" s="39"/>
      <c r="AD78" s="39">
        <f>+AM78+BA78</f>
        <v>0</v>
      </c>
      <c r="AE78" s="235" t="s">
        <v>286</v>
      </c>
      <c r="AF78" s="39"/>
      <c r="AG78" s="39">
        <v>0</v>
      </c>
      <c r="AH78" s="39"/>
      <c r="AI78" s="39"/>
      <c r="AJ78" s="39"/>
      <c r="AK78" s="39"/>
      <c r="AL78" s="39"/>
      <c r="AM78" s="39">
        <f t="shared" si="149"/>
        <v>0</v>
      </c>
      <c r="AN78" s="88"/>
      <c r="AO78" s="39"/>
      <c r="AP78" s="39"/>
      <c r="AQ78" s="39"/>
      <c r="AR78" s="39">
        <f t="shared" ref="AR78:AR79" si="150">SUM(AN78:AQ78)</f>
        <v>0</v>
      </c>
      <c r="AS78" s="39"/>
      <c r="AT78" s="39"/>
      <c r="AU78" s="39"/>
      <c r="AV78" s="39"/>
      <c r="AW78" s="39"/>
      <c r="AX78" s="39"/>
      <c r="AY78" s="39"/>
      <c r="AZ78" s="39"/>
      <c r="BA78" s="39">
        <f>+AR78+AS78+AU78+AW78+AY78+AZ78</f>
        <v>0</v>
      </c>
      <c r="BB78" s="52"/>
      <c r="BC78" s="53">
        <v>0</v>
      </c>
      <c r="BD78" s="53"/>
      <c r="BE78" s="52"/>
      <c r="BF78" s="53"/>
    </row>
    <row r="79" spans="1:58" ht="12.95" customHeight="1">
      <c r="A79" s="42"/>
      <c r="B79" s="43"/>
      <c r="C79" s="421"/>
      <c r="D79" s="43"/>
      <c r="E79" s="44"/>
      <c r="F79" s="44"/>
      <c r="G79" s="45"/>
      <c r="H79" s="46"/>
      <c r="I79" s="47"/>
      <c r="J79" s="87"/>
      <c r="K79" s="87"/>
      <c r="L79" s="37"/>
      <c r="M79" s="37"/>
      <c r="N79" s="48"/>
      <c r="O79" s="49"/>
      <c r="P79" s="50"/>
      <c r="Q79" s="49"/>
      <c r="R79" s="507"/>
      <c r="S79" s="507"/>
      <c r="T79" s="39"/>
      <c r="U79" s="39"/>
      <c r="V79" s="39"/>
      <c r="W79" s="39"/>
      <c r="X79" s="40"/>
      <c r="Y79" s="216"/>
      <c r="Z79" s="39"/>
      <c r="AA79" s="39"/>
      <c r="AB79" s="39"/>
      <c r="AC79" s="39"/>
      <c r="AD79" s="39">
        <f>+AM79+BA79</f>
        <v>60</v>
      </c>
      <c r="AE79" s="235" t="s">
        <v>432</v>
      </c>
      <c r="AF79" s="35"/>
      <c r="AG79" s="35"/>
      <c r="AH79" s="35">
        <v>60</v>
      </c>
      <c r="AI79" s="35"/>
      <c r="AJ79" s="39"/>
      <c r="AK79" s="39"/>
      <c r="AL79" s="39"/>
      <c r="AM79" s="39">
        <f t="shared" si="149"/>
        <v>60</v>
      </c>
      <c r="AN79" s="39"/>
      <c r="AO79" s="39"/>
      <c r="AP79" s="39"/>
      <c r="AQ79" s="39"/>
      <c r="AR79" s="39">
        <f t="shared" si="150"/>
        <v>0</v>
      </c>
      <c r="AS79" s="39"/>
      <c r="AT79" s="39"/>
      <c r="AU79" s="39"/>
      <c r="AV79" s="39"/>
      <c r="AW79" s="39"/>
      <c r="AX79" s="39"/>
      <c r="AY79" s="39"/>
      <c r="AZ79" s="39"/>
      <c r="BA79" s="39">
        <f>+AR79+AS79+AU79+AW79+AY79+AZ79</f>
        <v>0</v>
      </c>
      <c r="BB79" s="35"/>
      <c r="BC79" s="510"/>
      <c r="BD79" s="510"/>
      <c r="BE79" s="35"/>
      <c r="BF79" s="510"/>
    </row>
    <row r="80" spans="1:58" ht="12.95" customHeight="1">
      <c r="A80" s="42"/>
      <c r="B80" s="43"/>
      <c r="C80" s="421"/>
      <c r="D80" s="43"/>
      <c r="E80" s="44"/>
      <c r="F80" s="44"/>
      <c r="G80" s="45"/>
      <c r="H80" s="46"/>
      <c r="I80" s="47"/>
      <c r="J80" s="87"/>
      <c r="K80" s="87"/>
      <c r="L80" s="37"/>
      <c r="M80" s="37"/>
      <c r="N80" s="48"/>
      <c r="O80" s="49"/>
      <c r="P80" s="50"/>
      <c r="Q80" s="49"/>
      <c r="R80" s="507"/>
      <c r="S80" s="507"/>
      <c r="T80" s="39"/>
      <c r="U80" s="39"/>
      <c r="V80" s="39"/>
      <c r="W80" s="39"/>
      <c r="X80" s="40"/>
      <c r="Y80" s="216"/>
      <c r="Z80" s="39"/>
      <c r="AA80" s="39"/>
      <c r="AB80" s="39"/>
      <c r="AC80" s="39"/>
      <c r="AD80" s="39"/>
      <c r="AE80" s="235"/>
      <c r="AF80" s="35"/>
      <c r="AG80" s="35"/>
      <c r="AH80" s="35"/>
      <c r="AI80" s="35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5"/>
      <c r="BC80" s="510"/>
      <c r="BD80" s="510"/>
      <c r="BE80" s="35"/>
      <c r="BF80" s="510"/>
    </row>
    <row r="81" spans="1:58" ht="12.75" customHeight="1">
      <c r="A81" s="42">
        <v>45949</v>
      </c>
      <c r="B81" s="43" t="s">
        <v>7</v>
      </c>
      <c r="C81" s="421">
        <f t="shared" ref="C81" si="151">(M81*E81*O81*Q81)/100000000</f>
        <v>0.77147069999999995</v>
      </c>
      <c r="D81" s="43" t="s">
        <v>304</v>
      </c>
      <c r="E81" s="44">
        <v>12</v>
      </c>
      <c r="F81" s="44">
        <v>1</v>
      </c>
      <c r="G81" s="506">
        <v>1230</v>
      </c>
      <c r="H81" s="46">
        <f>+N81</f>
        <v>0.22999999999999998</v>
      </c>
      <c r="I81" s="47">
        <v>0.88</v>
      </c>
      <c r="J81" s="87">
        <f t="shared" ref="J81" si="152">E81*G81*(1-H81)*1440/1000000*2.74</f>
        <v>44.842533120000006</v>
      </c>
      <c r="K81" s="87">
        <f t="shared" ref="K81" si="153">(IF(G81&lt;L81,L81,G81)*(1-IF(H81&lt;N81,H81,N81))*E81*O81*Q81)/100000000</f>
        <v>0.77567489999999994</v>
      </c>
      <c r="L81" s="37">
        <v>1223.3333333333333</v>
      </c>
      <c r="M81" s="37">
        <v>941.9666666666667</v>
      </c>
      <c r="N81" s="48">
        <f t="shared" ref="N81" si="154">1-(M81/L81)</f>
        <v>0.22999999999999998</v>
      </c>
      <c r="O81" s="49">
        <f>+'Trim Rwd'!H55</f>
        <v>262.5</v>
      </c>
      <c r="P81" s="50">
        <f t="shared" ref="P81" si="155">O81*(Q81-R81-S81)</f>
        <v>6825</v>
      </c>
      <c r="Q81" s="49">
        <f>1440-1414</f>
        <v>26</v>
      </c>
      <c r="R81" s="507">
        <f>1414-1414</f>
        <v>0</v>
      </c>
      <c r="S81" s="507">
        <v>0</v>
      </c>
      <c r="T81" s="39">
        <f t="shared" ref="T81" si="156">E81*M81*O81*Q81/100000000</f>
        <v>0.77147069999999995</v>
      </c>
      <c r="U81" s="39">
        <f>E81*M81*O81*(Q81-R81-S81)/100000000</f>
        <v>0.77147069999999995</v>
      </c>
      <c r="V81" s="39">
        <f>E81*G81*(1-N81)*O81/100*(R81+S81)/1000000</f>
        <v>0</v>
      </c>
      <c r="W81" s="39">
        <f>+'19'!K7/1000</f>
        <v>2.8210000000000002</v>
      </c>
      <c r="X81" s="508">
        <f>SUM(W81:W84)/SUM(K81:K84)</f>
        <v>3.6368329051255883</v>
      </c>
      <c r="Y81" s="216">
        <v>0</v>
      </c>
      <c r="Z81" s="39">
        <f>+'19'!D7/1000</f>
        <v>0.26</v>
      </c>
      <c r="AA81" s="51">
        <f>SUM(U81:U84)-SUM(W81:W84)-SUM(Z81:Z84)-SUM(Y81:Y84)</f>
        <v>-2.3095293000000003</v>
      </c>
      <c r="AB81" s="51">
        <f>(SUM(K81:K84)-SUM(W81:W84)-SUM(Y81:Y84)-SUM(Z81:Z84)-SUM(AC81:AC84)-SUM(V81:V84))-AA81</f>
        <v>0</v>
      </c>
      <c r="AC81" s="39">
        <f>K81-T81</f>
        <v>4.2041999999999913E-3</v>
      </c>
      <c r="AD81" s="39">
        <f>+AM81+BA81</f>
        <v>0</v>
      </c>
      <c r="AE81" s="235" t="s">
        <v>386</v>
      </c>
      <c r="AF81" s="39">
        <v>0</v>
      </c>
      <c r="AG81" s="39"/>
      <c r="AH81" s="39"/>
      <c r="AI81" s="509"/>
      <c r="AJ81" s="39"/>
      <c r="AK81" s="39"/>
      <c r="AL81" s="39"/>
      <c r="AM81" s="39">
        <f t="shared" ref="AM81:AM83" si="157">SUM(AF81:AL81)+AT81+AV81+AX81</f>
        <v>0</v>
      </c>
      <c r="AN81" s="39"/>
      <c r="AO81" s="39"/>
      <c r="AP81" s="39"/>
      <c r="AQ81" s="39"/>
      <c r="AR81" s="39">
        <f>SUM(AN81:AQ81)</f>
        <v>0</v>
      </c>
      <c r="AS81" s="39"/>
      <c r="AT81" s="39"/>
      <c r="AU81" s="39"/>
      <c r="AV81" s="39"/>
      <c r="AW81" s="39"/>
      <c r="AX81" s="39"/>
      <c r="AY81" s="39"/>
      <c r="AZ81" s="39"/>
      <c r="BA81" s="39">
        <f>+AR81+AS81+AU81+AW81+AY81+AZ81</f>
        <v>0</v>
      </c>
      <c r="BB81" s="35">
        <v>0</v>
      </c>
      <c r="BC81" s="53"/>
      <c r="BD81" s="53"/>
      <c r="BE81" s="35"/>
      <c r="BF81" s="53"/>
    </row>
    <row r="82" spans="1:58" ht="12.95" customHeight="1">
      <c r="A82" s="42"/>
      <c r="B82" s="43"/>
      <c r="C82" s="421"/>
      <c r="D82" s="43"/>
      <c r="E82" s="44"/>
      <c r="F82" s="44"/>
      <c r="G82" s="506"/>
      <c r="H82" s="46"/>
      <c r="I82" s="47"/>
      <c r="J82" s="87"/>
      <c r="K82" s="87"/>
      <c r="L82" s="37"/>
      <c r="M82" s="37"/>
      <c r="N82" s="48"/>
      <c r="O82" s="49"/>
      <c r="P82" s="50"/>
      <c r="Q82" s="49"/>
      <c r="R82" s="507"/>
      <c r="S82" s="507"/>
      <c r="T82" s="39"/>
      <c r="U82" s="39"/>
      <c r="V82" s="39"/>
      <c r="W82" s="39"/>
      <c r="X82" s="40"/>
      <c r="Y82" s="216"/>
      <c r="Z82" s="39"/>
      <c r="AA82" s="39"/>
      <c r="AB82" s="39"/>
      <c r="AC82" s="39"/>
      <c r="AD82" s="39">
        <f>+AM82+BA82</f>
        <v>0</v>
      </c>
      <c r="AE82" s="235" t="s">
        <v>286</v>
      </c>
      <c r="AF82" s="39"/>
      <c r="AG82" s="39">
        <v>0</v>
      </c>
      <c r="AH82" s="39"/>
      <c r="AI82" s="39"/>
      <c r="AJ82" s="39"/>
      <c r="AK82" s="39"/>
      <c r="AL82" s="39"/>
      <c r="AM82" s="39">
        <f t="shared" si="157"/>
        <v>0</v>
      </c>
      <c r="AN82" s="88"/>
      <c r="AO82" s="39"/>
      <c r="AP82" s="39"/>
      <c r="AQ82" s="39"/>
      <c r="AR82" s="39">
        <f t="shared" ref="AR82:AR83" si="158">SUM(AN82:AQ82)</f>
        <v>0</v>
      </c>
      <c r="AS82" s="39"/>
      <c r="AT82" s="39"/>
      <c r="AU82" s="39"/>
      <c r="AV82" s="39"/>
      <c r="AW82" s="39"/>
      <c r="AX82" s="39"/>
      <c r="AY82" s="39"/>
      <c r="AZ82" s="39"/>
      <c r="BA82" s="39">
        <f>+AR82+AS82+AU82+AW82+AY82+AZ82</f>
        <v>0</v>
      </c>
      <c r="BB82" s="52"/>
      <c r="BC82" s="53">
        <v>0</v>
      </c>
      <c r="BD82" s="53"/>
      <c r="BE82" s="52"/>
      <c r="BF82" s="53"/>
    </row>
    <row r="83" spans="1:58" ht="12.95" customHeight="1">
      <c r="A83" s="42"/>
      <c r="B83" s="43"/>
      <c r="C83" s="421"/>
      <c r="D83" s="43"/>
      <c r="E83" s="44"/>
      <c r="F83" s="44"/>
      <c r="G83" s="45"/>
      <c r="H83" s="46"/>
      <c r="I83" s="47"/>
      <c r="J83" s="87"/>
      <c r="K83" s="87"/>
      <c r="L83" s="37"/>
      <c r="M83" s="37"/>
      <c r="N83" s="48"/>
      <c r="O83" s="49"/>
      <c r="P83" s="50"/>
      <c r="Q83" s="49"/>
      <c r="R83" s="507"/>
      <c r="S83" s="507"/>
      <c r="T83" s="39"/>
      <c r="U83" s="39"/>
      <c r="V83" s="39"/>
      <c r="W83" s="39"/>
      <c r="X83" s="40"/>
      <c r="Y83" s="216"/>
      <c r="Z83" s="39"/>
      <c r="AA83" s="39"/>
      <c r="AB83" s="39"/>
      <c r="AC83" s="39"/>
      <c r="AD83" s="39">
        <f>+AM83+BA83</f>
        <v>0</v>
      </c>
      <c r="AE83" s="235" t="s">
        <v>400</v>
      </c>
      <c r="AF83" s="35"/>
      <c r="AG83" s="35"/>
      <c r="AH83" s="35">
        <v>0</v>
      </c>
      <c r="AI83" s="35"/>
      <c r="AJ83" s="39"/>
      <c r="AK83" s="39"/>
      <c r="AL83" s="39"/>
      <c r="AM83" s="39">
        <f t="shared" si="157"/>
        <v>0</v>
      </c>
      <c r="AN83" s="39"/>
      <c r="AO83" s="39"/>
      <c r="AP83" s="39"/>
      <c r="AQ83" s="39"/>
      <c r="AR83" s="39">
        <f t="shared" si="158"/>
        <v>0</v>
      </c>
      <c r="AS83" s="39"/>
      <c r="AT83" s="39"/>
      <c r="AU83" s="39"/>
      <c r="AV83" s="39"/>
      <c r="AW83" s="39"/>
      <c r="AX83" s="39"/>
      <c r="AY83" s="39"/>
      <c r="AZ83" s="39"/>
      <c r="BA83" s="39">
        <f>+AR83+AS83+AU83+AW83+AY83+AZ83</f>
        <v>0</v>
      </c>
      <c r="BB83" s="35"/>
      <c r="BC83" s="510"/>
      <c r="BD83" s="510"/>
      <c r="BE83" s="35"/>
      <c r="BF83" s="510"/>
    </row>
    <row r="84" spans="1:58" ht="12.95" customHeight="1">
      <c r="A84" s="42"/>
      <c r="B84" s="43"/>
      <c r="C84" s="421"/>
      <c r="D84" s="43"/>
      <c r="E84" s="44"/>
      <c r="F84" s="44"/>
      <c r="G84" s="45"/>
      <c r="H84" s="46"/>
      <c r="I84" s="47"/>
      <c r="J84" s="87"/>
      <c r="K84" s="87"/>
      <c r="L84" s="37"/>
      <c r="M84" s="37"/>
      <c r="N84" s="48"/>
      <c r="O84" s="49"/>
      <c r="P84" s="50"/>
      <c r="Q84" s="49"/>
      <c r="R84" s="507"/>
      <c r="S84" s="507"/>
      <c r="T84" s="39"/>
      <c r="U84" s="39"/>
      <c r="V84" s="39"/>
      <c r="W84" s="39"/>
      <c r="X84" s="40"/>
      <c r="Y84" s="216"/>
      <c r="Z84" s="39"/>
      <c r="AA84" s="39"/>
      <c r="AB84" s="39"/>
      <c r="AC84" s="39"/>
      <c r="AD84" s="39">
        <f>+AM84+BA84</f>
        <v>0</v>
      </c>
      <c r="AE84" s="235" t="s">
        <v>618</v>
      </c>
      <c r="AF84" s="35"/>
      <c r="AG84" s="35"/>
      <c r="AH84" s="35"/>
      <c r="AI84" s="35"/>
      <c r="AJ84" s="39"/>
      <c r="AK84" s="39"/>
      <c r="AL84" s="39"/>
      <c r="AM84" s="39">
        <f t="shared" ref="AM84" si="159">SUM(AF84:AL84)+AT84+AV84+AX84</f>
        <v>0</v>
      </c>
      <c r="AN84" s="39"/>
      <c r="AO84" s="39"/>
      <c r="AP84" s="39"/>
      <c r="AQ84" s="39"/>
      <c r="AR84" s="39">
        <f t="shared" ref="AR84" si="160">SUM(AN84:AQ84)</f>
        <v>0</v>
      </c>
      <c r="AS84" s="39"/>
      <c r="AT84" s="39"/>
      <c r="AU84" s="39"/>
      <c r="AV84" s="39"/>
      <c r="AW84" s="39"/>
      <c r="AX84" s="39"/>
      <c r="AY84" s="39"/>
      <c r="AZ84" s="39">
        <f>1414-1414</f>
        <v>0</v>
      </c>
      <c r="BA84" s="39">
        <f>+AR84+AS84+AU84+AW84+AY84+AZ84</f>
        <v>0</v>
      </c>
      <c r="BB84" s="35"/>
      <c r="BC84" s="510"/>
      <c r="BD84" s="510"/>
      <c r="BE84" s="35"/>
      <c r="BF84" s="510"/>
    </row>
    <row r="85" spans="1:58" ht="12.95" customHeight="1">
      <c r="A85" s="42"/>
      <c r="B85" s="43"/>
      <c r="C85" s="421"/>
      <c r="D85" s="43"/>
      <c r="E85" s="44"/>
      <c r="F85" s="44"/>
      <c r="G85" s="45"/>
      <c r="H85" s="46"/>
      <c r="I85" s="47"/>
      <c r="J85" s="87"/>
      <c r="K85" s="87"/>
      <c r="L85" s="37"/>
      <c r="M85" s="37"/>
      <c r="N85" s="48"/>
      <c r="O85" s="49"/>
      <c r="P85" s="50"/>
      <c r="Q85" s="49"/>
      <c r="R85" s="507"/>
      <c r="S85" s="507"/>
      <c r="T85" s="39"/>
      <c r="U85" s="39"/>
      <c r="V85" s="39"/>
      <c r="W85" s="39"/>
      <c r="X85" s="40"/>
      <c r="Y85" s="216"/>
      <c r="Z85" s="39"/>
      <c r="AA85" s="39"/>
      <c r="AB85" s="39"/>
      <c r="AC85" s="39"/>
      <c r="AD85" s="39"/>
      <c r="AE85" s="235"/>
      <c r="AF85" s="35"/>
      <c r="AG85" s="35"/>
      <c r="AH85" s="35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5"/>
      <c r="BC85" s="510"/>
      <c r="BD85" s="53"/>
      <c r="BE85" s="53"/>
      <c r="BF85" s="53"/>
    </row>
    <row r="86" spans="1:58" ht="12.75" customHeight="1">
      <c r="A86" s="42">
        <v>45950</v>
      </c>
      <c r="B86" s="43" t="s">
        <v>399</v>
      </c>
      <c r="C86" s="421">
        <f t="shared" ref="C86" si="161">(M86*E86*O86*Q86)/100000000</f>
        <v>0</v>
      </c>
      <c r="D86" s="43" t="s">
        <v>304</v>
      </c>
      <c r="E86" s="44">
        <v>12</v>
      </c>
      <c r="F86" s="44">
        <v>1</v>
      </c>
      <c r="G86" s="506">
        <v>1230</v>
      </c>
      <c r="H86" s="46">
        <f>+N86</f>
        <v>0.22999999999999998</v>
      </c>
      <c r="I86" s="47">
        <v>0.88</v>
      </c>
      <c r="J86" s="87">
        <f t="shared" ref="J86" si="162">E86*G86*(1-H86)*1440/1000000*2.74</f>
        <v>44.842533120000006</v>
      </c>
      <c r="K86" s="87">
        <f t="shared" ref="K86" si="163">(IF(G86&lt;L86,L86,G86)*(1-IF(H86&lt;N86,H86,N86))*E86*O86*Q86)/100000000</f>
        <v>0</v>
      </c>
      <c r="L86" s="37">
        <v>1223.3333333333333</v>
      </c>
      <c r="M86" s="37">
        <v>941.9666666666667</v>
      </c>
      <c r="N86" s="48">
        <f t="shared" ref="N86" si="164">1-(M86/L86)</f>
        <v>0.22999999999999998</v>
      </c>
      <c r="O86" s="49">
        <f>+'Trim Rwd'!H57</f>
        <v>262.5</v>
      </c>
      <c r="P86" s="50">
        <f t="shared" ref="P86" si="165">O86*(Q86-R86-S86)</f>
        <v>0</v>
      </c>
      <c r="Q86" s="49">
        <f>1440-1440</f>
        <v>0</v>
      </c>
      <c r="R86" s="507">
        <f>1440-1440</f>
        <v>0</v>
      </c>
      <c r="S86" s="507">
        <v>0</v>
      </c>
      <c r="T86" s="39">
        <f t="shared" ref="T86" si="166">E86*M86*O86*Q86/100000000</f>
        <v>0</v>
      </c>
      <c r="U86" s="39">
        <f>E86*M86*O86*(Q86-R86-S86)/100000000</f>
        <v>0</v>
      </c>
      <c r="V86" s="39">
        <f>E86*G86*(1-N86)*O86/100*(R86+S86)/1000000</f>
        <v>0</v>
      </c>
      <c r="W86" s="39">
        <f>+'19'!K12/1000</f>
        <v>0</v>
      </c>
      <c r="X86" s="508" t="e">
        <f>SUM(W86:W89)/SUM(K86:K89)</f>
        <v>#DIV/0!</v>
      </c>
      <c r="Y86" s="216">
        <f>+'19'!D12/1000</f>
        <v>0</v>
      </c>
      <c r="Z86" s="39">
        <f>+'19'!D12/1000</f>
        <v>0</v>
      </c>
      <c r="AA86" s="51">
        <f>SUM(U86:U89)-SUM(W86:W89)-SUM(Z86:Z89)-SUM(Y86:Y89)</f>
        <v>0</v>
      </c>
      <c r="AB86" s="51">
        <f>(SUM(K86:K89)-SUM(W86:W89)-SUM(Y86:Y89)-SUM(Z86:Z89)-SUM(AC86:AC89)-SUM(V86:V89))-AA86</f>
        <v>0</v>
      </c>
      <c r="AC86" s="39">
        <f>K86-T86</f>
        <v>0</v>
      </c>
      <c r="AD86" s="39">
        <f>+AM86+BA86</f>
        <v>0</v>
      </c>
      <c r="AE86" s="235" t="s">
        <v>386</v>
      </c>
      <c r="AF86" s="39">
        <v>0</v>
      </c>
      <c r="AG86" s="39"/>
      <c r="AH86" s="39"/>
      <c r="AI86" s="509"/>
      <c r="AJ86" s="39"/>
      <c r="AK86" s="39"/>
      <c r="AL86" s="39"/>
      <c r="AM86" s="39">
        <f t="shared" ref="AM86:AM88" si="167">SUM(AF86:AL86)+AT86+AV86+AX86</f>
        <v>0</v>
      </c>
      <c r="AN86" s="39"/>
      <c r="AO86" s="39"/>
      <c r="AP86" s="39"/>
      <c r="AQ86" s="39"/>
      <c r="AR86" s="39">
        <f>SUM(AN86:AQ86)</f>
        <v>0</v>
      </c>
      <c r="AS86" s="39"/>
      <c r="AT86" s="39"/>
      <c r="AU86" s="39"/>
      <c r="AV86" s="39"/>
      <c r="AW86" s="39"/>
      <c r="AX86" s="39"/>
      <c r="AY86" s="39"/>
      <c r="AZ86" s="39"/>
      <c r="BA86" s="39">
        <f>+AR86+AS86+AU86+AW86+AY86+AZ86</f>
        <v>0</v>
      </c>
      <c r="BB86" s="35">
        <v>0</v>
      </c>
      <c r="BC86" s="53"/>
      <c r="BD86" s="53"/>
      <c r="BE86" s="35"/>
      <c r="BF86" s="53"/>
    </row>
    <row r="87" spans="1:58" ht="12.95" customHeight="1">
      <c r="A87" s="42"/>
      <c r="B87" s="43"/>
      <c r="C87" s="421"/>
      <c r="D87" s="43"/>
      <c r="E87" s="44"/>
      <c r="F87" s="44"/>
      <c r="G87" s="506"/>
      <c r="H87" s="46"/>
      <c r="I87" s="47"/>
      <c r="J87" s="87"/>
      <c r="K87" s="87"/>
      <c r="L87" s="37"/>
      <c r="M87" s="37"/>
      <c r="N87" s="48"/>
      <c r="O87" s="49"/>
      <c r="P87" s="50"/>
      <c r="Q87" s="49"/>
      <c r="R87" s="507"/>
      <c r="S87" s="507"/>
      <c r="T87" s="39"/>
      <c r="U87" s="39"/>
      <c r="V87" s="39"/>
      <c r="W87" s="39"/>
      <c r="X87" s="40"/>
      <c r="Y87" s="216"/>
      <c r="Z87" s="39"/>
      <c r="AA87" s="39"/>
      <c r="AB87" s="39"/>
      <c r="AC87" s="39"/>
      <c r="AD87" s="39">
        <f>+AM87+BA87</f>
        <v>0</v>
      </c>
      <c r="AE87" s="235" t="s">
        <v>286</v>
      </c>
      <c r="AF87" s="39"/>
      <c r="AG87" s="39">
        <v>0</v>
      </c>
      <c r="AH87" s="39"/>
      <c r="AI87" s="39"/>
      <c r="AJ87" s="39"/>
      <c r="AK87" s="39"/>
      <c r="AL87" s="39"/>
      <c r="AM87" s="39">
        <f t="shared" si="167"/>
        <v>0</v>
      </c>
      <c r="AN87" s="88"/>
      <c r="AO87" s="39"/>
      <c r="AP87" s="39"/>
      <c r="AQ87" s="39"/>
      <c r="AR87" s="39">
        <f t="shared" ref="AR87:AR88" si="168">SUM(AN87:AQ87)</f>
        <v>0</v>
      </c>
      <c r="AS87" s="39"/>
      <c r="AT87" s="39"/>
      <c r="AU87" s="39"/>
      <c r="AV87" s="39"/>
      <c r="AW87" s="39"/>
      <c r="AX87" s="39"/>
      <c r="AY87" s="39"/>
      <c r="AZ87" s="39"/>
      <c r="BA87" s="39">
        <f>+AR87+AS87+AU87+AW87+AY87+AZ87</f>
        <v>0</v>
      </c>
      <c r="BB87" s="52"/>
      <c r="BC87" s="53">
        <v>0</v>
      </c>
      <c r="BD87" s="53"/>
      <c r="BE87" s="52"/>
      <c r="BF87" s="53"/>
    </row>
    <row r="88" spans="1:58" ht="12.95" customHeight="1">
      <c r="A88" s="42"/>
      <c r="B88" s="43"/>
      <c r="C88" s="421"/>
      <c r="D88" s="43"/>
      <c r="E88" s="44"/>
      <c r="F88" s="44"/>
      <c r="G88" s="45"/>
      <c r="H88" s="46"/>
      <c r="I88" s="47"/>
      <c r="J88" s="87"/>
      <c r="K88" s="87"/>
      <c r="L88" s="37"/>
      <c r="M88" s="37"/>
      <c r="N88" s="48"/>
      <c r="O88" s="49"/>
      <c r="P88" s="50"/>
      <c r="Q88" s="49"/>
      <c r="R88" s="507"/>
      <c r="S88" s="507"/>
      <c r="T88" s="39"/>
      <c r="U88" s="39"/>
      <c r="V88" s="39"/>
      <c r="W88" s="39"/>
      <c r="X88" s="40"/>
      <c r="Y88" s="216"/>
      <c r="Z88" s="39"/>
      <c r="AA88" s="39"/>
      <c r="AB88" s="39"/>
      <c r="AC88" s="39"/>
      <c r="AD88" s="39">
        <f>+AM88+BA88</f>
        <v>0</v>
      </c>
      <c r="AE88" s="235" t="s">
        <v>400</v>
      </c>
      <c r="AF88" s="35"/>
      <c r="AG88" s="35"/>
      <c r="AH88" s="35">
        <v>0</v>
      </c>
      <c r="AI88" s="35"/>
      <c r="AJ88" s="39"/>
      <c r="AK88" s="39"/>
      <c r="AL88" s="39"/>
      <c r="AM88" s="39">
        <f t="shared" si="167"/>
        <v>0</v>
      </c>
      <c r="AN88" s="39"/>
      <c r="AO88" s="39"/>
      <c r="AP88" s="39"/>
      <c r="AQ88" s="39"/>
      <c r="AR88" s="39">
        <f t="shared" si="168"/>
        <v>0</v>
      </c>
      <c r="AS88" s="39"/>
      <c r="AT88" s="39"/>
      <c r="AU88" s="39"/>
      <c r="AV88" s="39"/>
      <c r="AW88" s="39"/>
      <c r="AX88" s="39"/>
      <c r="AY88" s="39"/>
      <c r="AZ88" s="39"/>
      <c r="BA88" s="39">
        <f>+AR88+AS88+AU88+AW88+AY88+AZ88</f>
        <v>0</v>
      </c>
      <c r="BB88" s="35"/>
      <c r="BC88" s="510"/>
      <c r="BD88" s="510"/>
      <c r="BE88" s="35"/>
      <c r="BF88" s="510"/>
    </row>
    <row r="89" spans="1:58" ht="12.95" customHeight="1">
      <c r="A89" s="42"/>
      <c r="B89" s="43"/>
      <c r="C89" s="421"/>
      <c r="D89" s="43"/>
      <c r="E89" s="44"/>
      <c r="F89" s="44"/>
      <c r="G89" s="45"/>
      <c r="H89" s="46"/>
      <c r="I89" s="47"/>
      <c r="J89" s="87"/>
      <c r="K89" s="87"/>
      <c r="L89" s="37"/>
      <c r="M89" s="37"/>
      <c r="N89" s="48"/>
      <c r="O89" s="49"/>
      <c r="P89" s="50"/>
      <c r="Q89" s="49"/>
      <c r="R89" s="507"/>
      <c r="S89" s="507"/>
      <c r="T89" s="39"/>
      <c r="U89" s="39"/>
      <c r="V89" s="39"/>
      <c r="W89" s="39"/>
      <c r="X89" s="40"/>
      <c r="Y89" s="216"/>
      <c r="Z89" s="39"/>
      <c r="AA89" s="39"/>
      <c r="AB89" s="39"/>
      <c r="AC89" s="39"/>
      <c r="AD89" s="39">
        <f>+AM89+BA89</f>
        <v>0</v>
      </c>
      <c r="AE89" s="235" t="s">
        <v>618</v>
      </c>
      <c r="AF89" s="35"/>
      <c r="AG89" s="35"/>
      <c r="AH89" s="35"/>
      <c r="AI89" s="35"/>
      <c r="AJ89" s="39"/>
      <c r="AK89" s="39"/>
      <c r="AL89" s="39"/>
      <c r="AM89" s="39">
        <f t="shared" ref="AM89" si="169">SUM(AF89:AL89)+AT89+AV89+AX89</f>
        <v>0</v>
      </c>
      <c r="AN89" s="39"/>
      <c r="AO89" s="39"/>
      <c r="AP89" s="39"/>
      <c r="AQ89" s="39"/>
      <c r="AR89" s="39">
        <f t="shared" ref="AR89" si="170">SUM(AN89:AQ89)</f>
        <v>0</v>
      </c>
      <c r="AS89" s="39"/>
      <c r="AT89" s="39"/>
      <c r="AU89" s="39"/>
      <c r="AV89" s="39"/>
      <c r="AW89" s="39"/>
      <c r="AX89" s="39"/>
      <c r="AY89" s="39"/>
      <c r="AZ89" s="39">
        <f>1440-1440</f>
        <v>0</v>
      </c>
      <c r="BA89" s="39">
        <f>+AR89+AS89+AU89+AW89+AY89+AZ89</f>
        <v>0</v>
      </c>
      <c r="BB89" s="35"/>
      <c r="BC89" s="510"/>
      <c r="BD89" s="510"/>
      <c r="BE89" s="35"/>
      <c r="BF89" s="510"/>
    </row>
    <row r="90" spans="1:58" ht="12.95" customHeight="1">
      <c r="A90" s="42"/>
      <c r="B90" s="43"/>
      <c r="C90" s="421"/>
      <c r="D90" s="43"/>
      <c r="E90" s="44"/>
      <c r="F90" s="44"/>
      <c r="G90" s="45"/>
      <c r="H90" s="46"/>
      <c r="I90" s="47"/>
      <c r="J90" s="87"/>
      <c r="K90" s="87"/>
      <c r="L90" s="37"/>
      <c r="M90" s="37"/>
      <c r="N90" s="48"/>
      <c r="O90" s="49"/>
      <c r="P90" s="50"/>
      <c r="Q90" s="49"/>
      <c r="R90" s="507"/>
      <c r="S90" s="507"/>
      <c r="T90" s="39"/>
      <c r="U90" s="39"/>
      <c r="V90" s="39"/>
      <c r="W90" s="39"/>
      <c r="X90" s="40"/>
      <c r="Y90" s="216"/>
      <c r="Z90" s="39"/>
      <c r="AA90" s="39"/>
      <c r="AB90" s="39"/>
      <c r="AC90" s="39"/>
      <c r="AD90" s="39"/>
      <c r="AE90" s="235"/>
      <c r="AF90" s="35"/>
      <c r="AG90" s="35"/>
      <c r="AH90" s="35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5"/>
      <c r="BC90" s="510"/>
      <c r="BD90" s="510"/>
      <c r="BE90" s="35"/>
      <c r="BF90" s="510"/>
    </row>
    <row r="91" spans="1:58" ht="12.75" customHeight="1">
      <c r="A91" s="42">
        <v>45951</v>
      </c>
      <c r="B91" s="43" t="s">
        <v>399</v>
      </c>
      <c r="C91" s="421">
        <f t="shared" ref="C91" si="171">(M91*E91*O91*Q91)/100000000</f>
        <v>0</v>
      </c>
      <c r="D91" s="43" t="s">
        <v>304</v>
      </c>
      <c r="E91" s="44">
        <v>12</v>
      </c>
      <c r="F91" s="44">
        <v>1</v>
      </c>
      <c r="G91" s="506">
        <v>1230</v>
      </c>
      <c r="H91" s="46">
        <f>+N91</f>
        <v>0.22999999999999998</v>
      </c>
      <c r="I91" s="47">
        <v>0.88</v>
      </c>
      <c r="J91" s="87">
        <f t="shared" ref="J91" si="172">E91*G91*(1-H91)*1440/1000000*2.74</f>
        <v>44.842533120000006</v>
      </c>
      <c r="K91" s="87">
        <f t="shared" ref="K91" si="173">(IF(G91&lt;L91,L91,G91)*(1-IF(H91&lt;N91,H91,N91))*E91*O91*Q91)/100000000</f>
        <v>0</v>
      </c>
      <c r="L91" s="37">
        <v>1223.3333333333333</v>
      </c>
      <c r="M91" s="37">
        <v>941.9666666666667</v>
      </c>
      <c r="N91" s="48">
        <f t="shared" ref="N91" si="174">1-(M91/L91)</f>
        <v>0.22999999999999998</v>
      </c>
      <c r="O91" s="49">
        <f>+'Trim Rwd'!H59</f>
        <v>262.5</v>
      </c>
      <c r="P91" s="50">
        <f t="shared" ref="P91" si="175">O91*(Q91-R91-S91)</f>
        <v>0</v>
      </c>
      <c r="Q91" s="49">
        <f>1440-1440</f>
        <v>0</v>
      </c>
      <c r="R91" s="507">
        <f>1440-1440</f>
        <v>0</v>
      </c>
      <c r="S91" s="507">
        <v>0</v>
      </c>
      <c r="T91" s="39">
        <f t="shared" ref="T91" si="176">E91*M91*O91*Q91/100000000</f>
        <v>0</v>
      </c>
      <c r="U91" s="39">
        <f>E91*M91*O91*(Q91-R91-S91)/100000000</f>
        <v>0</v>
      </c>
      <c r="V91" s="39">
        <f>E91*G91*(1-N91)*O91/100*(R91+S91)/1000000</f>
        <v>0</v>
      </c>
      <c r="W91" s="39">
        <f>+'19'!K17/1000</f>
        <v>0</v>
      </c>
      <c r="X91" s="508" t="e">
        <f>SUM(W91:W94)/SUM(K91:K94)</f>
        <v>#DIV/0!</v>
      </c>
      <c r="Y91" s="216">
        <f>+'19'!D17/1000</f>
        <v>0</v>
      </c>
      <c r="Z91" s="39">
        <f>+'19'!D17/1000</f>
        <v>0</v>
      </c>
      <c r="AA91" s="51">
        <f>SUM(U91:U94)-SUM(W91:W94)-SUM(Z91:Z94)-SUM(Y91:Y94)</f>
        <v>0</v>
      </c>
      <c r="AB91" s="51">
        <f>(SUM(K91:K94)-SUM(W91:W94)-SUM(Y91:Y94)-SUM(Z91:Z94)-SUM(AC91:AC94)-SUM(V91:V94))-AA91</f>
        <v>0</v>
      </c>
      <c r="AC91" s="39">
        <f>K91-T91</f>
        <v>0</v>
      </c>
      <c r="AD91" s="39">
        <f>+AM91+BA91</f>
        <v>0</v>
      </c>
      <c r="AE91" s="235" t="s">
        <v>386</v>
      </c>
      <c r="AF91" s="39">
        <v>0</v>
      </c>
      <c r="AG91" s="39"/>
      <c r="AH91" s="39"/>
      <c r="AI91" s="509"/>
      <c r="AJ91" s="39"/>
      <c r="AK91" s="39"/>
      <c r="AL91" s="39"/>
      <c r="AM91" s="39">
        <f t="shared" ref="AM91:AM93" si="177">SUM(AF91:AL91)+AT91+AV91+AX91</f>
        <v>0</v>
      </c>
      <c r="AN91" s="39"/>
      <c r="AO91" s="39"/>
      <c r="AP91" s="39"/>
      <c r="AQ91" s="39"/>
      <c r="AR91" s="39">
        <f>SUM(AN91:AQ91)</f>
        <v>0</v>
      </c>
      <c r="AS91" s="39"/>
      <c r="AT91" s="39"/>
      <c r="AU91" s="39"/>
      <c r="AV91" s="39"/>
      <c r="AW91" s="39"/>
      <c r="AX91" s="39"/>
      <c r="AY91" s="39"/>
      <c r="AZ91" s="39"/>
      <c r="BA91" s="39">
        <f>+AR91+AS91+AU91+AW91+AY91+AZ91</f>
        <v>0</v>
      </c>
      <c r="BB91" s="35">
        <v>0</v>
      </c>
      <c r="BC91" s="53"/>
      <c r="BD91" s="53"/>
      <c r="BE91" s="35"/>
      <c r="BF91" s="53"/>
    </row>
    <row r="92" spans="1:58" ht="12.95" customHeight="1">
      <c r="A92" s="42"/>
      <c r="B92" s="43"/>
      <c r="C92" s="421"/>
      <c r="D92" s="43"/>
      <c r="E92" s="44"/>
      <c r="F92" s="44"/>
      <c r="G92" s="506"/>
      <c r="H92" s="46"/>
      <c r="I92" s="47"/>
      <c r="J92" s="87"/>
      <c r="K92" s="87"/>
      <c r="L92" s="37"/>
      <c r="M92" s="37"/>
      <c r="N92" s="48"/>
      <c r="O92" s="49"/>
      <c r="P92" s="50"/>
      <c r="Q92" s="49"/>
      <c r="R92" s="507"/>
      <c r="S92" s="507"/>
      <c r="T92" s="39"/>
      <c r="U92" s="39"/>
      <c r="V92" s="39"/>
      <c r="W92" s="39"/>
      <c r="X92" s="40"/>
      <c r="Y92" s="216"/>
      <c r="Z92" s="39"/>
      <c r="AA92" s="39"/>
      <c r="AB92" s="39"/>
      <c r="AC92" s="39"/>
      <c r="AD92" s="39">
        <f>+AM92+BA92</f>
        <v>0</v>
      </c>
      <c r="AE92" s="235" t="s">
        <v>286</v>
      </c>
      <c r="AF92" s="39"/>
      <c r="AG92" s="39">
        <v>0</v>
      </c>
      <c r="AH92" s="39"/>
      <c r="AI92" s="39"/>
      <c r="AJ92" s="39"/>
      <c r="AK92" s="39"/>
      <c r="AL92" s="39"/>
      <c r="AM92" s="39">
        <f t="shared" si="177"/>
        <v>0</v>
      </c>
      <c r="AN92" s="88"/>
      <c r="AO92" s="39"/>
      <c r="AP92" s="39"/>
      <c r="AQ92" s="39"/>
      <c r="AR92" s="39">
        <f t="shared" ref="AR92:AR93" si="178">SUM(AN92:AQ92)</f>
        <v>0</v>
      </c>
      <c r="AS92" s="39"/>
      <c r="AT92" s="39"/>
      <c r="AU92" s="39"/>
      <c r="AV92" s="39"/>
      <c r="AW92" s="39"/>
      <c r="AX92" s="39"/>
      <c r="AY92" s="39"/>
      <c r="AZ92" s="39"/>
      <c r="BA92" s="39">
        <f>+AR92+AS92+AU92+AW92+AY92+AZ92</f>
        <v>0</v>
      </c>
      <c r="BB92" s="52"/>
      <c r="BC92" s="53">
        <v>0</v>
      </c>
      <c r="BD92" s="53"/>
      <c r="BE92" s="52"/>
      <c r="BF92" s="53"/>
    </row>
    <row r="93" spans="1:58" ht="12.95" customHeight="1">
      <c r="A93" s="42"/>
      <c r="B93" s="43"/>
      <c r="C93" s="421"/>
      <c r="D93" s="43"/>
      <c r="E93" s="44"/>
      <c r="F93" s="44"/>
      <c r="G93" s="45"/>
      <c r="H93" s="46"/>
      <c r="I93" s="47"/>
      <c r="J93" s="87"/>
      <c r="K93" s="87"/>
      <c r="L93" s="37"/>
      <c r="M93" s="37"/>
      <c r="N93" s="48"/>
      <c r="O93" s="49"/>
      <c r="P93" s="50"/>
      <c r="Q93" s="49"/>
      <c r="R93" s="507"/>
      <c r="S93" s="507"/>
      <c r="T93" s="39"/>
      <c r="U93" s="39"/>
      <c r="V93" s="39"/>
      <c r="W93" s="39"/>
      <c r="X93" s="40"/>
      <c r="Y93" s="216"/>
      <c r="Z93" s="39"/>
      <c r="AA93" s="39"/>
      <c r="AB93" s="39"/>
      <c r="AC93" s="39"/>
      <c r="AD93" s="39">
        <f>+AM93+BA93</f>
        <v>0</v>
      </c>
      <c r="AE93" s="235" t="s">
        <v>400</v>
      </c>
      <c r="AF93" s="35"/>
      <c r="AG93" s="35"/>
      <c r="AH93" s="35">
        <v>0</v>
      </c>
      <c r="AI93" s="35"/>
      <c r="AJ93" s="39"/>
      <c r="AK93" s="39"/>
      <c r="AL93" s="39"/>
      <c r="AM93" s="39">
        <f t="shared" si="177"/>
        <v>0</v>
      </c>
      <c r="AN93" s="39"/>
      <c r="AO93" s="39"/>
      <c r="AP93" s="39"/>
      <c r="AQ93" s="39"/>
      <c r="AR93" s="39">
        <f t="shared" si="178"/>
        <v>0</v>
      </c>
      <c r="AS93" s="39"/>
      <c r="AT93" s="39"/>
      <c r="AU93" s="39"/>
      <c r="AV93" s="39"/>
      <c r="AW93" s="39"/>
      <c r="AX93" s="39"/>
      <c r="AY93" s="39"/>
      <c r="AZ93" s="39"/>
      <c r="BA93" s="39">
        <f>+AR93+AS93+AU93+AW93+AY93+AZ93</f>
        <v>0</v>
      </c>
      <c r="BB93" s="35"/>
      <c r="BC93" s="510"/>
      <c r="BD93" s="510"/>
      <c r="BE93" s="35"/>
      <c r="BF93" s="510"/>
    </row>
    <row r="94" spans="1:58" ht="12.95" customHeight="1">
      <c r="A94" s="42"/>
      <c r="B94" s="43"/>
      <c r="C94" s="421"/>
      <c r="D94" s="43"/>
      <c r="E94" s="44"/>
      <c r="F94" s="44"/>
      <c r="G94" s="45"/>
      <c r="H94" s="46"/>
      <c r="I94" s="47"/>
      <c r="J94" s="87"/>
      <c r="K94" s="87"/>
      <c r="L94" s="37"/>
      <c r="M94" s="37"/>
      <c r="N94" s="48"/>
      <c r="O94" s="49"/>
      <c r="P94" s="50"/>
      <c r="Q94" s="49"/>
      <c r="R94" s="507"/>
      <c r="S94" s="507"/>
      <c r="T94" s="39"/>
      <c r="U94" s="39"/>
      <c r="V94" s="39"/>
      <c r="W94" s="39"/>
      <c r="X94" s="40"/>
      <c r="Y94" s="216"/>
      <c r="Z94" s="39"/>
      <c r="AA94" s="39"/>
      <c r="AB94" s="39"/>
      <c r="AC94" s="39"/>
      <c r="AD94" s="39">
        <f>+AM94+BA94</f>
        <v>0</v>
      </c>
      <c r="AE94" s="235" t="s">
        <v>625</v>
      </c>
      <c r="AF94" s="35"/>
      <c r="AG94" s="35"/>
      <c r="AH94" s="35"/>
      <c r="AI94" s="35"/>
      <c r="AJ94" s="39"/>
      <c r="AK94" s="39"/>
      <c r="AL94" s="39"/>
      <c r="AM94" s="39">
        <f t="shared" ref="AM94" si="179">SUM(AF94:AL94)+AT94+AV94+AX94</f>
        <v>0</v>
      </c>
      <c r="AN94" s="39"/>
      <c r="AO94" s="39"/>
      <c r="AP94" s="39"/>
      <c r="AQ94" s="39"/>
      <c r="AR94" s="39">
        <f t="shared" ref="AR94" si="180">SUM(AN94:AQ94)</f>
        <v>0</v>
      </c>
      <c r="AS94" s="39"/>
      <c r="AT94" s="39"/>
      <c r="AU94" s="39"/>
      <c r="AV94" s="39"/>
      <c r="AW94" s="39"/>
      <c r="AX94" s="39"/>
      <c r="AY94" s="39"/>
      <c r="AZ94" s="39">
        <f>1440-1440</f>
        <v>0</v>
      </c>
      <c r="BA94" s="39">
        <f>+AR94+AS94+AU94+AW94+AY94+AZ94</f>
        <v>0</v>
      </c>
      <c r="BB94" s="35"/>
      <c r="BC94" s="510"/>
      <c r="BD94" s="510"/>
      <c r="BE94" s="35"/>
      <c r="BF94" s="510"/>
    </row>
    <row r="95" spans="1:58" ht="12.95" customHeight="1">
      <c r="A95" s="42"/>
      <c r="B95" s="43"/>
      <c r="C95" s="421"/>
      <c r="D95" s="43"/>
      <c r="E95" s="44"/>
      <c r="F95" s="44"/>
      <c r="G95" s="45"/>
      <c r="H95" s="46"/>
      <c r="I95" s="47"/>
      <c r="J95" s="87"/>
      <c r="K95" s="87"/>
      <c r="L95" s="37"/>
      <c r="M95" s="37"/>
      <c r="N95" s="48"/>
      <c r="O95" s="49"/>
      <c r="P95" s="50"/>
      <c r="Q95" s="49"/>
      <c r="R95" s="507"/>
      <c r="S95" s="507"/>
      <c r="T95" s="39"/>
      <c r="U95" s="39"/>
      <c r="V95" s="39"/>
      <c r="W95" s="39"/>
      <c r="X95" s="40"/>
      <c r="Y95" s="216"/>
      <c r="Z95" s="39"/>
      <c r="AA95" s="39"/>
      <c r="AB95" s="39"/>
      <c r="AC95" s="39"/>
      <c r="AD95" s="39"/>
      <c r="AE95" s="235"/>
      <c r="AF95" s="35"/>
      <c r="AG95" s="35"/>
      <c r="AH95" s="35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5"/>
      <c r="BC95" s="510"/>
      <c r="BD95" s="510"/>
      <c r="BE95" s="35"/>
      <c r="BF95" s="510"/>
    </row>
    <row r="96" spans="1:58" ht="12.75" customHeight="1">
      <c r="A96" s="42">
        <v>45952</v>
      </c>
      <c r="B96" s="43" t="s">
        <v>399</v>
      </c>
      <c r="C96" s="421">
        <f t="shared" ref="C96" si="181">(M96*E96*O96*Q96)/100000000</f>
        <v>0</v>
      </c>
      <c r="D96" s="43" t="s">
        <v>304</v>
      </c>
      <c r="E96" s="44">
        <v>12</v>
      </c>
      <c r="F96" s="44">
        <v>1</v>
      </c>
      <c r="G96" s="506">
        <v>1230</v>
      </c>
      <c r="H96" s="46">
        <f>+N96</f>
        <v>0.22999999999999998</v>
      </c>
      <c r="I96" s="47">
        <v>0.88</v>
      </c>
      <c r="J96" s="87">
        <f t="shared" ref="J96" si="182">E96*G96*(1-H96)*1440/1000000*2.74</f>
        <v>44.842533120000006</v>
      </c>
      <c r="K96" s="87">
        <f t="shared" ref="K96" si="183">(IF(G96&lt;L96,L96,G96)*(1-IF(H96&lt;N96,H96,N96))*E96*O96*Q96)/100000000</f>
        <v>0</v>
      </c>
      <c r="L96" s="37">
        <v>1223.3333333333333</v>
      </c>
      <c r="M96" s="37">
        <v>941.9666666666667</v>
      </c>
      <c r="N96" s="48">
        <f t="shared" ref="N96" si="184">1-(M96/L96)</f>
        <v>0.22999999999999998</v>
      </c>
      <c r="O96" s="49">
        <f>+'Trim Rwd'!H61</f>
        <v>262.5</v>
      </c>
      <c r="P96" s="50">
        <f t="shared" ref="P96" si="185">O96*(Q96-R96-S96)</f>
        <v>0</v>
      </c>
      <c r="Q96" s="49">
        <f>1440-1440</f>
        <v>0</v>
      </c>
      <c r="R96" s="507">
        <f>1440-1440</f>
        <v>0</v>
      </c>
      <c r="S96" s="507">
        <v>0</v>
      </c>
      <c r="T96" s="39">
        <f t="shared" ref="T96" si="186">E96*M96*O96*Q96/100000000</f>
        <v>0</v>
      </c>
      <c r="U96" s="39">
        <f>E96*M96*O96*(Q96-R96-S96)/100000000</f>
        <v>0</v>
      </c>
      <c r="V96" s="39">
        <f>E96*G96*(1-N96)*O96/100*(R96+S96)/1000000</f>
        <v>0</v>
      </c>
      <c r="W96" s="39">
        <f>+'19'!K22/1000</f>
        <v>0</v>
      </c>
      <c r="X96" s="508" t="e">
        <f>SUM(W96:W99)/SUM(K96:K99)</f>
        <v>#DIV/0!</v>
      </c>
      <c r="Y96" s="216">
        <f>+'19'!D22/1000</f>
        <v>0</v>
      </c>
      <c r="Z96" s="39">
        <f>+'19'!D22/1000</f>
        <v>0</v>
      </c>
      <c r="AA96" s="51">
        <f>SUM(U96:U99)-SUM(W96:W99)-SUM(Z96:Z99)-SUM(Y96:Y99)</f>
        <v>0</v>
      </c>
      <c r="AB96" s="51">
        <f>(SUM(K96:K99)-SUM(W96:W99)-SUM(Y96:Y99)-SUM(Z96:Z99)-SUM(AC96:AC99)-SUM(V96:V99))-AA96</f>
        <v>0</v>
      </c>
      <c r="AC96" s="39">
        <f>K96-T96</f>
        <v>0</v>
      </c>
      <c r="AD96" s="39">
        <f>+AM96+BA96</f>
        <v>0</v>
      </c>
      <c r="AE96" s="235" t="s">
        <v>386</v>
      </c>
      <c r="AF96" s="39">
        <v>0</v>
      </c>
      <c r="AG96" s="39"/>
      <c r="AH96" s="39"/>
      <c r="AI96" s="509"/>
      <c r="AJ96" s="39"/>
      <c r="AK96" s="39"/>
      <c r="AL96" s="39"/>
      <c r="AM96" s="39">
        <f t="shared" ref="AM96:AM98" si="187">SUM(AF96:AL96)+AT96+AV96+AX96</f>
        <v>0</v>
      </c>
      <c r="AN96" s="39"/>
      <c r="AO96" s="39"/>
      <c r="AP96" s="39"/>
      <c r="AQ96" s="39"/>
      <c r="AR96" s="39">
        <f>SUM(AN96:AQ96)</f>
        <v>0</v>
      </c>
      <c r="AS96" s="39"/>
      <c r="AT96" s="39"/>
      <c r="AU96" s="39"/>
      <c r="AV96" s="39"/>
      <c r="AW96" s="39"/>
      <c r="AX96" s="39"/>
      <c r="AY96" s="39"/>
      <c r="AZ96" s="39"/>
      <c r="BA96" s="39">
        <f>+AR96+AS96+AU96+AW96+AY96+AZ96</f>
        <v>0</v>
      </c>
      <c r="BB96" s="35">
        <v>0</v>
      </c>
      <c r="BC96" s="53"/>
      <c r="BD96" s="53"/>
      <c r="BE96" s="35"/>
      <c r="BF96" s="53"/>
    </row>
    <row r="97" spans="1:58" ht="12.95" customHeight="1">
      <c r="A97" s="42"/>
      <c r="B97" s="43"/>
      <c r="C97" s="421"/>
      <c r="D97" s="43"/>
      <c r="E97" s="44"/>
      <c r="F97" s="44"/>
      <c r="G97" s="506"/>
      <c r="H97" s="46"/>
      <c r="I97" s="47"/>
      <c r="J97" s="87"/>
      <c r="K97" s="87"/>
      <c r="L97" s="37"/>
      <c r="M97" s="37"/>
      <c r="N97" s="48"/>
      <c r="O97" s="49"/>
      <c r="P97" s="50"/>
      <c r="Q97" s="49"/>
      <c r="R97" s="507"/>
      <c r="S97" s="507"/>
      <c r="T97" s="39"/>
      <c r="U97" s="39"/>
      <c r="V97" s="39"/>
      <c r="W97" s="39"/>
      <c r="X97" s="40"/>
      <c r="Y97" s="216"/>
      <c r="Z97" s="39"/>
      <c r="AA97" s="39"/>
      <c r="AB97" s="39"/>
      <c r="AC97" s="39"/>
      <c r="AD97" s="39">
        <f>+AM97+BA97</f>
        <v>0</v>
      </c>
      <c r="AE97" s="235" t="s">
        <v>286</v>
      </c>
      <c r="AF97" s="39"/>
      <c r="AG97" s="39">
        <v>0</v>
      </c>
      <c r="AH97" s="39"/>
      <c r="AI97" s="39"/>
      <c r="AJ97" s="39"/>
      <c r="AK97" s="39"/>
      <c r="AL97" s="39"/>
      <c r="AM97" s="39">
        <f t="shared" si="187"/>
        <v>0</v>
      </c>
      <c r="AN97" s="88"/>
      <c r="AO97" s="39"/>
      <c r="AP97" s="39"/>
      <c r="AQ97" s="39"/>
      <c r="AR97" s="39">
        <f t="shared" ref="AR97:AR98" si="188">SUM(AN97:AQ97)</f>
        <v>0</v>
      </c>
      <c r="AS97" s="39"/>
      <c r="AT97" s="39"/>
      <c r="AU97" s="39"/>
      <c r="AV97" s="39"/>
      <c r="AW97" s="39"/>
      <c r="AX97" s="39"/>
      <c r="AY97" s="39"/>
      <c r="AZ97" s="39"/>
      <c r="BA97" s="39">
        <f>+AR97+AS97+AU97+AW97+AY97+AZ97</f>
        <v>0</v>
      </c>
      <c r="BB97" s="52"/>
      <c r="BC97" s="53">
        <v>0</v>
      </c>
      <c r="BD97" s="53"/>
      <c r="BE97" s="52"/>
      <c r="BF97" s="53"/>
    </row>
    <row r="98" spans="1:58" ht="12.95" customHeight="1">
      <c r="A98" s="42"/>
      <c r="B98" s="43"/>
      <c r="C98" s="421"/>
      <c r="D98" s="43"/>
      <c r="E98" s="44"/>
      <c r="F98" s="44"/>
      <c r="G98" s="45"/>
      <c r="H98" s="46"/>
      <c r="I98" s="47"/>
      <c r="J98" s="87"/>
      <c r="K98" s="87"/>
      <c r="L98" s="37"/>
      <c r="M98" s="37"/>
      <c r="N98" s="48"/>
      <c r="O98" s="49"/>
      <c r="P98" s="50"/>
      <c r="Q98" s="49"/>
      <c r="R98" s="507"/>
      <c r="S98" s="507"/>
      <c r="T98" s="39"/>
      <c r="U98" s="39"/>
      <c r="V98" s="39"/>
      <c r="W98" s="39"/>
      <c r="X98" s="40"/>
      <c r="Y98" s="216"/>
      <c r="Z98" s="39"/>
      <c r="AA98" s="39"/>
      <c r="AB98" s="39"/>
      <c r="AC98" s="39"/>
      <c r="AD98" s="39">
        <f>+AM98+BA98</f>
        <v>0</v>
      </c>
      <c r="AE98" s="235" t="s">
        <v>400</v>
      </c>
      <c r="AF98" s="35"/>
      <c r="AG98" s="35"/>
      <c r="AH98" s="35">
        <v>0</v>
      </c>
      <c r="AI98" s="35"/>
      <c r="AJ98" s="39"/>
      <c r="AK98" s="39"/>
      <c r="AL98" s="39"/>
      <c r="AM98" s="39">
        <f t="shared" si="187"/>
        <v>0</v>
      </c>
      <c r="AN98" s="39"/>
      <c r="AO98" s="39"/>
      <c r="AP98" s="39"/>
      <c r="AQ98" s="39"/>
      <c r="AR98" s="39">
        <f t="shared" si="188"/>
        <v>0</v>
      </c>
      <c r="AS98" s="39"/>
      <c r="AT98" s="39"/>
      <c r="AU98" s="39"/>
      <c r="AV98" s="39"/>
      <c r="AW98" s="39"/>
      <c r="AX98" s="39"/>
      <c r="AY98" s="39"/>
      <c r="AZ98" s="39"/>
      <c r="BA98" s="39">
        <f>+AR98+AS98+AU98+AW98+AY98+AZ98</f>
        <v>0</v>
      </c>
      <c r="BB98" s="35"/>
      <c r="BC98" s="510"/>
      <c r="BD98" s="510"/>
      <c r="BE98" s="35"/>
      <c r="BF98" s="510"/>
    </row>
    <row r="99" spans="1:58" ht="12.95" customHeight="1">
      <c r="A99" s="42"/>
      <c r="B99" s="43"/>
      <c r="C99" s="421"/>
      <c r="D99" s="43"/>
      <c r="E99" s="44"/>
      <c r="F99" s="44"/>
      <c r="G99" s="45"/>
      <c r="H99" s="46"/>
      <c r="I99" s="47"/>
      <c r="J99" s="87"/>
      <c r="K99" s="87"/>
      <c r="L99" s="37"/>
      <c r="M99" s="37"/>
      <c r="N99" s="48"/>
      <c r="O99" s="49"/>
      <c r="P99" s="50"/>
      <c r="Q99" s="49"/>
      <c r="R99" s="507"/>
      <c r="S99" s="507"/>
      <c r="T99" s="39"/>
      <c r="U99" s="39"/>
      <c r="V99" s="39"/>
      <c r="W99" s="39"/>
      <c r="X99" s="40"/>
      <c r="Y99" s="216"/>
      <c r="Z99" s="39"/>
      <c r="AA99" s="39"/>
      <c r="AB99" s="39"/>
      <c r="AC99" s="39"/>
      <c r="AD99" s="39">
        <f>+AM99+BA99</f>
        <v>0</v>
      </c>
      <c r="AE99" s="235" t="s">
        <v>625</v>
      </c>
      <c r="AF99" s="35"/>
      <c r="AG99" s="35"/>
      <c r="AH99" s="35"/>
      <c r="AI99" s="35"/>
      <c r="AJ99" s="39"/>
      <c r="AK99" s="39"/>
      <c r="AL99" s="39"/>
      <c r="AM99" s="39">
        <f t="shared" ref="AM99" si="189">SUM(AF99:AL99)+AT99+AV99+AX99</f>
        <v>0</v>
      </c>
      <c r="AN99" s="39"/>
      <c r="AO99" s="39"/>
      <c r="AP99" s="39"/>
      <c r="AQ99" s="39"/>
      <c r="AR99" s="39">
        <f t="shared" ref="AR99" si="190">SUM(AN99:AQ99)</f>
        <v>0</v>
      </c>
      <c r="AS99" s="39"/>
      <c r="AT99" s="39"/>
      <c r="AU99" s="39"/>
      <c r="AV99" s="39"/>
      <c r="AW99" s="39"/>
      <c r="AX99" s="39"/>
      <c r="AY99" s="39"/>
      <c r="AZ99" s="39">
        <f>1440-1440</f>
        <v>0</v>
      </c>
      <c r="BA99" s="39">
        <f>+AR99+AS99+AU99+AW99+AY99+AZ99</f>
        <v>0</v>
      </c>
      <c r="BB99" s="35"/>
      <c r="BC99" s="510"/>
      <c r="BD99" s="510"/>
      <c r="BE99" s="35"/>
      <c r="BF99" s="510"/>
    </row>
    <row r="100" spans="1:58" ht="12.95" customHeight="1">
      <c r="A100" s="42"/>
      <c r="B100" s="43"/>
      <c r="C100" s="421"/>
      <c r="D100" s="43"/>
      <c r="E100" s="44"/>
      <c r="F100" s="44"/>
      <c r="G100" s="45"/>
      <c r="H100" s="46"/>
      <c r="I100" s="47"/>
      <c r="J100" s="87"/>
      <c r="K100" s="87"/>
      <c r="L100" s="37"/>
      <c r="M100" s="37"/>
      <c r="N100" s="48"/>
      <c r="O100" s="49"/>
      <c r="P100" s="50"/>
      <c r="Q100" s="49"/>
      <c r="R100" s="507"/>
      <c r="S100" s="507"/>
      <c r="T100" s="39"/>
      <c r="U100" s="39"/>
      <c r="V100" s="39"/>
      <c r="W100" s="39"/>
      <c r="X100" s="40"/>
      <c r="Y100" s="216"/>
      <c r="Z100" s="39"/>
      <c r="AA100" s="39"/>
      <c r="AB100" s="39"/>
      <c r="AC100" s="39"/>
      <c r="AD100" s="39"/>
      <c r="AE100" s="235"/>
      <c r="AF100" s="35"/>
      <c r="AG100" s="35"/>
      <c r="AH100" s="35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5"/>
      <c r="BC100" s="510"/>
      <c r="BD100" s="53"/>
      <c r="BE100" s="53"/>
      <c r="BF100" s="53"/>
    </row>
    <row r="101" spans="1:58" ht="12.75" customHeight="1">
      <c r="A101" s="42">
        <v>45953</v>
      </c>
      <c r="B101" s="43" t="s">
        <v>399</v>
      </c>
      <c r="C101" s="421">
        <f t="shared" ref="C101" si="191">(M101*E101*O101*Q101)/100000000</f>
        <v>0</v>
      </c>
      <c r="D101" s="43" t="s">
        <v>304</v>
      </c>
      <c r="E101" s="44">
        <v>12</v>
      </c>
      <c r="F101" s="44">
        <v>1</v>
      </c>
      <c r="G101" s="506">
        <v>1230</v>
      </c>
      <c r="H101" s="46">
        <f>+N101</f>
        <v>0.22999999999999998</v>
      </c>
      <c r="I101" s="47">
        <v>0.88</v>
      </c>
      <c r="J101" s="87">
        <f t="shared" ref="J101" si="192">E101*G101*(1-H101)*1440/1000000*2.74</f>
        <v>44.842533120000006</v>
      </c>
      <c r="K101" s="87">
        <f t="shared" ref="K101" si="193">(IF(G101&lt;L101,L101,G101)*(1-IF(H101&lt;N101,H101,N101))*E101*O101*Q101)/100000000</f>
        <v>0</v>
      </c>
      <c r="L101" s="37">
        <v>1223.3333333333333</v>
      </c>
      <c r="M101" s="37">
        <v>941.9666666666667</v>
      </c>
      <c r="N101" s="48">
        <f t="shared" ref="N101" si="194">1-(M101/L101)</f>
        <v>0.22999999999999998</v>
      </c>
      <c r="O101" s="49">
        <f>+'Trim Rwd'!H63</f>
        <v>262.5</v>
      </c>
      <c r="P101" s="50">
        <f t="shared" ref="P101" si="195">O101*(Q101-R101-S101)</f>
        <v>0</v>
      </c>
      <c r="Q101" s="49">
        <f>1440-1440</f>
        <v>0</v>
      </c>
      <c r="R101" s="507">
        <f>1440-1440</f>
        <v>0</v>
      </c>
      <c r="S101" s="507">
        <v>0</v>
      </c>
      <c r="T101" s="39">
        <f t="shared" ref="T101" si="196">E101*M101*O101*Q101/100000000</f>
        <v>0</v>
      </c>
      <c r="U101" s="39">
        <f>E101*M101*O101*(Q101-R101-S101)/100000000</f>
        <v>0</v>
      </c>
      <c r="V101" s="39">
        <f>E101*G101*(1-N101)*O101/100*(R101+S101)/1000000</f>
        <v>0</v>
      </c>
      <c r="W101" s="39">
        <f>+'19'!K27/1000</f>
        <v>0</v>
      </c>
      <c r="X101" s="508" t="e">
        <f>SUM(W101:W104)/SUM(K101:K104)</f>
        <v>#DIV/0!</v>
      </c>
      <c r="Y101" s="216">
        <f>+'19'!D27/1000</f>
        <v>0</v>
      </c>
      <c r="Z101" s="39">
        <f>+'19'!D27/1000</f>
        <v>0</v>
      </c>
      <c r="AA101" s="51">
        <f>SUM(U101:U104)-SUM(W101:W104)-SUM(Z101:Z104)-SUM(Y101:Y104)</f>
        <v>0</v>
      </c>
      <c r="AB101" s="51">
        <f>(SUM(K101:K104)-SUM(W101:W104)-SUM(Y101:Y104)-SUM(Z101:Z104)-SUM(AC101:AC104)-SUM(V101:V104))-AA101</f>
        <v>0</v>
      </c>
      <c r="AC101" s="39">
        <f>K101-T101</f>
        <v>0</v>
      </c>
      <c r="AD101" s="39">
        <f>+AM101+BA101</f>
        <v>0</v>
      </c>
      <c r="AE101" s="235" t="s">
        <v>386</v>
      </c>
      <c r="AF101" s="39">
        <v>0</v>
      </c>
      <c r="AG101" s="39"/>
      <c r="AH101" s="39"/>
      <c r="AI101" s="509"/>
      <c r="AJ101" s="39"/>
      <c r="AK101" s="39"/>
      <c r="AL101" s="39"/>
      <c r="AM101" s="39">
        <f t="shared" ref="AM101:AM103" si="197">SUM(AF101:AL101)+AT101+AV101+AX101</f>
        <v>0</v>
      </c>
      <c r="AN101" s="39"/>
      <c r="AO101" s="39"/>
      <c r="AP101" s="39"/>
      <c r="AQ101" s="39"/>
      <c r="AR101" s="39">
        <f>SUM(AN101:AQ101)</f>
        <v>0</v>
      </c>
      <c r="AS101" s="39"/>
      <c r="AT101" s="39"/>
      <c r="AU101" s="39"/>
      <c r="AV101" s="39"/>
      <c r="AW101" s="39"/>
      <c r="AX101" s="39"/>
      <c r="AY101" s="39"/>
      <c r="AZ101" s="39"/>
      <c r="BA101" s="39">
        <f>+AR101+AS101+AU101+AW101+AY101+AZ101</f>
        <v>0</v>
      </c>
      <c r="BB101" s="35">
        <v>0</v>
      </c>
      <c r="BC101" s="53"/>
      <c r="BD101" s="53"/>
      <c r="BE101" s="35"/>
      <c r="BF101" s="53"/>
    </row>
    <row r="102" spans="1:58" ht="12.95" customHeight="1">
      <c r="A102" s="42"/>
      <c r="B102" s="43"/>
      <c r="C102" s="421"/>
      <c r="D102" s="43"/>
      <c r="E102" s="44"/>
      <c r="F102" s="44"/>
      <c r="G102" s="506"/>
      <c r="H102" s="46"/>
      <c r="I102" s="47"/>
      <c r="J102" s="87"/>
      <c r="K102" s="87"/>
      <c r="L102" s="37"/>
      <c r="M102" s="37"/>
      <c r="N102" s="48"/>
      <c r="O102" s="49"/>
      <c r="P102" s="50"/>
      <c r="Q102" s="49"/>
      <c r="R102" s="507"/>
      <c r="S102" s="507"/>
      <c r="T102" s="39"/>
      <c r="U102" s="39"/>
      <c r="V102" s="39"/>
      <c r="W102" s="39"/>
      <c r="X102" s="40"/>
      <c r="Y102" s="216"/>
      <c r="Z102" s="39"/>
      <c r="AA102" s="39"/>
      <c r="AB102" s="39"/>
      <c r="AC102" s="39"/>
      <c r="AD102" s="39">
        <f>+AM102+BA102</f>
        <v>0</v>
      </c>
      <c r="AE102" s="235" t="s">
        <v>286</v>
      </c>
      <c r="AF102" s="39"/>
      <c r="AG102" s="39">
        <v>0</v>
      </c>
      <c r="AH102" s="39"/>
      <c r="AI102" s="39"/>
      <c r="AJ102" s="39"/>
      <c r="AK102" s="39"/>
      <c r="AL102" s="39"/>
      <c r="AM102" s="39">
        <f t="shared" si="197"/>
        <v>0</v>
      </c>
      <c r="AN102" s="88"/>
      <c r="AO102" s="39"/>
      <c r="AP102" s="39"/>
      <c r="AQ102" s="39"/>
      <c r="AR102" s="39">
        <f t="shared" ref="AR102:AR103" si="198">SUM(AN102:AQ102)</f>
        <v>0</v>
      </c>
      <c r="AS102" s="39"/>
      <c r="AT102" s="39"/>
      <c r="AU102" s="39"/>
      <c r="AV102" s="39"/>
      <c r="AW102" s="39"/>
      <c r="AX102" s="39"/>
      <c r="AY102" s="39"/>
      <c r="AZ102" s="39"/>
      <c r="BA102" s="39">
        <f>+AR102+AS102+AU102+AW102+AY102+AZ102</f>
        <v>0</v>
      </c>
      <c r="BB102" s="52"/>
      <c r="BC102" s="53">
        <v>0</v>
      </c>
      <c r="BD102" s="53"/>
      <c r="BE102" s="52"/>
      <c r="BF102" s="53"/>
    </row>
    <row r="103" spans="1:58" ht="12.95" customHeight="1">
      <c r="A103" s="42"/>
      <c r="B103" s="43"/>
      <c r="C103" s="421"/>
      <c r="D103" s="43"/>
      <c r="E103" s="44"/>
      <c r="F103" s="44"/>
      <c r="G103" s="45"/>
      <c r="H103" s="46"/>
      <c r="I103" s="47"/>
      <c r="J103" s="87"/>
      <c r="K103" s="87"/>
      <c r="L103" s="37"/>
      <c r="M103" s="37"/>
      <c r="N103" s="48"/>
      <c r="O103" s="49"/>
      <c r="P103" s="50"/>
      <c r="Q103" s="49"/>
      <c r="R103" s="507"/>
      <c r="S103" s="507"/>
      <c r="T103" s="39"/>
      <c r="U103" s="39"/>
      <c r="V103" s="39"/>
      <c r="W103" s="39"/>
      <c r="X103" s="40"/>
      <c r="Y103" s="216"/>
      <c r="Z103" s="39"/>
      <c r="AA103" s="39"/>
      <c r="AB103" s="39"/>
      <c r="AC103" s="39"/>
      <c r="AD103" s="39">
        <f>+AM103+BA103</f>
        <v>0</v>
      </c>
      <c r="AE103" s="235" t="s">
        <v>400</v>
      </c>
      <c r="AF103" s="35"/>
      <c r="AG103" s="35"/>
      <c r="AH103" s="35">
        <v>0</v>
      </c>
      <c r="AI103" s="35"/>
      <c r="AJ103" s="39"/>
      <c r="AK103" s="39"/>
      <c r="AL103" s="39"/>
      <c r="AM103" s="39">
        <f t="shared" si="197"/>
        <v>0</v>
      </c>
      <c r="AN103" s="39"/>
      <c r="AO103" s="39"/>
      <c r="AP103" s="39"/>
      <c r="AQ103" s="39"/>
      <c r="AR103" s="39">
        <f t="shared" si="198"/>
        <v>0</v>
      </c>
      <c r="AS103" s="39"/>
      <c r="AT103" s="39"/>
      <c r="AU103" s="39"/>
      <c r="AV103" s="39"/>
      <c r="AW103" s="39"/>
      <c r="AX103" s="39"/>
      <c r="AY103" s="39"/>
      <c r="AZ103" s="39"/>
      <c r="BA103" s="39">
        <f>+AR103+AS103+AU103+AW103+AY103+AZ103</f>
        <v>0</v>
      </c>
      <c r="BB103" s="35"/>
      <c r="BC103" s="510"/>
      <c r="BD103" s="510"/>
      <c r="BE103" s="35"/>
      <c r="BF103" s="510"/>
    </row>
    <row r="104" spans="1:58" ht="12.95" customHeight="1">
      <c r="A104" s="42"/>
      <c r="B104" s="43"/>
      <c r="C104" s="421"/>
      <c r="D104" s="43"/>
      <c r="E104" s="44"/>
      <c r="F104" s="44"/>
      <c r="G104" s="45"/>
      <c r="H104" s="46"/>
      <c r="I104" s="47"/>
      <c r="J104" s="87"/>
      <c r="K104" s="87"/>
      <c r="L104" s="37"/>
      <c r="M104" s="37"/>
      <c r="N104" s="48"/>
      <c r="O104" s="49"/>
      <c r="P104" s="50"/>
      <c r="Q104" s="49"/>
      <c r="R104" s="507"/>
      <c r="S104" s="507"/>
      <c r="T104" s="39"/>
      <c r="U104" s="39"/>
      <c r="V104" s="39"/>
      <c r="W104" s="39"/>
      <c r="X104" s="40"/>
      <c r="Y104" s="216"/>
      <c r="Z104" s="39"/>
      <c r="AA104" s="39"/>
      <c r="AB104" s="39"/>
      <c r="AC104" s="39"/>
      <c r="AD104" s="39">
        <f>+AM104+BA104</f>
        <v>0</v>
      </c>
      <c r="AE104" s="235" t="s">
        <v>625</v>
      </c>
      <c r="AF104" s="35"/>
      <c r="AG104" s="35"/>
      <c r="AH104" s="35"/>
      <c r="AI104" s="35"/>
      <c r="AJ104" s="39"/>
      <c r="AK104" s="39"/>
      <c r="AL104" s="39"/>
      <c r="AM104" s="39">
        <f t="shared" ref="AM104" si="199">SUM(AF104:AL104)+AT104+AV104+AX104</f>
        <v>0</v>
      </c>
      <c r="AN104" s="39"/>
      <c r="AO104" s="39"/>
      <c r="AP104" s="39"/>
      <c r="AQ104" s="39"/>
      <c r="AR104" s="39">
        <f t="shared" ref="AR104" si="200">SUM(AN104:AQ104)</f>
        <v>0</v>
      </c>
      <c r="AS104" s="39"/>
      <c r="AT104" s="39"/>
      <c r="AU104" s="39"/>
      <c r="AV104" s="39"/>
      <c r="AW104" s="39"/>
      <c r="AX104" s="39"/>
      <c r="AY104" s="39"/>
      <c r="AZ104" s="39">
        <f>1440-1440</f>
        <v>0</v>
      </c>
      <c r="BA104" s="39">
        <f>+AR104+AS104+AU104+AW104+AY104+AZ104</f>
        <v>0</v>
      </c>
      <c r="BB104" s="35"/>
      <c r="BC104" s="510"/>
      <c r="BD104" s="510"/>
      <c r="BE104" s="35"/>
      <c r="BF104" s="510"/>
    </row>
    <row r="105" spans="1:58" ht="12.95" customHeight="1">
      <c r="A105" s="42"/>
      <c r="B105" s="43"/>
      <c r="C105" s="421"/>
      <c r="D105" s="43"/>
      <c r="E105" s="44"/>
      <c r="F105" s="44"/>
      <c r="G105" s="45"/>
      <c r="H105" s="46"/>
      <c r="I105" s="47"/>
      <c r="J105" s="87"/>
      <c r="K105" s="87"/>
      <c r="L105" s="37"/>
      <c r="M105" s="37"/>
      <c r="N105" s="48"/>
      <c r="O105" s="49"/>
      <c r="P105" s="50"/>
      <c r="Q105" s="49"/>
      <c r="R105" s="507"/>
      <c r="S105" s="507"/>
      <c r="T105" s="39"/>
      <c r="U105" s="39"/>
      <c r="V105" s="39"/>
      <c r="W105" s="39"/>
      <c r="X105" s="40"/>
      <c r="Y105" s="216"/>
      <c r="Z105" s="39"/>
      <c r="AA105" s="39"/>
      <c r="AB105" s="39"/>
      <c r="AC105" s="39"/>
      <c r="AD105" s="39"/>
      <c r="AE105" s="235"/>
      <c r="AF105" s="35"/>
      <c r="AG105" s="35"/>
      <c r="AH105" s="35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5"/>
      <c r="BC105" s="510"/>
      <c r="BD105" s="53"/>
      <c r="BE105" s="53"/>
      <c r="BF105" s="53"/>
    </row>
    <row r="106" spans="1:58" ht="12.75" customHeight="1">
      <c r="A106" s="42">
        <v>45954</v>
      </c>
      <c r="B106" s="43" t="s">
        <v>399</v>
      </c>
      <c r="C106" s="421">
        <f t="shared" ref="C106" si="201">(M106*E106*O106*Q106)/100000000</f>
        <v>0</v>
      </c>
      <c r="D106" s="43" t="s">
        <v>304</v>
      </c>
      <c r="E106" s="44">
        <v>12</v>
      </c>
      <c r="F106" s="44">
        <v>1</v>
      </c>
      <c r="G106" s="506">
        <v>1230</v>
      </c>
      <c r="H106" s="46">
        <f>+N106</f>
        <v>0.22999999999999998</v>
      </c>
      <c r="I106" s="47">
        <v>0.88</v>
      </c>
      <c r="J106" s="87">
        <f t="shared" ref="J106" si="202">E106*G106*(1-H106)*1440/1000000*2.74</f>
        <v>44.842533120000006</v>
      </c>
      <c r="K106" s="87">
        <f t="shared" ref="K106" si="203">(IF(G106&lt;L106,L106,G106)*(1-IF(H106&lt;N106,H106,N106))*E106*O106*Q106)/100000000</f>
        <v>0</v>
      </c>
      <c r="L106" s="37">
        <v>1223.3333333333333</v>
      </c>
      <c r="M106" s="37">
        <v>941.9666666666667</v>
      </c>
      <c r="N106" s="48">
        <f t="shared" ref="N106" si="204">1-(M106/L106)</f>
        <v>0.22999999999999998</v>
      </c>
      <c r="O106" s="49">
        <f>+'Trim Rwd'!H65</f>
        <v>262.5</v>
      </c>
      <c r="P106" s="50">
        <f t="shared" ref="P106" si="205">O106*(Q106-R106-S106)</f>
        <v>0</v>
      </c>
      <c r="Q106" s="49">
        <f>1440-1440</f>
        <v>0</v>
      </c>
      <c r="R106" s="507">
        <f>1440-1440</f>
        <v>0</v>
      </c>
      <c r="S106" s="507">
        <v>0</v>
      </c>
      <c r="T106" s="39">
        <f t="shared" ref="T106" si="206">E106*M106*O106*Q106/100000000</f>
        <v>0</v>
      </c>
      <c r="U106" s="39">
        <f>E106*M106*O106*(Q106-R106-S106)/100000000</f>
        <v>0</v>
      </c>
      <c r="V106" s="39">
        <f>E106*G106*(1-N106)*O106/100*(R106+S106)/1000000</f>
        <v>0</v>
      </c>
      <c r="W106" s="39">
        <f>+'19'!K32/1000</f>
        <v>0</v>
      </c>
      <c r="X106" s="508" t="e">
        <f>SUM(W106:W109)/SUM(K106:K109)</f>
        <v>#DIV/0!</v>
      </c>
      <c r="Y106" s="216">
        <f>+'19'!D32/1000</f>
        <v>0</v>
      </c>
      <c r="Z106" s="39">
        <f>+'19'!D32/1000</f>
        <v>0</v>
      </c>
      <c r="AA106" s="51">
        <f>SUM(U106:U109)-SUM(W106:W109)-SUM(Z106:Z109)-SUM(Y106:Y109)</f>
        <v>0</v>
      </c>
      <c r="AB106" s="51">
        <f>(SUM(K106:K109)-SUM(W106:W109)-SUM(Y106:Y109)-SUM(Z106:Z109)-SUM(AC106:AC109)-SUM(V106:V109))-AA106</f>
        <v>0</v>
      </c>
      <c r="AC106" s="39">
        <f>K106-T106</f>
        <v>0</v>
      </c>
      <c r="AD106" s="39">
        <f>+AM106+BA106</f>
        <v>0</v>
      </c>
      <c r="AE106" s="235" t="s">
        <v>386</v>
      </c>
      <c r="AF106" s="39">
        <v>0</v>
      </c>
      <c r="AG106" s="39"/>
      <c r="AH106" s="39"/>
      <c r="AI106" s="509"/>
      <c r="AJ106" s="39"/>
      <c r="AK106" s="39"/>
      <c r="AL106" s="39"/>
      <c r="AM106" s="39">
        <f t="shared" ref="AM106:AM108" si="207">SUM(AF106:AL106)+AT106+AV106+AX106</f>
        <v>0</v>
      </c>
      <c r="AN106" s="39"/>
      <c r="AO106" s="39"/>
      <c r="AP106" s="39"/>
      <c r="AQ106" s="39"/>
      <c r="AR106" s="39">
        <f>SUM(AN106:AQ106)</f>
        <v>0</v>
      </c>
      <c r="AS106" s="39"/>
      <c r="AT106" s="39"/>
      <c r="AU106" s="39"/>
      <c r="AV106" s="39"/>
      <c r="AW106" s="39"/>
      <c r="AX106" s="39"/>
      <c r="AY106" s="39"/>
      <c r="AZ106" s="39"/>
      <c r="BA106" s="39">
        <f>+AR106+AS106+AU106+AW106+AY106+AZ106</f>
        <v>0</v>
      </c>
      <c r="BB106" s="35">
        <v>0</v>
      </c>
      <c r="BC106" s="53"/>
      <c r="BD106" s="53"/>
      <c r="BE106" s="35"/>
      <c r="BF106" s="53"/>
    </row>
    <row r="107" spans="1:58" ht="12.95" customHeight="1">
      <c r="A107" s="42"/>
      <c r="B107" s="43"/>
      <c r="C107" s="421"/>
      <c r="D107" s="43"/>
      <c r="E107" s="44"/>
      <c r="F107" s="44"/>
      <c r="G107" s="506"/>
      <c r="H107" s="46"/>
      <c r="I107" s="47"/>
      <c r="J107" s="87"/>
      <c r="K107" s="87"/>
      <c r="L107" s="37"/>
      <c r="M107" s="37"/>
      <c r="N107" s="48"/>
      <c r="O107" s="49"/>
      <c r="P107" s="50"/>
      <c r="Q107" s="49"/>
      <c r="R107" s="507"/>
      <c r="S107" s="507"/>
      <c r="T107" s="39"/>
      <c r="U107" s="39"/>
      <c r="V107" s="39"/>
      <c r="W107" s="39"/>
      <c r="X107" s="40"/>
      <c r="Y107" s="216"/>
      <c r="Z107" s="39"/>
      <c r="AA107" s="39"/>
      <c r="AB107" s="39"/>
      <c r="AC107" s="39"/>
      <c r="AD107" s="39">
        <f>+AM107+BA107</f>
        <v>0</v>
      </c>
      <c r="AE107" s="235" t="s">
        <v>286</v>
      </c>
      <c r="AF107" s="39"/>
      <c r="AG107" s="39">
        <v>0</v>
      </c>
      <c r="AH107" s="39"/>
      <c r="AI107" s="39"/>
      <c r="AJ107" s="39"/>
      <c r="AK107" s="39"/>
      <c r="AL107" s="39"/>
      <c r="AM107" s="39">
        <f t="shared" si="207"/>
        <v>0</v>
      </c>
      <c r="AN107" s="88"/>
      <c r="AO107" s="39"/>
      <c r="AP107" s="39"/>
      <c r="AQ107" s="39"/>
      <c r="AR107" s="39">
        <f t="shared" ref="AR107:AR108" si="208">SUM(AN107:AQ107)</f>
        <v>0</v>
      </c>
      <c r="AS107" s="39"/>
      <c r="AT107" s="39"/>
      <c r="AU107" s="39"/>
      <c r="AV107" s="39"/>
      <c r="AW107" s="39"/>
      <c r="AX107" s="39"/>
      <c r="AY107" s="39"/>
      <c r="AZ107" s="39"/>
      <c r="BA107" s="39">
        <f>+AR107+AS107+AU107+AW107+AY107+AZ107</f>
        <v>0</v>
      </c>
      <c r="BB107" s="52"/>
      <c r="BC107" s="53">
        <v>0</v>
      </c>
      <c r="BD107" s="53"/>
      <c r="BE107" s="52"/>
      <c r="BF107" s="53"/>
    </row>
    <row r="108" spans="1:58" ht="12.95" customHeight="1">
      <c r="A108" s="42"/>
      <c r="B108" s="43"/>
      <c r="C108" s="421"/>
      <c r="D108" s="43"/>
      <c r="E108" s="44"/>
      <c r="F108" s="44"/>
      <c r="G108" s="45"/>
      <c r="H108" s="46"/>
      <c r="I108" s="47"/>
      <c r="J108" s="87"/>
      <c r="K108" s="87"/>
      <c r="L108" s="37"/>
      <c r="M108" s="37"/>
      <c r="N108" s="48"/>
      <c r="O108" s="49"/>
      <c r="P108" s="50"/>
      <c r="Q108" s="49"/>
      <c r="R108" s="507"/>
      <c r="S108" s="507"/>
      <c r="T108" s="39"/>
      <c r="U108" s="39"/>
      <c r="V108" s="39"/>
      <c r="W108" s="39"/>
      <c r="X108" s="40"/>
      <c r="Y108" s="216"/>
      <c r="Z108" s="39"/>
      <c r="AA108" s="39"/>
      <c r="AB108" s="39"/>
      <c r="AC108" s="39"/>
      <c r="AD108" s="39">
        <f>+AM108+BA108</f>
        <v>0</v>
      </c>
      <c r="AE108" s="235" t="s">
        <v>400</v>
      </c>
      <c r="AF108" s="35"/>
      <c r="AG108" s="35"/>
      <c r="AH108" s="35">
        <v>0</v>
      </c>
      <c r="AI108" s="35"/>
      <c r="AJ108" s="39"/>
      <c r="AK108" s="39"/>
      <c r="AL108" s="39"/>
      <c r="AM108" s="39">
        <f t="shared" si="207"/>
        <v>0</v>
      </c>
      <c r="AN108" s="39"/>
      <c r="AO108" s="39"/>
      <c r="AP108" s="39"/>
      <c r="AQ108" s="39"/>
      <c r="AR108" s="39">
        <f t="shared" si="208"/>
        <v>0</v>
      </c>
      <c r="AS108" s="39"/>
      <c r="AT108" s="39"/>
      <c r="AU108" s="39"/>
      <c r="AV108" s="39"/>
      <c r="AW108" s="39"/>
      <c r="AX108" s="39"/>
      <c r="AY108" s="39"/>
      <c r="AZ108" s="39"/>
      <c r="BA108" s="39">
        <f>+AR108+AS108+AU108+AW108+AY108+AZ108</f>
        <v>0</v>
      </c>
      <c r="BB108" s="35"/>
      <c r="BC108" s="510"/>
      <c r="BD108" s="510"/>
      <c r="BE108" s="35"/>
      <c r="BF108" s="510"/>
    </row>
    <row r="109" spans="1:58" ht="12.95" customHeight="1">
      <c r="A109" s="42"/>
      <c r="B109" s="43"/>
      <c r="C109" s="421"/>
      <c r="D109" s="43"/>
      <c r="E109" s="44"/>
      <c r="F109" s="44"/>
      <c r="G109" s="45"/>
      <c r="H109" s="46"/>
      <c r="I109" s="47"/>
      <c r="J109" s="87"/>
      <c r="K109" s="87"/>
      <c r="L109" s="37"/>
      <c r="M109" s="37"/>
      <c r="N109" s="48"/>
      <c r="O109" s="49"/>
      <c r="P109" s="50"/>
      <c r="Q109" s="49"/>
      <c r="R109" s="507"/>
      <c r="S109" s="507"/>
      <c r="T109" s="39"/>
      <c r="U109" s="39"/>
      <c r="V109" s="39"/>
      <c r="W109" s="39"/>
      <c r="X109" s="40"/>
      <c r="Y109" s="216"/>
      <c r="Z109" s="39"/>
      <c r="AA109" s="39"/>
      <c r="AB109" s="39"/>
      <c r="AC109" s="39"/>
      <c r="AD109" s="39">
        <f>+AM109+BA109</f>
        <v>0</v>
      </c>
      <c r="AE109" s="235" t="s">
        <v>625</v>
      </c>
      <c r="AF109" s="35"/>
      <c r="AG109" s="35"/>
      <c r="AH109" s="35"/>
      <c r="AI109" s="35"/>
      <c r="AJ109" s="39"/>
      <c r="AK109" s="39"/>
      <c r="AL109" s="39"/>
      <c r="AM109" s="39">
        <f t="shared" ref="AM109" si="209">SUM(AF109:AL109)+AT109+AV109+AX109</f>
        <v>0</v>
      </c>
      <c r="AN109" s="39"/>
      <c r="AO109" s="39"/>
      <c r="AP109" s="39"/>
      <c r="AQ109" s="39"/>
      <c r="AR109" s="39">
        <f t="shared" ref="AR109" si="210">SUM(AN109:AQ109)</f>
        <v>0</v>
      </c>
      <c r="AS109" s="39"/>
      <c r="AT109" s="39"/>
      <c r="AU109" s="39"/>
      <c r="AV109" s="39"/>
      <c r="AW109" s="39"/>
      <c r="AX109" s="39"/>
      <c r="AY109" s="39"/>
      <c r="AZ109" s="39">
        <f>1440-1440</f>
        <v>0</v>
      </c>
      <c r="BA109" s="39">
        <f>+AR109+AS109+AU109+AW109+AY109+AZ109</f>
        <v>0</v>
      </c>
      <c r="BB109" s="35"/>
      <c r="BC109" s="510"/>
      <c r="BD109" s="510"/>
      <c r="BE109" s="35"/>
      <c r="BF109" s="510"/>
    </row>
    <row r="110" spans="1:58" ht="12.95" customHeight="1">
      <c r="A110" s="42"/>
      <c r="B110" s="43"/>
      <c r="C110" s="421"/>
      <c r="D110" s="43"/>
      <c r="E110" s="44"/>
      <c r="F110" s="44"/>
      <c r="G110" s="45"/>
      <c r="H110" s="46"/>
      <c r="I110" s="47"/>
      <c r="J110" s="87"/>
      <c r="K110" s="87"/>
      <c r="L110" s="37"/>
      <c r="M110" s="37"/>
      <c r="N110" s="48"/>
      <c r="O110" s="49"/>
      <c r="P110" s="50"/>
      <c r="Q110" s="49"/>
      <c r="R110" s="507"/>
      <c r="S110" s="507"/>
      <c r="T110" s="39"/>
      <c r="U110" s="39"/>
      <c r="V110" s="39"/>
      <c r="W110" s="39"/>
      <c r="X110" s="40"/>
      <c r="Y110" s="216"/>
      <c r="Z110" s="39"/>
      <c r="AA110" s="39"/>
      <c r="AB110" s="39"/>
      <c r="AC110" s="39"/>
      <c r="AD110" s="39"/>
      <c r="AE110" s="235"/>
      <c r="AF110" s="35"/>
      <c r="AG110" s="35"/>
      <c r="AH110" s="35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5"/>
      <c r="BC110" s="510"/>
      <c r="BD110" s="53"/>
      <c r="BE110" s="53"/>
      <c r="BF110" s="53"/>
    </row>
    <row r="111" spans="1:58" ht="12.75" customHeight="1">
      <c r="A111" s="42">
        <v>45955</v>
      </c>
      <c r="B111" s="43" t="s">
        <v>399</v>
      </c>
      <c r="C111" s="421">
        <f t="shared" ref="C111" si="211">(M111*E111*O111*Q111)/100000000</f>
        <v>0</v>
      </c>
      <c r="D111" s="43" t="s">
        <v>304</v>
      </c>
      <c r="E111" s="44">
        <v>12</v>
      </c>
      <c r="F111" s="44">
        <v>1</v>
      </c>
      <c r="G111" s="506">
        <v>1230</v>
      </c>
      <c r="H111" s="46">
        <f>+N111</f>
        <v>0.22999999999999998</v>
      </c>
      <c r="I111" s="47">
        <v>0.88</v>
      </c>
      <c r="J111" s="87">
        <f t="shared" ref="J111" si="212">E111*G111*(1-H111)*1440/1000000*2.74</f>
        <v>44.842533120000006</v>
      </c>
      <c r="K111" s="87">
        <f t="shared" ref="K111" si="213">(IF(G111&lt;L111,L111,G111)*(1-IF(H111&lt;N111,H111,N111))*E111*O111*Q111)/100000000</f>
        <v>0</v>
      </c>
      <c r="L111" s="37">
        <v>1223.3333333333333</v>
      </c>
      <c r="M111" s="37">
        <v>941.9666666666667</v>
      </c>
      <c r="N111" s="48">
        <f t="shared" ref="N111" si="214">1-(M111/L111)</f>
        <v>0.22999999999999998</v>
      </c>
      <c r="O111" s="49">
        <f>+'Trim Rwd'!H67</f>
        <v>262.5</v>
      </c>
      <c r="P111" s="50">
        <f t="shared" ref="P111" si="215">O111*(Q111-R111-S111)</f>
        <v>0</v>
      </c>
      <c r="Q111" s="49">
        <f>1440-1440</f>
        <v>0</v>
      </c>
      <c r="R111" s="507">
        <f>1440-1440</f>
        <v>0</v>
      </c>
      <c r="S111" s="507">
        <v>0</v>
      </c>
      <c r="T111" s="39">
        <f t="shared" ref="T111" si="216">E111*M111*O111*Q111/100000000</f>
        <v>0</v>
      </c>
      <c r="U111" s="39">
        <f>E111*M111*O111*(Q111-R111-S111)/100000000</f>
        <v>0</v>
      </c>
      <c r="V111" s="39">
        <f>E111*G111*(1-N111)*O111/100*(R111+S111)/1000000</f>
        <v>0</v>
      </c>
      <c r="W111" s="39">
        <v>0</v>
      </c>
      <c r="X111" s="508" t="e">
        <f>SUM(W111:W114)/SUM(K111:K114)</f>
        <v>#DIV/0!</v>
      </c>
      <c r="Y111" s="216">
        <v>0</v>
      </c>
      <c r="Z111" s="39">
        <v>0</v>
      </c>
      <c r="AA111" s="51">
        <f>SUM(U111:U114)-SUM(W111:W114)-SUM(Z111:Z114)-SUM(Y111:Y114)</f>
        <v>0</v>
      </c>
      <c r="AB111" s="51">
        <f>(SUM(K111:K114)-SUM(W111:W114)-SUM(Y111:Y114)-SUM(Z111:Z114)-SUM(AC111:AC114)-SUM(V111:V114))-AA111</f>
        <v>0</v>
      </c>
      <c r="AC111" s="39">
        <f>K111-T111</f>
        <v>0</v>
      </c>
      <c r="AD111" s="39">
        <f>+AM111+BA111</f>
        <v>0</v>
      </c>
      <c r="AE111" s="235" t="s">
        <v>386</v>
      </c>
      <c r="AF111" s="39">
        <v>0</v>
      </c>
      <c r="AG111" s="39"/>
      <c r="AH111" s="39"/>
      <c r="AI111" s="509"/>
      <c r="AJ111" s="39"/>
      <c r="AK111" s="39"/>
      <c r="AL111" s="39"/>
      <c r="AM111" s="39">
        <f t="shared" ref="AM111:AM113" si="217">SUM(AF111:AL111)+AT111+AV111+AX111</f>
        <v>0</v>
      </c>
      <c r="AN111" s="39"/>
      <c r="AO111" s="39"/>
      <c r="AP111" s="39"/>
      <c r="AQ111" s="39"/>
      <c r="AR111" s="39">
        <f>SUM(AN111:AQ111)</f>
        <v>0</v>
      </c>
      <c r="AS111" s="39"/>
      <c r="AT111" s="39"/>
      <c r="AU111" s="39"/>
      <c r="AV111" s="39"/>
      <c r="AW111" s="39"/>
      <c r="AX111" s="39"/>
      <c r="AY111" s="39"/>
      <c r="AZ111" s="39"/>
      <c r="BA111" s="39">
        <f>+AR111+AS111+AU111+AW111+AY111+AZ111</f>
        <v>0</v>
      </c>
      <c r="BB111" s="35">
        <v>0</v>
      </c>
      <c r="BC111" s="53"/>
      <c r="BD111" s="53"/>
      <c r="BE111" s="35"/>
      <c r="BF111" s="53"/>
    </row>
    <row r="112" spans="1:58" ht="12.95" customHeight="1">
      <c r="A112" s="42"/>
      <c r="B112" s="43"/>
      <c r="C112" s="421"/>
      <c r="D112" s="43"/>
      <c r="E112" s="44"/>
      <c r="F112" s="44"/>
      <c r="G112" s="506"/>
      <c r="H112" s="46"/>
      <c r="I112" s="47"/>
      <c r="J112" s="87"/>
      <c r="K112" s="87"/>
      <c r="L112" s="37"/>
      <c r="M112" s="37"/>
      <c r="N112" s="48"/>
      <c r="O112" s="49"/>
      <c r="P112" s="50"/>
      <c r="Q112" s="49"/>
      <c r="R112" s="507"/>
      <c r="S112" s="507"/>
      <c r="T112" s="39"/>
      <c r="U112" s="39"/>
      <c r="V112" s="39"/>
      <c r="W112" s="39"/>
      <c r="X112" s="40"/>
      <c r="Y112" s="216"/>
      <c r="Z112" s="39"/>
      <c r="AA112" s="39"/>
      <c r="AB112" s="39"/>
      <c r="AC112" s="39"/>
      <c r="AD112" s="39">
        <f>+AM112+BA112</f>
        <v>0</v>
      </c>
      <c r="AE112" s="235" t="s">
        <v>286</v>
      </c>
      <c r="AF112" s="39"/>
      <c r="AG112" s="39">
        <v>0</v>
      </c>
      <c r="AH112" s="39"/>
      <c r="AI112" s="39"/>
      <c r="AJ112" s="39"/>
      <c r="AK112" s="39"/>
      <c r="AL112" s="39"/>
      <c r="AM112" s="39">
        <f t="shared" si="217"/>
        <v>0</v>
      </c>
      <c r="AN112" s="88"/>
      <c r="AO112" s="39"/>
      <c r="AP112" s="39"/>
      <c r="AQ112" s="39"/>
      <c r="AR112" s="39">
        <f t="shared" ref="AR112:AR113" si="218">SUM(AN112:AQ112)</f>
        <v>0</v>
      </c>
      <c r="AS112" s="39"/>
      <c r="AT112" s="39"/>
      <c r="AU112" s="39"/>
      <c r="AV112" s="39"/>
      <c r="AW112" s="39"/>
      <c r="AX112" s="39"/>
      <c r="AY112" s="39"/>
      <c r="AZ112" s="39"/>
      <c r="BA112" s="39">
        <f>+AR112+AS112+AU112+AW112+AY112+AZ112</f>
        <v>0</v>
      </c>
      <c r="BB112" s="52"/>
      <c r="BC112" s="53">
        <v>0</v>
      </c>
      <c r="BD112" s="53"/>
      <c r="BE112" s="52"/>
      <c r="BF112" s="53"/>
    </row>
    <row r="113" spans="1:58" ht="12.95" customHeight="1">
      <c r="A113" s="42"/>
      <c r="B113" s="43"/>
      <c r="C113" s="421"/>
      <c r="D113" s="43"/>
      <c r="E113" s="44"/>
      <c r="F113" s="44"/>
      <c r="G113" s="45"/>
      <c r="H113" s="46"/>
      <c r="I113" s="47"/>
      <c r="J113" s="87"/>
      <c r="K113" s="87"/>
      <c r="L113" s="37"/>
      <c r="M113" s="37"/>
      <c r="N113" s="48"/>
      <c r="O113" s="49"/>
      <c r="P113" s="50"/>
      <c r="Q113" s="49"/>
      <c r="R113" s="507"/>
      <c r="S113" s="507"/>
      <c r="T113" s="39"/>
      <c r="U113" s="39"/>
      <c r="V113" s="39"/>
      <c r="W113" s="39"/>
      <c r="X113" s="40"/>
      <c r="Y113" s="216"/>
      <c r="Z113" s="39"/>
      <c r="AA113" s="39"/>
      <c r="AB113" s="39"/>
      <c r="AC113" s="39"/>
      <c r="AD113" s="39">
        <f>+AM113+BA113</f>
        <v>0</v>
      </c>
      <c r="AE113" s="235" t="s">
        <v>400</v>
      </c>
      <c r="AF113" s="35"/>
      <c r="AG113" s="35"/>
      <c r="AH113" s="35">
        <v>0</v>
      </c>
      <c r="AI113" s="35"/>
      <c r="AJ113" s="39"/>
      <c r="AK113" s="39"/>
      <c r="AL113" s="39"/>
      <c r="AM113" s="39">
        <f t="shared" si="217"/>
        <v>0</v>
      </c>
      <c r="AN113" s="39"/>
      <c r="AO113" s="39"/>
      <c r="AP113" s="39"/>
      <c r="AQ113" s="39"/>
      <c r="AR113" s="39">
        <f t="shared" si="218"/>
        <v>0</v>
      </c>
      <c r="AS113" s="39"/>
      <c r="AT113" s="39"/>
      <c r="AU113" s="39"/>
      <c r="AV113" s="39"/>
      <c r="AW113" s="39"/>
      <c r="AX113" s="39"/>
      <c r="AY113" s="39"/>
      <c r="AZ113" s="39"/>
      <c r="BA113" s="39">
        <f>+AR113+AS113+AU113+AW113+AY113+AZ113</f>
        <v>0</v>
      </c>
      <c r="BB113" s="35"/>
      <c r="BC113" s="510"/>
      <c r="BD113" s="510"/>
      <c r="BE113" s="35"/>
      <c r="BF113" s="510"/>
    </row>
    <row r="114" spans="1:58" ht="12.95" customHeight="1">
      <c r="A114" s="42"/>
      <c r="B114" s="43"/>
      <c r="C114" s="421"/>
      <c r="D114" s="43"/>
      <c r="E114" s="44"/>
      <c r="F114" s="44"/>
      <c r="G114" s="45"/>
      <c r="H114" s="46"/>
      <c r="I114" s="47"/>
      <c r="J114" s="87"/>
      <c r="K114" s="87"/>
      <c r="L114" s="37"/>
      <c r="M114" s="37"/>
      <c r="N114" s="48"/>
      <c r="O114" s="49"/>
      <c r="P114" s="50"/>
      <c r="Q114" s="49"/>
      <c r="R114" s="507"/>
      <c r="S114" s="507"/>
      <c r="T114" s="39"/>
      <c r="U114" s="39"/>
      <c r="V114" s="39"/>
      <c r="W114" s="39"/>
      <c r="X114" s="40"/>
      <c r="Y114" s="216"/>
      <c r="Z114" s="39"/>
      <c r="AA114" s="39"/>
      <c r="AB114" s="39"/>
      <c r="AC114" s="39"/>
      <c r="AD114" s="39">
        <f>+AM114+BA114</f>
        <v>0</v>
      </c>
      <c r="AE114" s="235" t="s">
        <v>625</v>
      </c>
      <c r="AF114" s="35"/>
      <c r="AG114" s="35"/>
      <c r="AH114" s="35"/>
      <c r="AI114" s="35"/>
      <c r="AJ114" s="39"/>
      <c r="AK114" s="39"/>
      <c r="AL114" s="39"/>
      <c r="AM114" s="39">
        <f t="shared" ref="AM114" si="219">SUM(AF114:AL114)+AT114+AV114+AX114</f>
        <v>0</v>
      </c>
      <c r="AN114" s="39"/>
      <c r="AO114" s="39"/>
      <c r="AP114" s="39"/>
      <c r="AQ114" s="39"/>
      <c r="AR114" s="39">
        <f t="shared" ref="AR114" si="220">SUM(AN114:AQ114)</f>
        <v>0</v>
      </c>
      <c r="AS114" s="39"/>
      <c r="AT114" s="39"/>
      <c r="AU114" s="39"/>
      <c r="AV114" s="39"/>
      <c r="AW114" s="39"/>
      <c r="AX114" s="39"/>
      <c r="AY114" s="39"/>
      <c r="AZ114" s="39">
        <f>1440-1440</f>
        <v>0</v>
      </c>
      <c r="BA114" s="39">
        <f>+AR114+AS114+AU114+AW114+AY114+AZ114</f>
        <v>0</v>
      </c>
      <c r="BB114" s="35"/>
      <c r="BC114" s="510"/>
      <c r="BD114" s="510"/>
      <c r="BE114" s="35"/>
      <c r="BF114" s="510"/>
    </row>
    <row r="115" spans="1:58" ht="12.95" customHeight="1">
      <c r="A115" s="42"/>
      <c r="B115" s="43"/>
      <c r="C115" s="421"/>
      <c r="D115" s="43"/>
      <c r="E115" s="44"/>
      <c r="F115" s="44"/>
      <c r="G115" s="45"/>
      <c r="H115" s="46"/>
      <c r="I115" s="47"/>
      <c r="J115" s="87"/>
      <c r="K115" s="87"/>
      <c r="L115" s="37"/>
      <c r="M115" s="37"/>
      <c r="N115" s="48"/>
      <c r="O115" s="49"/>
      <c r="P115" s="50"/>
      <c r="Q115" s="49"/>
      <c r="R115" s="507"/>
      <c r="S115" s="507"/>
      <c r="T115" s="39"/>
      <c r="U115" s="39"/>
      <c r="V115" s="39"/>
      <c r="W115" s="39"/>
      <c r="X115" s="40"/>
      <c r="Y115" s="216"/>
      <c r="Z115" s="39"/>
      <c r="AA115" s="39"/>
      <c r="AB115" s="39"/>
      <c r="AC115" s="39"/>
      <c r="AD115" s="39"/>
      <c r="AE115" s="235"/>
      <c r="AF115" s="35"/>
      <c r="AG115" s="35"/>
      <c r="AH115" s="35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5"/>
      <c r="BC115" s="510"/>
      <c r="BD115" s="53"/>
      <c r="BE115" s="53"/>
      <c r="BF115" s="53"/>
    </row>
    <row r="116" spans="1:58" ht="12.75" customHeight="1">
      <c r="A116" s="42">
        <v>45956</v>
      </c>
      <c r="B116" s="43" t="s">
        <v>399</v>
      </c>
      <c r="C116" s="421">
        <f t="shared" ref="C116" si="221">(M116*E116*O116*Q116)/100000000</f>
        <v>0</v>
      </c>
      <c r="D116" s="43" t="s">
        <v>304</v>
      </c>
      <c r="E116" s="44">
        <v>12</v>
      </c>
      <c r="F116" s="44">
        <v>1</v>
      </c>
      <c r="G116" s="506">
        <v>1230</v>
      </c>
      <c r="H116" s="46">
        <f>+N116</f>
        <v>0.22999999999999998</v>
      </c>
      <c r="I116" s="47">
        <v>0.88</v>
      </c>
      <c r="J116" s="87">
        <f t="shared" ref="J116" si="222">E116*G116*(1-H116)*1440/1000000*2.74</f>
        <v>44.842533120000006</v>
      </c>
      <c r="K116" s="87">
        <f t="shared" ref="K116" si="223">(IF(G116&lt;L116,L116,G116)*(1-IF(H116&lt;N116,H116,N116))*E116*O116*Q116)/100000000</f>
        <v>0</v>
      </c>
      <c r="L116" s="37">
        <v>1223.3333333333333</v>
      </c>
      <c r="M116" s="37">
        <v>941.9666666666667</v>
      </c>
      <c r="N116" s="48">
        <f t="shared" ref="N116" si="224">1-(M116/L116)</f>
        <v>0.22999999999999998</v>
      </c>
      <c r="O116" s="49">
        <f>+'Trim Rwd'!H69</f>
        <v>262.5</v>
      </c>
      <c r="P116" s="50">
        <f t="shared" ref="P116" si="225">O116*(Q116-R116-S116)</f>
        <v>0</v>
      </c>
      <c r="Q116" s="49">
        <f>1440-1440</f>
        <v>0</v>
      </c>
      <c r="R116" s="507">
        <f>1440-1440</f>
        <v>0</v>
      </c>
      <c r="S116" s="507">
        <v>0</v>
      </c>
      <c r="T116" s="39">
        <f t="shared" ref="T116" si="226">E116*M116*O116*Q116/100000000</f>
        <v>0</v>
      </c>
      <c r="U116" s="39">
        <f>E116*M116*O116*(Q116-R116-S116)/100000000</f>
        <v>0</v>
      </c>
      <c r="V116" s="39">
        <f>E116*G116*(1-N116)*O116/100*(R116+S116)/1000000</f>
        <v>0</v>
      </c>
      <c r="W116" s="39">
        <v>0</v>
      </c>
      <c r="X116" s="508" t="e">
        <f>SUM(W116:W119)/SUM(K116:K119)</f>
        <v>#DIV/0!</v>
      </c>
      <c r="Y116" s="216">
        <f>+'19'!D42/1000</f>
        <v>0</v>
      </c>
      <c r="Z116" s="39">
        <f>+'19'!D42/1000</f>
        <v>0</v>
      </c>
      <c r="AA116" s="51">
        <f>SUM(U116:U119)-SUM(W116:W119)-SUM(Z116:Z119)-SUM(Y116:Y119)</f>
        <v>0</v>
      </c>
      <c r="AB116" s="51">
        <f>(SUM(K116:K119)-SUM(W116:W119)-SUM(Y116:Y119)-SUM(Z116:Z119)-SUM(AC116:AC119)-SUM(V116:V119))-AA116</f>
        <v>0</v>
      </c>
      <c r="AC116" s="39">
        <f>K116-T116</f>
        <v>0</v>
      </c>
      <c r="AD116" s="39">
        <f>+AM116+BA116</f>
        <v>0</v>
      </c>
      <c r="AE116" s="235" t="s">
        <v>386</v>
      </c>
      <c r="AF116" s="39">
        <v>0</v>
      </c>
      <c r="AG116" s="39"/>
      <c r="AH116" s="39"/>
      <c r="AI116" s="509"/>
      <c r="AJ116" s="39"/>
      <c r="AK116" s="39"/>
      <c r="AL116" s="39"/>
      <c r="AM116" s="39">
        <f t="shared" ref="AM116:AM118" si="227">SUM(AF116:AL116)+AT116+AV116+AX116</f>
        <v>0</v>
      </c>
      <c r="AN116" s="39"/>
      <c r="AO116" s="39"/>
      <c r="AP116" s="39"/>
      <c r="AQ116" s="39"/>
      <c r="AR116" s="39">
        <f>SUM(AN116:AQ116)</f>
        <v>0</v>
      </c>
      <c r="AS116" s="39"/>
      <c r="AT116" s="39"/>
      <c r="AU116" s="39"/>
      <c r="AV116" s="39"/>
      <c r="AW116" s="39"/>
      <c r="AX116" s="39"/>
      <c r="AY116" s="39"/>
      <c r="AZ116" s="39"/>
      <c r="BA116" s="39">
        <f>+AR116+AS116+AU116+AW116+AY116+AZ116</f>
        <v>0</v>
      </c>
      <c r="BB116" s="35">
        <v>0</v>
      </c>
      <c r="BC116" s="53"/>
      <c r="BD116" s="53"/>
      <c r="BE116" s="35"/>
      <c r="BF116" s="53"/>
    </row>
    <row r="117" spans="1:58" ht="12.95" customHeight="1">
      <c r="A117" s="42"/>
      <c r="B117" s="43"/>
      <c r="C117" s="421"/>
      <c r="D117" s="43"/>
      <c r="E117" s="44"/>
      <c r="F117" s="44"/>
      <c r="G117" s="506"/>
      <c r="H117" s="46"/>
      <c r="I117" s="47"/>
      <c r="J117" s="87"/>
      <c r="K117" s="87"/>
      <c r="L117" s="37"/>
      <c r="M117" s="37"/>
      <c r="N117" s="48"/>
      <c r="O117" s="49"/>
      <c r="P117" s="50"/>
      <c r="Q117" s="49"/>
      <c r="R117" s="507"/>
      <c r="S117" s="507"/>
      <c r="T117" s="39"/>
      <c r="U117" s="39"/>
      <c r="V117" s="39"/>
      <c r="W117" s="39"/>
      <c r="X117" s="40"/>
      <c r="Y117" s="216"/>
      <c r="Z117" s="39"/>
      <c r="AA117" s="39"/>
      <c r="AB117" s="39"/>
      <c r="AC117" s="39"/>
      <c r="AD117" s="39">
        <f>+AM117+BA117</f>
        <v>0</v>
      </c>
      <c r="AE117" s="235" t="s">
        <v>286</v>
      </c>
      <c r="AF117" s="39"/>
      <c r="AG117" s="39">
        <v>0</v>
      </c>
      <c r="AH117" s="39"/>
      <c r="AI117" s="39"/>
      <c r="AJ117" s="39"/>
      <c r="AK117" s="39"/>
      <c r="AL117" s="39"/>
      <c r="AM117" s="39">
        <f t="shared" si="227"/>
        <v>0</v>
      </c>
      <c r="AN117" s="88"/>
      <c r="AO117" s="39"/>
      <c r="AP117" s="39"/>
      <c r="AQ117" s="39"/>
      <c r="AR117" s="39">
        <f t="shared" ref="AR117:AR118" si="228">SUM(AN117:AQ117)</f>
        <v>0</v>
      </c>
      <c r="AS117" s="39"/>
      <c r="AT117" s="39"/>
      <c r="AU117" s="39"/>
      <c r="AV117" s="39"/>
      <c r="AW117" s="39"/>
      <c r="AX117" s="39"/>
      <c r="AY117" s="39"/>
      <c r="AZ117" s="39"/>
      <c r="BA117" s="39">
        <f>+AR117+AS117+AU117+AW117+AY117+AZ117</f>
        <v>0</v>
      </c>
      <c r="BB117" s="52"/>
      <c r="BC117" s="53">
        <v>0</v>
      </c>
      <c r="BD117" s="53"/>
      <c r="BE117" s="52"/>
      <c r="BF117" s="53"/>
    </row>
    <row r="118" spans="1:58" ht="12.95" customHeight="1">
      <c r="A118" s="42"/>
      <c r="B118" s="43"/>
      <c r="C118" s="421"/>
      <c r="D118" s="43"/>
      <c r="E118" s="44"/>
      <c r="F118" s="44"/>
      <c r="G118" s="45"/>
      <c r="H118" s="46"/>
      <c r="I118" s="47"/>
      <c r="J118" s="87"/>
      <c r="K118" s="87"/>
      <c r="L118" s="37"/>
      <c r="M118" s="37"/>
      <c r="N118" s="48"/>
      <c r="O118" s="49"/>
      <c r="P118" s="50"/>
      <c r="Q118" s="49"/>
      <c r="R118" s="507"/>
      <c r="S118" s="507"/>
      <c r="T118" s="39"/>
      <c r="U118" s="39"/>
      <c r="V118" s="39"/>
      <c r="W118" s="39"/>
      <c r="X118" s="40"/>
      <c r="Y118" s="216"/>
      <c r="Z118" s="39"/>
      <c r="AA118" s="39"/>
      <c r="AB118" s="39"/>
      <c r="AC118" s="39"/>
      <c r="AD118" s="39">
        <f>+AM118+BA118</f>
        <v>0</v>
      </c>
      <c r="AE118" s="235" t="s">
        <v>400</v>
      </c>
      <c r="AF118" s="35"/>
      <c r="AG118" s="35"/>
      <c r="AH118" s="35">
        <v>0</v>
      </c>
      <c r="AI118" s="35"/>
      <c r="AJ118" s="39"/>
      <c r="AK118" s="39"/>
      <c r="AL118" s="39"/>
      <c r="AM118" s="39">
        <f t="shared" si="227"/>
        <v>0</v>
      </c>
      <c r="AN118" s="39"/>
      <c r="AO118" s="39"/>
      <c r="AP118" s="39"/>
      <c r="AQ118" s="39"/>
      <c r="AR118" s="39">
        <f t="shared" si="228"/>
        <v>0</v>
      </c>
      <c r="AS118" s="39"/>
      <c r="AT118" s="39"/>
      <c r="AU118" s="39"/>
      <c r="AV118" s="39"/>
      <c r="AW118" s="39"/>
      <c r="AX118" s="39"/>
      <c r="AY118" s="39"/>
      <c r="AZ118" s="39"/>
      <c r="BA118" s="39">
        <f>+AR118+AS118+AU118+AW118+AY118+AZ118</f>
        <v>0</v>
      </c>
      <c r="BB118" s="35"/>
      <c r="BC118" s="510"/>
      <c r="BD118" s="510"/>
      <c r="BE118" s="35"/>
      <c r="BF118" s="510"/>
    </row>
    <row r="119" spans="1:58" ht="12.95" customHeight="1">
      <c r="A119" s="42"/>
      <c r="B119" s="43"/>
      <c r="C119" s="421"/>
      <c r="D119" s="43"/>
      <c r="E119" s="44"/>
      <c r="F119" s="44"/>
      <c r="G119" s="45"/>
      <c r="H119" s="46"/>
      <c r="I119" s="47"/>
      <c r="J119" s="87"/>
      <c r="K119" s="87"/>
      <c r="L119" s="37"/>
      <c r="M119" s="37"/>
      <c r="N119" s="48"/>
      <c r="O119" s="49"/>
      <c r="P119" s="50"/>
      <c r="Q119" s="49"/>
      <c r="R119" s="507"/>
      <c r="S119" s="507"/>
      <c r="T119" s="39"/>
      <c r="U119" s="39"/>
      <c r="V119" s="39"/>
      <c r="W119" s="39"/>
      <c r="X119" s="40"/>
      <c r="Y119" s="216"/>
      <c r="Z119" s="39"/>
      <c r="AA119" s="39"/>
      <c r="AB119" s="39"/>
      <c r="AC119" s="39"/>
      <c r="AD119" s="39">
        <f>+AM119+BA119</f>
        <v>0</v>
      </c>
      <c r="AE119" s="235" t="s">
        <v>625</v>
      </c>
      <c r="AF119" s="35"/>
      <c r="AG119" s="35"/>
      <c r="AH119" s="35"/>
      <c r="AI119" s="35"/>
      <c r="AJ119" s="39"/>
      <c r="AK119" s="39"/>
      <c r="AL119" s="39"/>
      <c r="AM119" s="39">
        <f t="shared" ref="AM119" si="229">SUM(AF119:AL119)+AT119+AV119+AX119</f>
        <v>0</v>
      </c>
      <c r="AN119" s="39"/>
      <c r="AO119" s="39"/>
      <c r="AP119" s="39"/>
      <c r="AQ119" s="39"/>
      <c r="AR119" s="39">
        <f t="shared" ref="AR119" si="230">SUM(AN119:AQ119)</f>
        <v>0</v>
      </c>
      <c r="AS119" s="39"/>
      <c r="AT119" s="39"/>
      <c r="AU119" s="39"/>
      <c r="AV119" s="39"/>
      <c r="AW119" s="39"/>
      <c r="AX119" s="39"/>
      <c r="AY119" s="39"/>
      <c r="AZ119" s="39">
        <f>1440-1440</f>
        <v>0</v>
      </c>
      <c r="BA119" s="39">
        <f>+AR119+AS119+AU119+AW119+AY119+AZ119</f>
        <v>0</v>
      </c>
      <c r="BB119" s="35"/>
      <c r="BC119" s="510"/>
      <c r="BD119" s="510"/>
      <c r="BE119" s="35"/>
      <c r="BF119" s="510"/>
    </row>
    <row r="120" spans="1:58" ht="12.95" customHeight="1">
      <c r="A120" s="42"/>
      <c r="B120" s="43"/>
      <c r="C120" s="421"/>
      <c r="D120" s="43"/>
      <c r="E120" s="44"/>
      <c r="F120" s="44"/>
      <c r="G120" s="45"/>
      <c r="H120" s="46"/>
      <c r="I120" s="47"/>
      <c r="J120" s="87"/>
      <c r="K120" s="87"/>
      <c r="L120" s="37"/>
      <c r="M120" s="37"/>
      <c r="N120" s="48"/>
      <c r="O120" s="49"/>
      <c r="P120" s="50"/>
      <c r="Q120" s="49"/>
      <c r="R120" s="507"/>
      <c r="S120" s="507"/>
      <c r="T120" s="39"/>
      <c r="U120" s="39"/>
      <c r="V120" s="39"/>
      <c r="W120" s="39"/>
      <c r="X120" s="40"/>
      <c r="Y120" s="216"/>
      <c r="Z120" s="39"/>
      <c r="AA120" s="39"/>
      <c r="AB120" s="39"/>
      <c r="AC120" s="39"/>
      <c r="AD120" s="39"/>
      <c r="AE120" s="235"/>
      <c r="AF120" s="35"/>
      <c r="AG120" s="35"/>
      <c r="AH120" s="35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5"/>
      <c r="BC120" s="510"/>
      <c r="BD120" s="53"/>
      <c r="BE120" s="53"/>
      <c r="BF120" s="53"/>
    </row>
    <row r="121" spans="1:58" ht="12.75" customHeight="1">
      <c r="A121" s="42">
        <v>45957</v>
      </c>
      <c r="B121" s="43" t="s">
        <v>7</v>
      </c>
      <c r="C121" s="421">
        <f t="shared" ref="C121" si="231">(M121*E121*O121*Q121)/100000000</f>
        <v>23.707699007999999</v>
      </c>
      <c r="D121" s="43" t="s">
        <v>304</v>
      </c>
      <c r="E121" s="44">
        <v>14</v>
      </c>
      <c r="F121" s="44">
        <v>1</v>
      </c>
      <c r="G121" s="506">
        <v>1230</v>
      </c>
      <c r="H121" s="46">
        <f>+N121</f>
        <v>0.21381742738589216</v>
      </c>
      <c r="I121" s="47">
        <v>0.88</v>
      </c>
      <c r="J121" s="87">
        <f t="shared" ref="J121" si="232">E121*G121*(1-H121)*1440/1000000*2.74</f>
        <v>53.415784925477183</v>
      </c>
      <c r="K121" s="87">
        <f t="shared" ref="K121" si="233">(IF(G121&lt;L121,L121,G121)*(1-IF(H121&lt;N121,H121,N121))*E121*O121*Q121)/100000000</f>
        <v>32.84225997729461</v>
      </c>
      <c r="L121" s="37">
        <v>887.89473684210532</v>
      </c>
      <c r="M121" s="37">
        <v>698.04736842105262</v>
      </c>
      <c r="N121" s="48">
        <f t="shared" ref="N121" si="234">1-(M121/L121)</f>
        <v>0.21381742738589216</v>
      </c>
      <c r="O121" s="49">
        <f>+'Trim Rwd'!H71</f>
        <v>266</v>
      </c>
      <c r="P121" s="50">
        <f t="shared" ref="P121" si="235">O121*(Q121-R121-S121)</f>
        <v>227430</v>
      </c>
      <c r="Q121" s="49">
        <f>1440-528</f>
        <v>912</v>
      </c>
      <c r="R121" s="507">
        <f>528-528</f>
        <v>0</v>
      </c>
      <c r="S121" s="507">
        <v>57</v>
      </c>
      <c r="T121" s="39">
        <f t="shared" ref="T121" si="236">E121*M121*O121*Q121/100000000</f>
        <v>23.707699007999999</v>
      </c>
      <c r="U121" s="39">
        <f>E121*M121*O121*(Q121-R121-S121)/100000000</f>
        <v>22.225967820000001</v>
      </c>
      <c r="V121" s="39">
        <f>E121*G121*(1-N121)*O121/100*(R121+S121)/1000000</f>
        <v>2.0526412485809131</v>
      </c>
      <c r="W121" s="39">
        <f>+'27'!K14/1000</f>
        <v>14.464</v>
      </c>
      <c r="X121" s="508">
        <f>SUM(W121:W124)/SUM(K121:K124)</f>
        <v>0.44040818171464569</v>
      </c>
      <c r="Y121" s="216">
        <f>+'19'!D47/1000</f>
        <v>0</v>
      </c>
      <c r="Z121" s="39">
        <f>+'19'!D47/1000</f>
        <v>0</v>
      </c>
      <c r="AA121" s="51">
        <f>SUM(U121:U124)-SUM(W121:W124)-SUM(Z121:Z124)-SUM(Y121:Y124)</f>
        <v>7.7619678200000006</v>
      </c>
      <c r="AB121" s="51">
        <f>(SUM(K121:K124)-SUM(W121:W124)-SUM(Y121:Y124)-SUM(Z121:Z124)-SUM(AC121:AC124)-SUM(V121:V124))-AA121</f>
        <v>-0.57091006058091409</v>
      </c>
      <c r="AC121" s="39">
        <f>K121-T121</f>
        <v>9.1345609692946113</v>
      </c>
      <c r="AD121" s="39">
        <f>+AM121+BA121</f>
        <v>18</v>
      </c>
      <c r="AE121" s="235" t="s">
        <v>650</v>
      </c>
      <c r="AF121" s="39">
        <v>18</v>
      </c>
      <c r="AG121" s="39"/>
      <c r="AH121" s="39"/>
      <c r="AI121" s="509"/>
      <c r="AJ121" s="39"/>
      <c r="AK121" s="39"/>
      <c r="AL121" s="39"/>
      <c r="AM121" s="39">
        <f t="shared" ref="AM121:AM123" si="237">SUM(AF121:AL121)+AT121+AV121+AX121</f>
        <v>18</v>
      </c>
      <c r="AN121" s="39"/>
      <c r="AO121" s="39"/>
      <c r="AP121" s="39"/>
      <c r="AQ121" s="39"/>
      <c r="AR121" s="39">
        <f>SUM(AN121:AQ121)</f>
        <v>0</v>
      </c>
      <c r="AS121" s="39"/>
      <c r="AT121" s="39"/>
      <c r="AU121" s="39"/>
      <c r="AV121" s="39"/>
      <c r="AW121" s="39"/>
      <c r="AX121" s="39"/>
      <c r="AY121" s="39"/>
      <c r="AZ121" s="39"/>
      <c r="BA121" s="39">
        <f>+AR121+AS121+AU121+AW121+AY121+AZ121</f>
        <v>0</v>
      </c>
      <c r="BB121" s="35">
        <v>7</v>
      </c>
      <c r="BC121" s="53"/>
      <c r="BD121" s="53"/>
      <c r="BE121" s="35"/>
      <c r="BF121" s="53"/>
    </row>
    <row r="122" spans="1:58" ht="12.95" customHeight="1">
      <c r="A122" s="42"/>
      <c r="B122" s="43"/>
      <c r="C122" s="421"/>
      <c r="D122" s="43"/>
      <c r="E122" s="44"/>
      <c r="F122" s="44"/>
      <c r="G122" s="506"/>
      <c r="H122" s="46"/>
      <c r="I122" s="47"/>
      <c r="J122" s="87"/>
      <c r="K122" s="87"/>
      <c r="L122" s="37"/>
      <c r="M122" s="37"/>
      <c r="N122" s="48"/>
      <c r="O122" s="49"/>
      <c r="P122" s="50"/>
      <c r="Q122" s="49"/>
      <c r="R122" s="507"/>
      <c r="S122" s="507"/>
      <c r="T122" s="39"/>
      <c r="U122" s="39"/>
      <c r="V122" s="39"/>
      <c r="W122" s="39"/>
      <c r="X122" s="40"/>
      <c r="Y122" s="216"/>
      <c r="Z122" s="39"/>
      <c r="AA122" s="39"/>
      <c r="AB122" s="39"/>
      <c r="AC122" s="39"/>
      <c r="AD122" s="39">
        <f>+AM122+BA122</f>
        <v>0</v>
      </c>
      <c r="AE122" s="235" t="s">
        <v>286</v>
      </c>
      <c r="AF122" s="39"/>
      <c r="AG122" s="39">
        <v>0</v>
      </c>
      <c r="AH122" s="39"/>
      <c r="AI122" s="39"/>
      <c r="AJ122" s="39"/>
      <c r="AK122" s="39"/>
      <c r="AL122" s="39"/>
      <c r="AM122" s="39">
        <f t="shared" si="237"/>
        <v>0</v>
      </c>
      <c r="AN122" s="88"/>
      <c r="AO122" s="39"/>
      <c r="AP122" s="39"/>
      <c r="AQ122" s="39"/>
      <c r="AR122" s="39">
        <f t="shared" ref="AR122:AR123" si="238">SUM(AN122:AQ122)</f>
        <v>0</v>
      </c>
      <c r="AS122" s="39"/>
      <c r="AT122" s="39"/>
      <c r="AU122" s="39"/>
      <c r="AV122" s="39"/>
      <c r="AW122" s="39"/>
      <c r="AX122" s="39"/>
      <c r="AY122" s="39"/>
      <c r="AZ122" s="39"/>
      <c r="BA122" s="39">
        <f>+AR122+AS122+AU122+AW122+AY122+AZ122</f>
        <v>0</v>
      </c>
      <c r="BB122" s="52"/>
      <c r="BC122" s="53">
        <v>0</v>
      </c>
      <c r="BD122" s="53"/>
      <c r="BE122" s="52"/>
      <c r="BF122" s="53"/>
    </row>
    <row r="123" spans="1:58" ht="12.95" customHeight="1">
      <c r="A123" s="42"/>
      <c r="B123" s="43"/>
      <c r="C123" s="421"/>
      <c r="D123" s="43"/>
      <c r="E123" s="44"/>
      <c r="F123" s="44"/>
      <c r="G123" s="45"/>
      <c r="H123" s="46"/>
      <c r="I123" s="47"/>
      <c r="J123" s="87"/>
      <c r="K123" s="87"/>
      <c r="L123" s="37"/>
      <c r="M123" s="37"/>
      <c r="N123" s="48"/>
      <c r="O123" s="49"/>
      <c r="P123" s="50"/>
      <c r="Q123" s="49"/>
      <c r="R123" s="507"/>
      <c r="S123" s="507"/>
      <c r="T123" s="39"/>
      <c r="U123" s="39"/>
      <c r="V123" s="39"/>
      <c r="W123" s="39"/>
      <c r="X123" s="40"/>
      <c r="Y123" s="216"/>
      <c r="Z123" s="39"/>
      <c r="AA123" s="39"/>
      <c r="AB123" s="39"/>
      <c r="AC123" s="39"/>
      <c r="AD123" s="39">
        <f>+AM123+BA123</f>
        <v>39</v>
      </c>
      <c r="AE123" s="235" t="s">
        <v>651</v>
      </c>
      <c r="AF123" s="35"/>
      <c r="AG123" s="35"/>
      <c r="AH123" s="35">
        <v>39</v>
      </c>
      <c r="AI123" s="35"/>
      <c r="AJ123" s="39"/>
      <c r="AK123" s="39"/>
      <c r="AL123" s="39"/>
      <c r="AM123" s="39">
        <f t="shared" si="237"/>
        <v>39</v>
      </c>
      <c r="AN123" s="39"/>
      <c r="AO123" s="39"/>
      <c r="AP123" s="39"/>
      <c r="AQ123" s="39"/>
      <c r="AR123" s="39">
        <f t="shared" si="238"/>
        <v>0</v>
      </c>
      <c r="AS123" s="39"/>
      <c r="AT123" s="39"/>
      <c r="AU123" s="39"/>
      <c r="AV123" s="39"/>
      <c r="AW123" s="39"/>
      <c r="AX123" s="39"/>
      <c r="AY123" s="39"/>
      <c r="AZ123" s="39"/>
      <c r="BA123" s="39">
        <f>+AR123+AS123+AU123+AW123+AY123+AZ123</f>
        <v>0</v>
      </c>
      <c r="BB123" s="35"/>
      <c r="BC123" s="510"/>
      <c r="BD123" s="510"/>
      <c r="BE123" s="35"/>
      <c r="BF123" s="510"/>
    </row>
    <row r="124" spans="1:58" ht="12.95" customHeight="1">
      <c r="A124" s="42"/>
      <c r="B124" s="43"/>
      <c r="C124" s="421"/>
      <c r="D124" s="43"/>
      <c r="E124" s="44"/>
      <c r="F124" s="44"/>
      <c r="G124" s="45"/>
      <c r="H124" s="46"/>
      <c r="I124" s="47"/>
      <c r="J124" s="87"/>
      <c r="K124" s="87"/>
      <c r="L124" s="37"/>
      <c r="M124" s="37"/>
      <c r="N124" s="48"/>
      <c r="O124" s="49"/>
      <c r="P124" s="50"/>
      <c r="Q124" s="49"/>
      <c r="R124" s="507"/>
      <c r="S124" s="507"/>
      <c r="T124" s="39"/>
      <c r="U124" s="39"/>
      <c r="V124" s="39"/>
      <c r="W124" s="39"/>
      <c r="X124" s="40"/>
      <c r="Y124" s="216"/>
      <c r="Z124" s="39"/>
      <c r="AA124" s="39"/>
      <c r="AB124" s="39"/>
      <c r="AC124" s="39"/>
      <c r="AD124" s="39">
        <f>+AM124+BA124</f>
        <v>0</v>
      </c>
      <c r="AE124" s="235" t="s">
        <v>625</v>
      </c>
      <c r="AF124" s="35"/>
      <c r="AG124" s="35"/>
      <c r="AH124" s="35"/>
      <c r="AI124" s="35"/>
      <c r="AJ124" s="39"/>
      <c r="AK124" s="39"/>
      <c r="AL124" s="39"/>
      <c r="AM124" s="39">
        <f t="shared" ref="AM124" si="239">SUM(AF124:AL124)+AT124+AV124+AX124</f>
        <v>0</v>
      </c>
      <c r="AN124" s="39"/>
      <c r="AO124" s="39"/>
      <c r="AP124" s="39"/>
      <c r="AQ124" s="39"/>
      <c r="AR124" s="39">
        <f t="shared" ref="AR124" si="240">SUM(AN124:AQ124)</f>
        <v>0</v>
      </c>
      <c r="AS124" s="39"/>
      <c r="AT124" s="39"/>
      <c r="AU124" s="39"/>
      <c r="AV124" s="39"/>
      <c r="AW124" s="39"/>
      <c r="AX124" s="39"/>
      <c r="AY124" s="39"/>
      <c r="AZ124" s="39">
        <f>528-528</f>
        <v>0</v>
      </c>
      <c r="BA124" s="39">
        <f>+AR124+AS124+AU124+AW124+AY124+AZ124</f>
        <v>0</v>
      </c>
      <c r="BB124" s="35"/>
      <c r="BC124" s="510"/>
      <c r="BD124" s="510"/>
      <c r="BE124" s="35"/>
      <c r="BF124" s="510"/>
    </row>
    <row r="125" spans="1:58" ht="12.95" customHeight="1">
      <c r="A125" s="42"/>
      <c r="B125" s="43"/>
      <c r="C125" s="421"/>
      <c r="D125" s="43"/>
      <c r="E125" s="44"/>
      <c r="F125" s="44"/>
      <c r="G125" s="45"/>
      <c r="H125" s="46"/>
      <c r="I125" s="47"/>
      <c r="J125" s="87"/>
      <c r="K125" s="87"/>
      <c r="L125" s="37"/>
      <c r="M125" s="37"/>
      <c r="N125" s="48"/>
      <c r="O125" s="49"/>
      <c r="P125" s="50"/>
      <c r="Q125" s="49"/>
      <c r="R125" s="507"/>
      <c r="S125" s="507"/>
      <c r="T125" s="39"/>
      <c r="U125" s="39"/>
      <c r="V125" s="39"/>
      <c r="W125" s="39"/>
      <c r="X125" s="40"/>
      <c r="Y125" s="216"/>
      <c r="Z125" s="39"/>
      <c r="AA125" s="39"/>
      <c r="AB125" s="39"/>
      <c r="AC125" s="39"/>
      <c r="AD125" s="39"/>
      <c r="AE125" s="235"/>
      <c r="AF125" s="35"/>
      <c r="AG125" s="35"/>
      <c r="AH125" s="35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5"/>
      <c r="BC125" s="510"/>
      <c r="BD125" s="53"/>
      <c r="BE125" s="53"/>
      <c r="BF125" s="53"/>
    </row>
    <row r="126" spans="1:58" ht="12.75" customHeight="1">
      <c r="A126" s="42">
        <v>45958</v>
      </c>
      <c r="B126" s="43" t="s">
        <v>7</v>
      </c>
      <c r="C126" s="421">
        <f t="shared" ref="C126:C127" si="241">(M126*E126*O126*Q126)/100000000</f>
        <v>20.674889820359283</v>
      </c>
      <c r="D126" s="43" t="s">
        <v>304</v>
      </c>
      <c r="E126" s="44">
        <v>14</v>
      </c>
      <c r="F126" s="44">
        <v>1</v>
      </c>
      <c r="G126" s="506">
        <v>1230</v>
      </c>
      <c r="H126" s="46">
        <f>+N126</f>
        <v>0.20000000000000007</v>
      </c>
      <c r="I126" s="47">
        <v>0.88</v>
      </c>
      <c r="J126" s="87">
        <f t="shared" ref="J126:J127" si="242">E126*G126*(1-H126)*1440/1000000*2.74</f>
        <v>54.3545856</v>
      </c>
      <c r="K126" s="87">
        <f t="shared" ref="K126:K127" si="243">(IF(G126&lt;L126,L126,G126)*(1-IF(H126&lt;N126,H126,N126))*E126*O126*Q126)/100000000</f>
        <v>32.063639999999992</v>
      </c>
      <c r="L126" s="37">
        <v>793.11377245508982</v>
      </c>
      <c r="M126" s="37">
        <v>634.49101796407183</v>
      </c>
      <c r="N126" s="48">
        <f t="shared" ref="N126:N127" si="244">1-(M126/L126)</f>
        <v>0.20000000000000007</v>
      </c>
      <c r="O126" s="49">
        <f>+'Trim Rwd'!H73</f>
        <v>266</v>
      </c>
      <c r="P126" s="50">
        <f t="shared" ref="P126:P127" si="245">O126*(Q126-R126-S126)</f>
        <v>83790</v>
      </c>
      <c r="Q126" s="49">
        <f>334+541</f>
        <v>875</v>
      </c>
      <c r="R126" s="507">
        <v>541</v>
      </c>
      <c r="S126" s="507">
        <v>19</v>
      </c>
      <c r="T126" s="39">
        <f t="shared" ref="T126:T127" si="246">E126*M126*O126*Q126/100000000</f>
        <v>20.674889820359283</v>
      </c>
      <c r="U126" s="39">
        <f>E126*M126*O126*(Q126-R126-S126)/100000000</f>
        <v>7.4429603353293423</v>
      </c>
      <c r="V126" s="39">
        <f>E126*G126*(1-N126)*O126/100*(R126+S126)/1000000</f>
        <v>20.520729599999999</v>
      </c>
      <c r="W126" s="39">
        <f>+'28'!K14/1000</f>
        <v>3.0019999999999998</v>
      </c>
      <c r="X126" s="508">
        <f>SUM(W126:W129)/SUM(K126:K129)</f>
        <v>0.2042365760857677</v>
      </c>
      <c r="Y126" s="216">
        <v>0</v>
      </c>
      <c r="Z126" s="39">
        <v>0</v>
      </c>
      <c r="AA126" s="51">
        <f>SUM(U126:U129)-SUM(W126:W129)-SUM(Z126:Z129)-SUM(Y126:Y129)</f>
        <v>5.3606963353293438</v>
      </c>
      <c r="AB126" s="51">
        <f>(SUM(K126:K129)-SUM(W126:W129)-SUM(Y126:Y129)-SUM(Z126:Z129)-SUM(AC126:AC129)-SUM(V126:V129))-AA126</f>
        <v>0.22261428502993397</v>
      </c>
      <c r="AC126" s="39">
        <f>K126-T126</f>
        <v>11.388750179640709</v>
      </c>
      <c r="AD126" s="39">
        <f>+AM126+BA126</f>
        <v>8</v>
      </c>
      <c r="AE126" s="235" t="s">
        <v>650</v>
      </c>
      <c r="AF126" s="39">
        <v>8</v>
      </c>
      <c r="AG126" s="39"/>
      <c r="AH126" s="39"/>
      <c r="AI126" s="509"/>
      <c r="AJ126" s="39"/>
      <c r="AK126" s="39"/>
      <c r="AL126" s="39"/>
      <c r="AM126" s="39">
        <f t="shared" ref="AM126:AM128" si="247">SUM(AF126:AL126)+AT126+AV126+AX126</f>
        <v>8</v>
      </c>
      <c r="AN126" s="39"/>
      <c r="AO126" s="39"/>
      <c r="AP126" s="39"/>
      <c r="AQ126" s="39"/>
      <c r="AR126" s="39">
        <f>SUM(AN126:AQ126)</f>
        <v>0</v>
      </c>
      <c r="AS126" s="39"/>
      <c r="AT126" s="39"/>
      <c r="AU126" s="39"/>
      <c r="AV126" s="39"/>
      <c r="AW126" s="39"/>
      <c r="AX126" s="39"/>
      <c r="AY126" s="39"/>
      <c r="AZ126" s="39"/>
      <c r="BA126" s="39">
        <f>+AR126+AS126+AU126+AW126+AY126+AZ126</f>
        <v>0</v>
      </c>
      <c r="BB126" s="35">
        <v>7</v>
      </c>
      <c r="BC126" s="53"/>
      <c r="BD126" s="53"/>
      <c r="BE126" s="35"/>
      <c r="BF126" s="53"/>
    </row>
    <row r="127" spans="1:58" ht="12.95" customHeight="1">
      <c r="A127" s="42"/>
      <c r="B127" s="43" t="s">
        <v>7</v>
      </c>
      <c r="C127" s="421">
        <f t="shared" si="241"/>
        <v>10.099487999999999</v>
      </c>
      <c r="D127" s="43" t="s">
        <v>304</v>
      </c>
      <c r="E127" s="44">
        <v>12</v>
      </c>
      <c r="F127" s="44">
        <v>1</v>
      </c>
      <c r="G127" s="506">
        <v>1230</v>
      </c>
      <c r="H127" s="46">
        <f>+N127</f>
        <v>0.19999999999999996</v>
      </c>
      <c r="I127" s="47">
        <v>0.88</v>
      </c>
      <c r="J127" s="87">
        <f t="shared" si="242"/>
        <v>46.589644800000009</v>
      </c>
      <c r="K127" s="87">
        <f t="shared" si="243"/>
        <v>17.746243199999999</v>
      </c>
      <c r="L127" s="37">
        <v>700</v>
      </c>
      <c r="M127" s="37">
        <v>560</v>
      </c>
      <c r="N127" s="48">
        <f t="shared" si="244"/>
        <v>0.19999999999999996</v>
      </c>
      <c r="O127" s="49">
        <f>+'Trim Rwd'!H74</f>
        <v>266</v>
      </c>
      <c r="P127" s="50">
        <f t="shared" si="245"/>
        <v>147630</v>
      </c>
      <c r="Q127" s="49">
        <v>565</v>
      </c>
      <c r="R127" s="507">
        <v>0</v>
      </c>
      <c r="S127" s="507">
        <v>10</v>
      </c>
      <c r="T127" s="39">
        <f t="shared" si="246"/>
        <v>10.099487999999999</v>
      </c>
      <c r="U127" s="39">
        <f>E127*M127*O127*(Q127-R127-S127)/100000000</f>
        <v>9.9207359999999998</v>
      </c>
      <c r="V127" s="39">
        <f>E127*G127*(1-N127)*O127/100*(R127+S127)/1000000</f>
        <v>0.31409280000000001</v>
      </c>
      <c r="W127" s="39">
        <f>+'28'!K7/1000</f>
        <v>7.1710000000000003</v>
      </c>
      <c r="X127" s="40"/>
      <c r="Y127" s="216"/>
      <c r="Z127" s="39">
        <f>+'28'!D34/1000</f>
        <v>1.83</v>
      </c>
      <c r="AA127" s="39"/>
      <c r="AB127" s="39"/>
      <c r="AC127" s="39"/>
      <c r="AD127" s="39">
        <f>+AM127+BA127</f>
        <v>5</v>
      </c>
      <c r="AE127" s="235" t="s">
        <v>286</v>
      </c>
      <c r="AF127" s="39"/>
      <c r="AG127" s="39">
        <v>5</v>
      </c>
      <c r="AH127" s="39"/>
      <c r="AI127" s="39"/>
      <c r="AJ127" s="39"/>
      <c r="AK127" s="39"/>
      <c r="AL127" s="39"/>
      <c r="AM127" s="39">
        <f t="shared" si="247"/>
        <v>5</v>
      </c>
      <c r="AN127" s="88"/>
      <c r="AO127" s="39"/>
      <c r="AP127" s="39"/>
      <c r="AQ127" s="39"/>
      <c r="AR127" s="39">
        <f t="shared" ref="AR127:AR128" si="248">SUM(AN127:AQ127)</f>
        <v>0</v>
      </c>
      <c r="AS127" s="39"/>
      <c r="AT127" s="39"/>
      <c r="AU127" s="39"/>
      <c r="AV127" s="39"/>
      <c r="AW127" s="39"/>
      <c r="AX127" s="39"/>
      <c r="AY127" s="39"/>
      <c r="AZ127" s="39"/>
      <c r="BA127" s="39">
        <f>+AR127+AS127+AU127+AW127+AY127+AZ127</f>
        <v>0</v>
      </c>
      <c r="BB127" s="52"/>
      <c r="BC127" s="53">
        <v>0</v>
      </c>
      <c r="BD127" s="53"/>
      <c r="BE127" s="52"/>
      <c r="BF127" s="53"/>
    </row>
    <row r="128" spans="1:58" ht="12.95" customHeight="1">
      <c r="A128" s="42"/>
      <c r="B128" s="43"/>
      <c r="C128" s="421"/>
      <c r="D128" s="43"/>
      <c r="E128" s="44"/>
      <c r="F128" s="44"/>
      <c r="G128" s="45"/>
      <c r="H128" s="46"/>
      <c r="I128" s="47"/>
      <c r="J128" s="87"/>
      <c r="K128" s="87"/>
      <c r="L128" s="37"/>
      <c r="M128" s="37"/>
      <c r="N128" s="48"/>
      <c r="O128" s="49"/>
      <c r="P128" s="50"/>
      <c r="Q128" s="49"/>
      <c r="R128" s="507"/>
      <c r="S128" s="507"/>
      <c r="T128" s="39"/>
      <c r="U128" s="39"/>
      <c r="V128" s="39"/>
      <c r="W128" s="39"/>
      <c r="X128" s="40"/>
      <c r="Y128" s="216"/>
      <c r="Z128" s="39"/>
      <c r="AA128" s="39"/>
      <c r="AB128" s="39"/>
      <c r="AC128" s="39"/>
      <c r="AD128" s="39">
        <f>+AM128+BA128</f>
        <v>16</v>
      </c>
      <c r="AE128" s="235" t="s">
        <v>651</v>
      </c>
      <c r="AF128" s="35"/>
      <c r="AG128" s="35"/>
      <c r="AH128" s="35">
        <v>16</v>
      </c>
      <c r="AI128" s="35"/>
      <c r="AJ128" s="39"/>
      <c r="AK128" s="39"/>
      <c r="AL128" s="39"/>
      <c r="AM128" s="39">
        <f t="shared" si="247"/>
        <v>16</v>
      </c>
      <c r="AN128" s="39"/>
      <c r="AO128" s="39"/>
      <c r="AP128" s="39"/>
      <c r="AQ128" s="39"/>
      <c r="AR128" s="39">
        <f t="shared" si="248"/>
        <v>0</v>
      </c>
      <c r="AS128" s="39"/>
      <c r="AT128" s="39"/>
      <c r="AU128" s="39"/>
      <c r="AV128" s="39"/>
      <c r="AW128" s="39"/>
      <c r="AX128" s="39"/>
      <c r="AY128" s="39"/>
      <c r="AZ128" s="39"/>
      <c r="BA128" s="39">
        <f>+AR128+AS128+AU128+AW128+AY128+AZ128</f>
        <v>0</v>
      </c>
      <c r="BB128" s="35"/>
      <c r="BC128" s="510"/>
      <c r="BD128" s="510"/>
      <c r="BE128" s="35"/>
      <c r="BF128" s="510"/>
    </row>
    <row r="129" spans="1:58" ht="12.95" customHeight="1">
      <c r="A129" s="42"/>
      <c r="B129" s="43"/>
      <c r="C129" s="421"/>
      <c r="D129" s="43"/>
      <c r="E129" s="44"/>
      <c r="F129" s="44"/>
      <c r="G129" s="45"/>
      <c r="H129" s="46"/>
      <c r="I129" s="47"/>
      <c r="J129" s="87"/>
      <c r="K129" s="87"/>
      <c r="L129" s="37"/>
      <c r="M129" s="37"/>
      <c r="N129" s="48"/>
      <c r="O129" s="49"/>
      <c r="P129" s="50"/>
      <c r="Q129" s="49"/>
      <c r="R129" s="507"/>
      <c r="S129" s="507"/>
      <c r="T129" s="39"/>
      <c r="U129" s="39"/>
      <c r="V129" s="39"/>
      <c r="W129" s="39"/>
      <c r="X129" s="40"/>
      <c r="Y129" s="216"/>
      <c r="Z129" s="39"/>
      <c r="AA129" s="39"/>
      <c r="AB129" s="39"/>
      <c r="AC129" s="39"/>
      <c r="AD129" s="39">
        <f>+AM129+BA129</f>
        <v>541</v>
      </c>
      <c r="AE129" s="235" t="s">
        <v>665</v>
      </c>
      <c r="AF129" s="35"/>
      <c r="AG129" s="35"/>
      <c r="AH129" s="35"/>
      <c r="AI129" s="35"/>
      <c r="AJ129" s="39"/>
      <c r="AK129" s="39"/>
      <c r="AL129" s="39"/>
      <c r="AM129" s="39">
        <f t="shared" ref="AM129" si="249">SUM(AF129:AL129)+AT129+AV129+AX129</f>
        <v>0</v>
      </c>
      <c r="AN129" s="39"/>
      <c r="AO129" s="39">
        <v>541</v>
      </c>
      <c r="AP129" s="39"/>
      <c r="AQ129" s="39"/>
      <c r="AR129" s="39">
        <f t="shared" ref="AR129" si="250">SUM(AN129:AQ129)</f>
        <v>541</v>
      </c>
      <c r="AS129" s="39"/>
      <c r="AT129" s="39"/>
      <c r="AU129" s="39"/>
      <c r="AV129" s="39"/>
      <c r="AW129" s="39"/>
      <c r="AX129" s="39"/>
      <c r="AY129" s="39"/>
      <c r="AZ129" s="39">
        <v>0</v>
      </c>
      <c r="BA129" s="39">
        <f>+AR129+AS129+AU129+AW129+AY129+AZ129</f>
        <v>541</v>
      </c>
      <c r="BB129" s="35"/>
      <c r="BC129" s="510"/>
      <c r="BD129" s="510"/>
      <c r="BE129" s="35"/>
      <c r="BF129" s="510"/>
    </row>
    <row r="130" spans="1:58" ht="12.95" customHeight="1">
      <c r="A130" s="42"/>
      <c r="B130" s="43"/>
      <c r="C130" s="421"/>
      <c r="D130" s="43"/>
      <c r="E130" s="44"/>
      <c r="F130" s="44"/>
      <c r="G130" s="45"/>
      <c r="H130" s="46"/>
      <c r="I130" s="47"/>
      <c r="J130" s="87"/>
      <c r="K130" s="87"/>
      <c r="L130" s="37"/>
      <c r="M130" s="37"/>
      <c r="N130" s="48"/>
      <c r="O130" s="49"/>
      <c r="P130" s="50"/>
      <c r="Q130" s="49"/>
      <c r="R130" s="507"/>
      <c r="S130" s="507"/>
      <c r="T130" s="39"/>
      <c r="U130" s="39"/>
      <c r="V130" s="39"/>
      <c r="W130" s="39"/>
      <c r="X130" s="40"/>
      <c r="Y130" s="216"/>
      <c r="Z130" s="39"/>
      <c r="AA130" s="39"/>
      <c r="AB130" s="39"/>
      <c r="AC130" s="39"/>
      <c r="AD130" s="39"/>
      <c r="AE130" s="235"/>
      <c r="AF130" s="35"/>
      <c r="AG130" s="35"/>
      <c r="AH130" s="35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5"/>
      <c r="BC130" s="510"/>
      <c r="BD130" s="53"/>
      <c r="BE130" s="53"/>
      <c r="BF130" s="53"/>
    </row>
    <row r="131" spans="1:58" ht="12.75" customHeight="1">
      <c r="A131" s="42">
        <v>45959</v>
      </c>
      <c r="B131" s="43" t="s">
        <v>7</v>
      </c>
      <c r="C131" s="421">
        <f t="shared" ref="C131" si="251">(M131*E131*O131*Q131)/100000000</f>
        <v>6.8819520000000001</v>
      </c>
      <c r="D131" s="43" t="s">
        <v>304</v>
      </c>
      <c r="E131" s="44">
        <v>12</v>
      </c>
      <c r="F131" s="44">
        <v>1</v>
      </c>
      <c r="G131" s="506">
        <v>1230</v>
      </c>
      <c r="H131" s="46">
        <f>+N131</f>
        <v>0.19999999999999996</v>
      </c>
      <c r="I131" s="47">
        <v>0.88</v>
      </c>
      <c r="J131" s="87">
        <f t="shared" ref="J131" si="252">E131*G131*(1-H131)*1440/1000000*2.74</f>
        <v>46.589644800000009</v>
      </c>
      <c r="K131" s="87">
        <f t="shared" ref="K131" si="253">(IF(G131&lt;L131,L131,G131)*(1-IF(H131&lt;N131,H131,N131))*E131*O131*Q131)/100000000</f>
        <v>12.092572799999999</v>
      </c>
      <c r="L131" s="37">
        <v>700</v>
      </c>
      <c r="M131" s="37">
        <v>560</v>
      </c>
      <c r="N131" s="48">
        <f t="shared" ref="N131" si="254">1-(M131/L131)</f>
        <v>0.19999999999999996</v>
      </c>
      <c r="O131" s="49">
        <f>+'Trim Rwd'!H76</f>
        <v>266</v>
      </c>
      <c r="P131" s="50">
        <f t="shared" ref="P131" si="255">O131*(Q131-R131-S131)</f>
        <v>99750</v>
      </c>
      <c r="Q131" s="49">
        <f>1440-1055</f>
        <v>385</v>
      </c>
      <c r="R131" s="507">
        <f>1055-1055</f>
        <v>0</v>
      </c>
      <c r="S131" s="507">
        <v>10</v>
      </c>
      <c r="T131" s="39">
        <f t="shared" ref="T131" si="256">E131*M131*O131*Q131/100000000</f>
        <v>6.8819520000000001</v>
      </c>
      <c r="U131" s="39">
        <f>E131*M131*O131*(Q131-R131-S131)/100000000</f>
        <v>6.7031999999999998</v>
      </c>
      <c r="V131" s="39">
        <f>E131*G131*(1-N131)*O131/100*(R131+S131)/1000000</f>
        <v>0.31409280000000001</v>
      </c>
      <c r="W131" s="39">
        <f>+'29'!C7/1000</f>
        <v>10.403</v>
      </c>
      <c r="X131" s="508">
        <f>SUM(W131:W134)/SUM(K131:K134)</f>
        <v>0.86028012169585621</v>
      </c>
      <c r="Y131" s="216">
        <f>+'19'!D57/1000</f>
        <v>0</v>
      </c>
      <c r="Z131" s="39">
        <f>+'19'!D57/1000</f>
        <v>0</v>
      </c>
      <c r="AA131" s="51">
        <f>SUM(U131:U134)-SUM(W131:W134)-SUM(Z131:Z134)-SUM(Y131:Y134)</f>
        <v>-3.6998000000000006</v>
      </c>
      <c r="AB131" s="51">
        <f>(SUM(K131:K134)-SUM(W131:W134)-SUM(Y131:Y134)-SUM(Z131:Z134)-SUM(AC131:AC134)-SUM(V131:V134))-AA131</f>
        <v>-0.13534079999999982</v>
      </c>
      <c r="AC131" s="39">
        <f>K131-T131</f>
        <v>5.2106207999999992</v>
      </c>
      <c r="AD131" s="39">
        <f>+AM131+BA131</f>
        <v>0</v>
      </c>
      <c r="AE131" s="235" t="s">
        <v>386</v>
      </c>
      <c r="AF131" s="39">
        <v>0</v>
      </c>
      <c r="AG131" s="39"/>
      <c r="AH131" s="39"/>
      <c r="AI131" s="509"/>
      <c r="AJ131" s="39"/>
      <c r="AK131" s="39"/>
      <c r="AL131" s="39"/>
      <c r="AM131" s="39">
        <f t="shared" ref="AM131:AM133" si="257">SUM(AF131:AL131)+AT131+AV131+AX131</f>
        <v>0</v>
      </c>
      <c r="AN131" s="39"/>
      <c r="AO131" s="39"/>
      <c r="AP131" s="39"/>
      <c r="AQ131" s="39"/>
      <c r="AR131" s="39">
        <f>SUM(AN131:AQ131)</f>
        <v>0</v>
      </c>
      <c r="AS131" s="39"/>
      <c r="AT131" s="39"/>
      <c r="AU131" s="39"/>
      <c r="AV131" s="39"/>
      <c r="AW131" s="39"/>
      <c r="AX131" s="39"/>
      <c r="AY131" s="39"/>
      <c r="AZ131" s="39"/>
      <c r="BA131" s="39">
        <f>+AR131+AS131+AU131+AW131+AY131+AZ131</f>
        <v>0</v>
      </c>
      <c r="BB131" s="35">
        <v>0</v>
      </c>
      <c r="BC131" s="53"/>
      <c r="BD131" s="53"/>
      <c r="BE131" s="35"/>
      <c r="BF131" s="53"/>
    </row>
    <row r="132" spans="1:58" ht="12.95" customHeight="1">
      <c r="A132" s="42"/>
      <c r="B132" s="43"/>
      <c r="C132" s="421"/>
      <c r="D132" s="43"/>
      <c r="E132" s="44"/>
      <c r="F132" s="44"/>
      <c r="G132" s="506"/>
      <c r="H132" s="46"/>
      <c r="I132" s="47"/>
      <c r="J132" s="87"/>
      <c r="K132" s="87"/>
      <c r="L132" s="37"/>
      <c r="M132" s="37"/>
      <c r="N132" s="48"/>
      <c r="O132" s="49"/>
      <c r="P132" s="50"/>
      <c r="Q132" s="49"/>
      <c r="R132" s="507"/>
      <c r="S132" s="507"/>
      <c r="T132" s="39"/>
      <c r="U132" s="39"/>
      <c r="V132" s="39"/>
      <c r="W132" s="39"/>
      <c r="X132" s="40"/>
      <c r="Y132" s="216"/>
      <c r="Z132" s="39"/>
      <c r="AA132" s="39"/>
      <c r="AB132" s="39"/>
      <c r="AC132" s="39"/>
      <c r="AD132" s="39">
        <f>+AM132+BA132</f>
        <v>0</v>
      </c>
      <c r="AE132" s="235" t="s">
        <v>286</v>
      </c>
      <c r="AF132" s="39"/>
      <c r="AG132" s="39">
        <v>0</v>
      </c>
      <c r="AH132" s="39"/>
      <c r="AI132" s="39"/>
      <c r="AJ132" s="39"/>
      <c r="AK132" s="39"/>
      <c r="AL132" s="39"/>
      <c r="AM132" s="39">
        <f t="shared" si="257"/>
        <v>0</v>
      </c>
      <c r="AN132" s="88"/>
      <c r="AO132" s="39"/>
      <c r="AP132" s="39"/>
      <c r="AQ132" s="39"/>
      <c r="AR132" s="39">
        <f t="shared" ref="AR132:AR133" si="258">SUM(AN132:AQ132)</f>
        <v>0</v>
      </c>
      <c r="AS132" s="39"/>
      <c r="AT132" s="39"/>
      <c r="AU132" s="39"/>
      <c r="AV132" s="39"/>
      <c r="AW132" s="39"/>
      <c r="AX132" s="39"/>
      <c r="AY132" s="39"/>
      <c r="AZ132" s="39"/>
      <c r="BA132" s="39">
        <f>+AR132+AS132+AU132+AW132+AY132+AZ132</f>
        <v>0</v>
      </c>
      <c r="BB132" s="52"/>
      <c r="BC132" s="53">
        <v>0</v>
      </c>
      <c r="BD132" s="53"/>
      <c r="BE132" s="52"/>
      <c r="BF132" s="53"/>
    </row>
    <row r="133" spans="1:58" ht="12.95" customHeight="1">
      <c r="A133" s="42"/>
      <c r="B133" s="43"/>
      <c r="C133" s="421"/>
      <c r="D133" s="43"/>
      <c r="E133" s="44"/>
      <c r="F133" s="44"/>
      <c r="G133" s="45"/>
      <c r="H133" s="46"/>
      <c r="I133" s="47"/>
      <c r="J133" s="87"/>
      <c r="K133" s="87"/>
      <c r="L133" s="37"/>
      <c r="M133" s="37"/>
      <c r="N133" s="48"/>
      <c r="O133" s="49"/>
      <c r="P133" s="50"/>
      <c r="Q133" s="49"/>
      <c r="R133" s="507"/>
      <c r="S133" s="507"/>
      <c r="T133" s="39"/>
      <c r="U133" s="39"/>
      <c r="V133" s="39"/>
      <c r="W133" s="39"/>
      <c r="X133" s="40"/>
      <c r="Y133" s="216"/>
      <c r="Z133" s="39"/>
      <c r="AA133" s="39"/>
      <c r="AB133" s="39"/>
      <c r="AC133" s="39"/>
      <c r="AD133" s="39">
        <f>+AM133+BA133</f>
        <v>10</v>
      </c>
      <c r="AE133" s="235" t="s">
        <v>411</v>
      </c>
      <c r="AF133" s="35"/>
      <c r="AG133" s="35"/>
      <c r="AH133" s="35">
        <v>10</v>
      </c>
      <c r="AI133" s="35"/>
      <c r="AJ133" s="39"/>
      <c r="AK133" s="39"/>
      <c r="AL133" s="39"/>
      <c r="AM133" s="39">
        <f t="shared" si="257"/>
        <v>10</v>
      </c>
      <c r="AN133" s="39"/>
      <c r="AO133" s="39"/>
      <c r="AP133" s="39"/>
      <c r="AQ133" s="39"/>
      <c r="AR133" s="39">
        <f t="shared" si="258"/>
        <v>0</v>
      </c>
      <c r="AS133" s="39"/>
      <c r="AT133" s="39"/>
      <c r="AU133" s="39"/>
      <c r="AV133" s="39"/>
      <c r="AW133" s="39"/>
      <c r="AX133" s="39"/>
      <c r="AY133" s="39"/>
      <c r="AZ133" s="39"/>
      <c r="BA133" s="39">
        <f>+AR133+AS133+AU133+AW133+AY133+AZ133</f>
        <v>0</v>
      </c>
      <c r="BB133" s="35"/>
      <c r="BC133" s="510"/>
      <c r="BD133" s="510"/>
      <c r="BE133" s="35"/>
      <c r="BF133" s="510"/>
    </row>
    <row r="134" spans="1:58" ht="12.95" customHeight="1">
      <c r="A134" s="42"/>
      <c r="B134" s="43"/>
      <c r="C134" s="421"/>
      <c r="D134" s="43"/>
      <c r="E134" s="44"/>
      <c r="F134" s="44"/>
      <c r="G134" s="45"/>
      <c r="H134" s="46"/>
      <c r="I134" s="47"/>
      <c r="J134" s="87"/>
      <c r="K134" s="87"/>
      <c r="L134" s="37"/>
      <c r="M134" s="37"/>
      <c r="N134" s="48"/>
      <c r="O134" s="49"/>
      <c r="P134" s="50"/>
      <c r="Q134" s="49"/>
      <c r="R134" s="507"/>
      <c r="S134" s="507"/>
      <c r="T134" s="39"/>
      <c r="U134" s="39"/>
      <c r="V134" s="39"/>
      <c r="W134" s="39"/>
      <c r="X134" s="40"/>
      <c r="Y134" s="216"/>
      <c r="Z134" s="39"/>
      <c r="AA134" s="39"/>
      <c r="AB134" s="39"/>
      <c r="AC134" s="39"/>
      <c r="AD134" s="39">
        <f>+AM134+BA134</f>
        <v>0</v>
      </c>
      <c r="AE134" s="235" t="s">
        <v>625</v>
      </c>
      <c r="AF134" s="35"/>
      <c r="AG134" s="35"/>
      <c r="AH134" s="35"/>
      <c r="AI134" s="35"/>
      <c r="AJ134" s="39"/>
      <c r="AK134" s="39"/>
      <c r="AL134" s="39"/>
      <c r="AM134" s="39">
        <f t="shared" ref="AM134" si="259">SUM(AF134:AL134)+AT134+AV134+AX134</f>
        <v>0</v>
      </c>
      <c r="AN134" s="39"/>
      <c r="AO134" s="39"/>
      <c r="AP134" s="39"/>
      <c r="AQ134" s="39"/>
      <c r="AR134" s="39">
        <f t="shared" ref="AR134" si="260">SUM(AN134:AQ134)</f>
        <v>0</v>
      </c>
      <c r="AS134" s="39"/>
      <c r="AT134" s="39"/>
      <c r="AU134" s="39"/>
      <c r="AV134" s="39"/>
      <c r="AW134" s="39"/>
      <c r="AX134" s="39"/>
      <c r="AY134" s="39"/>
      <c r="AZ134" s="39">
        <f>1055-1055</f>
        <v>0</v>
      </c>
      <c r="BA134" s="39">
        <f>+AR134+AS134+AU134+AW134+AY134+AZ134</f>
        <v>0</v>
      </c>
      <c r="BB134" s="35"/>
      <c r="BC134" s="510"/>
      <c r="BD134" s="510"/>
      <c r="BE134" s="35"/>
      <c r="BF134" s="510"/>
    </row>
    <row r="135" spans="1:58" ht="12.95" customHeight="1">
      <c r="A135" s="42"/>
      <c r="B135" s="43"/>
      <c r="C135" s="421"/>
      <c r="D135" s="43"/>
      <c r="E135" s="44"/>
      <c r="F135" s="44"/>
      <c r="G135" s="45"/>
      <c r="H135" s="46"/>
      <c r="I135" s="47"/>
      <c r="J135" s="87"/>
      <c r="K135" s="87"/>
      <c r="L135" s="37"/>
      <c r="M135" s="37"/>
      <c r="N135" s="48"/>
      <c r="O135" s="49"/>
      <c r="P135" s="50"/>
      <c r="Q135" s="49"/>
      <c r="R135" s="507"/>
      <c r="S135" s="507"/>
      <c r="T135" s="39"/>
      <c r="U135" s="39"/>
      <c r="V135" s="39"/>
      <c r="W135" s="39"/>
      <c r="X135" s="40"/>
      <c r="Y135" s="216"/>
      <c r="Z135" s="39"/>
      <c r="AA135" s="39"/>
      <c r="AB135" s="39"/>
      <c r="AC135" s="39"/>
      <c r="AD135" s="39"/>
      <c r="AE135" s="235"/>
      <c r="AF135" s="35"/>
      <c r="AG135" s="35"/>
      <c r="AH135" s="35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5"/>
      <c r="BC135" s="510"/>
      <c r="BD135" s="53"/>
      <c r="BE135" s="53"/>
      <c r="BF135" s="53"/>
    </row>
    <row r="136" spans="1:58" ht="12.75" customHeight="1">
      <c r="A136" s="42">
        <v>45960</v>
      </c>
      <c r="B136" s="43" t="s">
        <v>399</v>
      </c>
      <c r="C136" s="421">
        <f t="shared" ref="C136" si="261">(M136*E136*O136*Q136)/100000000</f>
        <v>0</v>
      </c>
      <c r="D136" s="43" t="s">
        <v>304</v>
      </c>
      <c r="E136" s="44">
        <v>12</v>
      </c>
      <c r="F136" s="44">
        <v>1</v>
      </c>
      <c r="G136" s="506">
        <v>1230</v>
      </c>
      <c r="H136" s="46">
        <f>+N136</f>
        <v>0.22999999999999998</v>
      </c>
      <c r="I136" s="47">
        <v>0.88</v>
      </c>
      <c r="J136" s="87">
        <f t="shared" ref="J136" si="262">E136*G136*(1-H136)*1440/1000000*2.74</f>
        <v>44.842533120000006</v>
      </c>
      <c r="K136" s="87">
        <f t="shared" ref="K136" si="263">(IF(G136&lt;L136,L136,G136)*(1-IF(H136&lt;N136,H136,N136))*E136*O136*Q136)/100000000</f>
        <v>0</v>
      </c>
      <c r="L136" s="37">
        <v>1223.3333333333333</v>
      </c>
      <c r="M136" s="37">
        <v>941.9666666666667</v>
      </c>
      <c r="N136" s="48">
        <f t="shared" ref="N136" si="264">1-(M136/L136)</f>
        <v>0.22999999999999998</v>
      </c>
      <c r="O136" s="49">
        <f>+'Trim Rwd'!H78</f>
        <v>266</v>
      </c>
      <c r="P136" s="50">
        <f t="shared" ref="P136" si="265">O136*(Q136-R136-S136)</f>
        <v>0</v>
      </c>
      <c r="Q136" s="49">
        <f>1440-1440</f>
        <v>0</v>
      </c>
      <c r="R136" s="507">
        <f>1440-1440</f>
        <v>0</v>
      </c>
      <c r="S136" s="507">
        <v>0</v>
      </c>
      <c r="T136" s="39">
        <f t="shared" ref="T136" si="266">E136*M136*O136*Q136/100000000</f>
        <v>0</v>
      </c>
      <c r="U136" s="39">
        <f>E136*M136*O136*(Q136-R136-S136)/100000000</f>
        <v>0</v>
      </c>
      <c r="V136" s="39">
        <f>E136*G136*(1-N136)*O136/100*(R136+S136)/1000000</f>
        <v>0</v>
      </c>
      <c r="W136" s="39">
        <v>0</v>
      </c>
      <c r="X136" s="508" t="e">
        <f>SUM(W136:W139)/SUM(K136:K139)</f>
        <v>#DIV/0!</v>
      </c>
      <c r="Y136" s="216">
        <f>+'19'!D62/1000</f>
        <v>0</v>
      </c>
      <c r="Z136" s="39">
        <f>+'19'!D62/1000</f>
        <v>0</v>
      </c>
      <c r="AA136" s="51">
        <f>SUM(U136:U139)-SUM(W136:W139)-SUM(Z136:Z139)-SUM(Y136:Y139)</f>
        <v>0</v>
      </c>
      <c r="AB136" s="51">
        <f>(SUM(K136:K139)-SUM(W136:W139)-SUM(Y136:Y139)-SUM(Z136:Z139)-SUM(AC136:AC139)-SUM(V136:V139))-AA136</f>
        <v>0</v>
      </c>
      <c r="AC136" s="39">
        <f>K136-T136</f>
        <v>0</v>
      </c>
      <c r="AD136" s="39">
        <f>+AM136+BA136</f>
        <v>0</v>
      </c>
      <c r="AE136" s="235" t="s">
        <v>386</v>
      </c>
      <c r="AF136" s="39">
        <v>0</v>
      </c>
      <c r="AG136" s="39"/>
      <c r="AH136" s="39"/>
      <c r="AI136" s="509"/>
      <c r="AJ136" s="39"/>
      <c r="AK136" s="39"/>
      <c r="AL136" s="39"/>
      <c r="AM136" s="39">
        <f t="shared" ref="AM136:AM138" si="267">SUM(AF136:AL136)+AT136+AV136+AX136</f>
        <v>0</v>
      </c>
      <c r="AN136" s="39"/>
      <c r="AO136" s="39"/>
      <c r="AP136" s="39"/>
      <c r="AQ136" s="39"/>
      <c r="AR136" s="39">
        <f>SUM(AN136:AQ136)</f>
        <v>0</v>
      </c>
      <c r="AS136" s="39"/>
      <c r="AT136" s="39"/>
      <c r="AU136" s="39"/>
      <c r="AV136" s="39"/>
      <c r="AW136" s="39"/>
      <c r="AX136" s="39"/>
      <c r="AY136" s="39"/>
      <c r="AZ136" s="39"/>
      <c r="BA136" s="39">
        <f>+AR136+AS136+AU136+AW136+AY136+AZ136</f>
        <v>0</v>
      </c>
      <c r="BB136" s="35">
        <v>0</v>
      </c>
      <c r="BC136" s="53"/>
      <c r="BD136" s="53"/>
      <c r="BE136" s="35"/>
      <c r="BF136" s="53"/>
    </row>
    <row r="137" spans="1:58" ht="12.95" customHeight="1">
      <c r="A137" s="42"/>
      <c r="B137" s="43"/>
      <c r="C137" s="421"/>
      <c r="D137" s="43"/>
      <c r="E137" s="44"/>
      <c r="F137" s="44"/>
      <c r="G137" s="506"/>
      <c r="H137" s="46"/>
      <c r="I137" s="47"/>
      <c r="J137" s="87"/>
      <c r="K137" s="87"/>
      <c r="L137" s="37"/>
      <c r="M137" s="37"/>
      <c r="N137" s="48"/>
      <c r="O137" s="49"/>
      <c r="P137" s="50"/>
      <c r="Q137" s="49"/>
      <c r="R137" s="507"/>
      <c r="S137" s="507"/>
      <c r="T137" s="39"/>
      <c r="U137" s="39"/>
      <c r="V137" s="39"/>
      <c r="W137" s="39"/>
      <c r="X137" s="40"/>
      <c r="Y137" s="216"/>
      <c r="Z137" s="39"/>
      <c r="AA137" s="39"/>
      <c r="AB137" s="39"/>
      <c r="AC137" s="39"/>
      <c r="AD137" s="39">
        <f>+AM137+BA137</f>
        <v>0</v>
      </c>
      <c r="AE137" s="235" t="s">
        <v>286</v>
      </c>
      <c r="AF137" s="39"/>
      <c r="AG137" s="39">
        <v>0</v>
      </c>
      <c r="AH137" s="39"/>
      <c r="AI137" s="39"/>
      <c r="AJ137" s="39"/>
      <c r="AK137" s="39"/>
      <c r="AL137" s="39"/>
      <c r="AM137" s="39">
        <f t="shared" si="267"/>
        <v>0</v>
      </c>
      <c r="AN137" s="88"/>
      <c r="AO137" s="39"/>
      <c r="AP137" s="39"/>
      <c r="AQ137" s="39"/>
      <c r="AR137" s="39">
        <f t="shared" ref="AR137:AR138" si="268">SUM(AN137:AQ137)</f>
        <v>0</v>
      </c>
      <c r="AS137" s="39"/>
      <c r="AT137" s="39"/>
      <c r="AU137" s="39"/>
      <c r="AV137" s="39"/>
      <c r="AW137" s="39"/>
      <c r="AX137" s="39"/>
      <c r="AY137" s="39"/>
      <c r="AZ137" s="39"/>
      <c r="BA137" s="39">
        <f>+AR137+AS137+AU137+AW137+AY137+AZ137</f>
        <v>0</v>
      </c>
      <c r="BB137" s="52"/>
      <c r="BC137" s="53">
        <v>0</v>
      </c>
      <c r="BD137" s="53"/>
      <c r="BE137" s="52"/>
      <c r="BF137" s="53"/>
    </row>
    <row r="138" spans="1:58" ht="12.95" customHeight="1">
      <c r="A138" s="42"/>
      <c r="B138" s="43"/>
      <c r="C138" s="421"/>
      <c r="D138" s="43"/>
      <c r="E138" s="44"/>
      <c r="F138" s="44"/>
      <c r="G138" s="45"/>
      <c r="H138" s="46"/>
      <c r="I138" s="47"/>
      <c r="J138" s="87"/>
      <c r="K138" s="87"/>
      <c r="L138" s="37"/>
      <c r="M138" s="37"/>
      <c r="N138" s="48"/>
      <c r="O138" s="49"/>
      <c r="P138" s="50"/>
      <c r="Q138" s="49"/>
      <c r="R138" s="507"/>
      <c r="S138" s="507"/>
      <c r="T138" s="39"/>
      <c r="U138" s="39"/>
      <c r="V138" s="39"/>
      <c r="W138" s="39"/>
      <c r="X138" s="40"/>
      <c r="Y138" s="216"/>
      <c r="Z138" s="39"/>
      <c r="AA138" s="39"/>
      <c r="AB138" s="39"/>
      <c r="AC138" s="39"/>
      <c r="AD138" s="39">
        <f>+AM138+BA138</f>
        <v>0</v>
      </c>
      <c r="AE138" s="235" t="s">
        <v>400</v>
      </c>
      <c r="AF138" s="35"/>
      <c r="AG138" s="35"/>
      <c r="AH138" s="35">
        <v>0</v>
      </c>
      <c r="AI138" s="35"/>
      <c r="AJ138" s="39"/>
      <c r="AK138" s="39"/>
      <c r="AL138" s="39"/>
      <c r="AM138" s="39">
        <f t="shared" si="267"/>
        <v>0</v>
      </c>
      <c r="AN138" s="39"/>
      <c r="AO138" s="39"/>
      <c r="AP138" s="39"/>
      <c r="AQ138" s="39"/>
      <c r="AR138" s="39">
        <f t="shared" si="268"/>
        <v>0</v>
      </c>
      <c r="AS138" s="39"/>
      <c r="AT138" s="39"/>
      <c r="AU138" s="39"/>
      <c r="AV138" s="39"/>
      <c r="AW138" s="39"/>
      <c r="AX138" s="39"/>
      <c r="AY138" s="39"/>
      <c r="AZ138" s="39"/>
      <c r="BA138" s="39">
        <f>+AR138+AS138+AU138+AW138+AY138+AZ138</f>
        <v>0</v>
      </c>
      <c r="BB138" s="35"/>
      <c r="BC138" s="510"/>
      <c r="BD138" s="510"/>
      <c r="BE138" s="35"/>
      <c r="BF138" s="510"/>
    </row>
    <row r="139" spans="1:58" ht="12.95" customHeight="1">
      <c r="A139" s="42"/>
      <c r="B139" s="43"/>
      <c r="C139" s="421"/>
      <c r="D139" s="43"/>
      <c r="E139" s="44"/>
      <c r="F139" s="44"/>
      <c r="G139" s="45"/>
      <c r="H139" s="46"/>
      <c r="I139" s="47"/>
      <c r="J139" s="87"/>
      <c r="K139" s="87"/>
      <c r="L139" s="37"/>
      <c r="M139" s="37"/>
      <c r="N139" s="48"/>
      <c r="O139" s="49"/>
      <c r="P139" s="50"/>
      <c r="Q139" s="49"/>
      <c r="R139" s="507"/>
      <c r="S139" s="507"/>
      <c r="T139" s="39"/>
      <c r="U139" s="39"/>
      <c r="V139" s="39"/>
      <c r="W139" s="39"/>
      <c r="X139" s="40"/>
      <c r="Y139" s="216"/>
      <c r="Z139" s="39"/>
      <c r="AA139" s="39"/>
      <c r="AB139" s="39"/>
      <c r="AC139" s="39"/>
      <c r="AD139" s="39">
        <f>+AM139+BA139</f>
        <v>0</v>
      </c>
      <c r="AE139" s="235" t="s">
        <v>625</v>
      </c>
      <c r="AF139" s="35"/>
      <c r="AG139" s="35"/>
      <c r="AH139" s="35"/>
      <c r="AI139" s="35"/>
      <c r="AJ139" s="39"/>
      <c r="AK139" s="39"/>
      <c r="AL139" s="39"/>
      <c r="AM139" s="39">
        <f t="shared" ref="AM139" si="269">SUM(AF139:AL139)+AT139+AV139+AX139</f>
        <v>0</v>
      </c>
      <c r="AN139" s="39"/>
      <c r="AO139" s="39"/>
      <c r="AP139" s="39"/>
      <c r="AQ139" s="39"/>
      <c r="AR139" s="39">
        <f t="shared" ref="AR139" si="270">SUM(AN139:AQ139)</f>
        <v>0</v>
      </c>
      <c r="AS139" s="39"/>
      <c r="AT139" s="39"/>
      <c r="AU139" s="39"/>
      <c r="AV139" s="39"/>
      <c r="AW139" s="39"/>
      <c r="AX139" s="39"/>
      <c r="AY139" s="39"/>
      <c r="AZ139" s="39">
        <f>1440-1440</f>
        <v>0</v>
      </c>
      <c r="BA139" s="39">
        <f>+AR139+AS139+AU139+AW139+AY139+AZ139</f>
        <v>0</v>
      </c>
      <c r="BB139" s="35"/>
      <c r="BC139" s="510"/>
      <c r="BD139" s="510"/>
      <c r="BE139" s="35"/>
      <c r="BF139" s="510"/>
    </row>
    <row r="140" spans="1:58" ht="12.95" customHeight="1">
      <c r="A140" s="42"/>
      <c r="B140" s="43"/>
      <c r="C140" s="421"/>
      <c r="D140" s="43"/>
      <c r="E140" s="44"/>
      <c r="F140" s="44"/>
      <c r="G140" s="45"/>
      <c r="H140" s="46"/>
      <c r="I140" s="47"/>
      <c r="J140" s="87"/>
      <c r="K140" s="87"/>
      <c r="L140" s="37"/>
      <c r="M140" s="37"/>
      <c r="N140" s="48"/>
      <c r="O140" s="49"/>
      <c r="P140" s="50"/>
      <c r="Q140" s="49"/>
      <c r="R140" s="507"/>
      <c r="S140" s="507"/>
      <c r="T140" s="39"/>
      <c r="U140" s="39"/>
      <c r="V140" s="39"/>
      <c r="W140" s="39"/>
      <c r="X140" s="40"/>
      <c r="Y140" s="216"/>
      <c r="Z140" s="39"/>
      <c r="AA140" s="39"/>
      <c r="AB140" s="39"/>
      <c r="AC140" s="39"/>
      <c r="AD140" s="39"/>
      <c r="AE140" s="235"/>
      <c r="AF140" s="35"/>
      <c r="AG140" s="35"/>
      <c r="AH140" s="35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5"/>
      <c r="BC140" s="510"/>
      <c r="BD140" s="53"/>
      <c r="BE140" s="53"/>
      <c r="BF140" s="53"/>
    </row>
    <row r="141" spans="1:58" ht="12.75" customHeight="1">
      <c r="A141" s="42">
        <v>45961</v>
      </c>
      <c r="B141" s="43" t="s">
        <v>399</v>
      </c>
      <c r="C141" s="421">
        <f t="shared" ref="C141" si="271">(M141*E141*O141*Q141)/100000000</f>
        <v>0</v>
      </c>
      <c r="D141" s="43" t="s">
        <v>304</v>
      </c>
      <c r="E141" s="44">
        <v>12</v>
      </c>
      <c r="F141" s="44">
        <v>1</v>
      </c>
      <c r="G141" s="506">
        <v>1230</v>
      </c>
      <c r="H141" s="46">
        <f>+N141</f>
        <v>0.22999999999999998</v>
      </c>
      <c r="I141" s="47">
        <v>0.88</v>
      </c>
      <c r="J141" s="87">
        <f t="shared" ref="J141" si="272">E141*G141*(1-H141)*1440/1000000*2.74</f>
        <v>44.842533120000006</v>
      </c>
      <c r="K141" s="87">
        <f t="shared" ref="K141" si="273">(IF(G141&lt;L141,L141,G141)*(1-IF(H141&lt;N141,H141,N141))*E141*O141*Q141)/100000000</f>
        <v>0</v>
      </c>
      <c r="L141" s="37">
        <v>1223.3333333333333</v>
      </c>
      <c r="M141" s="37">
        <v>941.9666666666667</v>
      </c>
      <c r="N141" s="48">
        <f t="shared" ref="N141" si="274">1-(M141/L141)</f>
        <v>0.22999999999999998</v>
      </c>
      <c r="O141" s="49">
        <f>+'Trim Rwd'!H80</f>
        <v>266</v>
      </c>
      <c r="P141" s="50">
        <f t="shared" ref="P141" si="275">O141*(Q141-R141-S141)</f>
        <v>0</v>
      </c>
      <c r="Q141" s="49">
        <f>1440-1440</f>
        <v>0</v>
      </c>
      <c r="R141" s="507">
        <f>1440-1440</f>
        <v>0</v>
      </c>
      <c r="S141" s="507">
        <v>0</v>
      </c>
      <c r="T141" s="39">
        <f t="shared" ref="T141" si="276">E141*M141*O141*Q141/100000000</f>
        <v>0</v>
      </c>
      <c r="U141" s="39">
        <f>E141*M141*O141*(Q141-R141-S141)/100000000</f>
        <v>0</v>
      </c>
      <c r="V141" s="39">
        <f>E141*G141*(1-N141)*O141/100*(R141+S141)/1000000</f>
        <v>0</v>
      </c>
      <c r="W141" s="39">
        <v>0</v>
      </c>
      <c r="X141" s="508" t="e">
        <f>SUM(W141:W144)/SUM(K141:K144)</f>
        <v>#DIV/0!</v>
      </c>
      <c r="Y141" s="216">
        <f>+'19'!D67/1000</f>
        <v>0</v>
      </c>
      <c r="Z141" s="39">
        <f>+'19'!D67/1000</f>
        <v>0</v>
      </c>
      <c r="AA141" s="51">
        <f>SUM(U141:U144)-SUM(W141:W144)-SUM(Z141:Z144)-SUM(Y141:Y144)</f>
        <v>0</v>
      </c>
      <c r="AB141" s="51">
        <f>(SUM(K141:K144)-SUM(W141:W144)-SUM(Y141:Y144)-SUM(Z141:Z144)-SUM(AC141:AC144)-SUM(V141:V144))-AA141</f>
        <v>0</v>
      </c>
      <c r="AC141" s="39">
        <f>K141-T141</f>
        <v>0</v>
      </c>
      <c r="AD141" s="39">
        <f>+AM141+BA141</f>
        <v>0</v>
      </c>
      <c r="AE141" s="235" t="s">
        <v>386</v>
      </c>
      <c r="AF141" s="39">
        <v>0</v>
      </c>
      <c r="AG141" s="39"/>
      <c r="AH141" s="39"/>
      <c r="AI141" s="509"/>
      <c r="AJ141" s="39"/>
      <c r="AK141" s="39"/>
      <c r="AL141" s="39"/>
      <c r="AM141" s="39">
        <f t="shared" ref="AM141:AM143" si="277">SUM(AF141:AL141)+AT141+AV141+AX141</f>
        <v>0</v>
      </c>
      <c r="AN141" s="39"/>
      <c r="AO141" s="39"/>
      <c r="AP141" s="39"/>
      <c r="AQ141" s="39"/>
      <c r="AR141" s="39">
        <f>SUM(AN141:AQ141)</f>
        <v>0</v>
      </c>
      <c r="AS141" s="39"/>
      <c r="AT141" s="39"/>
      <c r="AU141" s="39"/>
      <c r="AV141" s="39"/>
      <c r="AW141" s="39"/>
      <c r="AX141" s="39"/>
      <c r="AY141" s="39"/>
      <c r="AZ141" s="39"/>
      <c r="BA141" s="39">
        <f>+AR141+AS141+AU141+AW141+AY141+AZ141</f>
        <v>0</v>
      </c>
      <c r="BB141" s="35">
        <v>0</v>
      </c>
      <c r="BC141" s="53"/>
      <c r="BD141" s="53"/>
      <c r="BE141" s="35"/>
      <c r="BF141" s="53"/>
    </row>
    <row r="142" spans="1:58" ht="12.95" customHeight="1">
      <c r="A142" s="42"/>
      <c r="B142" s="43"/>
      <c r="C142" s="421"/>
      <c r="D142" s="43"/>
      <c r="E142" s="44"/>
      <c r="F142" s="44"/>
      <c r="G142" s="506"/>
      <c r="H142" s="46"/>
      <c r="I142" s="47"/>
      <c r="J142" s="87"/>
      <c r="K142" s="87"/>
      <c r="L142" s="37"/>
      <c r="M142" s="37"/>
      <c r="N142" s="48"/>
      <c r="O142" s="49"/>
      <c r="P142" s="50"/>
      <c r="Q142" s="49"/>
      <c r="R142" s="507"/>
      <c r="S142" s="507"/>
      <c r="T142" s="39"/>
      <c r="U142" s="39"/>
      <c r="V142" s="39"/>
      <c r="W142" s="39"/>
      <c r="X142" s="40"/>
      <c r="Y142" s="216"/>
      <c r="Z142" s="39"/>
      <c r="AA142" s="39"/>
      <c r="AB142" s="39"/>
      <c r="AC142" s="39"/>
      <c r="AD142" s="39">
        <f>+AM142+BA142</f>
        <v>0</v>
      </c>
      <c r="AE142" s="235" t="s">
        <v>286</v>
      </c>
      <c r="AF142" s="39"/>
      <c r="AG142" s="39">
        <v>0</v>
      </c>
      <c r="AH142" s="39"/>
      <c r="AI142" s="39"/>
      <c r="AJ142" s="39"/>
      <c r="AK142" s="39"/>
      <c r="AL142" s="39"/>
      <c r="AM142" s="39">
        <f t="shared" si="277"/>
        <v>0</v>
      </c>
      <c r="AN142" s="88"/>
      <c r="AO142" s="39"/>
      <c r="AP142" s="39"/>
      <c r="AQ142" s="39"/>
      <c r="AR142" s="39">
        <f t="shared" ref="AR142:AR143" si="278">SUM(AN142:AQ142)</f>
        <v>0</v>
      </c>
      <c r="AS142" s="39"/>
      <c r="AT142" s="39"/>
      <c r="AU142" s="39"/>
      <c r="AV142" s="39"/>
      <c r="AW142" s="39"/>
      <c r="AX142" s="39"/>
      <c r="AY142" s="39"/>
      <c r="AZ142" s="39"/>
      <c r="BA142" s="39">
        <f>+AR142+AS142+AU142+AW142+AY142+AZ142</f>
        <v>0</v>
      </c>
      <c r="BB142" s="52"/>
      <c r="BC142" s="53">
        <v>0</v>
      </c>
      <c r="BD142" s="53"/>
      <c r="BE142" s="52"/>
      <c r="BF142" s="53"/>
    </row>
    <row r="143" spans="1:58" ht="12.95" customHeight="1">
      <c r="A143" s="42"/>
      <c r="B143" s="43"/>
      <c r="C143" s="421"/>
      <c r="D143" s="43"/>
      <c r="E143" s="44"/>
      <c r="F143" s="44"/>
      <c r="G143" s="45"/>
      <c r="H143" s="46"/>
      <c r="I143" s="47"/>
      <c r="J143" s="87"/>
      <c r="K143" s="87"/>
      <c r="L143" s="37"/>
      <c r="M143" s="37"/>
      <c r="N143" s="48"/>
      <c r="O143" s="49"/>
      <c r="P143" s="50"/>
      <c r="Q143" s="49"/>
      <c r="R143" s="507"/>
      <c r="S143" s="507"/>
      <c r="T143" s="39"/>
      <c r="U143" s="39"/>
      <c r="V143" s="39"/>
      <c r="W143" s="39"/>
      <c r="X143" s="40"/>
      <c r="Y143" s="216"/>
      <c r="Z143" s="39"/>
      <c r="AA143" s="39"/>
      <c r="AB143" s="39"/>
      <c r="AC143" s="39"/>
      <c r="AD143" s="39">
        <f>+AM143+BA143</f>
        <v>0</v>
      </c>
      <c r="AE143" s="235" t="s">
        <v>400</v>
      </c>
      <c r="AF143" s="35"/>
      <c r="AG143" s="35"/>
      <c r="AH143" s="35">
        <v>0</v>
      </c>
      <c r="AI143" s="35"/>
      <c r="AJ143" s="39"/>
      <c r="AK143" s="39"/>
      <c r="AL143" s="39"/>
      <c r="AM143" s="39">
        <f t="shared" si="277"/>
        <v>0</v>
      </c>
      <c r="AN143" s="39"/>
      <c r="AO143" s="39"/>
      <c r="AP143" s="39"/>
      <c r="AQ143" s="39"/>
      <c r="AR143" s="39">
        <f t="shared" si="278"/>
        <v>0</v>
      </c>
      <c r="AS143" s="39"/>
      <c r="AT143" s="39"/>
      <c r="AU143" s="39"/>
      <c r="AV143" s="39"/>
      <c r="AW143" s="39"/>
      <c r="AX143" s="39"/>
      <c r="AY143" s="39"/>
      <c r="AZ143" s="39"/>
      <c r="BA143" s="39">
        <f>+AR143+AS143+AU143+AW143+AY143+AZ143</f>
        <v>0</v>
      </c>
      <c r="BB143" s="35"/>
      <c r="BC143" s="510"/>
      <c r="BD143" s="510"/>
      <c r="BE143" s="35"/>
      <c r="BF143" s="510"/>
    </row>
    <row r="144" spans="1:58" ht="12.95" customHeight="1">
      <c r="A144" s="42"/>
      <c r="B144" s="43"/>
      <c r="C144" s="421"/>
      <c r="D144" s="43"/>
      <c r="E144" s="44"/>
      <c r="F144" s="44"/>
      <c r="G144" s="45"/>
      <c r="H144" s="46"/>
      <c r="I144" s="47"/>
      <c r="J144" s="87"/>
      <c r="K144" s="87"/>
      <c r="L144" s="37"/>
      <c r="M144" s="37"/>
      <c r="N144" s="48"/>
      <c r="O144" s="49"/>
      <c r="P144" s="50"/>
      <c r="Q144" s="49"/>
      <c r="R144" s="507"/>
      <c r="S144" s="507"/>
      <c r="T144" s="39"/>
      <c r="U144" s="39"/>
      <c r="V144" s="39"/>
      <c r="W144" s="39"/>
      <c r="X144" s="40"/>
      <c r="Y144" s="216"/>
      <c r="Z144" s="39"/>
      <c r="AA144" s="39"/>
      <c r="AB144" s="39"/>
      <c r="AC144" s="39"/>
      <c r="AD144" s="39">
        <f>+AM144+BA144</f>
        <v>0</v>
      </c>
      <c r="AE144" s="235" t="s">
        <v>625</v>
      </c>
      <c r="AF144" s="35"/>
      <c r="AG144" s="35"/>
      <c r="AH144" s="35"/>
      <c r="AI144" s="35"/>
      <c r="AJ144" s="39"/>
      <c r="AK144" s="39"/>
      <c r="AL144" s="39"/>
      <c r="AM144" s="39">
        <f t="shared" ref="AM144" si="279">SUM(AF144:AL144)+AT144+AV144+AX144</f>
        <v>0</v>
      </c>
      <c r="AN144" s="39"/>
      <c r="AO144" s="39"/>
      <c r="AP144" s="39"/>
      <c r="AQ144" s="39"/>
      <c r="AR144" s="39">
        <f t="shared" ref="AR144" si="280">SUM(AN144:AQ144)</f>
        <v>0</v>
      </c>
      <c r="AS144" s="39"/>
      <c r="AT144" s="39"/>
      <c r="AU144" s="39"/>
      <c r="AV144" s="39"/>
      <c r="AW144" s="39"/>
      <c r="AX144" s="39"/>
      <c r="AY144" s="39"/>
      <c r="AZ144" s="39">
        <f>1440-1440</f>
        <v>0</v>
      </c>
      <c r="BA144" s="39">
        <f>+AR144+AS144+AU144+AW144+AY144+AZ144</f>
        <v>0</v>
      </c>
      <c r="BB144" s="35"/>
      <c r="BC144" s="510"/>
      <c r="BD144" s="510"/>
      <c r="BE144" s="35"/>
      <c r="BF144" s="510"/>
    </row>
    <row r="145" spans="1:58" ht="12.95" customHeight="1">
      <c r="A145" s="42"/>
      <c r="B145" s="43"/>
      <c r="C145" s="421"/>
      <c r="D145" s="43"/>
      <c r="E145" s="44"/>
      <c r="F145" s="44"/>
      <c r="G145" s="506"/>
      <c r="H145" s="46"/>
      <c r="I145" s="47"/>
      <c r="J145" s="87"/>
      <c r="K145" s="87"/>
      <c r="L145" s="37"/>
      <c r="M145" s="37"/>
      <c r="N145" s="48"/>
      <c r="O145" s="49"/>
      <c r="P145" s="50"/>
      <c r="Q145" s="49"/>
      <c r="R145" s="507"/>
      <c r="S145" s="507"/>
      <c r="T145" s="39"/>
      <c r="U145" s="39"/>
      <c r="V145" s="39"/>
      <c r="W145" s="39"/>
      <c r="X145" s="40"/>
      <c r="Y145" s="216"/>
      <c r="Z145" s="39"/>
      <c r="AA145" s="39"/>
      <c r="AB145" s="39"/>
      <c r="AC145" s="39"/>
      <c r="AD145" s="39"/>
      <c r="AE145" s="235"/>
      <c r="AF145" s="39"/>
      <c r="AG145" s="39"/>
      <c r="AH145" s="39"/>
      <c r="AI145" s="509"/>
      <c r="AJ145" s="39"/>
      <c r="AK145" s="39"/>
      <c r="AL145" s="39"/>
      <c r="AM145" s="39"/>
      <c r="AN145" s="88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52"/>
      <c r="BC145" s="53"/>
      <c r="BD145" s="53"/>
      <c r="BE145" s="53"/>
      <c r="BF145" s="53"/>
    </row>
    <row r="146" spans="1:58" ht="12.95" customHeight="1">
      <c r="A146" s="42"/>
      <c r="B146" s="43"/>
      <c r="C146" s="421"/>
      <c r="D146" s="43"/>
      <c r="E146" s="44"/>
      <c r="F146" s="44"/>
      <c r="G146" s="45"/>
      <c r="H146" s="46"/>
      <c r="I146" s="47"/>
      <c r="J146" s="87"/>
      <c r="K146" s="87"/>
      <c r="L146" s="37"/>
      <c r="M146" s="37"/>
      <c r="N146" s="48"/>
      <c r="O146" s="49"/>
      <c r="P146" s="50"/>
      <c r="Q146" s="49"/>
      <c r="R146" s="507"/>
      <c r="S146" s="507"/>
      <c r="T146" s="39"/>
      <c r="U146" s="39"/>
      <c r="V146" s="39"/>
      <c r="W146" s="39"/>
      <c r="X146" s="40"/>
      <c r="Y146" s="216"/>
      <c r="Z146" s="39"/>
      <c r="AA146" s="39"/>
      <c r="AB146" s="39"/>
      <c r="AC146" s="39"/>
      <c r="AD146" s="39"/>
      <c r="AE146" s="235"/>
      <c r="AF146" s="35"/>
      <c r="AG146" s="35"/>
      <c r="AH146" s="35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5"/>
      <c r="BC146" s="510"/>
      <c r="BD146" s="53"/>
      <c r="BE146" s="53"/>
      <c r="BF146" s="53"/>
    </row>
    <row r="147" spans="1:58" ht="12.95" customHeight="1">
      <c r="A147" s="42"/>
      <c r="B147" s="43"/>
      <c r="C147" s="421"/>
      <c r="D147" s="43"/>
      <c r="E147" s="44"/>
      <c r="F147" s="44"/>
      <c r="G147" s="45"/>
      <c r="H147" s="46"/>
      <c r="I147" s="47"/>
      <c r="J147" s="87"/>
      <c r="K147" s="87"/>
      <c r="L147" s="37"/>
      <c r="M147" s="37"/>
      <c r="N147" s="48"/>
      <c r="O147" s="49"/>
      <c r="P147" s="50"/>
      <c r="Q147" s="36"/>
      <c r="R147" s="507"/>
      <c r="S147" s="507"/>
      <c r="T147" s="39"/>
      <c r="U147" s="39"/>
      <c r="V147" s="39"/>
      <c r="W147" s="39"/>
      <c r="X147" s="40"/>
      <c r="Y147" s="216"/>
      <c r="Z147" s="39"/>
      <c r="AA147" s="39"/>
      <c r="AB147" s="39"/>
      <c r="AC147" s="39"/>
      <c r="AD147" s="39"/>
      <c r="AE147" s="238"/>
      <c r="AF147" s="39"/>
      <c r="AG147" s="39"/>
      <c r="AH147" s="39"/>
      <c r="AI147" s="50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52"/>
      <c r="BC147" s="53"/>
      <c r="BD147" s="53"/>
      <c r="BE147" s="53"/>
      <c r="BF147" s="53"/>
    </row>
    <row r="148" spans="1:58" ht="12.95" customHeight="1">
      <c r="A148" s="42"/>
      <c r="B148" s="43"/>
      <c r="C148" s="421"/>
      <c r="D148" s="43"/>
      <c r="E148" s="44"/>
      <c r="F148" s="44"/>
      <c r="G148" s="506"/>
      <c r="H148" s="46"/>
      <c r="I148" s="47"/>
      <c r="J148" s="87"/>
      <c r="K148" s="87"/>
      <c r="L148" s="37"/>
      <c r="M148" s="37"/>
      <c r="N148" s="48"/>
      <c r="O148" s="49"/>
      <c r="P148" s="50"/>
      <c r="Q148" s="49"/>
      <c r="R148" s="507"/>
      <c r="S148" s="507"/>
      <c r="T148" s="39"/>
      <c r="U148" s="39"/>
      <c r="V148" s="39"/>
      <c r="W148" s="39"/>
      <c r="X148" s="40"/>
      <c r="Y148" s="216"/>
      <c r="Z148" s="39"/>
      <c r="AA148" s="51"/>
      <c r="AB148" s="51"/>
      <c r="AC148" s="39"/>
      <c r="AD148" s="39"/>
      <c r="AE148" s="235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5"/>
      <c r="BC148" s="53"/>
      <c r="BD148" s="53"/>
      <c r="BE148" s="53"/>
      <c r="BF148" s="53"/>
    </row>
    <row r="149" spans="1:58" ht="16.5" customHeight="1">
      <c r="A149" s="42"/>
      <c r="B149" s="43"/>
      <c r="C149" s="421"/>
      <c r="D149" s="43"/>
      <c r="E149" s="44"/>
      <c r="F149" s="44"/>
      <c r="G149" s="506"/>
      <c r="H149" s="46"/>
      <c r="I149" s="47"/>
      <c r="J149" s="87"/>
      <c r="K149" s="87"/>
      <c r="L149" s="37"/>
      <c r="M149" s="37"/>
      <c r="N149" s="48"/>
      <c r="O149" s="49"/>
      <c r="P149" s="50"/>
      <c r="Q149" s="49"/>
      <c r="R149" s="507"/>
      <c r="S149" s="507"/>
      <c r="T149" s="39"/>
      <c r="U149" s="39"/>
      <c r="V149" s="39"/>
      <c r="W149" s="39"/>
      <c r="X149" s="508"/>
      <c r="Y149" s="216"/>
      <c r="Z149" s="39"/>
      <c r="AA149" s="51"/>
      <c r="AB149" s="51"/>
      <c r="AC149" s="39"/>
      <c r="AD149" s="39"/>
      <c r="AE149" s="235"/>
      <c r="AF149" s="39"/>
      <c r="AG149" s="39"/>
      <c r="AH149" s="39"/>
      <c r="AI149" s="50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5"/>
      <c r="BC149" s="53"/>
      <c r="BD149" s="53"/>
      <c r="BE149" s="53"/>
      <c r="BF149" s="53"/>
    </row>
    <row r="150" spans="1:58" ht="12.95" customHeight="1">
      <c r="A150" s="42"/>
      <c r="B150" s="43"/>
      <c r="C150" s="421"/>
      <c r="D150" s="43"/>
      <c r="E150" s="44"/>
      <c r="F150" s="44"/>
      <c r="G150" s="506"/>
      <c r="H150" s="46"/>
      <c r="I150" s="47"/>
      <c r="J150" s="87"/>
      <c r="K150" s="87"/>
      <c r="L150" s="37"/>
      <c r="M150" s="37"/>
      <c r="N150" s="48"/>
      <c r="O150" s="49"/>
      <c r="P150" s="50"/>
      <c r="Q150" s="49"/>
      <c r="R150" s="507"/>
      <c r="S150" s="507"/>
      <c r="T150" s="39"/>
      <c r="U150" s="39"/>
      <c r="V150" s="39"/>
      <c r="W150" s="39"/>
      <c r="X150" s="40"/>
      <c r="Y150" s="216"/>
      <c r="Z150" s="39"/>
      <c r="AA150" s="39"/>
      <c r="AB150" s="39"/>
      <c r="AC150" s="39"/>
      <c r="AD150" s="39"/>
      <c r="AE150" s="235"/>
      <c r="AF150" s="39"/>
      <c r="AG150" s="39"/>
      <c r="AH150" s="39"/>
      <c r="AI150" s="509"/>
      <c r="AJ150" s="39"/>
      <c r="AK150" s="39"/>
      <c r="AL150" s="39"/>
      <c r="AM150" s="39"/>
      <c r="AN150" s="88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52"/>
      <c r="BC150" s="53"/>
      <c r="BD150" s="53"/>
      <c r="BE150" s="53"/>
      <c r="BF150" s="53"/>
    </row>
    <row r="151" spans="1:58" ht="12.95" customHeight="1">
      <c r="A151" s="42"/>
      <c r="B151" s="43"/>
      <c r="C151" s="421"/>
      <c r="D151" s="43"/>
      <c r="E151" s="44"/>
      <c r="F151" s="44"/>
      <c r="G151" s="45"/>
      <c r="H151" s="46"/>
      <c r="I151" s="47"/>
      <c r="J151" s="87"/>
      <c r="K151" s="87"/>
      <c r="L151" s="37"/>
      <c r="M151" s="37"/>
      <c r="N151" s="48"/>
      <c r="O151" s="49"/>
      <c r="P151" s="50"/>
      <c r="Q151" s="49"/>
      <c r="R151" s="507"/>
      <c r="S151" s="507"/>
      <c r="T151" s="39"/>
      <c r="U151" s="39"/>
      <c r="V151" s="39"/>
      <c r="W151" s="39"/>
      <c r="X151" s="40"/>
      <c r="Y151" s="216"/>
      <c r="Z151" s="39"/>
      <c r="AA151" s="39"/>
      <c r="AB151" s="39"/>
      <c r="AC151" s="39"/>
      <c r="AD151" s="39"/>
      <c r="AE151" s="235"/>
      <c r="AF151" s="35"/>
      <c r="AG151" s="35"/>
      <c r="AH151" s="35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5"/>
      <c r="BC151" s="510"/>
      <c r="BD151" s="53"/>
      <c r="BE151" s="53"/>
      <c r="BF151" s="53"/>
    </row>
    <row r="152" spans="1:58" ht="12.95" customHeight="1">
      <c r="A152" s="42"/>
      <c r="B152" s="43"/>
      <c r="C152" s="421"/>
      <c r="D152" s="43"/>
      <c r="E152" s="44"/>
      <c r="F152" s="44"/>
      <c r="G152" s="45"/>
      <c r="H152" s="46"/>
      <c r="I152" s="47"/>
      <c r="J152" s="87"/>
      <c r="K152" s="87"/>
      <c r="L152" s="37"/>
      <c r="M152" s="37"/>
      <c r="N152" s="48"/>
      <c r="O152" s="49"/>
      <c r="P152" s="50"/>
      <c r="Q152" s="36"/>
      <c r="R152" s="507"/>
      <c r="S152" s="507"/>
      <c r="T152" s="39"/>
      <c r="U152" s="39"/>
      <c r="V152" s="39"/>
      <c r="W152" s="39"/>
      <c r="X152" s="40"/>
      <c r="Y152" s="216"/>
      <c r="Z152" s="39"/>
      <c r="AA152" s="39"/>
      <c r="AB152" s="39"/>
      <c r="AC152" s="39"/>
      <c r="AD152" s="39"/>
      <c r="AE152" s="238"/>
      <c r="AF152" s="39"/>
      <c r="AG152" s="39"/>
      <c r="AH152" s="39"/>
      <c r="AI152" s="50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52"/>
      <c r="BC152" s="53"/>
      <c r="BD152" s="53"/>
      <c r="BE152" s="53"/>
      <c r="BF152" s="53"/>
    </row>
    <row r="153" spans="1:58" ht="12.95" customHeight="1">
      <c r="A153" s="42"/>
      <c r="B153" s="43"/>
      <c r="C153" s="421"/>
      <c r="D153" s="43"/>
      <c r="E153" s="44"/>
      <c r="F153" s="44"/>
      <c r="G153" s="506"/>
      <c r="H153" s="46"/>
      <c r="I153" s="47"/>
      <c r="J153" s="87"/>
      <c r="K153" s="87"/>
      <c r="L153" s="37"/>
      <c r="M153" s="37"/>
      <c r="N153" s="48"/>
      <c r="O153" s="49"/>
      <c r="P153" s="50"/>
      <c r="Q153" s="49"/>
      <c r="R153" s="507"/>
      <c r="S153" s="507"/>
      <c r="T153" s="39"/>
      <c r="U153" s="39"/>
      <c r="V153" s="39"/>
      <c r="W153" s="39"/>
      <c r="X153" s="40"/>
      <c r="Y153" s="216"/>
      <c r="Z153" s="39"/>
      <c r="AA153" s="51"/>
      <c r="AB153" s="51"/>
      <c r="AC153" s="39"/>
      <c r="AD153" s="39"/>
      <c r="AE153" s="235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5"/>
      <c r="BC153" s="53"/>
      <c r="BD153" s="53"/>
      <c r="BE153" s="53"/>
      <c r="BF153" s="53"/>
    </row>
    <row r="154" spans="1:58" ht="16.5" customHeight="1">
      <c r="A154" s="42"/>
      <c r="B154" s="43"/>
      <c r="C154" s="421"/>
      <c r="D154" s="43"/>
      <c r="E154" s="44"/>
      <c r="F154" s="44"/>
      <c r="G154" s="506"/>
      <c r="H154" s="46"/>
      <c r="I154" s="47"/>
      <c r="J154" s="87"/>
      <c r="K154" s="87"/>
      <c r="L154" s="37"/>
      <c r="M154" s="37"/>
      <c r="N154" s="48"/>
      <c r="O154" s="49"/>
      <c r="P154" s="50"/>
      <c r="Q154" s="49"/>
      <c r="R154" s="507"/>
      <c r="S154" s="507"/>
      <c r="T154" s="39"/>
      <c r="U154" s="39"/>
      <c r="V154" s="39"/>
      <c r="W154" s="39"/>
      <c r="X154" s="508"/>
      <c r="Y154" s="216"/>
      <c r="Z154" s="39"/>
      <c r="AA154" s="51"/>
      <c r="AB154" s="51"/>
      <c r="AC154" s="39"/>
      <c r="AD154" s="39"/>
      <c r="AE154" s="235"/>
      <c r="AF154" s="39"/>
      <c r="AG154" s="39"/>
      <c r="AH154" s="39"/>
      <c r="AI154" s="50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5"/>
      <c r="BC154" s="53"/>
      <c r="BD154" s="53"/>
      <c r="BE154" s="53"/>
      <c r="BF154" s="53"/>
    </row>
    <row r="155" spans="1:58" ht="12.95" customHeight="1">
      <c r="A155" s="42"/>
      <c r="B155" s="43"/>
      <c r="C155" s="421"/>
      <c r="D155" s="43"/>
      <c r="E155" s="44"/>
      <c r="F155" s="44"/>
      <c r="G155" s="506"/>
      <c r="H155" s="46"/>
      <c r="I155" s="47"/>
      <c r="J155" s="87"/>
      <c r="K155" s="87"/>
      <c r="L155" s="37"/>
      <c r="M155" s="37"/>
      <c r="N155" s="48"/>
      <c r="O155" s="49"/>
      <c r="P155" s="50"/>
      <c r="Q155" s="49"/>
      <c r="R155" s="507"/>
      <c r="S155" s="507"/>
      <c r="T155" s="39"/>
      <c r="U155" s="39"/>
      <c r="V155" s="39"/>
      <c r="W155" s="39"/>
      <c r="X155" s="40"/>
      <c r="Y155" s="216"/>
      <c r="Z155" s="39"/>
      <c r="AA155" s="39"/>
      <c r="AB155" s="39"/>
      <c r="AC155" s="39"/>
      <c r="AD155" s="39"/>
      <c r="AE155" s="235"/>
      <c r="AF155" s="39"/>
      <c r="AG155" s="39"/>
      <c r="AH155" s="39"/>
      <c r="AI155" s="509"/>
      <c r="AJ155" s="39"/>
      <c r="AK155" s="39"/>
      <c r="AL155" s="39"/>
      <c r="AM155" s="39"/>
      <c r="AN155" s="88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52"/>
      <c r="BC155" s="53"/>
      <c r="BD155" s="53"/>
      <c r="BE155" s="53"/>
      <c r="BF155" s="53"/>
    </row>
    <row r="156" spans="1:58" ht="12.95" customHeight="1">
      <c r="A156" s="42"/>
      <c r="B156" s="43"/>
      <c r="C156" s="421"/>
      <c r="D156" s="43"/>
      <c r="E156" s="44"/>
      <c r="F156" s="44"/>
      <c r="G156" s="45"/>
      <c r="H156" s="46"/>
      <c r="I156" s="47"/>
      <c r="J156" s="87"/>
      <c r="K156" s="87"/>
      <c r="L156" s="37"/>
      <c r="M156" s="37"/>
      <c r="N156" s="48"/>
      <c r="O156" s="49"/>
      <c r="P156" s="50"/>
      <c r="Q156" s="49"/>
      <c r="R156" s="507"/>
      <c r="S156" s="507"/>
      <c r="T156" s="39"/>
      <c r="U156" s="39"/>
      <c r="V156" s="39"/>
      <c r="W156" s="39"/>
      <c r="X156" s="40"/>
      <c r="Y156" s="216"/>
      <c r="Z156" s="39"/>
      <c r="AA156" s="39"/>
      <c r="AB156" s="39"/>
      <c r="AC156" s="39"/>
      <c r="AD156" s="39"/>
      <c r="AE156" s="235"/>
      <c r="AF156" s="35"/>
      <c r="AG156" s="35"/>
      <c r="AH156" s="35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5"/>
      <c r="BC156" s="510"/>
      <c r="BD156" s="53"/>
      <c r="BE156" s="53"/>
      <c r="BF156" s="53"/>
    </row>
    <row r="157" spans="1:58" ht="12.95" customHeight="1">
      <c r="A157" s="42"/>
      <c r="B157" s="43"/>
      <c r="C157" s="421"/>
      <c r="D157" s="43"/>
      <c r="E157" s="44"/>
      <c r="F157" s="44"/>
      <c r="G157" s="45"/>
      <c r="H157" s="46"/>
      <c r="I157" s="47"/>
      <c r="J157" s="87"/>
      <c r="K157" s="87"/>
      <c r="L157" s="37"/>
      <c r="M157" s="37"/>
      <c r="N157" s="48"/>
      <c r="O157" s="49"/>
      <c r="P157" s="50"/>
      <c r="Q157" s="36"/>
      <c r="R157" s="507"/>
      <c r="S157" s="507"/>
      <c r="T157" s="39"/>
      <c r="U157" s="39"/>
      <c r="V157" s="39"/>
      <c r="W157" s="39"/>
      <c r="X157" s="40"/>
      <c r="Y157" s="216"/>
      <c r="Z157" s="39"/>
      <c r="AA157" s="39"/>
      <c r="AB157" s="39"/>
      <c r="AC157" s="39"/>
      <c r="AD157" s="39"/>
      <c r="AE157" s="238"/>
      <c r="AF157" s="39"/>
      <c r="AG157" s="39"/>
      <c r="AH157" s="39"/>
      <c r="AI157" s="50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52"/>
      <c r="BC157" s="53"/>
      <c r="BD157" s="53"/>
      <c r="BE157" s="53"/>
      <c r="BF157" s="53"/>
    </row>
    <row r="158" spans="1:58" ht="12.95" customHeight="1">
      <c r="A158" s="42"/>
      <c r="B158" s="557"/>
      <c r="C158" s="421"/>
      <c r="D158" s="43"/>
      <c r="E158" s="44"/>
      <c r="F158" s="44"/>
      <c r="G158" s="45"/>
      <c r="H158" s="46"/>
      <c r="I158" s="47"/>
      <c r="J158" s="87"/>
      <c r="K158" s="87"/>
      <c r="L158" s="37"/>
      <c r="M158" s="37"/>
      <c r="N158" s="48"/>
      <c r="O158" s="49"/>
      <c r="P158" s="50"/>
      <c r="Q158" s="36"/>
      <c r="R158" s="507"/>
      <c r="S158" s="507"/>
      <c r="T158" s="39"/>
      <c r="U158" s="39"/>
      <c r="V158" s="39"/>
      <c r="W158" s="39"/>
      <c r="X158" s="40"/>
      <c r="Y158" s="40"/>
      <c r="Z158" s="39"/>
      <c r="AA158" s="51"/>
      <c r="AB158" s="51"/>
      <c r="AC158" s="39"/>
      <c r="AD158" s="39"/>
      <c r="AE158" s="235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5"/>
      <c r="BC158" s="53"/>
      <c r="BD158" s="53"/>
      <c r="BE158" s="53"/>
      <c r="BF158" s="53"/>
    </row>
    <row r="159" spans="1:58" ht="12.95" customHeight="1">
      <c r="A159" s="42"/>
      <c r="B159" s="43"/>
      <c r="C159" s="421"/>
      <c r="D159" s="43"/>
      <c r="E159" s="44"/>
      <c r="F159" s="44"/>
      <c r="G159" s="506"/>
      <c r="H159" s="46"/>
      <c r="I159" s="47"/>
      <c r="J159" s="87"/>
      <c r="K159" s="87"/>
      <c r="L159" s="37"/>
      <c r="M159" s="37"/>
      <c r="N159" s="48"/>
      <c r="O159" s="49"/>
      <c r="P159" s="50"/>
      <c r="Q159" s="49"/>
      <c r="R159" s="507"/>
      <c r="S159" s="507"/>
      <c r="T159" s="39"/>
      <c r="U159" s="39"/>
      <c r="V159" s="39"/>
      <c r="W159" s="39"/>
      <c r="X159" s="40"/>
      <c r="Y159" s="216"/>
      <c r="Z159" s="39"/>
      <c r="AA159" s="51"/>
      <c r="AB159" s="51"/>
      <c r="AC159" s="39"/>
      <c r="AD159" s="39"/>
      <c r="AE159" s="235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5"/>
      <c r="BC159" s="53"/>
      <c r="BD159" s="53"/>
      <c r="BE159" s="53"/>
      <c r="BF159" s="53"/>
    </row>
    <row r="160" spans="1:58" ht="12.95" customHeight="1">
      <c r="A160" s="42"/>
      <c r="B160" s="43"/>
      <c r="C160" s="421"/>
      <c r="D160" s="43"/>
      <c r="E160" s="44"/>
      <c r="F160" s="44"/>
      <c r="G160" s="506"/>
      <c r="H160" s="46"/>
      <c r="I160" s="47"/>
      <c r="J160" s="87"/>
      <c r="K160" s="87"/>
      <c r="L160" s="37"/>
      <c r="M160" s="37"/>
      <c r="N160" s="48"/>
      <c r="O160" s="49"/>
      <c r="P160" s="50"/>
      <c r="Q160" s="49"/>
      <c r="R160" s="507"/>
      <c r="S160" s="507"/>
      <c r="T160" s="39"/>
      <c r="U160" s="39"/>
      <c r="V160" s="39"/>
      <c r="W160" s="39"/>
      <c r="X160" s="40"/>
      <c r="Y160" s="216"/>
      <c r="Z160" s="39"/>
      <c r="AA160" s="51"/>
      <c r="AB160" s="51"/>
      <c r="AC160" s="39"/>
      <c r="AD160" s="39"/>
      <c r="AE160" s="235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5"/>
      <c r="BC160" s="53"/>
      <c r="BD160" s="53"/>
      <c r="BE160" s="53"/>
      <c r="BF160" s="53"/>
    </row>
    <row r="161" spans="1:58" ht="12.95" customHeight="1">
      <c r="A161" s="42"/>
      <c r="B161" s="43"/>
      <c r="C161" s="421"/>
      <c r="D161" s="43"/>
      <c r="E161" s="44"/>
      <c r="F161" s="44"/>
      <c r="G161" s="506"/>
      <c r="H161" s="46"/>
      <c r="I161" s="47"/>
      <c r="J161" s="87"/>
      <c r="K161" s="87"/>
      <c r="L161" s="37"/>
      <c r="M161" s="37"/>
      <c r="N161" s="48"/>
      <c r="O161" s="49"/>
      <c r="P161" s="50"/>
      <c r="Q161" s="49"/>
      <c r="R161" s="507"/>
      <c r="S161" s="507"/>
      <c r="T161" s="39"/>
      <c r="U161" s="39"/>
      <c r="V161" s="39"/>
      <c r="W161" s="39"/>
      <c r="X161" s="40"/>
      <c r="Y161" s="216"/>
      <c r="Z161" s="39"/>
      <c r="AA161" s="51"/>
      <c r="AB161" s="51"/>
      <c r="AC161" s="39"/>
      <c r="AD161" s="39"/>
      <c r="AE161" s="235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5"/>
      <c r="BC161" s="53"/>
      <c r="BD161" s="53"/>
      <c r="BE161" s="53"/>
      <c r="BF161" s="53"/>
    </row>
    <row r="162" spans="1:58" ht="12.95" customHeight="1">
      <c r="A162" s="42"/>
      <c r="B162" s="540"/>
      <c r="C162" s="421"/>
      <c r="D162" s="43"/>
      <c r="E162" s="44"/>
      <c r="F162" s="44"/>
      <c r="G162" s="45"/>
      <c r="H162" s="46"/>
      <c r="I162" s="47"/>
      <c r="J162" s="87"/>
      <c r="K162" s="87"/>
      <c r="L162" s="37"/>
      <c r="M162" s="37"/>
      <c r="N162" s="48"/>
      <c r="O162" s="49"/>
      <c r="P162" s="50"/>
      <c r="Q162" s="36"/>
      <c r="R162" s="507"/>
      <c r="S162" s="507"/>
      <c r="T162" s="39"/>
      <c r="U162" s="39"/>
      <c r="V162" s="39"/>
      <c r="W162" s="39"/>
      <c r="X162" s="40"/>
      <c r="Y162" s="40"/>
      <c r="Z162" s="39"/>
      <c r="AA162" s="51"/>
      <c r="AB162" s="51"/>
      <c r="AC162" s="39"/>
      <c r="AD162" s="39"/>
      <c r="AE162" s="21"/>
      <c r="AF162" s="39"/>
      <c r="AG162" s="39"/>
      <c r="AH162" s="39"/>
      <c r="AI162" s="39"/>
      <c r="AJ162" s="39"/>
      <c r="AK162" s="39"/>
      <c r="AL162" s="39"/>
      <c r="AM162" s="39">
        <f t="shared" ref="AM162:AM166" si="281">SUM(AF162:AL162)</f>
        <v>0</v>
      </c>
      <c r="AN162" s="39"/>
      <c r="AO162" s="39"/>
      <c r="AP162" s="39"/>
      <c r="AQ162" s="39"/>
      <c r="AR162" s="39">
        <f t="shared" ref="AR162:AR166" si="282">SUM(AN162:AQ162)</f>
        <v>0</v>
      </c>
      <c r="AS162" s="39"/>
      <c r="AT162" s="39"/>
      <c r="AU162" s="39"/>
      <c r="AV162" s="39"/>
      <c r="AW162" s="39"/>
      <c r="AX162" s="39"/>
      <c r="AY162" s="39"/>
      <c r="AZ162" s="39"/>
      <c r="BA162" s="39"/>
      <c r="BB162" s="35"/>
      <c r="BC162" s="53"/>
      <c r="BD162" s="53"/>
      <c r="BE162" s="53"/>
      <c r="BF162" s="53"/>
    </row>
    <row r="163" spans="1:58" ht="12.95" customHeight="1">
      <c r="A163" s="42"/>
      <c r="B163" s="540"/>
      <c r="C163" s="421"/>
      <c r="D163" s="43"/>
      <c r="E163" s="44"/>
      <c r="F163" s="44"/>
      <c r="G163" s="45"/>
      <c r="H163" s="46"/>
      <c r="I163" s="47"/>
      <c r="J163" s="87"/>
      <c r="K163" s="87"/>
      <c r="L163" s="37"/>
      <c r="M163" s="37"/>
      <c r="N163" s="48"/>
      <c r="O163" s="49"/>
      <c r="P163" s="50"/>
      <c r="Q163" s="36"/>
      <c r="R163" s="507"/>
      <c r="S163" s="507"/>
      <c r="T163" s="39"/>
      <c r="U163" s="39"/>
      <c r="V163" s="39"/>
      <c r="W163" s="39"/>
      <c r="X163" s="40"/>
      <c r="Y163" s="40"/>
      <c r="Z163" s="39"/>
      <c r="AA163" s="51"/>
      <c r="AB163" s="51"/>
      <c r="AC163" s="39"/>
      <c r="AD163" s="39"/>
      <c r="AE163" s="21"/>
      <c r="AF163" s="39"/>
      <c r="AG163" s="39"/>
      <c r="AH163" s="39"/>
      <c r="AI163" s="39"/>
      <c r="AJ163" s="39"/>
      <c r="AK163" s="39"/>
      <c r="AL163" s="39"/>
      <c r="AM163" s="39">
        <f t="shared" si="281"/>
        <v>0</v>
      </c>
      <c r="AN163" s="39"/>
      <c r="AO163" s="39"/>
      <c r="AP163" s="39"/>
      <c r="AQ163" s="39"/>
      <c r="AR163" s="39">
        <f t="shared" si="282"/>
        <v>0</v>
      </c>
      <c r="AS163" s="39"/>
      <c r="AT163" s="39"/>
      <c r="AU163" s="39"/>
      <c r="AV163" s="39"/>
      <c r="AW163" s="39"/>
      <c r="AX163" s="39"/>
      <c r="AY163" s="39"/>
      <c r="AZ163" s="39"/>
      <c r="BA163" s="39"/>
      <c r="BB163" s="35"/>
      <c r="BC163" s="53"/>
      <c r="BD163" s="510"/>
      <c r="BE163" s="35"/>
      <c r="BF163" s="510"/>
    </row>
    <row r="164" spans="1:58" ht="12.95" customHeight="1">
      <c r="A164" s="42"/>
      <c r="B164" s="43"/>
      <c r="C164" s="421"/>
      <c r="D164" s="43"/>
      <c r="E164" s="44"/>
      <c r="F164" s="44"/>
      <c r="G164" s="55"/>
      <c r="H164" s="56"/>
      <c r="I164" s="47"/>
      <c r="J164" s="87"/>
      <c r="K164" s="87"/>
      <c r="L164" s="37"/>
      <c r="M164" s="37"/>
      <c r="N164" s="48"/>
      <c r="O164" s="49"/>
      <c r="P164" s="50"/>
      <c r="Q164" s="338"/>
      <c r="R164" s="52"/>
      <c r="S164" s="52"/>
      <c r="T164" s="39"/>
      <c r="U164" s="39"/>
      <c r="V164" s="39"/>
      <c r="W164" s="35"/>
      <c r="X164" s="40"/>
      <c r="Y164" s="40"/>
      <c r="Z164" s="35"/>
      <c r="AA164" s="51"/>
      <c r="AB164" s="51"/>
      <c r="AC164" s="39"/>
      <c r="AD164" s="39"/>
      <c r="AE164" s="21"/>
      <c r="AF164" s="39"/>
      <c r="AG164" s="39"/>
      <c r="AH164" s="39"/>
      <c r="AI164" s="39"/>
      <c r="AJ164" s="39"/>
      <c r="AK164" s="39"/>
      <c r="AL164" s="39"/>
      <c r="AM164" s="39">
        <f t="shared" si="281"/>
        <v>0</v>
      </c>
      <c r="AN164" s="39"/>
      <c r="AO164" s="39"/>
      <c r="AP164" s="39"/>
      <c r="AQ164" s="39"/>
      <c r="AR164" s="39">
        <f t="shared" si="282"/>
        <v>0</v>
      </c>
      <c r="AS164" s="39"/>
      <c r="AT164" s="39"/>
      <c r="AU164" s="39"/>
      <c r="AV164" s="39"/>
      <c r="AW164" s="39"/>
      <c r="AX164" s="39"/>
      <c r="AY164" s="39"/>
      <c r="AZ164" s="39"/>
      <c r="BA164" s="39"/>
      <c r="BB164" s="35"/>
      <c r="BC164" s="53"/>
      <c r="BD164" s="510"/>
      <c r="BE164" s="35"/>
      <c r="BF164" s="510"/>
    </row>
    <row r="165" spans="1:58" ht="12.95" customHeight="1">
      <c r="A165" s="42"/>
      <c r="B165" s="43"/>
      <c r="C165" s="421"/>
      <c r="D165" s="43"/>
      <c r="E165" s="44"/>
      <c r="F165" s="44"/>
      <c r="G165" s="55"/>
      <c r="H165" s="56"/>
      <c r="I165" s="47"/>
      <c r="J165" s="87"/>
      <c r="K165" s="87"/>
      <c r="L165" s="37"/>
      <c r="M165" s="37"/>
      <c r="N165" s="48"/>
      <c r="O165" s="49"/>
      <c r="P165" s="50"/>
      <c r="Q165" s="338"/>
      <c r="R165" s="52"/>
      <c r="S165" s="52"/>
      <c r="T165" s="39"/>
      <c r="U165" s="39"/>
      <c r="V165" s="39"/>
      <c r="W165" s="35"/>
      <c r="X165" s="40"/>
      <c r="Y165" s="40"/>
      <c r="Z165" s="35"/>
      <c r="AA165" s="51">
        <f>U165-W165-Z165</f>
        <v>0</v>
      </c>
      <c r="AB165" s="51"/>
      <c r="AC165" s="39">
        <f>K165-T165</f>
        <v>0</v>
      </c>
      <c r="AD165" s="39"/>
      <c r="AE165" s="57"/>
      <c r="AF165" s="39"/>
      <c r="AG165" s="39"/>
      <c r="AH165" s="39"/>
      <c r="AI165" s="39"/>
      <c r="AJ165" s="39"/>
      <c r="AK165" s="39"/>
      <c r="AL165" s="39"/>
      <c r="AM165" s="39">
        <f t="shared" si="281"/>
        <v>0</v>
      </c>
      <c r="AN165" s="39"/>
      <c r="AO165" s="39"/>
      <c r="AP165" s="39"/>
      <c r="AQ165" s="39"/>
      <c r="AR165" s="39">
        <f t="shared" si="282"/>
        <v>0</v>
      </c>
      <c r="AS165" s="39"/>
      <c r="AT165" s="39"/>
      <c r="AU165" s="39"/>
      <c r="AV165" s="39"/>
      <c r="AW165" s="39"/>
      <c r="AX165" s="39"/>
      <c r="AY165" s="39"/>
      <c r="AZ165" s="39"/>
      <c r="BA165" s="39"/>
      <c r="BB165" s="35"/>
      <c r="BC165" s="53"/>
      <c r="BD165" s="53"/>
      <c r="BE165" s="53"/>
      <c r="BF165" s="53"/>
    </row>
    <row r="166" spans="1:58">
      <c r="R166" s="511"/>
      <c r="S166" s="511"/>
      <c r="AA166" s="253">
        <f>U166-W166-Z166</f>
        <v>0</v>
      </c>
      <c r="AB166" s="253"/>
      <c r="AC166" s="254">
        <f>K166-T166</f>
        <v>0</v>
      </c>
      <c r="AD166" s="39"/>
      <c r="AF166" s="54"/>
      <c r="AG166" s="54"/>
      <c r="AH166" s="54"/>
      <c r="AI166" s="54"/>
      <c r="AJ166" s="54"/>
      <c r="AK166" s="54"/>
      <c r="AL166" s="54"/>
      <c r="AM166" s="39">
        <f t="shared" si="281"/>
        <v>0</v>
      </c>
      <c r="AN166" s="54"/>
      <c r="AO166" s="54"/>
      <c r="AP166" s="54"/>
      <c r="AQ166" s="54"/>
      <c r="AR166" s="39">
        <f t="shared" si="282"/>
        <v>0</v>
      </c>
      <c r="AS166" s="54"/>
      <c r="AT166" s="54"/>
      <c r="AU166" s="54"/>
      <c r="AV166" s="54"/>
      <c r="AW166" s="54"/>
      <c r="AX166" s="54"/>
      <c r="AY166" s="54"/>
      <c r="AZ166" s="54"/>
      <c r="BA166" s="39"/>
      <c r="BB166" s="35"/>
      <c r="BC166" s="53"/>
      <c r="BD166" s="53"/>
      <c r="BE166" s="53"/>
      <c r="BF166" s="53"/>
    </row>
    <row r="167" spans="1:58" s="29" customFormat="1" ht="12.95" customHeight="1">
      <c r="A167" s="61"/>
      <c r="B167" s="62"/>
      <c r="C167" s="422">
        <f>SUM(C6:C165)</f>
        <v>820.02047658410572</v>
      </c>
      <c r="D167" s="62"/>
      <c r="E167" s="63"/>
      <c r="F167" s="63"/>
      <c r="G167" s="64"/>
      <c r="H167" s="64"/>
      <c r="I167" s="65">
        <v>0.85</v>
      </c>
      <c r="J167" s="87"/>
      <c r="K167" s="89">
        <f>SUM(K6:K165)</f>
        <v>867.61735291117577</v>
      </c>
      <c r="L167" s="67"/>
      <c r="M167" s="67"/>
      <c r="N167" s="68"/>
      <c r="O167" s="69">
        <f>P167/(Q167-R167-S167)</f>
        <v>260.99189139025788</v>
      </c>
      <c r="P167" s="66">
        <f>SUM(P6:P165)</f>
        <v>6775871.4842738751</v>
      </c>
      <c r="Q167" s="340">
        <f>SUM(Q6:Q166)</f>
        <v>27963</v>
      </c>
      <c r="R167" s="66">
        <f t="shared" ref="R167:W167" si="283">SUM(R6:R165)</f>
        <v>685</v>
      </c>
      <c r="S167" s="66">
        <f t="shared" si="283"/>
        <v>1316</v>
      </c>
      <c r="T167" s="66">
        <f t="shared" si="283"/>
        <v>820.02047658410572</v>
      </c>
      <c r="U167" s="66">
        <f t="shared" si="283"/>
        <v>764.04882670586267</v>
      </c>
      <c r="V167" s="364">
        <f t="shared" si="283"/>
        <v>65.076969604075344</v>
      </c>
      <c r="W167" s="453">
        <f t="shared" si="283"/>
        <v>700.59100000000001</v>
      </c>
      <c r="X167" s="502">
        <f>W167/K167</f>
        <v>0.8074884598023071</v>
      </c>
      <c r="Y167" s="365">
        <f>SUM(Y6:Y165)</f>
        <v>0</v>
      </c>
      <c r="Z167" s="453">
        <f>SUM(Z6:Z165)</f>
        <v>5.4690586559360073</v>
      </c>
      <c r="AA167" s="66">
        <f>SUM(AA6:AA165)</f>
        <v>57.988768049926335</v>
      </c>
      <c r="AB167" s="66">
        <f>SUM(AB6:AB165)</f>
        <v>2.7900535693328719</v>
      </c>
      <c r="AC167" s="66">
        <f>SUM(AC6:AC165)</f>
        <v>35.70150303190529</v>
      </c>
      <c r="AD167" s="39">
        <f>SUM(AD6:AD166)</f>
        <v>2001</v>
      </c>
      <c r="AE167" s="70"/>
      <c r="AF167" s="66">
        <f t="shared" ref="AF167:BA167" si="284">SUM(AF6:AF166)</f>
        <v>306</v>
      </c>
      <c r="AG167" s="66">
        <f t="shared" si="284"/>
        <v>165</v>
      </c>
      <c r="AH167" s="66">
        <f t="shared" si="284"/>
        <v>845</v>
      </c>
      <c r="AI167" s="66">
        <f t="shared" si="284"/>
        <v>0</v>
      </c>
      <c r="AJ167" s="66">
        <f t="shared" si="284"/>
        <v>0</v>
      </c>
      <c r="AK167" s="66">
        <f t="shared" si="284"/>
        <v>0</v>
      </c>
      <c r="AL167" s="66">
        <f t="shared" si="284"/>
        <v>0</v>
      </c>
      <c r="AM167" s="66">
        <f t="shared" si="284"/>
        <v>1316</v>
      </c>
      <c r="AN167" s="54">
        <f t="shared" si="284"/>
        <v>0</v>
      </c>
      <c r="AO167" s="54">
        <f t="shared" si="284"/>
        <v>541</v>
      </c>
      <c r="AP167" s="54">
        <f t="shared" si="284"/>
        <v>144</v>
      </c>
      <c r="AQ167" s="54">
        <f t="shared" si="284"/>
        <v>0</v>
      </c>
      <c r="AR167" s="66">
        <f t="shared" si="284"/>
        <v>685</v>
      </c>
      <c r="AS167" s="66">
        <f t="shared" si="284"/>
        <v>0</v>
      </c>
      <c r="AT167" s="66">
        <f t="shared" si="284"/>
        <v>0</v>
      </c>
      <c r="AU167" s="66">
        <f t="shared" si="284"/>
        <v>0</v>
      </c>
      <c r="AV167" s="66">
        <f t="shared" si="284"/>
        <v>0</v>
      </c>
      <c r="AW167" s="66">
        <f t="shared" si="284"/>
        <v>0</v>
      </c>
      <c r="AX167" s="66">
        <f t="shared" si="284"/>
        <v>0</v>
      </c>
      <c r="AY167" s="66">
        <f t="shared" si="284"/>
        <v>0</v>
      </c>
      <c r="AZ167" s="66">
        <f t="shared" si="284"/>
        <v>0</v>
      </c>
      <c r="BA167" s="66">
        <f t="shared" si="284"/>
        <v>685</v>
      </c>
      <c r="BB167" s="54">
        <f>SUM(BB6:BB166)</f>
        <v>112</v>
      </c>
      <c r="BC167" s="54">
        <f>SUM(BC6:BC166)</f>
        <v>93</v>
      </c>
      <c r="BD167" s="54">
        <f>SUM(BD6:BD166)</f>
        <v>0</v>
      </c>
      <c r="BE167" s="54">
        <f>SUM(BE6:BE166)</f>
        <v>0</v>
      </c>
      <c r="BF167" s="54">
        <f>SUM(BF6:BF166)</f>
        <v>0</v>
      </c>
    </row>
    <row r="168" spans="1:58" s="29" customFormat="1" ht="12.95" customHeight="1">
      <c r="A168" s="61"/>
      <c r="B168" s="62"/>
      <c r="C168" s="62"/>
      <c r="D168" s="62"/>
      <c r="E168" s="63"/>
      <c r="F168" s="63"/>
      <c r="G168" s="64"/>
      <c r="H168" s="64"/>
      <c r="I168" s="64"/>
      <c r="J168" s="90"/>
      <c r="K168" s="90"/>
      <c r="L168" s="67"/>
      <c r="M168" s="67"/>
      <c r="N168" s="68"/>
      <c r="O168" s="685"/>
      <c r="P168" s="686"/>
      <c r="Q168" s="64">
        <f>31*1440-Q167</f>
        <v>16677</v>
      </c>
      <c r="R168" s="71">
        <f>R167/Q167</f>
        <v>2.4496656295819475E-2</v>
      </c>
      <c r="S168" s="71">
        <f>S167/Q167</f>
        <v>4.7062189321603547E-2</v>
      </c>
      <c r="T168" s="351"/>
      <c r="U168" s="351"/>
      <c r="V168" s="353">
        <f>V167/K167</f>
        <v>7.5006532990284425E-2</v>
      </c>
      <c r="W168" s="369" t="s">
        <v>170</v>
      </c>
      <c r="X168" s="503">
        <v>0.85</v>
      </c>
      <c r="Y168" s="366">
        <f>Y167/K167</f>
        <v>0</v>
      </c>
      <c r="Z168" s="72">
        <f>Z167/K167</f>
        <v>6.3035376569927993E-3</v>
      </c>
      <c r="AA168" s="72">
        <f>AA167/K167</f>
        <v>6.6836800641841318E-2</v>
      </c>
      <c r="AB168" s="72">
        <f>AB167/K167</f>
        <v>3.2157650604511478E-3</v>
      </c>
      <c r="AC168" s="504">
        <f>AC167/K167</f>
        <v>4.1148903848123364E-2</v>
      </c>
      <c r="AD168" s="354"/>
      <c r="AE168" s="41"/>
      <c r="AF168" s="72">
        <f>AF167/$AD$167*$V$168</f>
        <v>1.1470264415305863E-2</v>
      </c>
      <c r="AG168" s="72">
        <f>AG167/$AD$167*$V$168</f>
        <v>6.1849464984492404E-3</v>
      </c>
      <c r="AH168" s="72">
        <f>AH167/$AD$167*$V$168</f>
        <v>3.1674422976906716E-2</v>
      </c>
      <c r="AI168" s="72">
        <f>AI167/$AD$167*$V$168</f>
        <v>0</v>
      </c>
      <c r="AJ168" s="72">
        <f t="shared" ref="AJ168:BA168" si="285">AJ167/$AD$167*$V$168</f>
        <v>0</v>
      </c>
      <c r="AK168" s="72">
        <f t="shared" si="285"/>
        <v>0</v>
      </c>
      <c r="AL168" s="72">
        <f t="shared" si="285"/>
        <v>0</v>
      </c>
      <c r="AM168" s="72">
        <f t="shared" si="285"/>
        <v>4.932963389066182E-2</v>
      </c>
      <c r="AN168" s="72">
        <f t="shared" si="285"/>
        <v>0</v>
      </c>
      <c r="AO168" s="72">
        <f t="shared" si="285"/>
        <v>2.0279127610066904E-2</v>
      </c>
      <c r="AP168" s="72">
        <f t="shared" si="285"/>
        <v>5.3977714895557007E-3</v>
      </c>
      <c r="AQ168" s="72">
        <f t="shared" si="285"/>
        <v>0</v>
      </c>
      <c r="AR168" s="72">
        <f t="shared" si="285"/>
        <v>2.5676899099622605E-2</v>
      </c>
      <c r="AS168" s="72">
        <f t="shared" si="285"/>
        <v>0</v>
      </c>
      <c r="AT168" s="72">
        <f t="shared" si="285"/>
        <v>0</v>
      </c>
      <c r="AU168" s="72">
        <f t="shared" si="285"/>
        <v>0</v>
      </c>
      <c r="AV168" s="72">
        <f>AV167/$AD$167*$V$168</f>
        <v>0</v>
      </c>
      <c r="AW168" s="72">
        <f t="shared" ref="AW168:AZ168" si="286">AW167/$AD$167*$V$168</f>
        <v>0</v>
      </c>
      <c r="AX168" s="72">
        <f t="shared" si="286"/>
        <v>0</v>
      </c>
      <c r="AY168" s="72">
        <f t="shared" si="286"/>
        <v>0</v>
      </c>
      <c r="AZ168" s="72">
        <f t="shared" si="286"/>
        <v>0</v>
      </c>
      <c r="BA168" s="72">
        <f t="shared" si="285"/>
        <v>2.5676899099622605E-2</v>
      </c>
      <c r="BB168" s="36" t="s">
        <v>169</v>
      </c>
      <c r="BC168" s="36" t="s">
        <v>169</v>
      </c>
      <c r="BD168" s="36" t="s">
        <v>398</v>
      </c>
      <c r="BE168" s="36" t="s">
        <v>398</v>
      </c>
      <c r="BF168" s="36" t="s">
        <v>398</v>
      </c>
    </row>
    <row r="169" spans="1:58" ht="12.95" customHeight="1">
      <c r="A169" s="61"/>
      <c r="B169" s="62"/>
      <c r="C169" s="62"/>
      <c r="D169" s="62"/>
      <c r="E169" s="63"/>
      <c r="F169" s="63"/>
      <c r="G169" s="36"/>
      <c r="H169" s="36"/>
      <c r="I169" s="36"/>
      <c r="J169" s="87"/>
      <c r="K169" s="87"/>
      <c r="L169" s="37"/>
      <c r="M169" s="37"/>
      <c r="N169" s="35"/>
      <c r="O169" s="38"/>
      <c r="P169" s="30"/>
      <c r="Q169" s="36"/>
      <c r="R169" s="39">
        <f>R167-(BA167)</f>
        <v>0</v>
      </c>
      <c r="S169" s="39">
        <f>S167-SUM(AF167:AL167)</f>
        <v>0</v>
      </c>
      <c r="T169" s="35"/>
      <c r="U169" s="35"/>
      <c r="V169" s="35"/>
      <c r="W169" s="367"/>
      <c r="X169" s="368"/>
      <c r="Y169" s="73">
        <f>+Y167-(SUM(RBP!AG3:AG4))</f>
        <v>0</v>
      </c>
      <c r="Z169" s="39"/>
      <c r="AA169" s="35"/>
      <c r="AB169" s="35"/>
      <c r="AC169" s="35"/>
      <c r="AD169" s="35"/>
      <c r="AE169" s="41"/>
      <c r="AF169" s="341"/>
      <c r="AG169" s="341"/>
      <c r="AH169" s="341"/>
      <c r="AI169" s="341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544">
        <v>0</v>
      </c>
      <c r="AU169" s="544">
        <v>720</v>
      </c>
      <c r="AV169" s="544">
        <v>0</v>
      </c>
      <c r="AW169" s="544">
        <v>0</v>
      </c>
      <c r="AX169" s="544">
        <v>0</v>
      </c>
      <c r="AY169" s="544">
        <v>0</v>
      </c>
      <c r="AZ169" s="544">
        <v>15957</v>
      </c>
      <c r="BA169" s="82"/>
      <c r="BB169" s="512">
        <f>BB167/($Q$167/1440)/2</f>
        <v>2.8838107499195367</v>
      </c>
      <c r="BC169" s="512">
        <f>BC167/($Q$167/1440)/2</f>
        <v>2.3945928548439008</v>
      </c>
      <c r="BD169" s="512">
        <f>BD167/($Q$167/1440)</f>
        <v>0</v>
      </c>
      <c r="BE169" s="512">
        <f>BE167/($Q$167/1440)</f>
        <v>0</v>
      </c>
      <c r="BF169" s="512">
        <f>BF167/($Q$167/1440)</f>
        <v>0</v>
      </c>
    </row>
    <row r="170" spans="1:58">
      <c r="A170" s="74"/>
      <c r="B170" s="75"/>
      <c r="C170" s="75"/>
      <c r="D170" s="75"/>
      <c r="E170" s="76"/>
      <c r="F170" s="76"/>
      <c r="G170" s="77"/>
      <c r="H170" s="77"/>
      <c r="I170" s="77"/>
      <c r="J170" s="91"/>
      <c r="K170" s="91"/>
      <c r="O170" s="78"/>
      <c r="P170" s="79"/>
      <c r="Q170" s="77"/>
      <c r="R170" s="58"/>
      <c r="S170" s="58"/>
      <c r="U170" s="80"/>
      <c r="V170" s="80"/>
      <c r="W170" s="81" t="s">
        <v>119</v>
      </c>
      <c r="X170" s="505">
        <f>W167/U167</f>
        <v>0.91694532536689288</v>
      </c>
      <c r="Y170" s="505"/>
      <c r="Z170" s="58"/>
      <c r="AD170" s="88"/>
      <c r="AE170" s="83"/>
      <c r="AF170" s="84"/>
      <c r="AG170" s="84"/>
      <c r="AH170" s="84"/>
      <c r="AI170" s="84"/>
      <c r="AJ170" s="84"/>
      <c r="AK170" s="84"/>
      <c r="AL170" s="84"/>
      <c r="AM170" s="84"/>
      <c r="AN170" s="82"/>
      <c r="AO170" s="82"/>
      <c r="AP170" s="82"/>
      <c r="AQ170" s="82"/>
      <c r="AR170" s="82"/>
      <c r="AS170" s="84"/>
      <c r="AT170" s="84"/>
      <c r="AU170" s="84"/>
      <c r="AV170" s="84"/>
      <c r="AW170" s="84"/>
      <c r="AX170" s="84"/>
      <c r="AY170" s="84"/>
      <c r="AZ170" s="84"/>
      <c r="BA170" s="82"/>
      <c r="BB170" s="29"/>
      <c r="BC170" s="82"/>
      <c r="BD170" s="82"/>
      <c r="BE170" s="29"/>
      <c r="BF170" s="82"/>
    </row>
    <row r="171" spans="1:58">
      <c r="A171" s="74"/>
      <c r="B171" s="75"/>
      <c r="C171" s="75"/>
      <c r="D171" s="75"/>
      <c r="E171" s="76"/>
      <c r="F171" s="76"/>
      <c r="G171" s="77"/>
      <c r="H171" s="77"/>
      <c r="I171" s="77"/>
      <c r="J171" s="91"/>
      <c r="K171" s="91"/>
      <c r="O171" s="78"/>
      <c r="P171" s="79"/>
      <c r="Q171" s="77"/>
      <c r="R171" s="58"/>
      <c r="S171" s="58"/>
      <c r="U171" s="80"/>
      <c r="V171" s="80"/>
      <c r="W171" s="81"/>
      <c r="X171" s="82"/>
      <c r="Y171" s="82"/>
      <c r="Z171" s="58"/>
      <c r="AA171" s="94"/>
      <c r="AB171" s="94"/>
      <c r="AD171" s="88"/>
      <c r="AE171" s="83"/>
      <c r="AF171" s="84"/>
      <c r="AG171" s="84"/>
      <c r="AH171" s="84"/>
      <c r="AI171" s="84"/>
      <c r="AJ171" s="84"/>
      <c r="AK171" s="84"/>
      <c r="AL171" s="84"/>
      <c r="AM171" s="84"/>
      <c r="AN171" s="84"/>
      <c r="AO171" s="82"/>
      <c r="AP171" s="82"/>
      <c r="AQ171" s="82"/>
      <c r="AR171" s="84"/>
      <c r="AS171" s="82"/>
      <c r="AT171" s="82"/>
      <c r="AU171" s="82"/>
      <c r="AV171" s="82"/>
      <c r="AW171" s="82"/>
      <c r="AX171" s="82"/>
      <c r="AY171" s="544"/>
      <c r="AZ171" s="82"/>
      <c r="BA171" s="82"/>
      <c r="BB171" s="29"/>
      <c r="BC171" s="82"/>
      <c r="BD171" s="82"/>
      <c r="BE171" s="29"/>
      <c r="BF171" s="82"/>
    </row>
    <row r="172" spans="1:58">
      <c r="A172" s="74"/>
      <c r="B172" s="75"/>
      <c r="C172" s="75"/>
      <c r="D172" s="75"/>
      <c r="E172" s="76"/>
      <c r="F172" s="76"/>
      <c r="G172" s="77"/>
      <c r="H172" s="77"/>
      <c r="I172" s="77"/>
      <c r="J172" s="91"/>
      <c r="K172" s="91"/>
      <c r="O172" s="78"/>
      <c r="P172" s="79"/>
      <c r="Q172" s="77"/>
      <c r="R172" s="352"/>
      <c r="S172" s="58"/>
      <c r="U172" s="80"/>
      <c r="V172" s="80"/>
      <c r="W172" s="81" t="s">
        <v>143</v>
      </c>
      <c r="X172" s="341">
        <f>+W167+Y167</f>
        <v>700.59100000000001</v>
      </c>
      <c r="Y172" s="82"/>
      <c r="Z172" s="58"/>
      <c r="AD172" s="88"/>
      <c r="AE172" s="83"/>
      <c r="AF172" s="88"/>
      <c r="AG172" s="88"/>
      <c r="AH172" s="88"/>
      <c r="AI172" s="88"/>
      <c r="AJ172" s="82"/>
      <c r="AK172" s="82"/>
      <c r="AL172" s="82"/>
      <c r="AM172" s="84"/>
      <c r="AN172" s="82"/>
      <c r="AO172" s="82"/>
      <c r="AP172" s="82"/>
      <c r="AQ172" s="82"/>
      <c r="AR172" s="84"/>
      <c r="AS172" s="82"/>
      <c r="AT172" s="82"/>
      <c r="AU172" s="82"/>
      <c r="AV172" s="82"/>
      <c r="AW172" s="82"/>
      <c r="AX172" s="82"/>
      <c r="AY172" s="544"/>
      <c r="AZ172" s="82"/>
      <c r="BA172" s="82"/>
      <c r="BB172" s="29"/>
      <c r="BC172" s="82"/>
      <c r="BD172" s="82"/>
      <c r="BE172" s="29"/>
      <c r="BF172" s="82"/>
    </row>
    <row r="173" spans="1:58">
      <c r="A173" s="74"/>
      <c r="C173" s="75" t="s">
        <v>300</v>
      </c>
      <c r="D173" s="75"/>
      <c r="E173" s="76"/>
      <c r="F173" s="76"/>
      <c r="G173" s="77"/>
      <c r="H173" s="77"/>
      <c r="I173" s="77"/>
      <c r="J173" s="91"/>
      <c r="K173" s="91"/>
      <c r="O173" s="78"/>
      <c r="P173" s="79"/>
      <c r="Q173" s="77"/>
      <c r="R173" s="352"/>
      <c r="S173" s="58"/>
      <c r="U173" s="80"/>
      <c r="V173" s="362"/>
      <c r="W173" s="363"/>
      <c r="X173" s="357"/>
      <c r="Y173" s="363"/>
      <c r="Z173" s="357"/>
      <c r="AD173" s="350"/>
      <c r="AE173" s="83"/>
      <c r="AF173" s="350"/>
      <c r="AG173" s="350"/>
      <c r="AH173" s="350"/>
      <c r="AI173" s="350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544"/>
      <c r="AZ173" s="82"/>
      <c r="BA173" s="82"/>
      <c r="BB173" s="29"/>
      <c r="BC173" s="82"/>
      <c r="BD173" s="82"/>
      <c r="BE173" s="29"/>
      <c r="BF173" s="82"/>
    </row>
    <row r="174" spans="1:58">
      <c r="A174" s="74"/>
      <c r="B174" s="75"/>
      <c r="C174" s="75" t="s">
        <v>301</v>
      </c>
      <c r="D174" s="75"/>
      <c r="E174" s="76"/>
      <c r="F174" s="76"/>
      <c r="G174" s="77"/>
      <c r="H174" s="77"/>
      <c r="I174" s="77"/>
      <c r="J174" s="91"/>
      <c r="K174" s="91"/>
      <c r="O174" s="78"/>
      <c r="P174" s="79"/>
      <c r="Q174" s="77"/>
      <c r="R174" s="352"/>
      <c r="S174" s="58"/>
      <c r="V174" s="355"/>
      <c r="W174" s="356" t="s">
        <v>307</v>
      </c>
      <c r="X174" s="355"/>
      <c r="Y174" s="355"/>
      <c r="Z174" s="357"/>
      <c r="AE174" s="83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29"/>
      <c r="BE174" s="29"/>
    </row>
    <row r="175" spans="1:58">
      <c r="A175" s="74"/>
      <c r="B175" s="75"/>
      <c r="C175" s="75"/>
      <c r="D175" s="75"/>
      <c r="E175" s="76"/>
      <c r="F175" s="76"/>
      <c r="G175" s="77"/>
      <c r="H175" s="77"/>
      <c r="I175" s="77"/>
      <c r="J175" s="91"/>
      <c r="K175" s="91"/>
      <c r="O175" s="78"/>
      <c r="P175" s="79"/>
      <c r="Q175" s="77"/>
      <c r="R175" s="352"/>
      <c r="S175" s="58"/>
      <c r="V175" s="355"/>
      <c r="W175" s="358" t="s">
        <v>296</v>
      </c>
      <c r="X175" s="513">
        <f>Y168</f>
        <v>0</v>
      </c>
      <c r="Y175" s="359"/>
      <c r="Z175" s="357"/>
      <c r="AE175" s="83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29"/>
      <c r="BE175" s="29"/>
    </row>
    <row r="176" spans="1:58">
      <c r="R176" s="94"/>
      <c r="V176" s="355"/>
      <c r="W176" s="358" t="s">
        <v>149</v>
      </c>
      <c r="X176" s="361">
        <f>Z168</f>
        <v>6.3035376569927993E-3</v>
      </c>
      <c r="Y176" s="360"/>
      <c r="Z176" s="355"/>
      <c r="AT176" s="31">
        <f>+Efficiency1!AU189+Efficiency1!AZ189</f>
        <v>16677</v>
      </c>
    </row>
    <row r="177" spans="18:26" s="31" customFormat="1">
      <c r="R177" s="94"/>
      <c r="V177" s="355"/>
      <c r="W177" s="358" t="s">
        <v>150</v>
      </c>
      <c r="X177" s="361">
        <f>AC168</f>
        <v>4.1148903848123364E-2</v>
      </c>
      <c r="Y177" s="361"/>
      <c r="Z177" s="355"/>
    </row>
    <row r="178" spans="18:26" s="31" customFormat="1">
      <c r="R178" s="94"/>
      <c r="V178" s="355"/>
      <c r="W178" s="358" t="s">
        <v>151</v>
      </c>
      <c r="X178" s="361">
        <f>AA168</f>
        <v>6.6836800641841318E-2</v>
      </c>
      <c r="Y178" s="360"/>
      <c r="Z178" s="355"/>
    </row>
    <row r="179" spans="18:26" s="31" customFormat="1">
      <c r="V179" s="355"/>
      <c r="W179" s="358" t="s">
        <v>167</v>
      </c>
      <c r="X179" s="361">
        <f>AB168</f>
        <v>3.2157650604511478E-3</v>
      </c>
      <c r="Y179" s="360" t="s">
        <v>165</v>
      </c>
      <c r="Z179" s="355"/>
    </row>
    <row r="180" spans="18:26" s="31" customFormat="1">
      <c r="V180" s="355"/>
      <c r="W180" s="358" t="s">
        <v>223</v>
      </c>
      <c r="X180" s="361">
        <f>AF168</f>
        <v>1.1470264415305863E-2</v>
      </c>
      <c r="Y180" s="360"/>
      <c r="Z180" s="355"/>
    </row>
    <row r="181" spans="18:26" s="31" customFormat="1">
      <c r="V181" s="355"/>
      <c r="W181" s="358" t="s">
        <v>224</v>
      </c>
      <c r="X181" s="361">
        <f>+AG168</f>
        <v>6.1849464984492404E-3</v>
      </c>
      <c r="Y181" s="360"/>
      <c r="Z181" s="355"/>
    </row>
    <row r="182" spans="18:26" s="31" customFormat="1">
      <c r="V182" s="355"/>
      <c r="W182" s="358" t="s">
        <v>302</v>
      </c>
      <c r="X182" s="361">
        <f>+AH168</f>
        <v>3.1674422976906716E-2</v>
      </c>
      <c r="Y182" s="360"/>
      <c r="Z182" s="355"/>
    </row>
    <row r="183" spans="18:26" s="31" customFormat="1">
      <c r="V183" s="355"/>
      <c r="W183" s="358" t="s">
        <v>225</v>
      </c>
      <c r="X183" s="361">
        <f>+AI168</f>
        <v>0</v>
      </c>
      <c r="Y183" s="360"/>
      <c r="Z183" s="355"/>
    </row>
    <row r="184" spans="18:26" s="31" customFormat="1">
      <c r="V184" s="355"/>
      <c r="W184" s="358" t="s">
        <v>158</v>
      </c>
      <c r="X184" s="361">
        <f>+AJ168</f>
        <v>0</v>
      </c>
      <c r="Y184" s="360"/>
      <c r="Z184" s="355"/>
    </row>
    <row r="185" spans="18:26" s="31" customFormat="1">
      <c r="V185" s="355"/>
      <c r="W185" s="358" t="s">
        <v>160</v>
      </c>
      <c r="X185" s="361">
        <f>+AK168</f>
        <v>0</v>
      </c>
      <c r="Y185" s="360"/>
      <c r="Z185" s="355"/>
    </row>
    <row r="186" spans="18:26" s="31" customFormat="1">
      <c r="V186" s="355"/>
      <c r="W186" s="358" t="s">
        <v>159</v>
      </c>
      <c r="X186" s="361">
        <f>+AL168</f>
        <v>0</v>
      </c>
      <c r="Y186" s="360"/>
      <c r="Z186" s="355"/>
    </row>
    <row r="187" spans="18:26" s="31" customFormat="1">
      <c r="V187" s="355"/>
      <c r="W187" s="358" t="s">
        <v>152</v>
      </c>
      <c r="X187" s="361">
        <f>+AN168</f>
        <v>0</v>
      </c>
      <c r="Y187" s="360"/>
      <c r="Z187" s="355"/>
    </row>
    <row r="188" spans="18:26" s="31" customFormat="1">
      <c r="V188" s="355"/>
      <c r="W188" s="358" t="s">
        <v>162</v>
      </c>
      <c r="X188" s="361">
        <f>+AO168</f>
        <v>2.0279127610066904E-2</v>
      </c>
      <c r="Y188" s="360"/>
      <c r="Z188" s="355"/>
    </row>
    <row r="189" spans="18:26" s="31" customFormat="1">
      <c r="V189" s="355"/>
      <c r="W189" s="358" t="s">
        <v>153</v>
      </c>
      <c r="X189" s="361">
        <f>+AP168</f>
        <v>5.3977714895557007E-3</v>
      </c>
      <c r="Y189" s="360"/>
      <c r="Z189" s="355"/>
    </row>
    <row r="190" spans="18:26" s="31" customFormat="1">
      <c r="V190" s="355"/>
      <c r="W190" s="358" t="s">
        <v>161</v>
      </c>
      <c r="X190" s="361">
        <f>+AQ168</f>
        <v>0</v>
      </c>
      <c r="Y190" s="360"/>
      <c r="Z190" s="355"/>
    </row>
    <row r="191" spans="18:26" s="31" customFormat="1">
      <c r="V191" s="355"/>
      <c r="W191" s="358" t="s">
        <v>164</v>
      </c>
      <c r="X191" s="361">
        <f>+AS168</f>
        <v>0</v>
      </c>
      <c r="Y191" s="360"/>
      <c r="Z191" s="355"/>
    </row>
    <row r="192" spans="18:26" s="31" customFormat="1">
      <c r="V192" s="355"/>
      <c r="W192" s="358" t="s">
        <v>303</v>
      </c>
      <c r="X192" s="361">
        <f>+AT168</f>
        <v>0</v>
      </c>
      <c r="Y192" s="360"/>
      <c r="Z192" s="355"/>
    </row>
    <row r="193" spans="22:26" s="31" customFormat="1">
      <c r="V193" s="355"/>
      <c r="W193" s="358" t="s">
        <v>239</v>
      </c>
      <c r="X193" s="361">
        <f>+AU168</f>
        <v>0</v>
      </c>
      <c r="Y193" s="360"/>
      <c r="Z193" s="355"/>
    </row>
    <row r="194" spans="22:26" s="31" customFormat="1">
      <c r="V194" s="355"/>
      <c r="W194" s="358" t="s">
        <v>309</v>
      </c>
      <c r="X194" s="361">
        <f>+AW168</f>
        <v>0</v>
      </c>
      <c r="Y194" s="360"/>
      <c r="Z194" s="355"/>
    </row>
    <row r="195" spans="22:26" s="31" customFormat="1">
      <c r="V195" s="355"/>
      <c r="W195" s="358" t="s">
        <v>310</v>
      </c>
      <c r="X195" s="361">
        <f>+AV168</f>
        <v>0</v>
      </c>
      <c r="Y195" s="360"/>
      <c r="Z195" s="355"/>
    </row>
    <row r="196" spans="22:26" s="31" customFormat="1">
      <c r="V196" s="355"/>
      <c r="W196" s="355" t="s">
        <v>163</v>
      </c>
      <c r="X196" s="361">
        <f>+AX168+AY168</f>
        <v>0</v>
      </c>
      <c r="Y196" s="361"/>
      <c r="Z196" s="355"/>
    </row>
    <row r="197" spans="22:26" s="31" customFormat="1">
      <c r="V197" s="355"/>
      <c r="W197" s="355" t="s">
        <v>308</v>
      </c>
      <c r="X197" s="361">
        <f>+AZ168</f>
        <v>0</v>
      </c>
      <c r="Y197" s="355"/>
      <c r="Z197" s="355"/>
    </row>
    <row r="198" spans="22:26" s="31" customFormat="1">
      <c r="V198" s="355"/>
      <c r="W198" s="355"/>
      <c r="X198" s="526">
        <f>SUM(X175:X197)</f>
        <v>0.19251154019769304</v>
      </c>
      <c r="Y198" s="355"/>
      <c r="Z198" s="355"/>
    </row>
    <row r="199" spans="22:26" s="31" customFormat="1"/>
    <row r="200" spans="22:26" s="31" customFormat="1"/>
    <row r="201" spans="22:26" s="31" customFormat="1">
      <c r="X201" s="94">
        <f>+X198+X167</f>
        <v>1.0000000000000002</v>
      </c>
    </row>
    <row r="202" spans="22:26" s="31" customFormat="1"/>
    <row r="203" spans="22:26" s="31" customFormat="1"/>
    <row r="204" spans="22:26" s="31" customFormat="1"/>
    <row r="205" spans="22:26" s="31" customFormat="1"/>
    <row r="206" spans="22:26" s="31" customFormat="1"/>
    <row r="207" spans="22:26" s="31" customFormat="1"/>
    <row r="208" spans="22:26" s="31" customFormat="1"/>
    <row r="209" s="31" customFormat="1"/>
    <row r="210" s="31" customFormat="1"/>
    <row r="211" s="31" customFormat="1"/>
    <row r="214" s="31" customFormat="1"/>
  </sheetData>
  <mergeCells count="50">
    <mergeCell ref="O168:P168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C168 B162:B168 C162:C166">
    <cfRule type="cellIs" dxfId="1433" priority="7353" stopIfTrue="1" operator="equal">
      <formula>"Towel"</formula>
    </cfRule>
    <cfRule type="cellIs" dxfId="1432" priority="7354" stopIfTrue="1" operator="equal">
      <formula>"Napkin Hs"</formula>
    </cfRule>
  </conditionalFormatting>
  <conditionalFormatting sqref="C162:C165">
    <cfRule type="cellIs" dxfId="1431" priority="7352" stopIfTrue="1" operator="equal">
      <formula>"Napkin Hs"</formula>
    </cfRule>
  </conditionalFormatting>
  <conditionalFormatting sqref="C162:C165">
    <cfRule type="cellIs" dxfId="1430" priority="7351" stopIfTrue="1" operator="equal">
      <formula>"Towel"</formula>
    </cfRule>
  </conditionalFormatting>
  <conditionalFormatting sqref="C162:C165">
    <cfRule type="cellIs" dxfId="1429" priority="7039" stopIfTrue="1" operator="equal">
      <formula>"Towel"</formula>
    </cfRule>
    <cfRule type="cellIs" dxfId="1428" priority="7040" stopIfTrue="1" operator="equal">
      <formula>"Napkin Hs"</formula>
    </cfRule>
  </conditionalFormatting>
  <conditionalFormatting sqref="C153 C159:C161">
    <cfRule type="cellIs" dxfId="1427" priority="6073" stopIfTrue="1" operator="equal">
      <formula>"Towel"</formula>
    </cfRule>
    <cfRule type="cellIs" dxfId="1426" priority="6074" stopIfTrue="1" operator="equal">
      <formula>"Napkin Hs"</formula>
    </cfRule>
  </conditionalFormatting>
  <conditionalFormatting sqref="B153:C153 B159:C161">
    <cfRule type="cellIs" dxfId="1425" priority="6071" stopIfTrue="1" operator="equal">
      <formula>"Towel"</formula>
    </cfRule>
    <cfRule type="cellIs" dxfId="1424" priority="6072" stopIfTrue="1" operator="equal">
      <formula>"Napkin Hs"</formula>
    </cfRule>
  </conditionalFormatting>
  <conditionalFormatting sqref="C153 C159:C161">
    <cfRule type="cellIs" dxfId="1423" priority="6069" stopIfTrue="1" operator="equal">
      <formula>"Towel"</formula>
    </cfRule>
    <cfRule type="cellIs" dxfId="1422" priority="6070" stopIfTrue="1" operator="equal">
      <formula>"Napkin Hs"</formula>
    </cfRule>
  </conditionalFormatting>
  <conditionalFormatting sqref="B152:C152">
    <cfRule type="cellIs" dxfId="1421" priority="6067" stopIfTrue="1" operator="equal">
      <formula>"Towel"</formula>
    </cfRule>
    <cfRule type="cellIs" dxfId="1420" priority="6068" stopIfTrue="1" operator="equal">
      <formula>"Napkin Hs"</formula>
    </cfRule>
  </conditionalFormatting>
  <conditionalFormatting sqref="C152">
    <cfRule type="cellIs" dxfId="1419" priority="6066" stopIfTrue="1" operator="equal">
      <formula>"Napkin Hs"</formula>
    </cfRule>
  </conditionalFormatting>
  <conditionalFormatting sqref="C152">
    <cfRule type="cellIs" dxfId="1418" priority="6063" stopIfTrue="1" operator="equal">
      <formula>"Towel"</formula>
    </cfRule>
    <cfRule type="cellIs" dxfId="1417" priority="6064" stopIfTrue="1" operator="equal">
      <formula>"Napkin Hs"</formula>
    </cfRule>
  </conditionalFormatting>
  <conditionalFormatting sqref="C152">
    <cfRule type="cellIs" dxfId="1416" priority="6065" stopIfTrue="1" operator="equal">
      <formula>"Towel"</formula>
    </cfRule>
  </conditionalFormatting>
  <conditionalFormatting sqref="B158:C158">
    <cfRule type="cellIs" dxfId="1415" priority="6049" stopIfTrue="1" operator="equal">
      <formula>"Towel"</formula>
    </cfRule>
    <cfRule type="cellIs" dxfId="1414" priority="6050" stopIfTrue="1" operator="equal">
      <formula>"Napkin Hs"</formula>
    </cfRule>
  </conditionalFormatting>
  <conditionalFormatting sqref="C158">
    <cfRule type="cellIs" dxfId="1413" priority="6048" stopIfTrue="1" operator="equal">
      <formula>"Napkin Hs"</formula>
    </cfRule>
  </conditionalFormatting>
  <conditionalFormatting sqref="C158">
    <cfRule type="cellIs" dxfId="1412" priority="6047" stopIfTrue="1" operator="equal">
      <formula>"Towel"</formula>
    </cfRule>
  </conditionalFormatting>
  <conditionalFormatting sqref="C158">
    <cfRule type="cellIs" dxfId="1411" priority="6045" stopIfTrue="1" operator="equal">
      <formula>"Towel"</formula>
    </cfRule>
    <cfRule type="cellIs" dxfId="1410" priority="6046" stopIfTrue="1" operator="equal">
      <formula>"Napkin Hs"</formula>
    </cfRule>
  </conditionalFormatting>
  <conditionalFormatting sqref="C154">
    <cfRule type="cellIs" dxfId="1409" priority="6027" stopIfTrue="1" operator="equal">
      <formula>"Towel"</formula>
    </cfRule>
    <cfRule type="cellIs" dxfId="1408" priority="6028" stopIfTrue="1" operator="equal">
      <formula>"Napkin Hs"</formula>
    </cfRule>
  </conditionalFormatting>
  <conditionalFormatting sqref="B156:C157">
    <cfRule type="cellIs" dxfId="1407" priority="6043" stopIfTrue="1" operator="equal">
      <formula>"Towel"</formula>
    </cfRule>
    <cfRule type="cellIs" dxfId="1406" priority="6044" stopIfTrue="1" operator="equal">
      <formula>"Napkin Hs"</formula>
    </cfRule>
  </conditionalFormatting>
  <conditionalFormatting sqref="C156:C157">
    <cfRule type="cellIs" dxfId="1405" priority="6042" stopIfTrue="1" operator="equal">
      <formula>"Napkin Hs"</formula>
    </cfRule>
  </conditionalFormatting>
  <conditionalFormatting sqref="C156:C157">
    <cfRule type="cellIs" dxfId="1404" priority="6039" stopIfTrue="1" operator="equal">
      <formula>"Towel"</formula>
    </cfRule>
    <cfRule type="cellIs" dxfId="1403" priority="6040" stopIfTrue="1" operator="equal">
      <formula>"Napkin Hs"</formula>
    </cfRule>
  </conditionalFormatting>
  <conditionalFormatting sqref="C156:C157">
    <cfRule type="cellIs" dxfId="1402" priority="6041" stopIfTrue="1" operator="equal">
      <formula>"Towel"</formula>
    </cfRule>
  </conditionalFormatting>
  <conditionalFormatting sqref="B155:C155">
    <cfRule type="cellIs" dxfId="1401" priority="6037" stopIfTrue="1" operator="equal">
      <formula>"Towel"</formula>
    </cfRule>
    <cfRule type="cellIs" dxfId="1400" priority="6038" stopIfTrue="1" operator="equal">
      <formula>"Napkin Hs"</formula>
    </cfRule>
  </conditionalFormatting>
  <conditionalFormatting sqref="C155">
    <cfRule type="cellIs" dxfId="1399" priority="6036" stopIfTrue="1" operator="equal">
      <formula>"Napkin Hs"</formula>
    </cfRule>
  </conditionalFormatting>
  <conditionalFormatting sqref="C155">
    <cfRule type="cellIs" dxfId="1398" priority="6033" stopIfTrue="1" operator="equal">
      <formula>"Towel"</formula>
    </cfRule>
    <cfRule type="cellIs" dxfId="1397" priority="6034" stopIfTrue="1" operator="equal">
      <formula>"Napkin Hs"</formula>
    </cfRule>
  </conditionalFormatting>
  <conditionalFormatting sqref="C155">
    <cfRule type="cellIs" dxfId="1396" priority="6035" stopIfTrue="1" operator="equal">
      <formula>"Towel"</formula>
    </cfRule>
  </conditionalFormatting>
  <conditionalFormatting sqref="B154:C154">
    <cfRule type="cellIs" dxfId="1395" priority="6031" stopIfTrue="1" operator="equal">
      <formula>"Towel"</formula>
    </cfRule>
    <cfRule type="cellIs" dxfId="1394" priority="6032" stopIfTrue="1" operator="equal">
      <formula>"Napkin Hs"</formula>
    </cfRule>
  </conditionalFormatting>
  <conditionalFormatting sqref="C154">
    <cfRule type="cellIs" dxfId="1393" priority="6030" stopIfTrue="1" operator="equal">
      <formula>"Napkin Hs"</formula>
    </cfRule>
  </conditionalFormatting>
  <conditionalFormatting sqref="C154">
    <cfRule type="cellIs" dxfId="1392" priority="6029" stopIfTrue="1" operator="equal">
      <formula>"Towel"</formula>
    </cfRule>
  </conditionalFormatting>
  <conditionalFormatting sqref="B27:C27 B59:C59 B8:C10">
    <cfRule type="cellIs" dxfId="1391" priority="1377" stopIfTrue="1" operator="equal">
      <formula>"Towel"</formula>
    </cfRule>
    <cfRule type="cellIs" dxfId="1390" priority="1378" stopIfTrue="1" operator="equal">
      <formula>"Napkin Hs"</formula>
    </cfRule>
  </conditionalFormatting>
  <conditionalFormatting sqref="B7:C7">
    <cfRule type="cellIs" dxfId="1389" priority="1351" stopIfTrue="1" operator="equal">
      <formula>"Towel"</formula>
    </cfRule>
    <cfRule type="cellIs" dxfId="1388" priority="1352" stopIfTrue="1" operator="equal">
      <formula>"Napkin Hs"</formula>
    </cfRule>
  </conditionalFormatting>
  <conditionalFormatting sqref="B11:C11">
    <cfRule type="cellIs" dxfId="1387" priority="1345" stopIfTrue="1" operator="equal">
      <formula>"Towel"</formula>
    </cfRule>
    <cfRule type="cellIs" dxfId="1386" priority="1346" stopIfTrue="1" operator="equal">
      <formula>"Napkin Hs"</formula>
    </cfRule>
  </conditionalFormatting>
  <conditionalFormatting sqref="B43:C43">
    <cfRule type="cellIs" dxfId="1385" priority="1371" stopIfTrue="1" operator="equal">
      <formula>"Towel"</formula>
    </cfRule>
    <cfRule type="cellIs" dxfId="1384" priority="1372" stopIfTrue="1" operator="equal">
      <formula>"Napkin Hs"</formula>
    </cfRule>
  </conditionalFormatting>
  <conditionalFormatting sqref="B92:C92">
    <cfRule type="cellIs" dxfId="1383" priority="1363" stopIfTrue="1" operator="equal">
      <formula>"Towel"</formula>
    </cfRule>
    <cfRule type="cellIs" dxfId="1382" priority="1364" stopIfTrue="1" operator="equal">
      <formula>"Napkin Hs"</formula>
    </cfRule>
  </conditionalFormatting>
  <conditionalFormatting sqref="C148">
    <cfRule type="cellIs" dxfId="1381" priority="1357" stopIfTrue="1" operator="equal">
      <formula>"Towel"</formula>
    </cfRule>
    <cfRule type="cellIs" dxfId="1380" priority="1358" stopIfTrue="1" operator="equal">
      <formula>"Napkin Hs"</formula>
    </cfRule>
  </conditionalFormatting>
  <conditionalFormatting sqref="B148:C148">
    <cfRule type="cellIs" dxfId="1379" priority="1355" stopIfTrue="1" operator="equal">
      <formula>"Towel"</formula>
    </cfRule>
    <cfRule type="cellIs" dxfId="1378" priority="1356" stopIfTrue="1" operator="equal">
      <formula>"Napkin Hs"</formula>
    </cfRule>
  </conditionalFormatting>
  <conditionalFormatting sqref="C27 C59 C8:C10">
    <cfRule type="cellIs" dxfId="1377" priority="1376" stopIfTrue="1" operator="equal">
      <formula>"Napkin Hs"</formula>
    </cfRule>
  </conditionalFormatting>
  <conditionalFormatting sqref="C7:C10">
    <cfRule type="cellIs" dxfId="1376" priority="1349" stopIfTrue="1" operator="equal">
      <formula>"Towel"</formula>
    </cfRule>
    <cfRule type="cellIs" dxfId="1375" priority="1350" stopIfTrue="1" operator="equal">
      <formula>"Napkin Hs"</formula>
    </cfRule>
  </conditionalFormatting>
  <conditionalFormatting sqref="C7">
    <cfRule type="cellIs" dxfId="1374" priority="1347" stopIfTrue="1" operator="equal">
      <formula>"Towel"</formula>
    </cfRule>
    <cfRule type="cellIs" dxfId="1373" priority="1348" stopIfTrue="1" operator="equal">
      <formula>"Napkin Hs"</formula>
    </cfRule>
  </conditionalFormatting>
  <conditionalFormatting sqref="C11">
    <cfRule type="cellIs" dxfId="1372" priority="1343" stopIfTrue="1" operator="equal">
      <formula>"Towel"</formula>
    </cfRule>
    <cfRule type="cellIs" dxfId="1371" priority="1344" stopIfTrue="1" operator="equal">
      <formula>"Napkin Hs"</formula>
    </cfRule>
  </conditionalFormatting>
  <conditionalFormatting sqref="C11">
    <cfRule type="cellIs" dxfId="1370" priority="1341" stopIfTrue="1" operator="equal">
      <formula>"Towel"</formula>
    </cfRule>
    <cfRule type="cellIs" dxfId="1369" priority="1342" stopIfTrue="1" operator="equal">
      <formula>"Napkin Hs"</formula>
    </cfRule>
  </conditionalFormatting>
  <conditionalFormatting sqref="C27 C59 C8:C10">
    <cfRule type="cellIs" dxfId="1368" priority="1375" stopIfTrue="1" operator="equal">
      <formula>"Towel"</formula>
    </cfRule>
  </conditionalFormatting>
  <conditionalFormatting sqref="C27">
    <cfRule type="cellIs" dxfId="1367" priority="1373" stopIfTrue="1" operator="equal">
      <formula>"Towel"</formula>
    </cfRule>
    <cfRule type="cellIs" dxfId="1366" priority="1374" stopIfTrue="1" operator="equal">
      <formula>"Napkin Hs"</formula>
    </cfRule>
  </conditionalFormatting>
  <conditionalFormatting sqref="C43">
    <cfRule type="cellIs" dxfId="1365" priority="1367" stopIfTrue="1" operator="equal">
      <formula>"Towel"</formula>
    </cfRule>
    <cfRule type="cellIs" dxfId="1364" priority="1368" stopIfTrue="1" operator="equal">
      <formula>"Napkin Hs"</formula>
    </cfRule>
  </conditionalFormatting>
  <conditionalFormatting sqref="C43">
    <cfRule type="cellIs" dxfId="1363" priority="1369" stopIfTrue="1" operator="equal">
      <formula>"Towel"</formula>
    </cfRule>
    <cfRule type="cellIs" dxfId="1362" priority="1370" stopIfTrue="1" operator="equal">
      <formula>"Napkin Hs"</formula>
    </cfRule>
  </conditionalFormatting>
  <conditionalFormatting sqref="C59">
    <cfRule type="cellIs" dxfId="1361" priority="1365" stopIfTrue="1" operator="equal">
      <formula>"Towel"</formula>
    </cfRule>
    <cfRule type="cellIs" dxfId="1360" priority="1366" stopIfTrue="1" operator="equal">
      <formula>"Napkin Hs"</formula>
    </cfRule>
  </conditionalFormatting>
  <conditionalFormatting sqref="C92">
    <cfRule type="cellIs" dxfId="1359" priority="1361" stopIfTrue="1" operator="equal">
      <formula>"Towel"</formula>
    </cfRule>
    <cfRule type="cellIs" dxfId="1358" priority="1362" stopIfTrue="1" operator="equal">
      <formula>"Napkin Hs"</formula>
    </cfRule>
  </conditionalFormatting>
  <conditionalFormatting sqref="C92">
    <cfRule type="cellIs" dxfId="1357" priority="1359" stopIfTrue="1" operator="equal">
      <formula>"Towel"</formula>
    </cfRule>
    <cfRule type="cellIs" dxfId="1356" priority="1360" stopIfTrue="1" operator="equal">
      <formula>"Napkin Hs"</formula>
    </cfRule>
  </conditionalFormatting>
  <conditionalFormatting sqref="C148">
    <cfRule type="cellIs" dxfId="1355" priority="1353" stopIfTrue="1" operator="equal">
      <formula>"Towel"</formula>
    </cfRule>
    <cfRule type="cellIs" dxfId="1354" priority="1354" stopIfTrue="1" operator="equal">
      <formula>"Napkin Hs"</formula>
    </cfRule>
  </conditionalFormatting>
  <conditionalFormatting sqref="B15:C15">
    <cfRule type="cellIs" dxfId="1353" priority="1339" stopIfTrue="1" operator="equal">
      <formula>"Towel"</formula>
    </cfRule>
    <cfRule type="cellIs" dxfId="1352" priority="1340" stopIfTrue="1" operator="equal">
      <formula>"Napkin Hs"</formula>
    </cfRule>
  </conditionalFormatting>
  <conditionalFormatting sqref="C15">
    <cfRule type="cellIs" dxfId="1351" priority="1338" stopIfTrue="1" operator="equal">
      <formula>"Napkin Hs"</formula>
    </cfRule>
  </conditionalFormatting>
  <conditionalFormatting sqref="C15">
    <cfRule type="cellIs" dxfId="1350" priority="1335" stopIfTrue="1" operator="equal">
      <formula>"Towel"</formula>
    </cfRule>
    <cfRule type="cellIs" dxfId="1349" priority="1336" stopIfTrue="1" operator="equal">
      <formula>"Napkin Hs"</formula>
    </cfRule>
  </conditionalFormatting>
  <conditionalFormatting sqref="C15">
    <cfRule type="cellIs" dxfId="1348" priority="1337" stopIfTrue="1" operator="equal">
      <formula>"Towel"</formula>
    </cfRule>
  </conditionalFormatting>
  <conditionalFormatting sqref="B39:C39">
    <cfRule type="cellIs" dxfId="1347" priority="1333" stopIfTrue="1" operator="equal">
      <formula>"Towel"</formula>
    </cfRule>
    <cfRule type="cellIs" dxfId="1346" priority="1334" stopIfTrue="1" operator="equal">
      <formula>"Napkin Hs"</formula>
    </cfRule>
  </conditionalFormatting>
  <conditionalFormatting sqref="C39">
    <cfRule type="cellIs" dxfId="1345" priority="1332" stopIfTrue="1" operator="equal">
      <formula>"Napkin Hs"</formula>
    </cfRule>
  </conditionalFormatting>
  <conditionalFormatting sqref="C39">
    <cfRule type="cellIs" dxfId="1344" priority="1329" stopIfTrue="1" operator="equal">
      <formula>"Towel"</formula>
    </cfRule>
    <cfRule type="cellIs" dxfId="1343" priority="1330" stopIfTrue="1" operator="equal">
      <formula>"Napkin Hs"</formula>
    </cfRule>
  </conditionalFormatting>
  <conditionalFormatting sqref="C39">
    <cfRule type="cellIs" dxfId="1342" priority="1331" stopIfTrue="1" operator="equal">
      <formula>"Towel"</formula>
    </cfRule>
  </conditionalFormatting>
  <conditionalFormatting sqref="B46:C47">
    <cfRule type="cellIs" dxfId="1341" priority="1327" stopIfTrue="1" operator="equal">
      <formula>"Towel"</formula>
    </cfRule>
    <cfRule type="cellIs" dxfId="1340" priority="1328" stopIfTrue="1" operator="equal">
      <formula>"Napkin Hs"</formula>
    </cfRule>
  </conditionalFormatting>
  <conditionalFormatting sqref="C46:C47">
    <cfRule type="cellIs" dxfId="1339" priority="1326" stopIfTrue="1" operator="equal">
      <formula>"Napkin Hs"</formula>
    </cfRule>
  </conditionalFormatting>
  <conditionalFormatting sqref="C46:C47">
    <cfRule type="cellIs" dxfId="1338" priority="1323" stopIfTrue="1" operator="equal">
      <formula>"Towel"</formula>
    </cfRule>
    <cfRule type="cellIs" dxfId="1337" priority="1324" stopIfTrue="1" operator="equal">
      <formula>"Napkin Hs"</formula>
    </cfRule>
  </conditionalFormatting>
  <conditionalFormatting sqref="C46:C47">
    <cfRule type="cellIs" dxfId="1336" priority="1325" stopIfTrue="1" operator="equal">
      <formula>"Towel"</formula>
    </cfRule>
  </conditionalFormatting>
  <conditionalFormatting sqref="B44:C45">
    <cfRule type="cellIs" dxfId="1335" priority="1321" stopIfTrue="1" operator="equal">
      <formula>"Towel"</formula>
    </cfRule>
    <cfRule type="cellIs" dxfId="1334" priority="1322" stopIfTrue="1" operator="equal">
      <formula>"Napkin Hs"</formula>
    </cfRule>
  </conditionalFormatting>
  <conditionalFormatting sqref="C44:C45">
    <cfRule type="cellIs" dxfId="1333" priority="1320" stopIfTrue="1" operator="equal">
      <formula>"Napkin Hs"</formula>
    </cfRule>
  </conditionalFormatting>
  <conditionalFormatting sqref="C44:C45">
    <cfRule type="cellIs" dxfId="1332" priority="1317" stopIfTrue="1" operator="equal">
      <formula>"Towel"</formula>
    </cfRule>
    <cfRule type="cellIs" dxfId="1331" priority="1318" stopIfTrue="1" operator="equal">
      <formula>"Napkin Hs"</formula>
    </cfRule>
  </conditionalFormatting>
  <conditionalFormatting sqref="C44:C45">
    <cfRule type="cellIs" dxfId="1330" priority="1319" stopIfTrue="1" operator="equal">
      <formula>"Towel"</formula>
    </cfRule>
  </conditionalFormatting>
  <conditionalFormatting sqref="B51:C51">
    <cfRule type="cellIs" dxfId="1329" priority="1315" stopIfTrue="1" operator="equal">
      <formula>"Towel"</formula>
    </cfRule>
    <cfRule type="cellIs" dxfId="1328" priority="1316" stopIfTrue="1" operator="equal">
      <formula>"Napkin Hs"</formula>
    </cfRule>
  </conditionalFormatting>
  <conditionalFormatting sqref="C51">
    <cfRule type="cellIs" dxfId="1327" priority="1311" stopIfTrue="1" operator="equal">
      <formula>"Towel"</formula>
    </cfRule>
    <cfRule type="cellIs" dxfId="1326" priority="1312" stopIfTrue="1" operator="equal">
      <formula>"Napkin Hs"</formula>
    </cfRule>
  </conditionalFormatting>
  <conditionalFormatting sqref="C51">
    <cfRule type="cellIs" dxfId="1325" priority="1313" stopIfTrue="1" operator="equal">
      <formula>"Towel"</formula>
    </cfRule>
    <cfRule type="cellIs" dxfId="1324" priority="1314" stopIfTrue="1" operator="equal">
      <formula>"Napkin Hs"</formula>
    </cfRule>
  </conditionalFormatting>
  <conditionalFormatting sqref="B55:C55">
    <cfRule type="cellIs" dxfId="1323" priority="1309" stopIfTrue="1" operator="equal">
      <formula>"Towel"</formula>
    </cfRule>
    <cfRule type="cellIs" dxfId="1322" priority="1310" stopIfTrue="1" operator="equal">
      <formula>"Napkin Hs"</formula>
    </cfRule>
  </conditionalFormatting>
  <conditionalFormatting sqref="C55">
    <cfRule type="cellIs" dxfId="1321" priority="1308" stopIfTrue="1" operator="equal">
      <formula>"Napkin Hs"</formula>
    </cfRule>
  </conditionalFormatting>
  <conditionalFormatting sqref="C55">
    <cfRule type="cellIs" dxfId="1320" priority="1305" stopIfTrue="1" operator="equal">
      <formula>"Towel"</formula>
    </cfRule>
    <cfRule type="cellIs" dxfId="1319" priority="1306" stopIfTrue="1" operator="equal">
      <formula>"Napkin Hs"</formula>
    </cfRule>
  </conditionalFormatting>
  <conditionalFormatting sqref="C55">
    <cfRule type="cellIs" dxfId="1318" priority="1307" stopIfTrue="1" operator="equal">
      <formula>"Towel"</formula>
    </cfRule>
  </conditionalFormatting>
  <conditionalFormatting sqref="B63:C63">
    <cfRule type="cellIs" dxfId="1317" priority="1303" stopIfTrue="1" operator="equal">
      <formula>"Towel"</formula>
    </cfRule>
    <cfRule type="cellIs" dxfId="1316" priority="1304" stopIfTrue="1" operator="equal">
      <formula>"Napkin Hs"</formula>
    </cfRule>
  </conditionalFormatting>
  <conditionalFormatting sqref="C63">
    <cfRule type="cellIs" dxfId="1315" priority="1302" stopIfTrue="1" operator="equal">
      <formula>"Napkin Hs"</formula>
    </cfRule>
  </conditionalFormatting>
  <conditionalFormatting sqref="C63">
    <cfRule type="cellIs" dxfId="1314" priority="1299" stopIfTrue="1" operator="equal">
      <formula>"Towel"</formula>
    </cfRule>
    <cfRule type="cellIs" dxfId="1313" priority="1300" stopIfTrue="1" operator="equal">
      <formula>"Napkin Hs"</formula>
    </cfRule>
  </conditionalFormatting>
  <conditionalFormatting sqref="C63">
    <cfRule type="cellIs" dxfId="1312" priority="1301" stopIfTrue="1" operator="equal">
      <formula>"Towel"</formula>
    </cfRule>
  </conditionalFormatting>
  <conditionalFormatting sqref="B68:C68">
    <cfRule type="cellIs" dxfId="1311" priority="1297" stopIfTrue="1" operator="equal">
      <formula>"Towel"</formula>
    </cfRule>
    <cfRule type="cellIs" dxfId="1310" priority="1298" stopIfTrue="1" operator="equal">
      <formula>"Napkin Hs"</formula>
    </cfRule>
  </conditionalFormatting>
  <conditionalFormatting sqref="C68">
    <cfRule type="cellIs" dxfId="1309" priority="1296" stopIfTrue="1" operator="equal">
      <formula>"Napkin Hs"</formula>
    </cfRule>
  </conditionalFormatting>
  <conditionalFormatting sqref="C68">
    <cfRule type="cellIs" dxfId="1308" priority="1293" stopIfTrue="1" operator="equal">
      <formula>"Towel"</formula>
    </cfRule>
    <cfRule type="cellIs" dxfId="1307" priority="1294" stopIfTrue="1" operator="equal">
      <formula>"Napkin Hs"</formula>
    </cfRule>
  </conditionalFormatting>
  <conditionalFormatting sqref="C68">
    <cfRule type="cellIs" dxfId="1306" priority="1295" stopIfTrue="1" operator="equal">
      <formula>"Towel"</formula>
    </cfRule>
  </conditionalFormatting>
  <conditionalFormatting sqref="B76:C76">
    <cfRule type="cellIs" dxfId="1305" priority="1291" stopIfTrue="1" operator="equal">
      <formula>"Towel"</formula>
    </cfRule>
    <cfRule type="cellIs" dxfId="1304" priority="1292" stopIfTrue="1" operator="equal">
      <formula>"Napkin Hs"</formula>
    </cfRule>
  </conditionalFormatting>
  <conditionalFormatting sqref="C76">
    <cfRule type="cellIs" dxfId="1303" priority="1290" stopIfTrue="1" operator="equal">
      <formula>"Napkin Hs"</formula>
    </cfRule>
  </conditionalFormatting>
  <conditionalFormatting sqref="C76">
    <cfRule type="cellIs" dxfId="1302" priority="1287" stopIfTrue="1" operator="equal">
      <formula>"Towel"</formula>
    </cfRule>
    <cfRule type="cellIs" dxfId="1301" priority="1288" stopIfTrue="1" operator="equal">
      <formula>"Napkin Hs"</formula>
    </cfRule>
  </conditionalFormatting>
  <conditionalFormatting sqref="C76">
    <cfRule type="cellIs" dxfId="1300" priority="1289" stopIfTrue="1" operator="equal">
      <formula>"Towel"</formula>
    </cfRule>
  </conditionalFormatting>
  <conditionalFormatting sqref="B85:C85">
    <cfRule type="cellIs" dxfId="1299" priority="1285" stopIfTrue="1" operator="equal">
      <formula>"Towel"</formula>
    </cfRule>
    <cfRule type="cellIs" dxfId="1298" priority="1286" stopIfTrue="1" operator="equal">
      <formula>"Napkin Hs"</formula>
    </cfRule>
  </conditionalFormatting>
  <conditionalFormatting sqref="C85">
    <cfRule type="cellIs" dxfId="1297" priority="1284" stopIfTrue="1" operator="equal">
      <formula>"Napkin Hs"</formula>
    </cfRule>
  </conditionalFormatting>
  <conditionalFormatting sqref="C85">
    <cfRule type="cellIs" dxfId="1296" priority="1281" stopIfTrue="1" operator="equal">
      <formula>"Towel"</formula>
    </cfRule>
    <cfRule type="cellIs" dxfId="1295" priority="1282" stopIfTrue="1" operator="equal">
      <formula>"Napkin Hs"</formula>
    </cfRule>
  </conditionalFormatting>
  <conditionalFormatting sqref="C85">
    <cfRule type="cellIs" dxfId="1294" priority="1283" stopIfTrue="1" operator="equal">
      <formula>"Towel"</formula>
    </cfRule>
  </conditionalFormatting>
  <conditionalFormatting sqref="B90:C91">
    <cfRule type="cellIs" dxfId="1293" priority="1279" stopIfTrue="1" operator="equal">
      <formula>"Towel"</formula>
    </cfRule>
    <cfRule type="cellIs" dxfId="1292" priority="1280" stopIfTrue="1" operator="equal">
      <formula>"Napkin Hs"</formula>
    </cfRule>
  </conditionalFormatting>
  <conditionalFormatting sqref="C90:C91">
    <cfRule type="cellIs" dxfId="1291" priority="1278" stopIfTrue="1" operator="equal">
      <formula>"Napkin Hs"</formula>
    </cfRule>
  </conditionalFormatting>
  <conditionalFormatting sqref="C90:C91">
    <cfRule type="cellIs" dxfId="1290" priority="1275" stopIfTrue="1" operator="equal">
      <formula>"Towel"</formula>
    </cfRule>
    <cfRule type="cellIs" dxfId="1289" priority="1276" stopIfTrue="1" operator="equal">
      <formula>"Napkin Hs"</formula>
    </cfRule>
  </conditionalFormatting>
  <conditionalFormatting sqref="C90:C91">
    <cfRule type="cellIs" dxfId="1288" priority="1277" stopIfTrue="1" operator="equal">
      <formula>"Towel"</formula>
    </cfRule>
  </conditionalFormatting>
  <conditionalFormatting sqref="B95:C95">
    <cfRule type="cellIs" dxfId="1287" priority="1273" stopIfTrue="1" operator="equal">
      <formula>"Towel"</formula>
    </cfRule>
    <cfRule type="cellIs" dxfId="1286" priority="1274" stopIfTrue="1" operator="equal">
      <formula>"Napkin Hs"</formula>
    </cfRule>
  </conditionalFormatting>
  <conditionalFormatting sqref="C95">
    <cfRule type="cellIs" dxfId="1285" priority="1272" stopIfTrue="1" operator="equal">
      <formula>"Napkin Hs"</formula>
    </cfRule>
  </conditionalFormatting>
  <conditionalFormatting sqref="C95">
    <cfRule type="cellIs" dxfId="1284" priority="1269" stopIfTrue="1" operator="equal">
      <formula>"Towel"</formula>
    </cfRule>
    <cfRule type="cellIs" dxfId="1283" priority="1270" stopIfTrue="1" operator="equal">
      <formula>"Napkin Hs"</formula>
    </cfRule>
  </conditionalFormatting>
  <conditionalFormatting sqref="C95">
    <cfRule type="cellIs" dxfId="1282" priority="1271" stopIfTrue="1" operator="equal">
      <formula>"Towel"</formula>
    </cfRule>
  </conditionalFormatting>
  <conditionalFormatting sqref="B94:C94">
    <cfRule type="cellIs" dxfId="1281" priority="1267" stopIfTrue="1" operator="equal">
      <formula>"Towel"</formula>
    </cfRule>
    <cfRule type="cellIs" dxfId="1280" priority="1268" stopIfTrue="1" operator="equal">
      <formula>"Napkin Hs"</formula>
    </cfRule>
  </conditionalFormatting>
  <conditionalFormatting sqref="C94">
    <cfRule type="cellIs" dxfId="1279" priority="1266" stopIfTrue="1" operator="equal">
      <formula>"Napkin Hs"</formula>
    </cfRule>
  </conditionalFormatting>
  <conditionalFormatting sqref="C94">
    <cfRule type="cellIs" dxfId="1278" priority="1263" stopIfTrue="1" operator="equal">
      <formula>"Towel"</formula>
    </cfRule>
    <cfRule type="cellIs" dxfId="1277" priority="1264" stopIfTrue="1" operator="equal">
      <formula>"Napkin Hs"</formula>
    </cfRule>
  </conditionalFormatting>
  <conditionalFormatting sqref="C94">
    <cfRule type="cellIs" dxfId="1276" priority="1265" stopIfTrue="1" operator="equal">
      <formula>"Towel"</formula>
    </cfRule>
  </conditionalFormatting>
  <conditionalFormatting sqref="B93:C93">
    <cfRule type="cellIs" dxfId="1275" priority="1261" stopIfTrue="1" operator="equal">
      <formula>"Towel"</formula>
    </cfRule>
    <cfRule type="cellIs" dxfId="1274" priority="1262" stopIfTrue="1" operator="equal">
      <formula>"Napkin Hs"</formula>
    </cfRule>
  </conditionalFormatting>
  <conditionalFormatting sqref="C93">
    <cfRule type="cellIs" dxfId="1273" priority="1260" stopIfTrue="1" operator="equal">
      <formula>"Napkin Hs"</formula>
    </cfRule>
  </conditionalFormatting>
  <conditionalFormatting sqref="C93">
    <cfRule type="cellIs" dxfId="1272" priority="1257" stopIfTrue="1" operator="equal">
      <formula>"Towel"</formula>
    </cfRule>
    <cfRule type="cellIs" dxfId="1271" priority="1258" stopIfTrue="1" operator="equal">
      <formula>"Napkin Hs"</formula>
    </cfRule>
  </conditionalFormatting>
  <conditionalFormatting sqref="C93">
    <cfRule type="cellIs" dxfId="1270" priority="1259" stopIfTrue="1" operator="equal">
      <formula>"Towel"</formula>
    </cfRule>
  </conditionalFormatting>
  <conditionalFormatting sqref="B100:C100">
    <cfRule type="cellIs" dxfId="1269" priority="1255" stopIfTrue="1" operator="equal">
      <formula>"Towel"</formula>
    </cfRule>
    <cfRule type="cellIs" dxfId="1268" priority="1256" stopIfTrue="1" operator="equal">
      <formula>"Napkin Hs"</formula>
    </cfRule>
  </conditionalFormatting>
  <conditionalFormatting sqref="C100">
    <cfRule type="cellIs" dxfId="1267" priority="1254" stopIfTrue="1" operator="equal">
      <formula>"Napkin Hs"</formula>
    </cfRule>
  </conditionalFormatting>
  <conditionalFormatting sqref="C100">
    <cfRule type="cellIs" dxfId="1266" priority="1251" stopIfTrue="1" operator="equal">
      <formula>"Towel"</formula>
    </cfRule>
    <cfRule type="cellIs" dxfId="1265" priority="1252" stopIfTrue="1" operator="equal">
      <formula>"Napkin Hs"</formula>
    </cfRule>
  </conditionalFormatting>
  <conditionalFormatting sqref="C100">
    <cfRule type="cellIs" dxfId="1264" priority="1253" stopIfTrue="1" operator="equal">
      <formula>"Towel"</formula>
    </cfRule>
  </conditionalFormatting>
  <conditionalFormatting sqref="B105:C105">
    <cfRule type="cellIs" dxfId="1263" priority="1249" stopIfTrue="1" operator="equal">
      <formula>"Towel"</formula>
    </cfRule>
    <cfRule type="cellIs" dxfId="1262" priority="1250" stopIfTrue="1" operator="equal">
      <formula>"Napkin Hs"</formula>
    </cfRule>
  </conditionalFormatting>
  <conditionalFormatting sqref="C105">
    <cfRule type="cellIs" dxfId="1261" priority="1248" stopIfTrue="1" operator="equal">
      <formula>"Napkin Hs"</formula>
    </cfRule>
  </conditionalFormatting>
  <conditionalFormatting sqref="C105">
    <cfRule type="cellIs" dxfId="1260" priority="1245" stopIfTrue="1" operator="equal">
      <formula>"Towel"</formula>
    </cfRule>
    <cfRule type="cellIs" dxfId="1259" priority="1246" stopIfTrue="1" operator="equal">
      <formula>"Napkin Hs"</formula>
    </cfRule>
  </conditionalFormatting>
  <conditionalFormatting sqref="C105">
    <cfRule type="cellIs" dxfId="1258" priority="1247" stopIfTrue="1" operator="equal">
      <formula>"Towel"</formula>
    </cfRule>
  </conditionalFormatting>
  <conditionalFormatting sqref="B110:C110">
    <cfRule type="cellIs" dxfId="1257" priority="1243" stopIfTrue="1" operator="equal">
      <formula>"Towel"</formula>
    </cfRule>
    <cfRule type="cellIs" dxfId="1256" priority="1244" stopIfTrue="1" operator="equal">
      <formula>"Napkin Hs"</formula>
    </cfRule>
  </conditionalFormatting>
  <conditionalFormatting sqref="C110">
    <cfRule type="cellIs" dxfId="1255" priority="1242" stopIfTrue="1" operator="equal">
      <formula>"Napkin Hs"</formula>
    </cfRule>
  </conditionalFormatting>
  <conditionalFormatting sqref="C110">
    <cfRule type="cellIs" dxfId="1254" priority="1239" stopIfTrue="1" operator="equal">
      <formula>"Towel"</formula>
    </cfRule>
    <cfRule type="cellIs" dxfId="1253" priority="1240" stopIfTrue="1" operator="equal">
      <formula>"Napkin Hs"</formula>
    </cfRule>
  </conditionalFormatting>
  <conditionalFormatting sqref="C110">
    <cfRule type="cellIs" dxfId="1252" priority="1241" stopIfTrue="1" operator="equal">
      <formula>"Towel"</formula>
    </cfRule>
  </conditionalFormatting>
  <conditionalFormatting sqref="B115:C115">
    <cfRule type="cellIs" dxfId="1251" priority="1237" stopIfTrue="1" operator="equal">
      <formula>"Towel"</formula>
    </cfRule>
    <cfRule type="cellIs" dxfId="1250" priority="1238" stopIfTrue="1" operator="equal">
      <formula>"Napkin Hs"</formula>
    </cfRule>
  </conditionalFormatting>
  <conditionalFormatting sqref="C115">
    <cfRule type="cellIs" dxfId="1249" priority="1236" stopIfTrue="1" operator="equal">
      <formula>"Napkin Hs"</formula>
    </cfRule>
  </conditionalFormatting>
  <conditionalFormatting sqref="C115">
    <cfRule type="cellIs" dxfId="1248" priority="1233" stopIfTrue="1" operator="equal">
      <formula>"Towel"</formula>
    </cfRule>
    <cfRule type="cellIs" dxfId="1247" priority="1234" stopIfTrue="1" operator="equal">
      <formula>"Napkin Hs"</formula>
    </cfRule>
  </conditionalFormatting>
  <conditionalFormatting sqref="C115">
    <cfRule type="cellIs" dxfId="1246" priority="1235" stopIfTrue="1" operator="equal">
      <formula>"Towel"</formula>
    </cfRule>
  </conditionalFormatting>
  <conditionalFormatting sqref="B120:C120">
    <cfRule type="cellIs" dxfId="1245" priority="1231" stopIfTrue="1" operator="equal">
      <formula>"Towel"</formula>
    </cfRule>
    <cfRule type="cellIs" dxfId="1244" priority="1232" stopIfTrue="1" operator="equal">
      <formula>"Napkin Hs"</formula>
    </cfRule>
  </conditionalFormatting>
  <conditionalFormatting sqref="C120">
    <cfRule type="cellIs" dxfId="1243" priority="1230" stopIfTrue="1" operator="equal">
      <formula>"Napkin Hs"</formula>
    </cfRule>
  </conditionalFormatting>
  <conditionalFormatting sqref="C120">
    <cfRule type="cellIs" dxfId="1242" priority="1227" stopIfTrue="1" operator="equal">
      <formula>"Towel"</formula>
    </cfRule>
    <cfRule type="cellIs" dxfId="1241" priority="1228" stopIfTrue="1" operator="equal">
      <formula>"Napkin Hs"</formula>
    </cfRule>
  </conditionalFormatting>
  <conditionalFormatting sqref="C120">
    <cfRule type="cellIs" dxfId="1240" priority="1229" stopIfTrue="1" operator="equal">
      <formula>"Towel"</formula>
    </cfRule>
  </conditionalFormatting>
  <conditionalFormatting sqref="B125:C125">
    <cfRule type="cellIs" dxfId="1239" priority="1225" stopIfTrue="1" operator="equal">
      <formula>"Towel"</formula>
    </cfRule>
    <cfRule type="cellIs" dxfId="1238" priority="1226" stopIfTrue="1" operator="equal">
      <formula>"Napkin Hs"</formula>
    </cfRule>
  </conditionalFormatting>
  <conditionalFormatting sqref="C125">
    <cfRule type="cellIs" dxfId="1237" priority="1224" stopIfTrue="1" operator="equal">
      <formula>"Napkin Hs"</formula>
    </cfRule>
  </conditionalFormatting>
  <conditionalFormatting sqref="C125">
    <cfRule type="cellIs" dxfId="1236" priority="1221" stopIfTrue="1" operator="equal">
      <formula>"Towel"</formula>
    </cfRule>
    <cfRule type="cellIs" dxfId="1235" priority="1222" stopIfTrue="1" operator="equal">
      <formula>"Napkin Hs"</formula>
    </cfRule>
  </conditionalFormatting>
  <conditionalFormatting sqref="C125">
    <cfRule type="cellIs" dxfId="1234" priority="1223" stopIfTrue="1" operator="equal">
      <formula>"Towel"</formula>
    </cfRule>
  </conditionalFormatting>
  <conditionalFormatting sqref="B130:C130">
    <cfRule type="cellIs" dxfId="1233" priority="1219" stopIfTrue="1" operator="equal">
      <formula>"Towel"</formula>
    </cfRule>
    <cfRule type="cellIs" dxfId="1232" priority="1220" stopIfTrue="1" operator="equal">
      <formula>"Napkin Hs"</formula>
    </cfRule>
  </conditionalFormatting>
  <conditionalFormatting sqref="C130">
    <cfRule type="cellIs" dxfId="1231" priority="1218" stopIfTrue="1" operator="equal">
      <formula>"Napkin Hs"</formula>
    </cfRule>
  </conditionalFormatting>
  <conditionalFormatting sqref="C130">
    <cfRule type="cellIs" dxfId="1230" priority="1215" stopIfTrue="1" operator="equal">
      <formula>"Towel"</formula>
    </cfRule>
    <cfRule type="cellIs" dxfId="1229" priority="1216" stopIfTrue="1" operator="equal">
      <formula>"Napkin Hs"</formula>
    </cfRule>
  </conditionalFormatting>
  <conditionalFormatting sqref="C130">
    <cfRule type="cellIs" dxfId="1228" priority="1217" stopIfTrue="1" operator="equal">
      <formula>"Towel"</formula>
    </cfRule>
  </conditionalFormatting>
  <conditionalFormatting sqref="B135:C135">
    <cfRule type="cellIs" dxfId="1227" priority="1213" stopIfTrue="1" operator="equal">
      <formula>"Towel"</formula>
    </cfRule>
    <cfRule type="cellIs" dxfId="1226" priority="1214" stopIfTrue="1" operator="equal">
      <formula>"Napkin Hs"</formula>
    </cfRule>
  </conditionalFormatting>
  <conditionalFormatting sqref="C135">
    <cfRule type="cellIs" dxfId="1225" priority="1212" stopIfTrue="1" operator="equal">
      <formula>"Napkin Hs"</formula>
    </cfRule>
  </conditionalFormatting>
  <conditionalFormatting sqref="C135">
    <cfRule type="cellIs" dxfId="1224" priority="1209" stopIfTrue="1" operator="equal">
      <formula>"Towel"</formula>
    </cfRule>
    <cfRule type="cellIs" dxfId="1223" priority="1210" stopIfTrue="1" operator="equal">
      <formula>"Napkin Hs"</formula>
    </cfRule>
  </conditionalFormatting>
  <conditionalFormatting sqref="C135">
    <cfRule type="cellIs" dxfId="1222" priority="1211" stopIfTrue="1" operator="equal">
      <formula>"Towel"</formula>
    </cfRule>
  </conditionalFormatting>
  <conditionalFormatting sqref="B140:C140">
    <cfRule type="cellIs" dxfId="1221" priority="1207" stopIfTrue="1" operator="equal">
      <formula>"Towel"</formula>
    </cfRule>
    <cfRule type="cellIs" dxfId="1220" priority="1208" stopIfTrue="1" operator="equal">
      <formula>"Napkin Hs"</formula>
    </cfRule>
  </conditionalFormatting>
  <conditionalFormatting sqref="C140">
    <cfRule type="cellIs" dxfId="1219" priority="1206" stopIfTrue="1" operator="equal">
      <formula>"Napkin Hs"</formula>
    </cfRule>
  </conditionalFormatting>
  <conditionalFormatting sqref="C140">
    <cfRule type="cellIs" dxfId="1218" priority="1203" stopIfTrue="1" operator="equal">
      <formula>"Towel"</formula>
    </cfRule>
    <cfRule type="cellIs" dxfId="1217" priority="1204" stopIfTrue="1" operator="equal">
      <formula>"Napkin Hs"</formula>
    </cfRule>
  </conditionalFormatting>
  <conditionalFormatting sqref="C140">
    <cfRule type="cellIs" dxfId="1216" priority="1205" stopIfTrue="1" operator="equal">
      <formula>"Towel"</formula>
    </cfRule>
  </conditionalFormatting>
  <conditionalFormatting sqref="B146:C147">
    <cfRule type="cellIs" dxfId="1215" priority="1201" stopIfTrue="1" operator="equal">
      <formula>"Towel"</formula>
    </cfRule>
    <cfRule type="cellIs" dxfId="1214" priority="1202" stopIfTrue="1" operator="equal">
      <formula>"Napkin Hs"</formula>
    </cfRule>
  </conditionalFormatting>
  <conditionalFormatting sqref="C146:C147">
    <cfRule type="cellIs" dxfId="1213" priority="1200" stopIfTrue="1" operator="equal">
      <formula>"Napkin Hs"</formula>
    </cfRule>
  </conditionalFormatting>
  <conditionalFormatting sqref="C146:C147">
    <cfRule type="cellIs" dxfId="1212" priority="1197" stopIfTrue="1" operator="equal">
      <formula>"Towel"</formula>
    </cfRule>
    <cfRule type="cellIs" dxfId="1211" priority="1198" stopIfTrue="1" operator="equal">
      <formula>"Napkin Hs"</formula>
    </cfRule>
  </conditionalFormatting>
  <conditionalFormatting sqref="C146:C147">
    <cfRule type="cellIs" dxfId="1210" priority="1199" stopIfTrue="1" operator="equal">
      <formula>"Towel"</formula>
    </cfRule>
  </conditionalFormatting>
  <conditionalFormatting sqref="B145:C145">
    <cfRule type="cellIs" dxfId="1209" priority="1195" stopIfTrue="1" operator="equal">
      <formula>"Towel"</formula>
    </cfRule>
    <cfRule type="cellIs" dxfId="1208" priority="1196" stopIfTrue="1" operator="equal">
      <formula>"Napkin Hs"</formula>
    </cfRule>
  </conditionalFormatting>
  <conditionalFormatting sqref="C145">
    <cfRule type="cellIs" dxfId="1207" priority="1194" stopIfTrue="1" operator="equal">
      <formula>"Napkin Hs"</formula>
    </cfRule>
  </conditionalFormatting>
  <conditionalFormatting sqref="C145">
    <cfRule type="cellIs" dxfId="1206" priority="1191" stopIfTrue="1" operator="equal">
      <formula>"Towel"</formula>
    </cfRule>
    <cfRule type="cellIs" dxfId="1205" priority="1192" stopIfTrue="1" operator="equal">
      <formula>"Napkin Hs"</formula>
    </cfRule>
  </conditionalFormatting>
  <conditionalFormatting sqref="C145">
    <cfRule type="cellIs" dxfId="1204" priority="1193" stopIfTrue="1" operator="equal">
      <formula>"Towel"</formula>
    </cfRule>
  </conditionalFormatting>
  <conditionalFormatting sqref="C149">
    <cfRule type="cellIs" dxfId="1203" priority="1173" stopIfTrue="1" operator="equal">
      <formula>"Towel"</formula>
    </cfRule>
    <cfRule type="cellIs" dxfId="1202" priority="1174" stopIfTrue="1" operator="equal">
      <formula>"Napkin Hs"</formula>
    </cfRule>
  </conditionalFormatting>
  <conditionalFormatting sqref="B151:C151">
    <cfRule type="cellIs" dxfId="1201" priority="1189" stopIfTrue="1" operator="equal">
      <formula>"Towel"</formula>
    </cfRule>
    <cfRule type="cellIs" dxfId="1200" priority="1190" stopIfTrue="1" operator="equal">
      <formula>"Napkin Hs"</formula>
    </cfRule>
  </conditionalFormatting>
  <conditionalFormatting sqref="C151">
    <cfRule type="cellIs" dxfId="1199" priority="1188" stopIfTrue="1" operator="equal">
      <formula>"Napkin Hs"</formula>
    </cfRule>
  </conditionalFormatting>
  <conditionalFormatting sqref="C151">
    <cfRule type="cellIs" dxfId="1198" priority="1185" stopIfTrue="1" operator="equal">
      <formula>"Towel"</formula>
    </cfRule>
    <cfRule type="cellIs" dxfId="1197" priority="1186" stopIfTrue="1" operator="equal">
      <formula>"Napkin Hs"</formula>
    </cfRule>
  </conditionalFormatting>
  <conditionalFormatting sqref="C151">
    <cfRule type="cellIs" dxfId="1196" priority="1187" stopIfTrue="1" operator="equal">
      <formula>"Towel"</formula>
    </cfRule>
  </conditionalFormatting>
  <conditionalFormatting sqref="B150:C150">
    <cfRule type="cellIs" dxfId="1195" priority="1183" stopIfTrue="1" operator="equal">
      <formula>"Towel"</formula>
    </cfRule>
    <cfRule type="cellIs" dxfId="1194" priority="1184" stopIfTrue="1" operator="equal">
      <formula>"Napkin Hs"</formula>
    </cfRule>
  </conditionalFormatting>
  <conditionalFormatting sqref="C150">
    <cfRule type="cellIs" dxfId="1193" priority="1182" stopIfTrue="1" operator="equal">
      <formula>"Napkin Hs"</formula>
    </cfRule>
  </conditionalFormatting>
  <conditionalFormatting sqref="C150">
    <cfRule type="cellIs" dxfId="1192" priority="1179" stopIfTrue="1" operator="equal">
      <formula>"Towel"</formula>
    </cfRule>
    <cfRule type="cellIs" dxfId="1191" priority="1180" stopIfTrue="1" operator="equal">
      <formula>"Napkin Hs"</formula>
    </cfRule>
  </conditionalFormatting>
  <conditionalFormatting sqref="C150">
    <cfRule type="cellIs" dxfId="1190" priority="1181" stopIfTrue="1" operator="equal">
      <formula>"Towel"</formula>
    </cfRule>
  </conditionalFormatting>
  <conditionalFormatting sqref="B149:C149">
    <cfRule type="cellIs" dxfId="1189" priority="1177" stopIfTrue="1" operator="equal">
      <formula>"Towel"</formula>
    </cfRule>
    <cfRule type="cellIs" dxfId="1188" priority="1178" stopIfTrue="1" operator="equal">
      <formula>"Napkin Hs"</formula>
    </cfRule>
  </conditionalFormatting>
  <conditionalFormatting sqref="C149">
    <cfRule type="cellIs" dxfId="1187" priority="1176" stopIfTrue="1" operator="equal">
      <formula>"Napkin Hs"</formula>
    </cfRule>
  </conditionalFormatting>
  <conditionalFormatting sqref="C149">
    <cfRule type="cellIs" dxfId="1186" priority="1175" stopIfTrue="1" operator="equal">
      <formula>"Towel"</formula>
    </cfRule>
  </conditionalFormatting>
  <conditionalFormatting sqref="B15:C15">
    <cfRule type="cellIs" dxfId="1185" priority="1171" stopIfTrue="1" operator="equal">
      <formula>"Towel"</formula>
    </cfRule>
    <cfRule type="cellIs" dxfId="1184" priority="1172" stopIfTrue="1" operator="equal">
      <formula>"Napkin Hs"</formula>
    </cfRule>
  </conditionalFormatting>
  <conditionalFormatting sqref="C15">
    <cfRule type="cellIs" dxfId="1183" priority="1167" stopIfTrue="1" operator="equal">
      <formula>"Towel"</formula>
    </cfRule>
    <cfRule type="cellIs" dxfId="1182" priority="1168" stopIfTrue="1" operator="equal">
      <formula>"Napkin Hs"</formula>
    </cfRule>
  </conditionalFormatting>
  <conditionalFormatting sqref="C15">
    <cfRule type="cellIs" dxfId="1181" priority="1170" stopIfTrue="1" operator="equal">
      <formula>"Napkin Hs"</formula>
    </cfRule>
  </conditionalFormatting>
  <conditionalFormatting sqref="C15">
    <cfRule type="cellIs" dxfId="1180" priority="1169" stopIfTrue="1" operator="equal">
      <formula>"Towel"</formula>
    </cfRule>
  </conditionalFormatting>
  <conditionalFormatting sqref="B19:C19">
    <cfRule type="cellIs" dxfId="1179" priority="1165" stopIfTrue="1" operator="equal">
      <formula>"Towel"</formula>
    </cfRule>
    <cfRule type="cellIs" dxfId="1178" priority="1166" stopIfTrue="1" operator="equal">
      <formula>"Napkin Hs"</formula>
    </cfRule>
  </conditionalFormatting>
  <conditionalFormatting sqref="C19">
    <cfRule type="cellIs" dxfId="1177" priority="1164" stopIfTrue="1" operator="equal">
      <formula>"Napkin Hs"</formula>
    </cfRule>
  </conditionalFormatting>
  <conditionalFormatting sqref="C19">
    <cfRule type="cellIs" dxfId="1176" priority="1161" stopIfTrue="1" operator="equal">
      <formula>"Towel"</formula>
    </cfRule>
    <cfRule type="cellIs" dxfId="1175" priority="1162" stopIfTrue="1" operator="equal">
      <formula>"Napkin Hs"</formula>
    </cfRule>
  </conditionalFormatting>
  <conditionalFormatting sqref="C19">
    <cfRule type="cellIs" dxfId="1174" priority="1163" stopIfTrue="1" operator="equal">
      <formula>"Towel"</formula>
    </cfRule>
  </conditionalFormatting>
  <conditionalFormatting sqref="B19:C19">
    <cfRule type="cellIs" dxfId="1173" priority="1159" stopIfTrue="1" operator="equal">
      <formula>"Towel"</formula>
    </cfRule>
    <cfRule type="cellIs" dxfId="1172" priority="1160" stopIfTrue="1" operator="equal">
      <formula>"Napkin Hs"</formula>
    </cfRule>
  </conditionalFormatting>
  <conditionalFormatting sqref="C19">
    <cfRule type="cellIs" dxfId="1171" priority="1158" stopIfTrue="1" operator="equal">
      <formula>"Napkin Hs"</formula>
    </cfRule>
  </conditionalFormatting>
  <conditionalFormatting sqref="C19">
    <cfRule type="cellIs" dxfId="1170" priority="1155" stopIfTrue="1" operator="equal">
      <formula>"Towel"</formula>
    </cfRule>
    <cfRule type="cellIs" dxfId="1169" priority="1156" stopIfTrue="1" operator="equal">
      <formula>"Napkin Hs"</formula>
    </cfRule>
  </conditionalFormatting>
  <conditionalFormatting sqref="C19">
    <cfRule type="cellIs" dxfId="1168" priority="1157" stopIfTrue="1" operator="equal">
      <formula>"Towel"</formula>
    </cfRule>
  </conditionalFormatting>
  <conditionalFormatting sqref="B6:C6">
    <cfRule type="cellIs" dxfId="1167" priority="1153" stopIfTrue="1" operator="equal">
      <formula>"Towel"</formula>
    </cfRule>
    <cfRule type="cellIs" dxfId="1166" priority="1154" stopIfTrue="1" operator="equal">
      <formula>"Napkin Hs"</formula>
    </cfRule>
  </conditionalFormatting>
  <conditionalFormatting sqref="C6">
    <cfRule type="cellIs" dxfId="1165" priority="1152" stopIfTrue="1" operator="equal">
      <formula>"Napkin Hs"</formula>
    </cfRule>
  </conditionalFormatting>
  <conditionalFormatting sqref="C6">
    <cfRule type="cellIs" dxfId="1164" priority="1149" stopIfTrue="1" operator="equal">
      <formula>"Towel"</formula>
    </cfRule>
    <cfRule type="cellIs" dxfId="1163" priority="1150" stopIfTrue="1" operator="equal">
      <formula>"Napkin Hs"</formula>
    </cfRule>
  </conditionalFormatting>
  <conditionalFormatting sqref="C6">
    <cfRule type="cellIs" dxfId="1162" priority="1151" stopIfTrue="1" operator="equal">
      <formula>"Towel"</formula>
    </cfRule>
  </conditionalFormatting>
  <conditionalFormatting sqref="B14:C14">
    <cfRule type="cellIs" dxfId="1161" priority="1147" stopIfTrue="1" operator="equal">
      <formula>"Towel"</formula>
    </cfRule>
    <cfRule type="cellIs" dxfId="1160" priority="1148" stopIfTrue="1" operator="equal">
      <formula>"Napkin Hs"</formula>
    </cfRule>
  </conditionalFormatting>
  <conditionalFormatting sqref="B13:C13">
    <cfRule type="cellIs" dxfId="1159" priority="1143" stopIfTrue="1" operator="equal">
      <formula>"Towel"</formula>
    </cfRule>
    <cfRule type="cellIs" dxfId="1158" priority="1144" stopIfTrue="1" operator="equal">
      <formula>"Napkin Hs"</formula>
    </cfRule>
  </conditionalFormatting>
  <conditionalFormatting sqref="C14">
    <cfRule type="cellIs" dxfId="1157" priority="1146" stopIfTrue="1" operator="equal">
      <formula>"Napkin Hs"</formula>
    </cfRule>
  </conditionalFormatting>
  <conditionalFormatting sqref="C13:C14">
    <cfRule type="cellIs" dxfId="1156" priority="1141" stopIfTrue="1" operator="equal">
      <formula>"Towel"</formula>
    </cfRule>
    <cfRule type="cellIs" dxfId="1155" priority="1142" stopIfTrue="1" operator="equal">
      <formula>"Napkin Hs"</formula>
    </cfRule>
  </conditionalFormatting>
  <conditionalFormatting sqref="C13">
    <cfRule type="cellIs" dxfId="1154" priority="1139" stopIfTrue="1" operator="equal">
      <formula>"Towel"</formula>
    </cfRule>
    <cfRule type="cellIs" dxfId="1153" priority="1140" stopIfTrue="1" operator="equal">
      <formula>"Napkin Hs"</formula>
    </cfRule>
  </conditionalFormatting>
  <conditionalFormatting sqref="C14">
    <cfRule type="cellIs" dxfId="1152" priority="1145" stopIfTrue="1" operator="equal">
      <formula>"Towel"</formula>
    </cfRule>
  </conditionalFormatting>
  <conditionalFormatting sqref="B12:C12">
    <cfRule type="cellIs" dxfId="1151" priority="1137" stopIfTrue="1" operator="equal">
      <formula>"Towel"</formula>
    </cfRule>
    <cfRule type="cellIs" dxfId="1150" priority="1138" stopIfTrue="1" operator="equal">
      <formula>"Napkin Hs"</formula>
    </cfRule>
  </conditionalFormatting>
  <conditionalFormatting sqref="C12">
    <cfRule type="cellIs" dxfId="1149" priority="1136" stopIfTrue="1" operator="equal">
      <formula>"Napkin Hs"</formula>
    </cfRule>
  </conditionalFormatting>
  <conditionalFormatting sqref="C12">
    <cfRule type="cellIs" dxfId="1148" priority="1133" stopIfTrue="1" operator="equal">
      <formula>"Towel"</formula>
    </cfRule>
    <cfRule type="cellIs" dxfId="1147" priority="1134" stopIfTrue="1" operator="equal">
      <formula>"Napkin Hs"</formula>
    </cfRule>
  </conditionalFormatting>
  <conditionalFormatting sqref="C12">
    <cfRule type="cellIs" dxfId="1146" priority="1135" stopIfTrue="1" operator="equal">
      <formula>"Towel"</formula>
    </cfRule>
  </conditionalFormatting>
  <conditionalFormatting sqref="B18:C18">
    <cfRule type="cellIs" dxfId="1145" priority="1131" stopIfTrue="1" operator="equal">
      <formula>"Towel"</formula>
    </cfRule>
    <cfRule type="cellIs" dxfId="1144" priority="1132" stopIfTrue="1" operator="equal">
      <formula>"Napkin Hs"</formula>
    </cfRule>
  </conditionalFormatting>
  <conditionalFormatting sqref="B17:C17">
    <cfRule type="cellIs" dxfId="1143" priority="1127" stopIfTrue="1" operator="equal">
      <formula>"Towel"</formula>
    </cfRule>
    <cfRule type="cellIs" dxfId="1142" priority="1128" stopIfTrue="1" operator="equal">
      <formula>"Napkin Hs"</formula>
    </cfRule>
  </conditionalFormatting>
  <conditionalFormatting sqref="C18">
    <cfRule type="cellIs" dxfId="1141" priority="1130" stopIfTrue="1" operator="equal">
      <formula>"Napkin Hs"</formula>
    </cfRule>
  </conditionalFormatting>
  <conditionalFormatting sqref="C17:C18">
    <cfRule type="cellIs" dxfId="1140" priority="1125" stopIfTrue="1" operator="equal">
      <formula>"Towel"</formula>
    </cfRule>
    <cfRule type="cellIs" dxfId="1139" priority="1126" stopIfTrue="1" operator="equal">
      <formula>"Napkin Hs"</formula>
    </cfRule>
  </conditionalFormatting>
  <conditionalFormatting sqref="C17">
    <cfRule type="cellIs" dxfId="1138" priority="1123" stopIfTrue="1" operator="equal">
      <formula>"Towel"</formula>
    </cfRule>
    <cfRule type="cellIs" dxfId="1137" priority="1124" stopIfTrue="1" operator="equal">
      <formula>"Napkin Hs"</formula>
    </cfRule>
  </conditionalFormatting>
  <conditionalFormatting sqref="C18">
    <cfRule type="cellIs" dxfId="1136" priority="1129" stopIfTrue="1" operator="equal">
      <formula>"Towel"</formula>
    </cfRule>
  </conditionalFormatting>
  <conditionalFormatting sqref="B16:C16">
    <cfRule type="cellIs" dxfId="1135" priority="1121" stopIfTrue="1" operator="equal">
      <formula>"Towel"</formula>
    </cfRule>
    <cfRule type="cellIs" dxfId="1134" priority="1122" stopIfTrue="1" operator="equal">
      <formula>"Napkin Hs"</formula>
    </cfRule>
  </conditionalFormatting>
  <conditionalFormatting sqref="C16">
    <cfRule type="cellIs" dxfId="1133" priority="1120" stopIfTrue="1" operator="equal">
      <formula>"Napkin Hs"</formula>
    </cfRule>
  </conditionalFormatting>
  <conditionalFormatting sqref="C16">
    <cfRule type="cellIs" dxfId="1132" priority="1117" stopIfTrue="1" operator="equal">
      <formula>"Towel"</formula>
    </cfRule>
    <cfRule type="cellIs" dxfId="1131" priority="1118" stopIfTrue="1" operator="equal">
      <formula>"Napkin Hs"</formula>
    </cfRule>
  </conditionalFormatting>
  <conditionalFormatting sqref="C16">
    <cfRule type="cellIs" dxfId="1130" priority="1119" stopIfTrue="1" operator="equal">
      <formula>"Towel"</formula>
    </cfRule>
  </conditionalFormatting>
  <conditionalFormatting sqref="B23:C23">
    <cfRule type="cellIs" dxfId="1129" priority="1115" stopIfTrue="1" operator="equal">
      <formula>"Towel"</formula>
    </cfRule>
    <cfRule type="cellIs" dxfId="1128" priority="1116" stopIfTrue="1" operator="equal">
      <formula>"Napkin Hs"</formula>
    </cfRule>
  </conditionalFormatting>
  <conditionalFormatting sqref="C23">
    <cfRule type="cellIs" dxfId="1127" priority="1114" stopIfTrue="1" operator="equal">
      <formula>"Napkin Hs"</formula>
    </cfRule>
  </conditionalFormatting>
  <conditionalFormatting sqref="C23">
    <cfRule type="cellIs" dxfId="1126" priority="1111" stopIfTrue="1" operator="equal">
      <formula>"Towel"</formula>
    </cfRule>
    <cfRule type="cellIs" dxfId="1125" priority="1112" stopIfTrue="1" operator="equal">
      <formula>"Napkin Hs"</formula>
    </cfRule>
  </conditionalFormatting>
  <conditionalFormatting sqref="C23">
    <cfRule type="cellIs" dxfId="1124" priority="1113" stopIfTrue="1" operator="equal">
      <formula>"Towel"</formula>
    </cfRule>
  </conditionalFormatting>
  <conditionalFormatting sqref="B23:C23">
    <cfRule type="cellIs" dxfId="1123" priority="1109" stopIfTrue="1" operator="equal">
      <formula>"Towel"</formula>
    </cfRule>
    <cfRule type="cellIs" dxfId="1122" priority="1110" stopIfTrue="1" operator="equal">
      <formula>"Napkin Hs"</formula>
    </cfRule>
  </conditionalFormatting>
  <conditionalFormatting sqref="C23">
    <cfRule type="cellIs" dxfId="1121" priority="1108" stopIfTrue="1" operator="equal">
      <formula>"Napkin Hs"</formula>
    </cfRule>
  </conditionalFormatting>
  <conditionalFormatting sqref="C23">
    <cfRule type="cellIs" dxfId="1120" priority="1105" stopIfTrue="1" operator="equal">
      <formula>"Towel"</formula>
    </cfRule>
    <cfRule type="cellIs" dxfId="1119" priority="1106" stopIfTrue="1" operator="equal">
      <formula>"Napkin Hs"</formula>
    </cfRule>
  </conditionalFormatting>
  <conditionalFormatting sqref="C23">
    <cfRule type="cellIs" dxfId="1118" priority="1107" stopIfTrue="1" operator="equal">
      <formula>"Towel"</formula>
    </cfRule>
  </conditionalFormatting>
  <conditionalFormatting sqref="B20:C22">
    <cfRule type="cellIs" dxfId="1117" priority="1103" stopIfTrue="1" operator="equal">
      <formula>"Towel"</formula>
    </cfRule>
    <cfRule type="cellIs" dxfId="1116" priority="1104" stopIfTrue="1" operator="equal">
      <formula>"Napkin Hs"</formula>
    </cfRule>
  </conditionalFormatting>
  <conditionalFormatting sqref="C20:C22">
    <cfRule type="cellIs" dxfId="1115" priority="1102" stopIfTrue="1" operator="equal">
      <formula>"Napkin Hs"</formula>
    </cfRule>
  </conditionalFormatting>
  <conditionalFormatting sqref="C20:C22">
    <cfRule type="cellIs" dxfId="1114" priority="1099" stopIfTrue="1" operator="equal">
      <formula>"Towel"</formula>
    </cfRule>
    <cfRule type="cellIs" dxfId="1113" priority="1100" stopIfTrue="1" operator="equal">
      <formula>"Napkin Hs"</formula>
    </cfRule>
  </conditionalFormatting>
  <conditionalFormatting sqref="C20:C22">
    <cfRule type="cellIs" dxfId="1112" priority="1101" stopIfTrue="1" operator="equal">
      <formula>"Towel"</formula>
    </cfRule>
  </conditionalFormatting>
  <conditionalFormatting sqref="B26:C26">
    <cfRule type="cellIs" dxfId="1111" priority="1097" stopIfTrue="1" operator="equal">
      <formula>"Towel"</formula>
    </cfRule>
    <cfRule type="cellIs" dxfId="1110" priority="1098" stopIfTrue="1" operator="equal">
      <formula>"Napkin Hs"</formula>
    </cfRule>
  </conditionalFormatting>
  <conditionalFormatting sqref="B25:C25">
    <cfRule type="cellIs" dxfId="1109" priority="1093" stopIfTrue="1" operator="equal">
      <formula>"Towel"</formula>
    </cfRule>
    <cfRule type="cellIs" dxfId="1108" priority="1094" stopIfTrue="1" operator="equal">
      <formula>"Napkin Hs"</formula>
    </cfRule>
  </conditionalFormatting>
  <conditionalFormatting sqref="C26">
    <cfRule type="cellIs" dxfId="1107" priority="1096" stopIfTrue="1" operator="equal">
      <formula>"Napkin Hs"</formula>
    </cfRule>
  </conditionalFormatting>
  <conditionalFormatting sqref="C25:C26">
    <cfRule type="cellIs" dxfId="1106" priority="1091" stopIfTrue="1" operator="equal">
      <formula>"Towel"</formula>
    </cfRule>
    <cfRule type="cellIs" dxfId="1105" priority="1092" stopIfTrue="1" operator="equal">
      <formula>"Napkin Hs"</formula>
    </cfRule>
  </conditionalFormatting>
  <conditionalFormatting sqref="C25">
    <cfRule type="cellIs" dxfId="1104" priority="1089" stopIfTrue="1" operator="equal">
      <formula>"Towel"</formula>
    </cfRule>
    <cfRule type="cellIs" dxfId="1103" priority="1090" stopIfTrue="1" operator="equal">
      <formula>"Napkin Hs"</formula>
    </cfRule>
  </conditionalFormatting>
  <conditionalFormatting sqref="C26">
    <cfRule type="cellIs" dxfId="1102" priority="1095" stopIfTrue="1" operator="equal">
      <formula>"Towel"</formula>
    </cfRule>
  </conditionalFormatting>
  <conditionalFormatting sqref="B24:C24">
    <cfRule type="cellIs" dxfId="1101" priority="1087" stopIfTrue="1" operator="equal">
      <formula>"Towel"</formula>
    </cfRule>
    <cfRule type="cellIs" dxfId="1100" priority="1088" stopIfTrue="1" operator="equal">
      <formula>"Napkin Hs"</formula>
    </cfRule>
  </conditionalFormatting>
  <conditionalFormatting sqref="C24">
    <cfRule type="cellIs" dxfId="1099" priority="1086" stopIfTrue="1" operator="equal">
      <formula>"Napkin Hs"</formula>
    </cfRule>
  </conditionalFormatting>
  <conditionalFormatting sqref="C24">
    <cfRule type="cellIs" dxfId="1098" priority="1083" stopIfTrue="1" operator="equal">
      <formula>"Towel"</formula>
    </cfRule>
    <cfRule type="cellIs" dxfId="1097" priority="1084" stopIfTrue="1" operator="equal">
      <formula>"Napkin Hs"</formula>
    </cfRule>
  </conditionalFormatting>
  <conditionalFormatting sqref="C24">
    <cfRule type="cellIs" dxfId="1096" priority="1085" stopIfTrue="1" operator="equal">
      <formula>"Towel"</formula>
    </cfRule>
  </conditionalFormatting>
  <conditionalFormatting sqref="B31:C31">
    <cfRule type="cellIs" dxfId="1095" priority="1081" stopIfTrue="1" operator="equal">
      <formula>"Towel"</formula>
    </cfRule>
    <cfRule type="cellIs" dxfId="1094" priority="1082" stopIfTrue="1" operator="equal">
      <formula>"Napkin Hs"</formula>
    </cfRule>
  </conditionalFormatting>
  <conditionalFormatting sqref="C31">
    <cfRule type="cellIs" dxfId="1093" priority="1080" stopIfTrue="1" operator="equal">
      <formula>"Napkin Hs"</formula>
    </cfRule>
  </conditionalFormatting>
  <conditionalFormatting sqref="C31">
    <cfRule type="cellIs" dxfId="1092" priority="1079" stopIfTrue="1" operator="equal">
      <formula>"Towel"</formula>
    </cfRule>
  </conditionalFormatting>
  <conditionalFormatting sqref="C31">
    <cfRule type="cellIs" dxfId="1091" priority="1077" stopIfTrue="1" operator="equal">
      <formula>"Towel"</formula>
    </cfRule>
    <cfRule type="cellIs" dxfId="1090" priority="1078" stopIfTrue="1" operator="equal">
      <formula>"Napkin Hs"</formula>
    </cfRule>
  </conditionalFormatting>
  <conditionalFormatting sqref="B30:C30">
    <cfRule type="cellIs" dxfId="1089" priority="1075" stopIfTrue="1" operator="equal">
      <formula>"Towel"</formula>
    </cfRule>
    <cfRule type="cellIs" dxfId="1088" priority="1076" stopIfTrue="1" operator="equal">
      <formula>"Napkin Hs"</formula>
    </cfRule>
  </conditionalFormatting>
  <conditionalFormatting sqref="B29:C29">
    <cfRule type="cellIs" dxfId="1087" priority="1071" stopIfTrue="1" operator="equal">
      <formula>"Towel"</formula>
    </cfRule>
    <cfRule type="cellIs" dxfId="1086" priority="1072" stopIfTrue="1" operator="equal">
      <formula>"Napkin Hs"</formula>
    </cfRule>
  </conditionalFormatting>
  <conditionalFormatting sqref="C30">
    <cfRule type="cellIs" dxfId="1085" priority="1074" stopIfTrue="1" operator="equal">
      <formula>"Napkin Hs"</formula>
    </cfRule>
  </conditionalFormatting>
  <conditionalFormatting sqref="C29:C30">
    <cfRule type="cellIs" dxfId="1084" priority="1069" stopIfTrue="1" operator="equal">
      <formula>"Towel"</formula>
    </cfRule>
    <cfRule type="cellIs" dxfId="1083" priority="1070" stopIfTrue="1" operator="equal">
      <formula>"Napkin Hs"</formula>
    </cfRule>
  </conditionalFormatting>
  <conditionalFormatting sqref="C29">
    <cfRule type="cellIs" dxfId="1082" priority="1067" stopIfTrue="1" operator="equal">
      <formula>"Towel"</formula>
    </cfRule>
    <cfRule type="cellIs" dxfId="1081" priority="1068" stopIfTrue="1" operator="equal">
      <formula>"Napkin Hs"</formula>
    </cfRule>
  </conditionalFormatting>
  <conditionalFormatting sqref="C30">
    <cfRule type="cellIs" dxfId="1080" priority="1073" stopIfTrue="1" operator="equal">
      <formula>"Towel"</formula>
    </cfRule>
  </conditionalFormatting>
  <conditionalFormatting sqref="B28:C28">
    <cfRule type="cellIs" dxfId="1079" priority="1065" stopIfTrue="1" operator="equal">
      <formula>"Towel"</formula>
    </cfRule>
    <cfRule type="cellIs" dxfId="1078" priority="1066" stopIfTrue="1" operator="equal">
      <formula>"Napkin Hs"</formula>
    </cfRule>
  </conditionalFormatting>
  <conditionalFormatting sqref="C28">
    <cfRule type="cellIs" dxfId="1077" priority="1064" stopIfTrue="1" operator="equal">
      <formula>"Napkin Hs"</formula>
    </cfRule>
  </conditionalFormatting>
  <conditionalFormatting sqref="C28">
    <cfRule type="cellIs" dxfId="1076" priority="1061" stopIfTrue="1" operator="equal">
      <formula>"Towel"</formula>
    </cfRule>
    <cfRule type="cellIs" dxfId="1075" priority="1062" stopIfTrue="1" operator="equal">
      <formula>"Napkin Hs"</formula>
    </cfRule>
  </conditionalFormatting>
  <conditionalFormatting sqref="C28">
    <cfRule type="cellIs" dxfId="1074" priority="1063" stopIfTrue="1" operator="equal">
      <formula>"Towel"</formula>
    </cfRule>
  </conditionalFormatting>
  <conditionalFormatting sqref="B35:C35">
    <cfRule type="cellIs" dxfId="1073" priority="1059" stopIfTrue="1" operator="equal">
      <formula>"Towel"</formula>
    </cfRule>
    <cfRule type="cellIs" dxfId="1072" priority="1060" stopIfTrue="1" operator="equal">
      <formula>"Napkin Hs"</formula>
    </cfRule>
  </conditionalFormatting>
  <conditionalFormatting sqref="C35">
    <cfRule type="cellIs" dxfId="1071" priority="1058" stopIfTrue="1" operator="equal">
      <formula>"Napkin Hs"</formula>
    </cfRule>
  </conditionalFormatting>
  <conditionalFormatting sqref="C35">
    <cfRule type="cellIs" dxfId="1070" priority="1057" stopIfTrue="1" operator="equal">
      <formula>"Towel"</formula>
    </cfRule>
  </conditionalFormatting>
  <conditionalFormatting sqref="C35">
    <cfRule type="cellIs" dxfId="1069" priority="1055" stopIfTrue="1" operator="equal">
      <formula>"Towel"</formula>
    </cfRule>
    <cfRule type="cellIs" dxfId="1068" priority="1056" stopIfTrue="1" operator="equal">
      <formula>"Napkin Hs"</formula>
    </cfRule>
  </conditionalFormatting>
  <conditionalFormatting sqref="B34:C34">
    <cfRule type="cellIs" dxfId="1067" priority="1053" stopIfTrue="1" operator="equal">
      <formula>"Towel"</formula>
    </cfRule>
    <cfRule type="cellIs" dxfId="1066" priority="1054" stopIfTrue="1" operator="equal">
      <formula>"Napkin Hs"</formula>
    </cfRule>
  </conditionalFormatting>
  <conditionalFormatting sqref="C34">
    <cfRule type="cellIs" dxfId="1065" priority="1052" stopIfTrue="1" operator="equal">
      <formula>"Napkin Hs"</formula>
    </cfRule>
  </conditionalFormatting>
  <conditionalFormatting sqref="C34">
    <cfRule type="cellIs" dxfId="1064" priority="1049" stopIfTrue="1" operator="equal">
      <formula>"Towel"</formula>
    </cfRule>
    <cfRule type="cellIs" dxfId="1063" priority="1050" stopIfTrue="1" operator="equal">
      <formula>"Napkin Hs"</formula>
    </cfRule>
  </conditionalFormatting>
  <conditionalFormatting sqref="C34">
    <cfRule type="cellIs" dxfId="1062" priority="1051" stopIfTrue="1" operator="equal">
      <formula>"Towel"</formula>
    </cfRule>
  </conditionalFormatting>
  <conditionalFormatting sqref="B32:C33">
    <cfRule type="cellIs" dxfId="1061" priority="1047" stopIfTrue="1" operator="equal">
      <formula>"Towel"</formula>
    </cfRule>
    <cfRule type="cellIs" dxfId="1060" priority="1048" stopIfTrue="1" operator="equal">
      <formula>"Napkin Hs"</formula>
    </cfRule>
  </conditionalFormatting>
  <conditionalFormatting sqref="C32:C33">
    <cfRule type="cellIs" dxfId="1059" priority="1046" stopIfTrue="1" operator="equal">
      <formula>"Napkin Hs"</formula>
    </cfRule>
  </conditionalFormatting>
  <conditionalFormatting sqref="C32:C33">
    <cfRule type="cellIs" dxfId="1058" priority="1043" stopIfTrue="1" operator="equal">
      <formula>"Towel"</formula>
    </cfRule>
    <cfRule type="cellIs" dxfId="1057" priority="1044" stopIfTrue="1" operator="equal">
      <formula>"Napkin Hs"</formula>
    </cfRule>
  </conditionalFormatting>
  <conditionalFormatting sqref="C32:C33">
    <cfRule type="cellIs" dxfId="1056" priority="1045" stopIfTrue="1" operator="equal">
      <formula>"Towel"</formula>
    </cfRule>
  </conditionalFormatting>
  <conditionalFormatting sqref="B38:C38">
    <cfRule type="cellIs" dxfId="1055" priority="1041" stopIfTrue="1" operator="equal">
      <formula>"Towel"</formula>
    </cfRule>
    <cfRule type="cellIs" dxfId="1054" priority="1042" stopIfTrue="1" operator="equal">
      <formula>"Napkin Hs"</formula>
    </cfRule>
  </conditionalFormatting>
  <conditionalFormatting sqref="B37:C37">
    <cfRule type="cellIs" dxfId="1053" priority="1037" stopIfTrue="1" operator="equal">
      <formula>"Towel"</formula>
    </cfRule>
    <cfRule type="cellIs" dxfId="1052" priority="1038" stopIfTrue="1" operator="equal">
      <formula>"Napkin Hs"</formula>
    </cfRule>
  </conditionalFormatting>
  <conditionalFormatting sqref="C38">
    <cfRule type="cellIs" dxfId="1051" priority="1040" stopIfTrue="1" operator="equal">
      <formula>"Napkin Hs"</formula>
    </cfRule>
  </conditionalFormatting>
  <conditionalFormatting sqref="C37:C38">
    <cfRule type="cellIs" dxfId="1050" priority="1035" stopIfTrue="1" operator="equal">
      <formula>"Towel"</formula>
    </cfRule>
    <cfRule type="cellIs" dxfId="1049" priority="1036" stopIfTrue="1" operator="equal">
      <formula>"Napkin Hs"</formula>
    </cfRule>
  </conditionalFormatting>
  <conditionalFormatting sqref="C37">
    <cfRule type="cellIs" dxfId="1048" priority="1033" stopIfTrue="1" operator="equal">
      <formula>"Towel"</formula>
    </cfRule>
    <cfRule type="cellIs" dxfId="1047" priority="1034" stopIfTrue="1" operator="equal">
      <formula>"Napkin Hs"</formula>
    </cfRule>
  </conditionalFormatting>
  <conditionalFormatting sqref="C38">
    <cfRule type="cellIs" dxfId="1046" priority="1039" stopIfTrue="1" operator="equal">
      <formula>"Towel"</formula>
    </cfRule>
  </conditionalFormatting>
  <conditionalFormatting sqref="B36:C36">
    <cfRule type="cellIs" dxfId="1045" priority="1031" stopIfTrue="1" operator="equal">
      <formula>"Towel"</formula>
    </cfRule>
    <cfRule type="cellIs" dxfId="1044" priority="1032" stopIfTrue="1" operator="equal">
      <formula>"Napkin Hs"</formula>
    </cfRule>
  </conditionalFormatting>
  <conditionalFormatting sqref="C36">
    <cfRule type="cellIs" dxfId="1043" priority="1030" stopIfTrue="1" operator="equal">
      <formula>"Napkin Hs"</formula>
    </cfRule>
  </conditionalFormatting>
  <conditionalFormatting sqref="C36">
    <cfRule type="cellIs" dxfId="1042" priority="1027" stopIfTrue="1" operator="equal">
      <formula>"Towel"</formula>
    </cfRule>
    <cfRule type="cellIs" dxfId="1041" priority="1028" stopIfTrue="1" operator="equal">
      <formula>"Napkin Hs"</formula>
    </cfRule>
  </conditionalFormatting>
  <conditionalFormatting sqref="C36">
    <cfRule type="cellIs" dxfId="1040" priority="1029" stopIfTrue="1" operator="equal">
      <formula>"Towel"</formula>
    </cfRule>
  </conditionalFormatting>
  <conditionalFormatting sqref="B42:C42">
    <cfRule type="cellIs" dxfId="1039" priority="1025" stopIfTrue="1" operator="equal">
      <formula>"Towel"</formula>
    </cfRule>
    <cfRule type="cellIs" dxfId="1038" priority="1026" stopIfTrue="1" operator="equal">
      <formula>"Napkin Hs"</formula>
    </cfRule>
  </conditionalFormatting>
  <conditionalFormatting sqref="B41:C41">
    <cfRule type="cellIs" dxfId="1037" priority="1021" stopIfTrue="1" operator="equal">
      <formula>"Towel"</formula>
    </cfRule>
    <cfRule type="cellIs" dxfId="1036" priority="1022" stopIfTrue="1" operator="equal">
      <formula>"Napkin Hs"</formula>
    </cfRule>
  </conditionalFormatting>
  <conditionalFormatting sqref="C42">
    <cfRule type="cellIs" dxfId="1035" priority="1024" stopIfTrue="1" operator="equal">
      <formula>"Napkin Hs"</formula>
    </cfRule>
  </conditionalFormatting>
  <conditionalFormatting sqref="C41:C42">
    <cfRule type="cellIs" dxfId="1034" priority="1019" stopIfTrue="1" operator="equal">
      <formula>"Towel"</formula>
    </cfRule>
    <cfRule type="cellIs" dxfId="1033" priority="1020" stopIfTrue="1" operator="equal">
      <formula>"Napkin Hs"</formula>
    </cfRule>
  </conditionalFormatting>
  <conditionalFormatting sqref="C41">
    <cfRule type="cellIs" dxfId="1032" priority="1017" stopIfTrue="1" operator="equal">
      <formula>"Towel"</formula>
    </cfRule>
    <cfRule type="cellIs" dxfId="1031" priority="1018" stopIfTrue="1" operator="equal">
      <formula>"Napkin Hs"</formula>
    </cfRule>
  </conditionalFormatting>
  <conditionalFormatting sqref="C42">
    <cfRule type="cellIs" dxfId="1030" priority="1023" stopIfTrue="1" operator="equal">
      <formula>"Towel"</formula>
    </cfRule>
  </conditionalFormatting>
  <conditionalFormatting sqref="B40:C40">
    <cfRule type="cellIs" dxfId="1029" priority="1015" stopIfTrue="1" operator="equal">
      <formula>"Towel"</formula>
    </cfRule>
    <cfRule type="cellIs" dxfId="1028" priority="1016" stopIfTrue="1" operator="equal">
      <formula>"Napkin Hs"</formula>
    </cfRule>
  </conditionalFormatting>
  <conditionalFormatting sqref="C40">
    <cfRule type="cellIs" dxfId="1027" priority="1014" stopIfTrue="1" operator="equal">
      <formula>"Napkin Hs"</formula>
    </cfRule>
  </conditionalFormatting>
  <conditionalFormatting sqref="C40">
    <cfRule type="cellIs" dxfId="1026" priority="1011" stopIfTrue="1" operator="equal">
      <formula>"Towel"</formula>
    </cfRule>
    <cfRule type="cellIs" dxfId="1025" priority="1012" stopIfTrue="1" operator="equal">
      <formula>"Napkin Hs"</formula>
    </cfRule>
  </conditionalFormatting>
  <conditionalFormatting sqref="C40">
    <cfRule type="cellIs" dxfId="1024" priority="1013" stopIfTrue="1" operator="equal">
      <formula>"Towel"</formula>
    </cfRule>
  </conditionalFormatting>
  <conditionalFormatting sqref="B47:C47">
    <cfRule type="cellIs" dxfId="1023" priority="1009" stopIfTrue="1" operator="equal">
      <formula>"Towel"</formula>
    </cfRule>
    <cfRule type="cellIs" dxfId="1022" priority="1010" stopIfTrue="1" operator="equal">
      <formula>"Napkin Hs"</formula>
    </cfRule>
  </conditionalFormatting>
  <conditionalFormatting sqref="C47">
    <cfRule type="cellIs" dxfId="1021" priority="1005" stopIfTrue="1" operator="equal">
      <formula>"Towel"</formula>
    </cfRule>
    <cfRule type="cellIs" dxfId="1020" priority="1006" stopIfTrue="1" operator="equal">
      <formula>"Napkin Hs"</formula>
    </cfRule>
  </conditionalFormatting>
  <conditionalFormatting sqref="C47">
    <cfRule type="cellIs" dxfId="1019" priority="1007" stopIfTrue="1" operator="equal">
      <formula>"Towel"</formula>
    </cfRule>
    <cfRule type="cellIs" dxfId="1018" priority="1008" stopIfTrue="1" operator="equal">
      <formula>"Napkin Hs"</formula>
    </cfRule>
  </conditionalFormatting>
  <conditionalFormatting sqref="B46:C46">
    <cfRule type="cellIs" dxfId="1017" priority="1003" stopIfTrue="1" operator="equal">
      <formula>"Towel"</formula>
    </cfRule>
    <cfRule type="cellIs" dxfId="1016" priority="1004" stopIfTrue="1" operator="equal">
      <formula>"Napkin Hs"</formula>
    </cfRule>
  </conditionalFormatting>
  <conditionalFormatting sqref="B45:C45">
    <cfRule type="cellIs" dxfId="1015" priority="999" stopIfTrue="1" operator="equal">
      <formula>"Towel"</formula>
    </cfRule>
    <cfRule type="cellIs" dxfId="1014" priority="1000" stopIfTrue="1" operator="equal">
      <formula>"Napkin Hs"</formula>
    </cfRule>
  </conditionalFormatting>
  <conditionalFormatting sqref="C46">
    <cfRule type="cellIs" dxfId="1013" priority="1002" stopIfTrue="1" operator="equal">
      <formula>"Napkin Hs"</formula>
    </cfRule>
  </conditionalFormatting>
  <conditionalFormatting sqref="C45:C46">
    <cfRule type="cellIs" dxfId="1012" priority="997" stopIfTrue="1" operator="equal">
      <formula>"Towel"</formula>
    </cfRule>
    <cfRule type="cellIs" dxfId="1011" priority="998" stopIfTrue="1" operator="equal">
      <formula>"Napkin Hs"</formula>
    </cfRule>
  </conditionalFormatting>
  <conditionalFormatting sqref="C45">
    <cfRule type="cellIs" dxfId="1010" priority="995" stopIfTrue="1" operator="equal">
      <formula>"Towel"</formula>
    </cfRule>
    <cfRule type="cellIs" dxfId="1009" priority="996" stopIfTrue="1" operator="equal">
      <formula>"Napkin Hs"</formula>
    </cfRule>
  </conditionalFormatting>
  <conditionalFormatting sqref="C46">
    <cfRule type="cellIs" dxfId="1008" priority="1001" stopIfTrue="1" operator="equal">
      <formula>"Towel"</formula>
    </cfRule>
  </conditionalFormatting>
  <conditionalFormatting sqref="B44:C44">
    <cfRule type="cellIs" dxfId="1007" priority="993" stopIfTrue="1" operator="equal">
      <formula>"Towel"</formula>
    </cfRule>
    <cfRule type="cellIs" dxfId="1006" priority="994" stopIfTrue="1" operator="equal">
      <formula>"Napkin Hs"</formula>
    </cfRule>
  </conditionalFormatting>
  <conditionalFormatting sqref="C44">
    <cfRule type="cellIs" dxfId="1005" priority="992" stopIfTrue="1" operator="equal">
      <formula>"Napkin Hs"</formula>
    </cfRule>
  </conditionalFormatting>
  <conditionalFormatting sqref="C44">
    <cfRule type="cellIs" dxfId="1004" priority="989" stopIfTrue="1" operator="equal">
      <formula>"Towel"</formula>
    </cfRule>
    <cfRule type="cellIs" dxfId="1003" priority="990" stopIfTrue="1" operator="equal">
      <formula>"Napkin Hs"</formula>
    </cfRule>
  </conditionalFormatting>
  <conditionalFormatting sqref="C44">
    <cfRule type="cellIs" dxfId="1002" priority="991" stopIfTrue="1" operator="equal">
      <formula>"Towel"</formula>
    </cfRule>
  </conditionalFormatting>
  <conditionalFormatting sqref="B50:C50">
    <cfRule type="cellIs" dxfId="1001" priority="987" stopIfTrue="1" operator="equal">
      <formula>"Towel"</formula>
    </cfRule>
    <cfRule type="cellIs" dxfId="1000" priority="988" stopIfTrue="1" operator="equal">
      <formula>"Napkin Hs"</formula>
    </cfRule>
  </conditionalFormatting>
  <conditionalFormatting sqref="C50">
    <cfRule type="cellIs" dxfId="999" priority="986" stopIfTrue="1" operator="equal">
      <formula>"Napkin Hs"</formula>
    </cfRule>
  </conditionalFormatting>
  <conditionalFormatting sqref="C50">
    <cfRule type="cellIs" dxfId="998" priority="983" stopIfTrue="1" operator="equal">
      <formula>"Towel"</formula>
    </cfRule>
    <cfRule type="cellIs" dxfId="997" priority="984" stopIfTrue="1" operator="equal">
      <formula>"Napkin Hs"</formula>
    </cfRule>
  </conditionalFormatting>
  <conditionalFormatting sqref="C50">
    <cfRule type="cellIs" dxfId="996" priority="985" stopIfTrue="1" operator="equal">
      <formula>"Towel"</formula>
    </cfRule>
  </conditionalFormatting>
  <conditionalFormatting sqref="B48:C49">
    <cfRule type="cellIs" dxfId="995" priority="981" stopIfTrue="1" operator="equal">
      <formula>"Towel"</formula>
    </cfRule>
    <cfRule type="cellIs" dxfId="994" priority="982" stopIfTrue="1" operator="equal">
      <formula>"Napkin Hs"</formula>
    </cfRule>
  </conditionalFormatting>
  <conditionalFormatting sqref="C48:C49">
    <cfRule type="cellIs" dxfId="993" priority="980" stopIfTrue="1" operator="equal">
      <formula>"Napkin Hs"</formula>
    </cfRule>
  </conditionalFormatting>
  <conditionalFormatting sqref="C48:C49">
    <cfRule type="cellIs" dxfId="992" priority="977" stopIfTrue="1" operator="equal">
      <formula>"Towel"</formula>
    </cfRule>
    <cfRule type="cellIs" dxfId="991" priority="978" stopIfTrue="1" operator="equal">
      <formula>"Napkin Hs"</formula>
    </cfRule>
  </conditionalFormatting>
  <conditionalFormatting sqref="C48:C49">
    <cfRule type="cellIs" dxfId="990" priority="979" stopIfTrue="1" operator="equal">
      <formula>"Towel"</formula>
    </cfRule>
  </conditionalFormatting>
  <conditionalFormatting sqref="B50:C50">
    <cfRule type="cellIs" dxfId="989" priority="975" stopIfTrue="1" operator="equal">
      <formula>"Towel"</formula>
    </cfRule>
    <cfRule type="cellIs" dxfId="988" priority="976" stopIfTrue="1" operator="equal">
      <formula>"Napkin Hs"</formula>
    </cfRule>
  </conditionalFormatting>
  <conditionalFormatting sqref="C50">
    <cfRule type="cellIs" dxfId="987" priority="974" stopIfTrue="1" operator="equal">
      <formula>"Napkin Hs"</formula>
    </cfRule>
  </conditionalFormatting>
  <conditionalFormatting sqref="C50">
    <cfRule type="cellIs" dxfId="986" priority="971" stopIfTrue="1" operator="equal">
      <formula>"Towel"</formula>
    </cfRule>
    <cfRule type="cellIs" dxfId="985" priority="972" stopIfTrue="1" operator="equal">
      <formula>"Napkin Hs"</formula>
    </cfRule>
  </conditionalFormatting>
  <conditionalFormatting sqref="C50">
    <cfRule type="cellIs" dxfId="984" priority="973" stopIfTrue="1" operator="equal">
      <formula>"Towel"</formula>
    </cfRule>
  </conditionalFormatting>
  <conditionalFormatting sqref="B48:C49">
    <cfRule type="cellIs" dxfId="983" priority="969" stopIfTrue="1" operator="equal">
      <formula>"Towel"</formula>
    </cfRule>
    <cfRule type="cellIs" dxfId="982" priority="970" stopIfTrue="1" operator="equal">
      <formula>"Napkin Hs"</formula>
    </cfRule>
  </conditionalFormatting>
  <conditionalFormatting sqref="C48:C49">
    <cfRule type="cellIs" dxfId="981" priority="968" stopIfTrue="1" operator="equal">
      <formula>"Napkin Hs"</formula>
    </cfRule>
  </conditionalFormatting>
  <conditionalFormatting sqref="C48:C49">
    <cfRule type="cellIs" dxfId="980" priority="965" stopIfTrue="1" operator="equal">
      <formula>"Towel"</formula>
    </cfRule>
    <cfRule type="cellIs" dxfId="979" priority="966" stopIfTrue="1" operator="equal">
      <formula>"Napkin Hs"</formula>
    </cfRule>
  </conditionalFormatting>
  <conditionalFormatting sqref="C48:C49">
    <cfRule type="cellIs" dxfId="978" priority="967" stopIfTrue="1" operator="equal">
      <formula>"Towel"</formula>
    </cfRule>
  </conditionalFormatting>
  <conditionalFormatting sqref="B54:C54">
    <cfRule type="cellIs" dxfId="977" priority="963" stopIfTrue="1" operator="equal">
      <formula>"Towel"</formula>
    </cfRule>
    <cfRule type="cellIs" dxfId="976" priority="964" stopIfTrue="1" operator="equal">
      <formula>"Napkin Hs"</formula>
    </cfRule>
  </conditionalFormatting>
  <conditionalFormatting sqref="C54">
    <cfRule type="cellIs" dxfId="975" priority="962" stopIfTrue="1" operator="equal">
      <formula>"Napkin Hs"</formula>
    </cfRule>
  </conditionalFormatting>
  <conditionalFormatting sqref="C54">
    <cfRule type="cellIs" dxfId="974" priority="959" stopIfTrue="1" operator="equal">
      <formula>"Towel"</formula>
    </cfRule>
    <cfRule type="cellIs" dxfId="973" priority="960" stopIfTrue="1" operator="equal">
      <formula>"Napkin Hs"</formula>
    </cfRule>
  </conditionalFormatting>
  <conditionalFormatting sqref="C54">
    <cfRule type="cellIs" dxfId="972" priority="961" stopIfTrue="1" operator="equal">
      <formula>"Towel"</formula>
    </cfRule>
  </conditionalFormatting>
  <conditionalFormatting sqref="B52:C53">
    <cfRule type="cellIs" dxfId="971" priority="957" stopIfTrue="1" operator="equal">
      <formula>"Towel"</formula>
    </cfRule>
    <cfRule type="cellIs" dxfId="970" priority="958" stopIfTrue="1" operator="equal">
      <formula>"Napkin Hs"</formula>
    </cfRule>
  </conditionalFormatting>
  <conditionalFormatting sqref="C52:C53">
    <cfRule type="cellIs" dxfId="969" priority="956" stopIfTrue="1" operator="equal">
      <formula>"Napkin Hs"</formula>
    </cfRule>
  </conditionalFormatting>
  <conditionalFormatting sqref="C52:C53">
    <cfRule type="cellIs" dxfId="968" priority="953" stopIfTrue="1" operator="equal">
      <formula>"Towel"</formula>
    </cfRule>
    <cfRule type="cellIs" dxfId="967" priority="954" stopIfTrue="1" operator="equal">
      <formula>"Napkin Hs"</formula>
    </cfRule>
  </conditionalFormatting>
  <conditionalFormatting sqref="C52:C53">
    <cfRule type="cellIs" dxfId="966" priority="955" stopIfTrue="1" operator="equal">
      <formula>"Towel"</formula>
    </cfRule>
  </conditionalFormatting>
  <conditionalFormatting sqref="B54:C54">
    <cfRule type="cellIs" dxfId="965" priority="951" stopIfTrue="1" operator="equal">
      <formula>"Towel"</formula>
    </cfRule>
    <cfRule type="cellIs" dxfId="964" priority="952" stopIfTrue="1" operator="equal">
      <formula>"Napkin Hs"</formula>
    </cfRule>
  </conditionalFormatting>
  <conditionalFormatting sqref="C54">
    <cfRule type="cellIs" dxfId="963" priority="950" stopIfTrue="1" operator="equal">
      <formula>"Napkin Hs"</formula>
    </cfRule>
  </conditionalFormatting>
  <conditionalFormatting sqref="C54">
    <cfRule type="cellIs" dxfId="962" priority="947" stopIfTrue="1" operator="equal">
      <formula>"Towel"</formula>
    </cfRule>
    <cfRule type="cellIs" dxfId="961" priority="948" stopIfTrue="1" operator="equal">
      <formula>"Napkin Hs"</formula>
    </cfRule>
  </conditionalFormatting>
  <conditionalFormatting sqref="C54">
    <cfRule type="cellIs" dxfId="960" priority="949" stopIfTrue="1" operator="equal">
      <formula>"Towel"</formula>
    </cfRule>
  </conditionalFormatting>
  <conditionalFormatting sqref="B52:C53">
    <cfRule type="cellIs" dxfId="959" priority="945" stopIfTrue="1" operator="equal">
      <formula>"Towel"</formula>
    </cfRule>
    <cfRule type="cellIs" dxfId="958" priority="946" stopIfTrue="1" operator="equal">
      <formula>"Napkin Hs"</formula>
    </cfRule>
  </conditionalFormatting>
  <conditionalFormatting sqref="C52:C53">
    <cfRule type="cellIs" dxfId="957" priority="944" stopIfTrue="1" operator="equal">
      <formula>"Napkin Hs"</formula>
    </cfRule>
  </conditionalFormatting>
  <conditionalFormatting sqref="C52:C53">
    <cfRule type="cellIs" dxfId="956" priority="941" stopIfTrue="1" operator="equal">
      <formula>"Towel"</formula>
    </cfRule>
    <cfRule type="cellIs" dxfId="955" priority="942" stopIfTrue="1" operator="equal">
      <formula>"Napkin Hs"</formula>
    </cfRule>
  </conditionalFormatting>
  <conditionalFormatting sqref="C52:C53">
    <cfRule type="cellIs" dxfId="954" priority="943" stopIfTrue="1" operator="equal">
      <formula>"Towel"</formula>
    </cfRule>
  </conditionalFormatting>
  <conditionalFormatting sqref="B58:C58">
    <cfRule type="cellIs" dxfId="953" priority="939" stopIfTrue="1" operator="equal">
      <formula>"Towel"</formula>
    </cfRule>
    <cfRule type="cellIs" dxfId="952" priority="940" stopIfTrue="1" operator="equal">
      <formula>"Napkin Hs"</formula>
    </cfRule>
  </conditionalFormatting>
  <conditionalFormatting sqref="C58">
    <cfRule type="cellIs" dxfId="951" priority="938" stopIfTrue="1" operator="equal">
      <formula>"Napkin Hs"</formula>
    </cfRule>
  </conditionalFormatting>
  <conditionalFormatting sqref="C58">
    <cfRule type="cellIs" dxfId="950" priority="935" stopIfTrue="1" operator="equal">
      <formula>"Towel"</formula>
    </cfRule>
    <cfRule type="cellIs" dxfId="949" priority="936" stopIfTrue="1" operator="equal">
      <formula>"Napkin Hs"</formula>
    </cfRule>
  </conditionalFormatting>
  <conditionalFormatting sqref="C58">
    <cfRule type="cellIs" dxfId="948" priority="937" stopIfTrue="1" operator="equal">
      <formula>"Towel"</formula>
    </cfRule>
  </conditionalFormatting>
  <conditionalFormatting sqref="B57:C57">
    <cfRule type="cellIs" dxfId="947" priority="933" stopIfTrue="1" operator="equal">
      <formula>"Towel"</formula>
    </cfRule>
    <cfRule type="cellIs" dxfId="946" priority="934" stopIfTrue="1" operator="equal">
      <formula>"Napkin Hs"</formula>
    </cfRule>
  </conditionalFormatting>
  <conditionalFormatting sqref="C57">
    <cfRule type="cellIs" dxfId="945" priority="932" stopIfTrue="1" operator="equal">
      <formula>"Napkin Hs"</formula>
    </cfRule>
  </conditionalFormatting>
  <conditionalFormatting sqref="C57">
    <cfRule type="cellIs" dxfId="944" priority="929" stopIfTrue="1" operator="equal">
      <formula>"Towel"</formula>
    </cfRule>
    <cfRule type="cellIs" dxfId="943" priority="930" stopIfTrue="1" operator="equal">
      <formula>"Napkin Hs"</formula>
    </cfRule>
  </conditionalFormatting>
  <conditionalFormatting sqref="C57">
    <cfRule type="cellIs" dxfId="942" priority="931" stopIfTrue="1" operator="equal">
      <formula>"Towel"</formula>
    </cfRule>
  </conditionalFormatting>
  <conditionalFormatting sqref="B58:C58">
    <cfRule type="cellIs" dxfId="941" priority="927" stopIfTrue="1" operator="equal">
      <formula>"Towel"</formula>
    </cfRule>
    <cfRule type="cellIs" dxfId="940" priority="928" stopIfTrue="1" operator="equal">
      <formula>"Napkin Hs"</formula>
    </cfRule>
  </conditionalFormatting>
  <conditionalFormatting sqref="C58">
    <cfRule type="cellIs" dxfId="939" priority="926" stopIfTrue="1" operator="equal">
      <formula>"Napkin Hs"</formula>
    </cfRule>
  </conditionalFormatting>
  <conditionalFormatting sqref="C58">
    <cfRule type="cellIs" dxfId="938" priority="923" stopIfTrue="1" operator="equal">
      <formula>"Towel"</formula>
    </cfRule>
    <cfRule type="cellIs" dxfId="937" priority="924" stopIfTrue="1" operator="equal">
      <formula>"Napkin Hs"</formula>
    </cfRule>
  </conditionalFormatting>
  <conditionalFormatting sqref="C58">
    <cfRule type="cellIs" dxfId="936" priority="925" stopIfTrue="1" operator="equal">
      <formula>"Towel"</formula>
    </cfRule>
  </conditionalFormatting>
  <conditionalFormatting sqref="B57:C57">
    <cfRule type="cellIs" dxfId="935" priority="921" stopIfTrue="1" operator="equal">
      <formula>"Towel"</formula>
    </cfRule>
    <cfRule type="cellIs" dxfId="934" priority="922" stopIfTrue="1" operator="equal">
      <formula>"Napkin Hs"</formula>
    </cfRule>
  </conditionalFormatting>
  <conditionalFormatting sqref="C57">
    <cfRule type="cellIs" dxfId="933" priority="920" stopIfTrue="1" operator="equal">
      <formula>"Napkin Hs"</formula>
    </cfRule>
  </conditionalFormatting>
  <conditionalFormatting sqref="C57">
    <cfRule type="cellIs" dxfId="932" priority="917" stopIfTrue="1" operator="equal">
      <formula>"Towel"</formula>
    </cfRule>
    <cfRule type="cellIs" dxfId="931" priority="918" stopIfTrue="1" operator="equal">
      <formula>"Napkin Hs"</formula>
    </cfRule>
  </conditionalFormatting>
  <conditionalFormatting sqref="C57">
    <cfRule type="cellIs" dxfId="930" priority="919" stopIfTrue="1" operator="equal">
      <formula>"Towel"</formula>
    </cfRule>
  </conditionalFormatting>
  <conditionalFormatting sqref="B56:C56">
    <cfRule type="cellIs" dxfId="929" priority="915" stopIfTrue="1" operator="equal">
      <formula>"Towel"</formula>
    </cfRule>
    <cfRule type="cellIs" dxfId="928" priority="916" stopIfTrue="1" operator="equal">
      <formula>"Napkin Hs"</formula>
    </cfRule>
  </conditionalFormatting>
  <conditionalFormatting sqref="C56">
    <cfRule type="cellIs" dxfId="927" priority="914" stopIfTrue="1" operator="equal">
      <formula>"Napkin Hs"</formula>
    </cfRule>
  </conditionalFormatting>
  <conditionalFormatting sqref="C56">
    <cfRule type="cellIs" dxfId="926" priority="911" stopIfTrue="1" operator="equal">
      <formula>"Towel"</formula>
    </cfRule>
    <cfRule type="cellIs" dxfId="925" priority="912" stopIfTrue="1" operator="equal">
      <formula>"Napkin Hs"</formula>
    </cfRule>
  </conditionalFormatting>
  <conditionalFormatting sqref="C56">
    <cfRule type="cellIs" dxfId="924" priority="913" stopIfTrue="1" operator="equal">
      <formula>"Towel"</formula>
    </cfRule>
  </conditionalFormatting>
  <conditionalFormatting sqref="B56:C56">
    <cfRule type="cellIs" dxfId="923" priority="909" stopIfTrue="1" operator="equal">
      <formula>"Towel"</formula>
    </cfRule>
    <cfRule type="cellIs" dxfId="922" priority="910" stopIfTrue="1" operator="equal">
      <formula>"Napkin Hs"</formula>
    </cfRule>
  </conditionalFormatting>
  <conditionalFormatting sqref="C56">
    <cfRule type="cellIs" dxfId="921" priority="908" stopIfTrue="1" operator="equal">
      <formula>"Napkin Hs"</formula>
    </cfRule>
  </conditionalFormatting>
  <conditionalFormatting sqref="C56">
    <cfRule type="cellIs" dxfId="920" priority="905" stopIfTrue="1" operator="equal">
      <formula>"Towel"</formula>
    </cfRule>
    <cfRule type="cellIs" dxfId="919" priority="906" stopIfTrue="1" operator="equal">
      <formula>"Napkin Hs"</formula>
    </cfRule>
  </conditionalFormatting>
  <conditionalFormatting sqref="C56">
    <cfRule type="cellIs" dxfId="918" priority="907" stopIfTrue="1" operator="equal">
      <formula>"Towel"</formula>
    </cfRule>
  </conditionalFormatting>
  <conditionalFormatting sqref="B62:C62">
    <cfRule type="cellIs" dxfId="917" priority="903" stopIfTrue="1" operator="equal">
      <formula>"Towel"</formula>
    </cfRule>
    <cfRule type="cellIs" dxfId="916" priority="904" stopIfTrue="1" operator="equal">
      <formula>"Napkin Hs"</formula>
    </cfRule>
  </conditionalFormatting>
  <conditionalFormatting sqref="C62">
    <cfRule type="cellIs" dxfId="915" priority="902" stopIfTrue="1" operator="equal">
      <formula>"Napkin Hs"</formula>
    </cfRule>
  </conditionalFormatting>
  <conditionalFormatting sqref="C62">
    <cfRule type="cellIs" dxfId="914" priority="899" stopIfTrue="1" operator="equal">
      <formula>"Towel"</formula>
    </cfRule>
    <cfRule type="cellIs" dxfId="913" priority="900" stopIfTrue="1" operator="equal">
      <formula>"Napkin Hs"</formula>
    </cfRule>
  </conditionalFormatting>
  <conditionalFormatting sqref="C62">
    <cfRule type="cellIs" dxfId="912" priority="901" stopIfTrue="1" operator="equal">
      <formula>"Towel"</formula>
    </cfRule>
  </conditionalFormatting>
  <conditionalFormatting sqref="B61:C61">
    <cfRule type="cellIs" dxfId="911" priority="897" stopIfTrue="1" operator="equal">
      <formula>"Towel"</formula>
    </cfRule>
    <cfRule type="cellIs" dxfId="910" priority="898" stopIfTrue="1" operator="equal">
      <formula>"Napkin Hs"</formula>
    </cfRule>
  </conditionalFormatting>
  <conditionalFormatting sqref="C61">
    <cfRule type="cellIs" dxfId="909" priority="896" stopIfTrue="1" operator="equal">
      <formula>"Napkin Hs"</formula>
    </cfRule>
  </conditionalFormatting>
  <conditionalFormatting sqref="C61">
    <cfRule type="cellIs" dxfId="908" priority="893" stopIfTrue="1" operator="equal">
      <formula>"Towel"</formula>
    </cfRule>
    <cfRule type="cellIs" dxfId="907" priority="894" stopIfTrue="1" operator="equal">
      <formula>"Napkin Hs"</formula>
    </cfRule>
  </conditionalFormatting>
  <conditionalFormatting sqref="C61">
    <cfRule type="cellIs" dxfId="906" priority="895" stopIfTrue="1" operator="equal">
      <formula>"Towel"</formula>
    </cfRule>
  </conditionalFormatting>
  <conditionalFormatting sqref="B62:C62">
    <cfRule type="cellIs" dxfId="905" priority="891" stopIfTrue="1" operator="equal">
      <formula>"Towel"</formula>
    </cfRule>
    <cfRule type="cellIs" dxfId="904" priority="892" stopIfTrue="1" operator="equal">
      <formula>"Napkin Hs"</formula>
    </cfRule>
  </conditionalFormatting>
  <conditionalFormatting sqref="C62">
    <cfRule type="cellIs" dxfId="903" priority="890" stopIfTrue="1" operator="equal">
      <formula>"Napkin Hs"</formula>
    </cfRule>
  </conditionalFormatting>
  <conditionalFormatting sqref="C62">
    <cfRule type="cellIs" dxfId="902" priority="887" stopIfTrue="1" operator="equal">
      <formula>"Towel"</formula>
    </cfRule>
    <cfRule type="cellIs" dxfId="901" priority="888" stopIfTrue="1" operator="equal">
      <formula>"Napkin Hs"</formula>
    </cfRule>
  </conditionalFormatting>
  <conditionalFormatting sqref="C62">
    <cfRule type="cellIs" dxfId="900" priority="889" stopIfTrue="1" operator="equal">
      <formula>"Towel"</formula>
    </cfRule>
  </conditionalFormatting>
  <conditionalFormatting sqref="B61:C61">
    <cfRule type="cellIs" dxfId="899" priority="885" stopIfTrue="1" operator="equal">
      <formula>"Towel"</formula>
    </cfRule>
    <cfRule type="cellIs" dxfId="898" priority="886" stopIfTrue="1" operator="equal">
      <formula>"Napkin Hs"</formula>
    </cfRule>
  </conditionalFormatting>
  <conditionalFormatting sqref="C61">
    <cfRule type="cellIs" dxfId="897" priority="884" stopIfTrue="1" operator="equal">
      <formula>"Napkin Hs"</formula>
    </cfRule>
  </conditionalFormatting>
  <conditionalFormatting sqref="C61">
    <cfRule type="cellIs" dxfId="896" priority="881" stopIfTrue="1" operator="equal">
      <formula>"Towel"</formula>
    </cfRule>
    <cfRule type="cellIs" dxfId="895" priority="882" stopIfTrue="1" operator="equal">
      <formula>"Napkin Hs"</formula>
    </cfRule>
  </conditionalFormatting>
  <conditionalFormatting sqref="C61">
    <cfRule type="cellIs" dxfId="894" priority="883" stopIfTrue="1" operator="equal">
      <formula>"Towel"</formula>
    </cfRule>
  </conditionalFormatting>
  <conditionalFormatting sqref="B60:C60">
    <cfRule type="cellIs" dxfId="893" priority="879" stopIfTrue="1" operator="equal">
      <formula>"Towel"</formula>
    </cfRule>
    <cfRule type="cellIs" dxfId="892" priority="880" stopIfTrue="1" operator="equal">
      <formula>"Napkin Hs"</formula>
    </cfRule>
  </conditionalFormatting>
  <conditionalFormatting sqref="C60">
    <cfRule type="cellIs" dxfId="891" priority="878" stopIfTrue="1" operator="equal">
      <formula>"Napkin Hs"</formula>
    </cfRule>
  </conditionalFormatting>
  <conditionalFormatting sqref="C60">
    <cfRule type="cellIs" dxfId="890" priority="875" stopIfTrue="1" operator="equal">
      <formula>"Towel"</formula>
    </cfRule>
    <cfRule type="cellIs" dxfId="889" priority="876" stopIfTrue="1" operator="equal">
      <formula>"Napkin Hs"</formula>
    </cfRule>
  </conditionalFormatting>
  <conditionalFormatting sqref="C60">
    <cfRule type="cellIs" dxfId="888" priority="877" stopIfTrue="1" operator="equal">
      <formula>"Towel"</formula>
    </cfRule>
  </conditionalFormatting>
  <conditionalFormatting sqref="B60:C60">
    <cfRule type="cellIs" dxfId="887" priority="873" stopIfTrue="1" operator="equal">
      <formula>"Towel"</formula>
    </cfRule>
    <cfRule type="cellIs" dxfId="886" priority="874" stopIfTrue="1" operator="equal">
      <formula>"Napkin Hs"</formula>
    </cfRule>
  </conditionalFormatting>
  <conditionalFormatting sqref="C60">
    <cfRule type="cellIs" dxfId="885" priority="872" stopIfTrue="1" operator="equal">
      <formula>"Napkin Hs"</formula>
    </cfRule>
  </conditionalFormatting>
  <conditionalFormatting sqref="C60">
    <cfRule type="cellIs" dxfId="884" priority="869" stopIfTrue="1" operator="equal">
      <formula>"Towel"</formula>
    </cfRule>
    <cfRule type="cellIs" dxfId="883" priority="870" stopIfTrue="1" operator="equal">
      <formula>"Napkin Hs"</formula>
    </cfRule>
  </conditionalFormatting>
  <conditionalFormatting sqref="C60">
    <cfRule type="cellIs" dxfId="882" priority="871" stopIfTrue="1" operator="equal">
      <formula>"Towel"</formula>
    </cfRule>
  </conditionalFormatting>
  <conditionalFormatting sqref="B66:C67">
    <cfRule type="cellIs" dxfId="881" priority="867" stopIfTrue="1" operator="equal">
      <formula>"Towel"</formula>
    </cfRule>
    <cfRule type="cellIs" dxfId="880" priority="868" stopIfTrue="1" operator="equal">
      <formula>"Napkin Hs"</formula>
    </cfRule>
  </conditionalFormatting>
  <conditionalFormatting sqref="C66:C67">
    <cfRule type="cellIs" dxfId="879" priority="866" stopIfTrue="1" operator="equal">
      <formula>"Napkin Hs"</formula>
    </cfRule>
  </conditionalFormatting>
  <conditionalFormatting sqref="C66:C67">
    <cfRule type="cellIs" dxfId="878" priority="863" stopIfTrue="1" operator="equal">
      <formula>"Towel"</formula>
    </cfRule>
    <cfRule type="cellIs" dxfId="877" priority="864" stopIfTrue="1" operator="equal">
      <formula>"Napkin Hs"</formula>
    </cfRule>
  </conditionalFormatting>
  <conditionalFormatting sqref="C66:C67">
    <cfRule type="cellIs" dxfId="876" priority="865" stopIfTrue="1" operator="equal">
      <formula>"Towel"</formula>
    </cfRule>
  </conditionalFormatting>
  <conditionalFormatting sqref="B66:C67">
    <cfRule type="cellIs" dxfId="875" priority="861" stopIfTrue="1" operator="equal">
      <formula>"Towel"</formula>
    </cfRule>
    <cfRule type="cellIs" dxfId="874" priority="862" stopIfTrue="1" operator="equal">
      <formula>"Napkin Hs"</formula>
    </cfRule>
  </conditionalFormatting>
  <conditionalFormatting sqref="C66:C67">
    <cfRule type="cellIs" dxfId="873" priority="860" stopIfTrue="1" operator="equal">
      <formula>"Napkin Hs"</formula>
    </cfRule>
  </conditionalFormatting>
  <conditionalFormatting sqref="C66:C67">
    <cfRule type="cellIs" dxfId="872" priority="857" stopIfTrue="1" operator="equal">
      <formula>"Towel"</formula>
    </cfRule>
    <cfRule type="cellIs" dxfId="871" priority="858" stopIfTrue="1" operator="equal">
      <formula>"Napkin Hs"</formula>
    </cfRule>
  </conditionalFormatting>
  <conditionalFormatting sqref="C66:C67">
    <cfRule type="cellIs" dxfId="870" priority="859" stopIfTrue="1" operator="equal">
      <formula>"Towel"</formula>
    </cfRule>
  </conditionalFormatting>
  <conditionalFormatting sqref="B64:C65">
    <cfRule type="cellIs" dxfId="869" priority="855" stopIfTrue="1" operator="equal">
      <formula>"Towel"</formula>
    </cfRule>
    <cfRule type="cellIs" dxfId="868" priority="856" stopIfTrue="1" operator="equal">
      <formula>"Napkin Hs"</formula>
    </cfRule>
  </conditionalFormatting>
  <conditionalFormatting sqref="C64:C65">
    <cfRule type="cellIs" dxfId="867" priority="854" stopIfTrue="1" operator="equal">
      <formula>"Napkin Hs"</formula>
    </cfRule>
  </conditionalFormatting>
  <conditionalFormatting sqref="C64:C65">
    <cfRule type="cellIs" dxfId="866" priority="851" stopIfTrue="1" operator="equal">
      <formula>"Towel"</formula>
    </cfRule>
    <cfRule type="cellIs" dxfId="865" priority="852" stopIfTrue="1" operator="equal">
      <formula>"Napkin Hs"</formula>
    </cfRule>
  </conditionalFormatting>
  <conditionalFormatting sqref="C64:C65">
    <cfRule type="cellIs" dxfId="864" priority="853" stopIfTrue="1" operator="equal">
      <formula>"Towel"</formula>
    </cfRule>
  </conditionalFormatting>
  <conditionalFormatting sqref="B64:C65">
    <cfRule type="cellIs" dxfId="863" priority="849" stopIfTrue="1" operator="equal">
      <formula>"Towel"</formula>
    </cfRule>
    <cfRule type="cellIs" dxfId="862" priority="850" stopIfTrue="1" operator="equal">
      <formula>"Napkin Hs"</formula>
    </cfRule>
  </conditionalFormatting>
  <conditionalFormatting sqref="C64:C65">
    <cfRule type="cellIs" dxfId="861" priority="848" stopIfTrue="1" operator="equal">
      <formula>"Napkin Hs"</formula>
    </cfRule>
  </conditionalFormatting>
  <conditionalFormatting sqref="C64:C65">
    <cfRule type="cellIs" dxfId="860" priority="845" stopIfTrue="1" operator="equal">
      <formula>"Towel"</formula>
    </cfRule>
    <cfRule type="cellIs" dxfId="859" priority="846" stopIfTrue="1" operator="equal">
      <formula>"Napkin Hs"</formula>
    </cfRule>
  </conditionalFormatting>
  <conditionalFormatting sqref="C64:C65">
    <cfRule type="cellIs" dxfId="858" priority="847" stopIfTrue="1" operator="equal">
      <formula>"Towel"</formula>
    </cfRule>
  </conditionalFormatting>
  <conditionalFormatting sqref="B71:C72">
    <cfRule type="cellIs" dxfId="857" priority="843" stopIfTrue="1" operator="equal">
      <formula>"Towel"</formula>
    </cfRule>
    <cfRule type="cellIs" dxfId="856" priority="844" stopIfTrue="1" operator="equal">
      <formula>"Napkin Hs"</formula>
    </cfRule>
  </conditionalFormatting>
  <conditionalFormatting sqref="C71:C72">
    <cfRule type="cellIs" dxfId="855" priority="842" stopIfTrue="1" operator="equal">
      <formula>"Napkin Hs"</formula>
    </cfRule>
  </conditionalFormatting>
  <conditionalFormatting sqref="C71:C72">
    <cfRule type="cellIs" dxfId="854" priority="839" stopIfTrue="1" operator="equal">
      <formula>"Towel"</formula>
    </cfRule>
    <cfRule type="cellIs" dxfId="853" priority="840" stopIfTrue="1" operator="equal">
      <formula>"Napkin Hs"</formula>
    </cfRule>
  </conditionalFormatting>
  <conditionalFormatting sqref="C71:C72">
    <cfRule type="cellIs" dxfId="852" priority="841" stopIfTrue="1" operator="equal">
      <formula>"Towel"</formula>
    </cfRule>
  </conditionalFormatting>
  <conditionalFormatting sqref="B71:C72">
    <cfRule type="cellIs" dxfId="851" priority="837" stopIfTrue="1" operator="equal">
      <formula>"Towel"</formula>
    </cfRule>
    <cfRule type="cellIs" dxfId="850" priority="838" stopIfTrue="1" operator="equal">
      <formula>"Napkin Hs"</formula>
    </cfRule>
  </conditionalFormatting>
  <conditionalFormatting sqref="C71:C72">
    <cfRule type="cellIs" dxfId="849" priority="836" stopIfTrue="1" operator="equal">
      <formula>"Napkin Hs"</formula>
    </cfRule>
  </conditionalFormatting>
  <conditionalFormatting sqref="C71:C72">
    <cfRule type="cellIs" dxfId="848" priority="833" stopIfTrue="1" operator="equal">
      <formula>"Towel"</formula>
    </cfRule>
    <cfRule type="cellIs" dxfId="847" priority="834" stopIfTrue="1" operator="equal">
      <formula>"Napkin Hs"</formula>
    </cfRule>
  </conditionalFormatting>
  <conditionalFormatting sqref="C71:C72">
    <cfRule type="cellIs" dxfId="846" priority="835" stopIfTrue="1" operator="equal">
      <formula>"Towel"</formula>
    </cfRule>
  </conditionalFormatting>
  <conditionalFormatting sqref="B69:C70">
    <cfRule type="cellIs" dxfId="845" priority="831" stopIfTrue="1" operator="equal">
      <formula>"Towel"</formula>
    </cfRule>
    <cfRule type="cellIs" dxfId="844" priority="832" stopIfTrue="1" operator="equal">
      <formula>"Napkin Hs"</formula>
    </cfRule>
  </conditionalFormatting>
  <conditionalFormatting sqref="C69:C70">
    <cfRule type="cellIs" dxfId="843" priority="830" stopIfTrue="1" operator="equal">
      <formula>"Napkin Hs"</formula>
    </cfRule>
  </conditionalFormatting>
  <conditionalFormatting sqref="C69:C70">
    <cfRule type="cellIs" dxfId="842" priority="827" stopIfTrue="1" operator="equal">
      <formula>"Towel"</formula>
    </cfRule>
    <cfRule type="cellIs" dxfId="841" priority="828" stopIfTrue="1" operator="equal">
      <formula>"Napkin Hs"</formula>
    </cfRule>
  </conditionalFormatting>
  <conditionalFormatting sqref="C69:C70">
    <cfRule type="cellIs" dxfId="840" priority="829" stopIfTrue="1" operator="equal">
      <formula>"Towel"</formula>
    </cfRule>
  </conditionalFormatting>
  <conditionalFormatting sqref="B69:C70">
    <cfRule type="cellIs" dxfId="839" priority="825" stopIfTrue="1" operator="equal">
      <formula>"Towel"</formula>
    </cfRule>
    <cfRule type="cellIs" dxfId="838" priority="826" stopIfTrue="1" operator="equal">
      <formula>"Napkin Hs"</formula>
    </cfRule>
  </conditionalFormatting>
  <conditionalFormatting sqref="C69:C70">
    <cfRule type="cellIs" dxfId="837" priority="824" stopIfTrue="1" operator="equal">
      <formula>"Napkin Hs"</formula>
    </cfRule>
  </conditionalFormatting>
  <conditionalFormatting sqref="C69:C70">
    <cfRule type="cellIs" dxfId="836" priority="821" stopIfTrue="1" operator="equal">
      <formula>"Towel"</formula>
    </cfRule>
    <cfRule type="cellIs" dxfId="835" priority="822" stopIfTrue="1" operator="equal">
      <formula>"Napkin Hs"</formula>
    </cfRule>
  </conditionalFormatting>
  <conditionalFormatting sqref="C69:C70">
    <cfRule type="cellIs" dxfId="834" priority="823" stopIfTrue="1" operator="equal">
      <formula>"Towel"</formula>
    </cfRule>
  </conditionalFormatting>
  <conditionalFormatting sqref="B76:C76">
    <cfRule type="cellIs" dxfId="833" priority="819" stopIfTrue="1" operator="equal">
      <formula>"Towel"</formula>
    </cfRule>
    <cfRule type="cellIs" dxfId="832" priority="820" stopIfTrue="1" operator="equal">
      <formula>"Napkin Hs"</formula>
    </cfRule>
  </conditionalFormatting>
  <conditionalFormatting sqref="C76">
    <cfRule type="cellIs" dxfId="831" priority="818" stopIfTrue="1" operator="equal">
      <formula>"Napkin Hs"</formula>
    </cfRule>
  </conditionalFormatting>
  <conditionalFormatting sqref="C76">
    <cfRule type="cellIs" dxfId="830" priority="815" stopIfTrue="1" operator="equal">
      <formula>"Towel"</formula>
    </cfRule>
    <cfRule type="cellIs" dxfId="829" priority="816" stopIfTrue="1" operator="equal">
      <formula>"Napkin Hs"</formula>
    </cfRule>
  </conditionalFormatting>
  <conditionalFormatting sqref="C76">
    <cfRule type="cellIs" dxfId="828" priority="817" stopIfTrue="1" operator="equal">
      <formula>"Towel"</formula>
    </cfRule>
  </conditionalFormatting>
  <conditionalFormatting sqref="B76:C76">
    <cfRule type="cellIs" dxfId="827" priority="813" stopIfTrue="1" operator="equal">
      <formula>"Towel"</formula>
    </cfRule>
    <cfRule type="cellIs" dxfId="826" priority="814" stopIfTrue="1" operator="equal">
      <formula>"Napkin Hs"</formula>
    </cfRule>
  </conditionalFormatting>
  <conditionalFormatting sqref="C76">
    <cfRule type="cellIs" dxfId="825" priority="812" stopIfTrue="1" operator="equal">
      <formula>"Napkin Hs"</formula>
    </cfRule>
  </conditionalFormatting>
  <conditionalFormatting sqref="C76">
    <cfRule type="cellIs" dxfId="824" priority="809" stopIfTrue="1" operator="equal">
      <formula>"Towel"</formula>
    </cfRule>
    <cfRule type="cellIs" dxfId="823" priority="810" stopIfTrue="1" operator="equal">
      <formula>"Napkin Hs"</formula>
    </cfRule>
  </conditionalFormatting>
  <conditionalFormatting sqref="C76">
    <cfRule type="cellIs" dxfId="822" priority="811" stopIfTrue="1" operator="equal">
      <formula>"Towel"</formula>
    </cfRule>
  </conditionalFormatting>
  <conditionalFormatting sqref="B74:C75">
    <cfRule type="cellIs" dxfId="821" priority="807" stopIfTrue="1" operator="equal">
      <formula>"Towel"</formula>
    </cfRule>
    <cfRule type="cellIs" dxfId="820" priority="808" stopIfTrue="1" operator="equal">
      <formula>"Napkin Hs"</formula>
    </cfRule>
  </conditionalFormatting>
  <conditionalFormatting sqref="C74:C75">
    <cfRule type="cellIs" dxfId="819" priority="806" stopIfTrue="1" operator="equal">
      <formula>"Napkin Hs"</formula>
    </cfRule>
  </conditionalFormatting>
  <conditionalFormatting sqref="C74:C75">
    <cfRule type="cellIs" dxfId="818" priority="803" stopIfTrue="1" operator="equal">
      <formula>"Towel"</formula>
    </cfRule>
    <cfRule type="cellIs" dxfId="817" priority="804" stopIfTrue="1" operator="equal">
      <formula>"Napkin Hs"</formula>
    </cfRule>
  </conditionalFormatting>
  <conditionalFormatting sqref="C74:C75">
    <cfRule type="cellIs" dxfId="816" priority="805" stopIfTrue="1" operator="equal">
      <formula>"Towel"</formula>
    </cfRule>
  </conditionalFormatting>
  <conditionalFormatting sqref="B74:C75">
    <cfRule type="cellIs" dxfId="815" priority="801" stopIfTrue="1" operator="equal">
      <formula>"Towel"</formula>
    </cfRule>
    <cfRule type="cellIs" dxfId="814" priority="802" stopIfTrue="1" operator="equal">
      <formula>"Napkin Hs"</formula>
    </cfRule>
  </conditionalFormatting>
  <conditionalFormatting sqref="C74:C75">
    <cfRule type="cellIs" dxfId="813" priority="800" stopIfTrue="1" operator="equal">
      <formula>"Napkin Hs"</formula>
    </cfRule>
  </conditionalFormatting>
  <conditionalFormatting sqref="C74:C75">
    <cfRule type="cellIs" dxfId="812" priority="797" stopIfTrue="1" operator="equal">
      <formula>"Towel"</formula>
    </cfRule>
    <cfRule type="cellIs" dxfId="811" priority="798" stopIfTrue="1" operator="equal">
      <formula>"Napkin Hs"</formula>
    </cfRule>
  </conditionalFormatting>
  <conditionalFormatting sqref="C74:C75">
    <cfRule type="cellIs" dxfId="810" priority="799" stopIfTrue="1" operator="equal">
      <formula>"Towel"</formula>
    </cfRule>
  </conditionalFormatting>
  <conditionalFormatting sqref="B73:C73">
    <cfRule type="cellIs" dxfId="809" priority="795" stopIfTrue="1" operator="equal">
      <formula>"Towel"</formula>
    </cfRule>
    <cfRule type="cellIs" dxfId="808" priority="796" stopIfTrue="1" operator="equal">
      <formula>"Napkin Hs"</formula>
    </cfRule>
  </conditionalFormatting>
  <conditionalFormatting sqref="C73">
    <cfRule type="cellIs" dxfId="807" priority="794" stopIfTrue="1" operator="equal">
      <formula>"Napkin Hs"</formula>
    </cfRule>
  </conditionalFormatting>
  <conditionalFormatting sqref="C73">
    <cfRule type="cellIs" dxfId="806" priority="791" stopIfTrue="1" operator="equal">
      <formula>"Towel"</formula>
    </cfRule>
    <cfRule type="cellIs" dxfId="805" priority="792" stopIfTrue="1" operator="equal">
      <formula>"Napkin Hs"</formula>
    </cfRule>
  </conditionalFormatting>
  <conditionalFormatting sqref="C73">
    <cfRule type="cellIs" dxfId="804" priority="793" stopIfTrue="1" operator="equal">
      <formula>"Towel"</formula>
    </cfRule>
  </conditionalFormatting>
  <conditionalFormatting sqref="B73:C73">
    <cfRule type="cellIs" dxfId="803" priority="789" stopIfTrue="1" operator="equal">
      <formula>"Towel"</formula>
    </cfRule>
    <cfRule type="cellIs" dxfId="802" priority="790" stopIfTrue="1" operator="equal">
      <formula>"Napkin Hs"</formula>
    </cfRule>
  </conditionalFormatting>
  <conditionalFormatting sqref="C73">
    <cfRule type="cellIs" dxfId="801" priority="788" stopIfTrue="1" operator="equal">
      <formula>"Napkin Hs"</formula>
    </cfRule>
  </conditionalFormatting>
  <conditionalFormatting sqref="C73">
    <cfRule type="cellIs" dxfId="800" priority="785" stopIfTrue="1" operator="equal">
      <formula>"Towel"</formula>
    </cfRule>
    <cfRule type="cellIs" dxfId="799" priority="786" stopIfTrue="1" operator="equal">
      <formula>"Napkin Hs"</formula>
    </cfRule>
  </conditionalFormatting>
  <conditionalFormatting sqref="C73">
    <cfRule type="cellIs" dxfId="798" priority="787" stopIfTrue="1" operator="equal">
      <formula>"Towel"</formula>
    </cfRule>
  </conditionalFormatting>
  <conditionalFormatting sqref="B79:C80">
    <cfRule type="cellIs" dxfId="797" priority="783" stopIfTrue="1" operator="equal">
      <formula>"Towel"</formula>
    </cfRule>
    <cfRule type="cellIs" dxfId="796" priority="784" stopIfTrue="1" operator="equal">
      <formula>"Napkin Hs"</formula>
    </cfRule>
  </conditionalFormatting>
  <conditionalFormatting sqref="C79:C80">
    <cfRule type="cellIs" dxfId="795" priority="782" stopIfTrue="1" operator="equal">
      <formula>"Napkin Hs"</formula>
    </cfRule>
  </conditionalFormatting>
  <conditionalFormatting sqref="C79:C80">
    <cfRule type="cellIs" dxfId="794" priority="779" stopIfTrue="1" operator="equal">
      <formula>"Towel"</formula>
    </cfRule>
    <cfRule type="cellIs" dxfId="793" priority="780" stopIfTrue="1" operator="equal">
      <formula>"Napkin Hs"</formula>
    </cfRule>
  </conditionalFormatting>
  <conditionalFormatting sqref="C79:C80">
    <cfRule type="cellIs" dxfId="792" priority="781" stopIfTrue="1" operator="equal">
      <formula>"Towel"</formula>
    </cfRule>
  </conditionalFormatting>
  <conditionalFormatting sqref="B79:C80">
    <cfRule type="cellIs" dxfId="791" priority="777" stopIfTrue="1" operator="equal">
      <formula>"Towel"</formula>
    </cfRule>
    <cfRule type="cellIs" dxfId="790" priority="778" stopIfTrue="1" operator="equal">
      <formula>"Napkin Hs"</formula>
    </cfRule>
  </conditionalFormatting>
  <conditionalFormatting sqref="C79:C80">
    <cfRule type="cellIs" dxfId="789" priority="776" stopIfTrue="1" operator="equal">
      <formula>"Napkin Hs"</formula>
    </cfRule>
  </conditionalFormatting>
  <conditionalFormatting sqref="C79:C80">
    <cfRule type="cellIs" dxfId="788" priority="773" stopIfTrue="1" operator="equal">
      <formula>"Towel"</formula>
    </cfRule>
    <cfRule type="cellIs" dxfId="787" priority="774" stopIfTrue="1" operator="equal">
      <formula>"Napkin Hs"</formula>
    </cfRule>
  </conditionalFormatting>
  <conditionalFormatting sqref="C79:C80">
    <cfRule type="cellIs" dxfId="786" priority="775" stopIfTrue="1" operator="equal">
      <formula>"Towel"</formula>
    </cfRule>
  </conditionalFormatting>
  <conditionalFormatting sqref="C78">
    <cfRule type="cellIs" dxfId="785" priority="771" stopIfTrue="1" operator="equal">
      <formula>"Towel"</formula>
    </cfRule>
    <cfRule type="cellIs" dxfId="784" priority="772" stopIfTrue="1" operator="equal">
      <formula>"Napkin Hs"</formula>
    </cfRule>
  </conditionalFormatting>
  <conditionalFormatting sqref="C78">
    <cfRule type="cellIs" dxfId="783" priority="770" stopIfTrue="1" operator="equal">
      <formula>"Napkin Hs"</formula>
    </cfRule>
  </conditionalFormatting>
  <conditionalFormatting sqref="C78">
    <cfRule type="cellIs" dxfId="782" priority="767" stopIfTrue="1" operator="equal">
      <formula>"Towel"</formula>
    </cfRule>
    <cfRule type="cellIs" dxfId="781" priority="768" stopIfTrue="1" operator="equal">
      <formula>"Napkin Hs"</formula>
    </cfRule>
  </conditionalFormatting>
  <conditionalFormatting sqref="C78">
    <cfRule type="cellIs" dxfId="780" priority="769" stopIfTrue="1" operator="equal">
      <formula>"Towel"</formula>
    </cfRule>
  </conditionalFormatting>
  <conditionalFormatting sqref="C78">
    <cfRule type="cellIs" dxfId="779" priority="765" stopIfTrue="1" operator="equal">
      <formula>"Towel"</formula>
    </cfRule>
    <cfRule type="cellIs" dxfId="778" priority="766" stopIfTrue="1" operator="equal">
      <formula>"Napkin Hs"</formula>
    </cfRule>
  </conditionalFormatting>
  <conditionalFormatting sqref="C78">
    <cfRule type="cellIs" dxfId="777" priority="764" stopIfTrue="1" operator="equal">
      <formula>"Napkin Hs"</formula>
    </cfRule>
  </conditionalFormatting>
  <conditionalFormatting sqref="C78">
    <cfRule type="cellIs" dxfId="776" priority="761" stopIfTrue="1" operator="equal">
      <formula>"Towel"</formula>
    </cfRule>
    <cfRule type="cellIs" dxfId="775" priority="762" stopIfTrue="1" operator="equal">
      <formula>"Napkin Hs"</formula>
    </cfRule>
  </conditionalFormatting>
  <conditionalFormatting sqref="C78">
    <cfRule type="cellIs" dxfId="774" priority="763" stopIfTrue="1" operator="equal">
      <formula>"Towel"</formula>
    </cfRule>
  </conditionalFormatting>
  <conditionalFormatting sqref="B77:C77 B78">
    <cfRule type="cellIs" dxfId="773" priority="759" stopIfTrue="1" operator="equal">
      <formula>"Towel"</formula>
    </cfRule>
    <cfRule type="cellIs" dxfId="772" priority="760" stopIfTrue="1" operator="equal">
      <formula>"Napkin Hs"</formula>
    </cfRule>
  </conditionalFormatting>
  <conditionalFormatting sqref="C77">
    <cfRule type="cellIs" dxfId="771" priority="758" stopIfTrue="1" operator="equal">
      <formula>"Napkin Hs"</formula>
    </cfRule>
  </conditionalFormatting>
  <conditionalFormatting sqref="C77">
    <cfRule type="cellIs" dxfId="770" priority="755" stopIfTrue="1" operator="equal">
      <formula>"Towel"</formula>
    </cfRule>
    <cfRule type="cellIs" dxfId="769" priority="756" stopIfTrue="1" operator="equal">
      <formula>"Napkin Hs"</formula>
    </cfRule>
  </conditionalFormatting>
  <conditionalFormatting sqref="C77">
    <cfRule type="cellIs" dxfId="768" priority="757" stopIfTrue="1" operator="equal">
      <formula>"Towel"</formula>
    </cfRule>
  </conditionalFormatting>
  <conditionalFormatting sqref="B77:C77 B78">
    <cfRule type="cellIs" dxfId="767" priority="753" stopIfTrue="1" operator="equal">
      <formula>"Towel"</formula>
    </cfRule>
    <cfRule type="cellIs" dxfId="766" priority="754" stopIfTrue="1" operator="equal">
      <formula>"Napkin Hs"</formula>
    </cfRule>
  </conditionalFormatting>
  <conditionalFormatting sqref="C77">
    <cfRule type="cellIs" dxfId="765" priority="752" stopIfTrue="1" operator="equal">
      <formula>"Napkin Hs"</formula>
    </cfRule>
  </conditionalFormatting>
  <conditionalFormatting sqref="C77">
    <cfRule type="cellIs" dxfId="764" priority="749" stopIfTrue="1" operator="equal">
      <formula>"Towel"</formula>
    </cfRule>
    <cfRule type="cellIs" dxfId="763" priority="750" stopIfTrue="1" operator="equal">
      <formula>"Napkin Hs"</formula>
    </cfRule>
  </conditionalFormatting>
  <conditionalFormatting sqref="C77">
    <cfRule type="cellIs" dxfId="762" priority="751" stopIfTrue="1" operator="equal">
      <formula>"Towel"</formula>
    </cfRule>
  </conditionalFormatting>
  <conditionalFormatting sqref="B83:C84">
    <cfRule type="cellIs" dxfId="761" priority="747" stopIfTrue="1" operator="equal">
      <formula>"Towel"</formula>
    </cfRule>
    <cfRule type="cellIs" dxfId="760" priority="748" stopIfTrue="1" operator="equal">
      <formula>"Napkin Hs"</formula>
    </cfRule>
  </conditionalFormatting>
  <conditionalFormatting sqref="C83:C84">
    <cfRule type="cellIs" dxfId="759" priority="746" stopIfTrue="1" operator="equal">
      <formula>"Napkin Hs"</formula>
    </cfRule>
  </conditionalFormatting>
  <conditionalFormatting sqref="C83:C84">
    <cfRule type="cellIs" dxfId="758" priority="743" stopIfTrue="1" operator="equal">
      <formula>"Towel"</formula>
    </cfRule>
    <cfRule type="cellIs" dxfId="757" priority="744" stopIfTrue="1" operator="equal">
      <formula>"Napkin Hs"</formula>
    </cfRule>
  </conditionalFormatting>
  <conditionalFormatting sqref="C83:C84">
    <cfRule type="cellIs" dxfId="756" priority="745" stopIfTrue="1" operator="equal">
      <formula>"Towel"</formula>
    </cfRule>
  </conditionalFormatting>
  <conditionalFormatting sqref="B83:C84">
    <cfRule type="cellIs" dxfId="755" priority="741" stopIfTrue="1" operator="equal">
      <formula>"Towel"</formula>
    </cfRule>
    <cfRule type="cellIs" dxfId="754" priority="742" stopIfTrue="1" operator="equal">
      <formula>"Napkin Hs"</formula>
    </cfRule>
  </conditionalFormatting>
  <conditionalFormatting sqref="C83:C84">
    <cfRule type="cellIs" dxfId="753" priority="740" stopIfTrue="1" operator="equal">
      <formula>"Napkin Hs"</formula>
    </cfRule>
  </conditionalFormatting>
  <conditionalFormatting sqref="C83:C84">
    <cfRule type="cellIs" dxfId="752" priority="737" stopIfTrue="1" operator="equal">
      <formula>"Towel"</formula>
    </cfRule>
    <cfRule type="cellIs" dxfId="751" priority="738" stopIfTrue="1" operator="equal">
      <formula>"Napkin Hs"</formula>
    </cfRule>
  </conditionalFormatting>
  <conditionalFormatting sqref="C83:C84">
    <cfRule type="cellIs" dxfId="750" priority="739" stopIfTrue="1" operator="equal">
      <formula>"Towel"</formula>
    </cfRule>
  </conditionalFormatting>
  <conditionalFormatting sqref="B82:C82">
    <cfRule type="cellIs" dxfId="749" priority="735" stopIfTrue="1" operator="equal">
      <formula>"Towel"</formula>
    </cfRule>
    <cfRule type="cellIs" dxfId="748" priority="736" stopIfTrue="1" operator="equal">
      <formula>"Napkin Hs"</formula>
    </cfRule>
  </conditionalFormatting>
  <conditionalFormatting sqref="C82">
    <cfRule type="cellIs" dxfId="747" priority="734" stopIfTrue="1" operator="equal">
      <formula>"Napkin Hs"</formula>
    </cfRule>
  </conditionalFormatting>
  <conditionalFormatting sqref="C82">
    <cfRule type="cellIs" dxfId="746" priority="731" stopIfTrue="1" operator="equal">
      <formula>"Towel"</formula>
    </cfRule>
    <cfRule type="cellIs" dxfId="745" priority="732" stopIfTrue="1" operator="equal">
      <formula>"Napkin Hs"</formula>
    </cfRule>
  </conditionalFormatting>
  <conditionalFormatting sqref="C82">
    <cfRule type="cellIs" dxfId="744" priority="733" stopIfTrue="1" operator="equal">
      <formula>"Towel"</formula>
    </cfRule>
  </conditionalFormatting>
  <conditionalFormatting sqref="B82:C82">
    <cfRule type="cellIs" dxfId="743" priority="729" stopIfTrue="1" operator="equal">
      <formula>"Towel"</formula>
    </cfRule>
    <cfRule type="cellIs" dxfId="742" priority="730" stopIfTrue="1" operator="equal">
      <formula>"Napkin Hs"</formula>
    </cfRule>
  </conditionalFormatting>
  <conditionalFormatting sqref="C82">
    <cfRule type="cellIs" dxfId="741" priority="728" stopIfTrue="1" operator="equal">
      <formula>"Napkin Hs"</formula>
    </cfRule>
  </conditionalFormatting>
  <conditionalFormatting sqref="C82">
    <cfRule type="cellIs" dxfId="740" priority="725" stopIfTrue="1" operator="equal">
      <formula>"Towel"</formula>
    </cfRule>
    <cfRule type="cellIs" dxfId="739" priority="726" stopIfTrue="1" operator="equal">
      <formula>"Napkin Hs"</formula>
    </cfRule>
  </conditionalFormatting>
  <conditionalFormatting sqref="C82">
    <cfRule type="cellIs" dxfId="738" priority="727" stopIfTrue="1" operator="equal">
      <formula>"Towel"</formula>
    </cfRule>
  </conditionalFormatting>
  <conditionalFormatting sqref="C81">
    <cfRule type="cellIs" dxfId="737" priority="723" stopIfTrue="1" operator="equal">
      <formula>"Towel"</formula>
    </cfRule>
    <cfRule type="cellIs" dxfId="736" priority="724" stopIfTrue="1" operator="equal">
      <formula>"Napkin Hs"</formula>
    </cfRule>
  </conditionalFormatting>
  <conditionalFormatting sqref="C81">
    <cfRule type="cellIs" dxfId="735" priority="722" stopIfTrue="1" operator="equal">
      <formula>"Napkin Hs"</formula>
    </cfRule>
  </conditionalFormatting>
  <conditionalFormatting sqref="C81">
    <cfRule type="cellIs" dxfId="734" priority="719" stopIfTrue="1" operator="equal">
      <formula>"Towel"</formula>
    </cfRule>
    <cfRule type="cellIs" dxfId="733" priority="720" stopIfTrue="1" operator="equal">
      <formula>"Napkin Hs"</formula>
    </cfRule>
  </conditionalFormatting>
  <conditionalFormatting sqref="C81">
    <cfRule type="cellIs" dxfId="732" priority="721" stopIfTrue="1" operator="equal">
      <formula>"Towel"</formula>
    </cfRule>
  </conditionalFormatting>
  <conditionalFormatting sqref="C81">
    <cfRule type="cellIs" dxfId="731" priority="717" stopIfTrue="1" operator="equal">
      <formula>"Towel"</formula>
    </cfRule>
    <cfRule type="cellIs" dxfId="730" priority="718" stopIfTrue="1" operator="equal">
      <formula>"Napkin Hs"</formula>
    </cfRule>
  </conditionalFormatting>
  <conditionalFormatting sqref="C81">
    <cfRule type="cellIs" dxfId="729" priority="716" stopIfTrue="1" operator="equal">
      <formula>"Napkin Hs"</formula>
    </cfRule>
  </conditionalFormatting>
  <conditionalFormatting sqref="C81">
    <cfRule type="cellIs" dxfId="728" priority="713" stopIfTrue="1" operator="equal">
      <formula>"Towel"</formula>
    </cfRule>
    <cfRule type="cellIs" dxfId="727" priority="714" stopIfTrue="1" operator="equal">
      <formula>"Napkin Hs"</formula>
    </cfRule>
  </conditionalFormatting>
  <conditionalFormatting sqref="C81">
    <cfRule type="cellIs" dxfId="726" priority="715" stopIfTrue="1" operator="equal">
      <formula>"Towel"</formula>
    </cfRule>
  </conditionalFormatting>
  <conditionalFormatting sqref="B88:C89">
    <cfRule type="cellIs" dxfId="725" priority="711" stopIfTrue="1" operator="equal">
      <formula>"Towel"</formula>
    </cfRule>
    <cfRule type="cellIs" dxfId="724" priority="712" stopIfTrue="1" operator="equal">
      <formula>"Napkin Hs"</formula>
    </cfRule>
  </conditionalFormatting>
  <conditionalFormatting sqref="C88:C89">
    <cfRule type="cellIs" dxfId="723" priority="710" stopIfTrue="1" operator="equal">
      <formula>"Napkin Hs"</formula>
    </cfRule>
  </conditionalFormatting>
  <conditionalFormatting sqref="C88:C89">
    <cfRule type="cellIs" dxfId="722" priority="707" stopIfTrue="1" operator="equal">
      <formula>"Towel"</formula>
    </cfRule>
    <cfRule type="cellIs" dxfId="721" priority="708" stopIfTrue="1" operator="equal">
      <formula>"Napkin Hs"</formula>
    </cfRule>
  </conditionalFormatting>
  <conditionalFormatting sqref="C88:C89">
    <cfRule type="cellIs" dxfId="720" priority="709" stopIfTrue="1" operator="equal">
      <formula>"Towel"</formula>
    </cfRule>
  </conditionalFormatting>
  <conditionalFormatting sqref="B88:C89">
    <cfRule type="cellIs" dxfId="719" priority="705" stopIfTrue="1" operator="equal">
      <formula>"Towel"</formula>
    </cfRule>
    <cfRule type="cellIs" dxfId="718" priority="706" stopIfTrue="1" operator="equal">
      <formula>"Napkin Hs"</formula>
    </cfRule>
  </conditionalFormatting>
  <conditionalFormatting sqref="C88:C89">
    <cfRule type="cellIs" dxfId="717" priority="704" stopIfTrue="1" operator="equal">
      <formula>"Napkin Hs"</formula>
    </cfRule>
  </conditionalFormatting>
  <conditionalFormatting sqref="C88:C89">
    <cfRule type="cellIs" dxfId="716" priority="701" stopIfTrue="1" operator="equal">
      <formula>"Towel"</formula>
    </cfRule>
    <cfRule type="cellIs" dxfId="715" priority="702" stopIfTrue="1" operator="equal">
      <formula>"Napkin Hs"</formula>
    </cfRule>
  </conditionalFormatting>
  <conditionalFormatting sqref="C88:C89">
    <cfRule type="cellIs" dxfId="714" priority="703" stopIfTrue="1" operator="equal">
      <formula>"Towel"</formula>
    </cfRule>
  </conditionalFormatting>
  <conditionalFormatting sqref="B87:C87">
    <cfRule type="cellIs" dxfId="713" priority="699" stopIfTrue="1" operator="equal">
      <formula>"Towel"</formula>
    </cfRule>
    <cfRule type="cellIs" dxfId="712" priority="700" stopIfTrue="1" operator="equal">
      <formula>"Napkin Hs"</formula>
    </cfRule>
  </conditionalFormatting>
  <conditionalFormatting sqref="C87">
    <cfRule type="cellIs" dxfId="711" priority="698" stopIfTrue="1" operator="equal">
      <formula>"Napkin Hs"</formula>
    </cfRule>
  </conditionalFormatting>
  <conditionalFormatting sqref="C87">
    <cfRule type="cellIs" dxfId="710" priority="695" stopIfTrue="1" operator="equal">
      <formula>"Towel"</formula>
    </cfRule>
    <cfRule type="cellIs" dxfId="709" priority="696" stopIfTrue="1" operator="equal">
      <formula>"Napkin Hs"</formula>
    </cfRule>
  </conditionalFormatting>
  <conditionalFormatting sqref="C87">
    <cfRule type="cellIs" dxfId="708" priority="697" stopIfTrue="1" operator="equal">
      <formula>"Towel"</formula>
    </cfRule>
  </conditionalFormatting>
  <conditionalFormatting sqref="B87:C87">
    <cfRule type="cellIs" dxfId="707" priority="693" stopIfTrue="1" operator="equal">
      <formula>"Towel"</formula>
    </cfRule>
    <cfRule type="cellIs" dxfId="706" priority="694" stopIfTrue="1" operator="equal">
      <formula>"Napkin Hs"</formula>
    </cfRule>
  </conditionalFormatting>
  <conditionalFormatting sqref="C87">
    <cfRule type="cellIs" dxfId="705" priority="692" stopIfTrue="1" operator="equal">
      <formula>"Napkin Hs"</formula>
    </cfRule>
  </conditionalFormatting>
  <conditionalFormatting sqref="C87">
    <cfRule type="cellIs" dxfId="704" priority="689" stopIfTrue="1" operator="equal">
      <formula>"Towel"</formula>
    </cfRule>
    <cfRule type="cellIs" dxfId="703" priority="690" stopIfTrue="1" operator="equal">
      <formula>"Napkin Hs"</formula>
    </cfRule>
  </conditionalFormatting>
  <conditionalFormatting sqref="C87">
    <cfRule type="cellIs" dxfId="702" priority="691" stopIfTrue="1" operator="equal">
      <formula>"Towel"</formula>
    </cfRule>
  </conditionalFormatting>
  <conditionalFormatting sqref="C86">
    <cfRule type="cellIs" dxfId="701" priority="687" stopIfTrue="1" operator="equal">
      <formula>"Towel"</formula>
    </cfRule>
    <cfRule type="cellIs" dxfId="700" priority="688" stopIfTrue="1" operator="equal">
      <formula>"Napkin Hs"</formula>
    </cfRule>
  </conditionalFormatting>
  <conditionalFormatting sqref="C86">
    <cfRule type="cellIs" dxfId="699" priority="686" stopIfTrue="1" operator="equal">
      <formula>"Napkin Hs"</formula>
    </cfRule>
  </conditionalFormatting>
  <conditionalFormatting sqref="C86">
    <cfRule type="cellIs" dxfId="698" priority="683" stopIfTrue="1" operator="equal">
      <formula>"Towel"</formula>
    </cfRule>
    <cfRule type="cellIs" dxfId="697" priority="684" stopIfTrue="1" operator="equal">
      <formula>"Napkin Hs"</formula>
    </cfRule>
  </conditionalFormatting>
  <conditionalFormatting sqref="C86">
    <cfRule type="cellIs" dxfId="696" priority="685" stopIfTrue="1" operator="equal">
      <formula>"Towel"</formula>
    </cfRule>
  </conditionalFormatting>
  <conditionalFormatting sqref="C86">
    <cfRule type="cellIs" dxfId="695" priority="681" stopIfTrue="1" operator="equal">
      <formula>"Towel"</formula>
    </cfRule>
    <cfRule type="cellIs" dxfId="694" priority="682" stopIfTrue="1" operator="equal">
      <formula>"Napkin Hs"</formula>
    </cfRule>
  </conditionalFormatting>
  <conditionalFormatting sqref="C86">
    <cfRule type="cellIs" dxfId="693" priority="680" stopIfTrue="1" operator="equal">
      <formula>"Napkin Hs"</formula>
    </cfRule>
  </conditionalFormatting>
  <conditionalFormatting sqref="C86">
    <cfRule type="cellIs" dxfId="692" priority="677" stopIfTrue="1" operator="equal">
      <formula>"Towel"</formula>
    </cfRule>
    <cfRule type="cellIs" dxfId="691" priority="678" stopIfTrue="1" operator="equal">
      <formula>"Napkin Hs"</formula>
    </cfRule>
  </conditionalFormatting>
  <conditionalFormatting sqref="C86">
    <cfRule type="cellIs" dxfId="690" priority="679" stopIfTrue="1" operator="equal">
      <formula>"Towel"</formula>
    </cfRule>
  </conditionalFormatting>
  <conditionalFormatting sqref="B86">
    <cfRule type="cellIs" dxfId="689" priority="675" stopIfTrue="1" operator="equal">
      <formula>"Towel"</formula>
    </cfRule>
    <cfRule type="cellIs" dxfId="688" priority="676" stopIfTrue="1" operator="equal">
      <formula>"Napkin Hs"</formula>
    </cfRule>
  </conditionalFormatting>
  <conditionalFormatting sqref="B86">
    <cfRule type="cellIs" dxfId="687" priority="673" stopIfTrue="1" operator="equal">
      <formula>"Towel"</formula>
    </cfRule>
    <cfRule type="cellIs" dxfId="686" priority="674" stopIfTrue="1" operator="equal">
      <formula>"Napkin Hs"</formula>
    </cfRule>
  </conditionalFormatting>
  <conditionalFormatting sqref="B81">
    <cfRule type="cellIs" dxfId="685" priority="671" stopIfTrue="1" operator="equal">
      <formula>"Towel"</formula>
    </cfRule>
    <cfRule type="cellIs" dxfId="684" priority="672" stopIfTrue="1" operator="equal">
      <formula>"Napkin Hs"</formula>
    </cfRule>
  </conditionalFormatting>
  <conditionalFormatting sqref="B81">
    <cfRule type="cellIs" dxfId="683" priority="669" stopIfTrue="1" operator="equal">
      <formula>"Towel"</formula>
    </cfRule>
    <cfRule type="cellIs" dxfId="682" priority="670" stopIfTrue="1" operator="equal">
      <formula>"Napkin Hs"</formula>
    </cfRule>
  </conditionalFormatting>
  <conditionalFormatting sqref="B95:C95">
    <cfRule type="cellIs" dxfId="681" priority="667" stopIfTrue="1" operator="equal">
      <formula>"Towel"</formula>
    </cfRule>
    <cfRule type="cellIs" dxfId="680" priority="668" stopIfTrue="1" operator="equal">
      <formula>"Napkin Hs"</formula>
    </cfRule>
  </conditionalFormatting>
  <conditionalFormatting sqref="C95">
    <cfRule type="cellIs" dxfId="679" priority="666" stopIfTrue="1" operator="equal">
      <formula>"Napkin Hs"</formula>
    </cfRule>
  </conditionalFormatting>
  <conditionalFormatting sqref="C95">
    <cfRule type="cellIs" dxfId="678" priority="663" stopIfTrue="1" operator="equal">
      <formula>"Towel"</formula>
    </cfRule>
    <cfRule type="cellIs" dxfId="677" priority="664" stopIfTrue="1" operator="equal">
      <formula>"Napkin Hs"</formula>
    </cfRule>
  </conditionalFormatting>
  <conditionalFormatting sqref="C95">
    <cfRule type="cellIs" dxfId="676" priority="665" stopIfTrue="1" operator="equal">
      <formula>"Towel"</formula>
    </cfRule>
  </conditionalFormatting>
  <conditionalFormatting sqref="B93:C94">
    <cfRule type="cellIs" dxfId="675" priority="661" stopIfTrue="1" operator="equal">
      <formula>"Towel"</formula>
    </cfRule>
    <cfRule type="cellIs" dxfId="674" priority="662" stopIfTrue="1" operator="equal">
      <formula>"Napkin Hs"</formula>
    </cfRule>
  </conditionalFormatting>
  <conditionalFormatting sqref="C93:C94">
    <cfRule type="cellIs" dxfId="673" priority="660" stopIfTrue="1" operator="equal">
      <formula>"Napkin Hs"</formula>
    </cfRule>
  </conditionalFormatting>
  <conditionalFormatting sqref="C93:C94">
    <cfRule type="cellIs" dxfId="672" priority="657" stopIfTrue="1" operator="equal">
      <formula>"Towel"</formula>
    </cfRule>
    <cfRule type="cellIs" dxfId="671" priority="658" stopIfTrue="1" operator="equal">
      <formula>"Napkin Hs"</formula>
    </cfRule>
  </conditionalFormatting>
  <conditionalFormatting sqref="C93:C94">
    <cfRule type="cellIs" dxfId="670" priority="659" stopIfTrue="1" operator="equal">
      <formula>"Towel"</formula>
    </cfRule>
  </conditionalFormatting>
  <conditionalFormatting sqref="B93:C94">
    <cfRule type="cellIs" dxfId="669" priority="655" stopIfTrue="1" operator="equal">
      <formula>"Towel"</formula>
    </cfRule>
    <cfRule type="cellIs" dxfId="668" priority="656" stopIfTrue="1" operator="equal">
      <formula>"Napkin Hs"</formula>
    </cfRule>
  </conditionalFormatting>
  <conditionalFormatting sqref="C93:C94">
    <cfRule type="cellIs" dxfId="667" priority="654" stopIfTrue="1" operator="equal">
      <formula>"Napkin Hs"</formula>
    </cfRule>
  </conditionalFormatting>
  <conditionalFormatting sqref="C93:C94">
    <cfRule type="cellIs" dxfId="666" priority="651" stopIfTrue="1" operator="equal">
      <formula>"Towel"</formula>
    </cfRule>
    <cfRule type="cellIs" dxfId="665" priority="652" stopIfTrue="1" operator="equal">
      <formula>"Napkin Hs"</formula>
    </cfRule>
  </conditionalFormatting>
  <conditionalFormatting sqref="C93:C94">
    <cfRule type="cellIs" dxfId="664" priority="653" stopIfTrue="1" operator="equal">
      <formula>"Towel"</formula>
    </cfRule>
  </conditionalFormatting>
  <conditionalFormatting sqref="B92:C92">
    <cfRule type="cellIs" dxfId="663" priority="649" stopIfTrue="1" operator="equal">
      <formula>"Towel"</formula>
    </cfRule>
    <cfRule type="cellIs" dxfId="662" priority="650" stopIfTrue="1" operator="equal">
      <formula>"Napkin Hs"</formula>
    </cfRule>
  </conditionalFormatting>
  <conditionalFormatting sqref="C92">
    <cfRule type="cellIs" dxfId="661" priority="648" stopIfTrue="1" operator="equal">
      <formula>"Napkin Hs"</formula>
    </cfRule>
  </conditionalFormatting>
  <conditionalFormatting sqref="C92">
    <cfRule type="cellIs" dxfId="660" priority="645" stopIfTrue="1" operator="equal">
      <formula>"Towel"</formula>
    </cfRule>
    <cfRule type="cellIs" dxfId="659" priority="646" stopIfTrue="1" operator="equal">
      <formula>"Napkin Hs"</formula>
    </cfRule>
  </conditionalFormatting>
  <conditionalFormatting sqref="C92">
    <cfRule type="cellIs" dxfId="658" priority="647" stopIfTrue="1" operator="equal">
      <formula>"Towel"</formula>
    </cfRule>
  </conditionalFormatting>
  <conditionalFormatting sqref="B92:C92">
    <cfRule type="cellIs" dxfId="657" priority="643" stopIfTrue="1" operator="equal">
      <formula>"Towel"</formula>
    </cfRule>
    <cfRule type="cellIs" dxfId="656" priority="644" stopIfTrue="1" operator="equal">
      <formula>"Napkin Hs"</formula>
    </cfRule>
  </conditionalFormatting>
  <conditionalFormatting sqref="C92">
    <cfRule type="cellIs" dxfId="655" priority="642" stopIfTrue="1" operator="equal">
      <formula>"Napkin Hs"</formula>
    </cfRule>
  </conditionalFormatting>
  <conditionalFormatting sqref="C92">
    <cfRule type="cellIs" dxfId="654" priority="639" stopIfTrue="1" operator="equal">
      <formula>"Towel"</formula>
    </cfRule>
    <cfRule type="cellIs" dxfId="653" priority="640" stopIfTrue="1" operator="equal">
      <formula>"Napkin Hs"</formula>
    </cfRule>
  </conditionalFormatting>
  <conditionalFormatting sqref="C92">
    <cfRule type="cellIs" dxfId="652" priority="641" stopIfTrue="1" operator="equal">
      <formula>"Towel"</formula>
    </cfRule>
  </conditionalFormatting>
  <conditionalFormatting sqref="C91">
    <cfRule type="cellIs" dxfId="651" priority="637" stopIfTrue="1" operator="equal">
      <formula>"Towel"</formula>
    </cfRule>
    <cfRule type="cellIs" dxfId="650" priority="638" stopIfTrue="1" operator="equal">
      <formula>"Napkin Hs"</formula>
    </cfRule>
  </conditionalFormatting>
  <conditionalFormatting sqref="C91">
    <cfRule type="cellIs" dxfId="649" priority="636" stopIfTrue="1" operator="equal">
      <formula>"Napkin Hs"</formula>
    </cfRule>
  </conditionalFormatting>
  <conditionalFormatting sqref="C91">
    <cfRule type="cellIs" dxfId="648" priority="633" stopIfTrue="1" operator="equal">
      <formula>"Towel"</formula>
    </cfRule>
    <cfRule type="cellIs" dxfId="647" priority="634" stopIfTrue="1" operator="equal">
      <formula>"Napkin Hs"</formula>
    </cfRule>
  </conditionalFormatting>
  <conditionalFormatting sqref="C91">
    <cfRule type="cellIs" dxfId="646" priority="635" stopIfTrue="1" operator="equal">
      <formula>"Towel"</formula>
    </cfRule>
  </conditionalFormatting>
  <conditionalFormatting sqref="C91">
    <cfRule type="cellIs" dxfId="645" priority="631" stopIfTrue="1" operator="equal">
      <formula>"Towel"</formula>
    </cfRule>
    <cfRule type="cellIs" dxfId="644" priority="632" stopIfTrue="1" operator="equal">
      <formula>"Napkin Hs"</formula>
    </cfRule>
  </conditionalFormatting>
  <conditionalFormatting sqref="C91">
    <cfRule type="cellIs" dxfId="643" priority="630" stopIfTrue="1" operator="equal">
      <formula>"Napkin Hs"</formula>
    </cfRule>
  </conditionalFormatting>
  <conditionalFormatting sqref="C91">
    <cfRule type="cellIs" dxfId="642" priority="627" stopIfTrue="1" operator="equal">
      <formula>"Towel"</formula>
    </cfRule>
    <cfRule type="cellIs" dxfId="641" priority="628" stopIfTrue="1" operator="equal">
      <formula>"Napkin Hs"</formula>
    </cfRule>
  </conditionalFormatting>
  <conditionalFormatting sqref="C91">
    <cfRule type="cellIs" dxfId="640" priority="629" stopIfTrue="1" operator="equal">
      <formula>"Towel"</formula>
    </cfRule>
  </conditionalFormatting>
  <conditionalFormatting sqref="B91">
    <cfRule type="cellIs" dxfId="639" priority="625" stopIfTrue="1" operator="equal">
      <formula>"Towel"</formula>
    </cfRule>
    <cfRule type="cellIs" dxfId="638" priority="626" stopIfTrue="1" operator="equal">
      <formula>"Napkin Hs"</formula>
    </cfRule>
  </conditionalFormatting>
  <conditionalFormatting sqref="B91">
    <cfRule type="cellIs" dxfId="637" priority="623" stopIfTrue="1" operator="equal">
      <formula>"Towel"</formula>
    </cfRule>
    <cfRule type="cellIs" dxfId="636" priority="624" stopIfTrue="1" operator="equal">
      <formula>"Napkin Hs"</formula>
    </cfRule>
  </conditionalFormatting>
  <conditionalFormatting sqref="B97:C97">
    <cfRule type="cellIs" dxfId="635" priority="621" stopIfTrue="1" operator="equal">
      <formula>"Towel"</formula>
    </cfRule>
    <cfRule type="cellIs" dxfId="634" priority="622" stopIfTrue="1" operator="equal">
      <formula>"Napkin Hs"</formula>
    </cfRule>
  </conditionalFormatting>
  <conditionalFormatting sqref="C97">
    <cfRule type="cellIs" dxfId="633" priority="619" stopIfTrue="1" operator="equal">
      <formula>"Towel"</formula>
    </cfRule>
    <cfRule type="cellIs" dxfId="632" priority="620" stopIfTrue="1" operator="equal">
      <formula>"Napkin Hs"</formula>
    </cfRule>
  </conditionalFormatting>
  <conditionalFormatting sqref="C97">
    <cfRule type="cellIs" dxfId="631" priority="617" stopIfTrue="1" operator="equal">
      <formula>"Towel"</formula>
    </cfRule>
    <cfRule type="cellIs" dxfId="630" priority="618" stopIfTrue="1" operator="equal">
      <formula>"Napkin Hs"</formula>
    </cfRule>
  </conditionalFormatting>
  <conditionalFormatting sqref="B96:C96">
    <cfRule type="cellIs" dxfId="629" priority="615" stopIfTrue="1" operator="equal">
      <formula>"Towel"</formula>
    </cfRule>
    <cfRule type="cellIs" dxfId="628" priority="616" stopIfTrue="1" operator="equal">
      <formula>"Napkin Hs"</formula>
    </cfRule>
  </conditionalFormatting>
  <conditionalFormatting sqref="C96">
    <cfRule type="cellIs" dxfId="627" priority="614" stopIfTrue="1" operator="equal">
      <formula>"Napkin Hs"</formula>
    </cfRule>
  </conditionalFormatting>
  <conditionalFormatting sqref="C96">
    <cfRule type="cellIs" dxfId="626" priority="611" stopIfTrue="1" operator="equal">
      <formula>"Towel"</formula>
    </cfRule>
    <cfRule type="cellIs" dxfId="625" priority="612" stopIfTrue="1" operator="equal">
      <formula>"Napkin Hs"</formula>
    </cfRule>
  </conditionalFormatting>
  <conditionalFormatting sqref="C96">
    <cfRule type="cellIs" dxfId="624" priority="613" stopIfTrue="1" operator="equal">
      <formula>"Towel"</formula>
    </cfRule>
  </conditionalFormatting>
  <conditionalFormatting sqref="B99:C99">
    <cfRule type="cellIs" dxfId="623" priority="609" stopIfTrue="1" operator="equal">
      <formula>"Towel"</formula>
    </cfRule>
    <cfRule type="cellIs" dxfId="622" priority="610" stopIfTrue="1" operator="equal">
      <formula>"Napkin Hs"</formula>
    </cfRule>
  </conditionalFormatting>
  <conditionalFormatting sqref="C99">
    <cfRule type="cellIs" dxfId="621" priority="608" stopIfTrue="1" operator="equal">
      <formula>"Napkin Hs"</formula>
    </cfRule>
  </conditionalFormatting>
  <conditionalFormatting sqref="C99">
    <cfRule type="cellIs" dxfId="620" priority="605" stopIfTrue="1" operator="equal">
      <formula>"Towel"</formula>
    </cfRule>
    <cfRule type="cellIs" dxfId="619" priority="606" stopIfTrue="1" operator="equal">
      <formula>"Napkin Hs"</formula>
    </cfRule>
  </conditionalFormatting>
  <conditionalFormatting sqref="C99">
    <cfRule type="cellIs" dxfId="618" priority="607" stopIfTrue="1" operator="equal">
      <formula>"Towel"</formula>
    </cfRule>
  </conditionalFormatting>
  <conditionalFormatting sqref="B98:C98">
    <cfRule type="cellIs" dxfId="617" priority="603" stopIfTrue="1" operator="equal">
      <formula>"Towel"</formula>
    </cfRule>
    <cfRule type="cellIs" dxfId="616" priority="604" stopIfTrue="1" operator="equal">
      <formula>"Napkin Hs"</formula>
    </cfRule>
  </conditionalFormatting>
  <conditionalFormatting sqref="C98">
    <cfRule type="cellIs" dxfId="615" priority="602" stopIfTrue="1" operator="equal">
      <formula>"Napkin Hs"</formula>
    </cfRule>
  </conditionalFormatting>
  <conditionalFormatting sqref="C98">
    <cfRule type="cellIs" dxfId="614" priority="599" stopIfTrue="1" operator="equal">
      <formula>"Towel"</formula>
    </cfRule>
    <cfRule type="cellIs" dxfId="613" priority="600" stopIfTrue="1" operator="equal">
      <formula>"Napkin Hs"</formula>
    </cfRule>
  </conditionalFormatting>
  <conditionalFormatting sqref="C98">
    <cfRule type="cellIs" dxfId="612" priority="601" stopIfTrue="1" operator="equal">
      <formula>"Towel"</formula>
    </cfRule>
  </conditionalFormatting>
  <conditionalFormatting sqref="B98:C99">
    <cfRule type="cellIs" dxfId="611" priority="597" stopIfTrue="1" operator="equal">
      <formula>"Towel"</formula>
    </cfRule>
    <cfRule type="cellIs" dxfId="610" priority="598" stopIfTrue="1" operator="equal">
      <formula>"Napkin Hs"</formula>
    </cfRule>
  </conditionalFormatting>
  <conditionalFormatting sqref="C98:C99">
    <cfRule type="cellIs" dxfId="609" priority="596" stopIfTrue="1" operator="equal">
      <formula>"Napkin Hs"</formula>
    </cfRule>
  </conditionalFormatting>
  <conditionalFormatting sqref="C98:C99">
    <cfRule type="cellIs" dxfId="608" priority="593" stopIfTrue="1" operator="equal">
      <formula>"Towel"</formula>
    </cfRule>
    <cfRule type="cellIs" dxfId="607" priority="594" stopIfTrue="1" operator="equal">
      <formula>"Napkin Hs"</formula>
    </cfRule>
  </conditionalFormatting>
  <conditionalFormatting sqref="C98:C99">
    <cfRule type="cellIs" dxfId="606" priority="595" stopIfTrue="1" operator="equal">
      <formula>"Towel"</formula>
    </cfRule>
  </conditionalFormatting>
  <conditionalFormatting sqref="B98:C99">
    <cfRule type="cellIs" dxfId="605" priority="591" stopIfTrue="1" operator="equal">
      <formula>"Towel"</formula>
    </cfRule>
    <cfRule type="cellIs" dxfId="604" priority="592" stopIfTrue="1" operator="equal">
      <formula>"Napkin Hs"</formula>
    </cfRule>
  </conditionalFormatting>
  <conditionalFormatting sqref="C98:C99">
    <cfRule type="cellIs" dxfId="603" priority="590" stopIfTrue="1" operator="equal">
      <formula>"Napkin Hs"</formula>
    </cfRule>
  </conditionalFormatting>
  <conditionalFormatting sqref="C98:C99">
    <cfRule type="cellIs" dxfId="602" priority="587" stopIfTrue="1" operator="equal">
      <formula>"Towel"</formula>
    </cfRule>
    <cfRule type="cellIs" dxfId="601" priority="588" stopIfTrue="1" operator="equal">
      <formula>"Napkin Hs"</formula>
    </cfRule>
  </conditionalFormatting>
  <conditionalFormatting sqref="C98:C99">
    <cfRule type="cellIs" dxfId="600" priority="589" stopIfTrue="1" operator="equal">
      <formula>"Towel"</formula>
    </cfRule>
  </conditionalFormatting>
  <conditionalFormatting sqref="B97:C97">
    <cfRule type="cellIs" dxfId="599" priority="585" stopIfTrue="1" operator="equal">
      <formula>"Towel"</formula>
    </cfRule>
    <cfRule type="cellIs" dxfId="598" priority="586" stopIfTrue="1" operator="equal">
      <formula>"Napkin Hs"</formula>
    </cfRule>
  </conditionalFormatting>
  <conditionalFormatting sqref="C97">
    <cfRule type="cellIs" dxfId="597" priority="584" stopIfTrue="1" operator="equal">
      <formula>"Napkin Hs"</formula>
    </cfRule>
  </conditionalFormatting>
  <conditionalFormatting sqref="C97">
    <cfRule type="cellIs" dxfId="596" priority="581" stopIfTrue="1" operator="equal">
      <formula>"Towel"</formula>
    </cfRule>
    <cfRule type="cellIs" dxfId="595" priority="582" stopIfTrue="1" operator="equal">
      <formula>"Napkin Hs"</formula>
    </cfRule>
  </conditionalFormatting>
  <conditionalFormatting sqref="C97">
    <cfRule type="cellIs" dxfId="594" priority="583" stopIfTrue="1" operator="equal">
      <formula>"Towel"</formula>
    </cfRule>
  </conditionalFormatting>
  <conditionalFormatting sqref="B97:C97">
    <cfRule type="cellIs" dxfId="593" priority="579" stopIfTrue="1" operator="equal">
      <formula>"Towel"</formula>
    </cfRule>
    <cfRule type="cellIs" dxfId="592" priority="580" stopIfTrue="1" operator="equal">
      <formula>"Napkin Hs"</formula>
    </cfRule>
  </conditionalFormatting>
  <conditionalFormatting sqref="C97">
    <cfRule type="cellIs" dxfId="591" priority="578" stopIfTrue="1" operator="equal">
      <formula>"Napkin Hs"</formula>
    </cfRule>
  </conditionalFormatting>
  <conditionalFormatting sqref="C97">
    <cfRule type="cellIs" dxfId="590" priority="575" stopIfTrue="1" operator="equal">
      <formula>"Towel"</formula>
    </cfRule>
    <cfRule type="cellIs" dxfId="589" priority="576" stopIfTrue="1" operator="equal">
      <formula>"Napkin Hs"</formula>
    </cfRule>
  </conditionalFormatting>
  <conditionalFormatting sqref="C97">
    <cfRule type="cellIs" dxfId="588" priority="577" stopIfTrue="1" operator="equal">
      <formula>"Towel"</formula>
    </cfRule>
  </conditionalFormatting>
  <conditionalFormatting sqref="C96">
    <cfRule type="cellIs" dxfId="587" priority="573" stopIfTrue="1" operator="equal">
      <formula>"Towel"</formula>
    </cfRule>
    <cfRule type="cellIs" dxfId="586" priority="574" stopIfTrue="1" operator="equal">
      <formula>"Napkin Hs"</formula>
    </cfRule>
  </conditionalFormatting>
  <conditionalFormatting sqref="C96">
    <cfRule type="cellIs" dxfId="585" priority="572" stopIfTrue="1" operator="equal">
      <formula>"Napkin Hs"</formula>
    </cfRule>
  </conditionalFormatting>
  <conditionalFormatting sqref="C96">
    <cfRule type="cellIs" dxfId="584" priority="569" stopIfTrue="1" operator="equal">
      <formula>"Towel"</formula>
    </cfRule>
    <cfRule type="cellIs" dxfId="583" priority="570" stopIfTrue="1" operator="equal">
      <formula>"Napkin Hs"</formula>
    </cfRule>
  </conditionalFormatting>
  <conditionalFormatting sqref="C96">
    <cfRule type="cellIs" dxfId="582" priority="571" stopIfTrue="1" operator="equal">
      <formula>"Towel"</formula>
    </cfRule>
  </conditionalFormatting>
  <conditionalFormatting sqref="C96">
    <cfRule type="cellIs" dxfId="581" priority="567" stopIfTrue="1" operator="equal">
      <formula>"Towel"</formula>
    </cfRule>
    <cfRule type="cellIs" dxfId="580" priority="568" stopIfTrue="1" operator="equal">
      <formula>"Napkin Hs"</formula>
    </cfRule>
  </conditionalFormatting>
  <conditionalFormatting sqref="C96">
    <cfRule type="cellIs" dxfId="579" priority="566" stopIfTrue="1" operator="equal">
      <formula>"Napkin Hs"</formula>
    </cfRule>
  </conditionalFormatting>
  <conditionalFormatting sqref="C96">
    <cfRule type="cellIs" dxfId="578" priority="563" stopIfTrue="1" operator="equal">
      <formula>"Towel"</formula>
    </cfRule>
    <cfRule type="cellIs" dxfId="577" priority="564" stopIfTrue="1" operator="equal">
      <formula>"Napkin Hs"</formula>
    </cfRule>
  </conditionalFormatting>
  <conditionalFormatting sqref="C96">
    <cfRule type="cellIs" dxfId="576" priority="565" stopIfTrue="1" operator="equal">
      <formula>"Towel"</formula>
    </cfRule>
  </conditionalFormatting>
  <conditionalFormatting sqref="B96">
    <cfRule type="cellIs" dxfId="575" priority="561" stopIfTrue="1" operator="equal">
      <formula>"Towel"</formula>
    </cfRule>
    <cfRule type="cellIs" dxfId="574" priority="562" stopIfTrue="1" operator="equal">
      <formula>"Napkin Hs"</formula>
    </cfRule>
  </conditionalFormatting>
  <conditionalFormatting sqref="B96">
    <cfRule type="cellIs" dxfId="573" priority="559" stopIfTrue="1" operator="equal">
      <formula>"Towel"</formula>
    </cfRule>
    <cfRule type="cellIs" dxfId="572" priority="560" stopIfTrue="1" operator="equal">
      <formula>"Napkin Hs"</formula>
    </cfRule>
  </conditionalFormatting>
  <conditionalFormatting sqref="B102:C102">
    <cfRule type="cellIs" dxfId="571" priority="557" stopIfTrue="1" operator="equal">
      <formula>"Towel"</formula>
    </cfRule>
    <cfRule type="cellIs" dxfId="570" priority="558" stopIfTrue="1" operator="equal">
      <formula>"Napkin Hs"</formula>
    </cfRule>
  </conditionalFormatting>
  <conditionalFormatting sqref="C102">
    <cfRule type="cellIs" dxfId="569" priority="555" stopIfTrue="1" operator="equal">
      <formula>"Towel"</formula>
    </cfRule>
    <cfRule type="cellIs" dxfId="568" priority="556" stopIfTrue="1" operator="equal">
      <formula>"Napkin Hs"</formula>
    </cfRule>
  </conditionalFormatting>
  <conditionalFormatting sqref="C102">
    <cfRule type="cellIs" dxfId="567" priority="553" stopIfTrue="1" operator="equal">
      <formula>"Towel"</formula>
    </cfRule>
    <cfRule type="cellIs" dxfId="566" priority="554" stopIfTrue="1" operator="equal">
      <formula>"Napkin Hs"</formula>
    </cfRule>
  </conditionalFormatting>
  <conditionalFormatting sqref="B101:C101">
    <cfRule type="cellIs" dxfId="565" priority="551" stopIfTrue="1" operator="equal">
      <formula>"Towel"</formula>
    </cfRule>
    <cfRule type="cellIs" dxfId="564" priority="552" stopIfTrue="1" operator="equal">
      <formula>"Napkin Hs"</formula>
    </cfRule>
  </conditionalFormatting>
  <conditionalFormatting sqref="C101">
    <cfRule type="cellIs" dxfId="563" priority="550" stopIfTrue="1" operator="equal">
      <formula>"Napkin Hs"</formula>
    </cfRule>
  </conditionalFormatting>
  <conditionalFormatting sqref="C101">
    <cfRule type="cellIs" dxfId="562" priority="547" stopIfTrue="1" operator="equal">
      <formula>"Towel"</formula>
    </cfRule>
    <cfRule type="cellIs" dxfId="561" priority="548" stopIfTrue="1" operator="equal">
      <formula>"Napkin Hs"</formula>
    </cfRule>
  </conditionalFormatting>
  <conditionalFormatting sqref="C101">
    <cfRule type="cellIs" dxfId="560" priority="549" stopIfTrue="1" operator="equal">
      <formula>"Towel"</formula>
    </cfRule>
  </conditionalFormatting>
  <conditionalFormatting sqref="B104:C104">
    <cfRule type="cellIs" dxfId="559" priority="545" stopIfTrue="1" operator="equal">
      <formula>"Towel"</formula>
    </cfRule>
    <cfRule type="cellIs" dxfId="558" priority="546" stopIfTrue="1" operator="equal">
      <formula>"Napkin Hs"</formula>
    </cfRule>
  </conditionalFormatting>
  <conditionalFormatting sqref="C104">
    <cfRule type="cellIs" dxfId="557" priority="544" stopIfTrue="1" operator="equal">
      <formula>"Napkin Hs"</formula>
    </cfRule>
  </conditionalFormatting>
  <conditionalFormatting sqref="C104">
    <cfRule type="cellIs" dxfId="556" priority="541" stopIfTrue="1" operator="equal">
      <formula>"Towel"</formula>
    </cfRule>
    <cfRule type="cellIs" dxfId="555" priority="542" stopIfTrue="1" operator="equal">
      <formula>"Napkin Hs"</formula>
    </cfRule>
  </conditionalFormatting>
  <conditionalFormatting sqref="C104">
    <cfRule type="cellIs" dxfId="554" priority="543" stopIfTrue="1" operator="equal">
      <formula>"Towel"</formula>
    </cfRule>
  </conditionalFormatting>
  <conditionalFormatting sqref="B103:C103">
    <cfRule type="cellIs" dxfId="553" priority="539" stopIfTrue="1" operator="equal">
      <formula>"Towel"</formula>
    </cfRule>
    <cfRule type="cellIs" dxfId="552" priority="540" stopIfTrue="1" operator="equal">
      <formula>"Napkin Hs"</formula>
    </cfRule>
  </conditionalFormatting>
  <conditionalFormatting sqref="C103">
    <cfRule type="cellIs" dxfId="551" priority="538" stopIfTrue="1" operator="equal">
      <formula>"Napkin Hs"</formula>
    </cfRule>
  </conditionalFormatting>
  <conditionalFormatting sqref="C103">
    <cfRule type="cellIs" dxfId="550" priority="535" stopIfTrue="1" operator="equal">
      <formula>"Towel"</formula>
    </cfRule>
    <cfRule type="cellIs" dxfId="549" priority="536" stopIfTrue="1" operator="equal">
      <formula>"Napkin Hs"</formula>
    </cfRule>
  </conditionalFormatting>
  <conditionalFormatting sqref="C103">
    <cfRule type="cellIs" dxfId="548" priority="537" stopIfTrue="1" operator="equal">
      <formula>"Towel"</formula>
    </cfRule>
  </conditionalFormatting>
  <conditionalFormatting sqref="B103:C104">
    <cfRule type="cellIs" dxfId="547" priority="533" stopIfTrue="1" operator="equal">
      <formula>"Towel"</formula>
    </cfRule>
    <cfRule type="cellIs" dxfId="546" priority="534" stopIfTrue="1" operator="equal">
      <formula>"Napkin Hs"</formula>
    </cfRule>
  </conditionalFormatting>
  <conditionalFormatting sqref="C103:C104">
    <cfRule type="cellIs" dxfId="545" priority="532" stopIfTrue="1" operator="equal">
      <formula>"Napkin Hs"</formula>
    </cfRule>
  </conditionalFormatting>
  <conditionalFormatting sqref="C103:C104">
    <cfRule type="cellIs" dxfId="544" priority="529" stopIfTrue="1" operator="equal">
      <formula>"Towel"</formula>
    </cfRule>
    <cfRule type="cellIs" dxfId="543" priority="530" stopIfTrue="1" operator="equal">
      <formula>"Napkin Hs"</formula>
    </cfRule>
  </conditionalFormatting>
  <conditionalFormatting sqref="C103:C104">
    <cfRule type="cellIs" dxfId="542" priority="531" stopIfTrue="1" operator="equal">
      <formula>"Towel"</formula>
    </cfRule>
  </conditionalFormatting>
  <conditionalFormatting sqref="B103:C104">
    <cfRule type="cellIs" dxfId="541" priority="527" stopIfTrue="1" operator="equal">
      <formula>"Towel"</formula>
    </cfRule>
    <cfRule type="cellIs" dxfId="540" priority="528" stopIfTrue="1" operator="equal">
      <formula>"Napkin Hs"</formula>
    </cfRule>
  </conditionalFormatting>
  <conditionalFormatting sqref="C103:C104">
    <cfRule type="cellIs" dxfId="539" priority="526" stopIfTrue="1" operator="equal">
      <formula>"Napkin Hs"</formula>
    </cfRule>
  </conditionalFormatting>
  <conditionalFormatting sqref="C103:C104">
    <cfRule type="cellIs" dxfId="538" priority="523" stopIfTrue="1" operator="equal">
      <formula>"Towel"</formula>
    </cfRule>
    <cfRule type="cellIs" dxfId="537" priority="524" stopIfTrue="1" operator="equal">
      <formula>"Napkin Hs"</formula>
    </cfRule>
  </conditionalFormatting>
  <conditionalFormatting sqref="C103:C104">
    <cfRule type="cellIs" dxfId="536" priority="525" stopIfTrue="1" operator="equal">
      <formula>"Towel"</formula>
    </cfRule>
  </conditionalFormatting>
  <conditionalFormatting sqref="B102:C102">
    <cfRule type="cellIs" dxfId="535" priority="521" stopIfTrue="1" operator="equal">
      <formula>"Towel"</formula>
    </cfRule>
    <cfRule type="cellIs" dxfId="534" priority="522" stopIfTrue="1" operator="equal">
      <formula>"Napkin Hs"</formula>
    </cfRule>
  </conditionalFormatting>
  <conditionalFormatting sqref="C102">
    <cfRule type="cellIs" dxfId="533" priority="520" stopIfTrue="1" operator="equal">
      <formula>"Napkin Hs"</formula>
    </cfRule>
  </conditionalFormatting>
  <conditionalFormatting sqref="C102">
    <cfRule type="cellIs" dxfId="532" priority="517" stopIfTrue="1" operator="equal">
      <formula>"Towel"</formula>
    </cfRule>
    <cfRule type="cellIs" dxfId="531" priority="518" stopIfTrue="1" operator="equal">
      <formula>"Napkin Hs"</formula>
    </cfRule>
  </conditionalFormatting>
  <conditionalFormatting sqref="C102">
    <cfRule type="cellIs" dxfId="530" priority="519" stopIfTrue="1" operator="equal">
      <formula>"Towel"</formula>
    </cfRule>
  </conditionalFormatting>
  <conditionalFormatting sqref="B102:C102">
    <cfRule type="cellIs" dxfId="529" priority="515" stopIfTrue="1" operator="equal">
      <formula>"Towel"</formula>
    </cfRule>
    <cfRule type="cellIs" dxfId="528" priority="516" stopIfTrue="1" operator="equal">
      <formula>"Napkin Hs"</formula>
    </cfRule>
  </conditionalFormatting>
  <conditionalFormatting sqref="C102">
    <cfRule type="cellIs" dxfId="527" priority="514" stopIfTrue="1" operator="equal">
      <formula>"Napkin Hs"</formula>
    </cfRule>
  </conditionalFormatting>
  <conditionalFormatting sqref="C102">
    <cfRule type="cellIs" dxfId="526" priority="511" stopIfTrue="1" operator="equal">
      <formula>"Towel"</formula>
    </cfRule>
    <cfRule type="cellIs" dxfId="525" priority="512" stopIfTrue="1" operator="equal">
      <formula>"Napkin Hs"</formula>
    </cfRule>
  </conditionalFormatting>
  <conditionalFormatting sqref="C102">
    <cfRule type="cellIs" dxfId="524" priority="513" stopIfTrue="1" operator="equal">
      <formula>"Towel"</formula>
    </cfRule>
  </conditionalFormatting>
  <conditionalFormatting sqref="C101">
    <cfRule type="cellIs" dxfId="523" priority="509" stopIfTrue="1" operator="equal">
      <formula>"Towel"</formula>
    </cfRule>
    <cfRule type="cellIs" dxfId="522" priority="510" stopIfTrue="1" operator="equal">
      <formula>"Napkin Hs"</formula>
    </cfRule>
  </conditionalFormatting>
  <conditionalFormatting sqref="C101">
    <cfRule type="cellIs" dxfId="521" priority="508" stopIfTrue="1" operator="equal">
      <formula>"Napkin Hs"</formula>
    </cfRule>
  </conditionalFormatting>
  <conditionalFormatting sqref="C101">
    <cfRule type="cellIs" dxfId="520" priority="505" stopIfTrue="1" operator="equal">
      <formula>"Towel"</formula>
    </cfRule>
    <cfRule type="cellIs" dxfId="519" priority="506" stopIfTrue="1" operator="equal">
      <formula>"Napkin Hs"</formula>
    </cfRule>
  </conditionalFormatting>
  <conditionalFormatting sqref="C101">
    <cfRule type="cellIs" dxfId="518" priority="507" stopIfTrue="1" operator="equal">
      <formula>"Towel"</formula>
    </cfRule>
  </conditionalFormatting>
  <conditionalFormatting sqref="C101">
    <cfRule type="cellIs" dxfId="517" priority="503" stopIfTrue="1" operator="equal">
      <formula>"Towel"</formula>
    </cfRule>
    <cfRule type="cellIs" dxfId="516" priority="504" stopIfTrue="1" operator="equal">
      <formula>"Napkin Hs"</formula>
    </cfRule>
  </conditionalFormatting>
  <conditionalFormatting sqref="C101">
    <cfRule type="cellIs" dxfId="515" priority="502" stopIfTrue="1" operator="equal">
      <formula>"Napkin Hs"</formula>
    </cfRule>
  </conditionalFormatting>
  <conditionalFormatting sqref="C101">
    <cfRule type="cellIs" dxfId="514" priority="499" stopIfTrue="1" operator="equal">
      <formula>"Towel"</formula>
    </cfRule>
    <cfRule type="cellIs" dxfId="513" priority="500" stopIfTrue="1" operator="equal">
      <formula>"Napkin Hs"</formula>
    </cfRule>
  </conditionalFormatting>
  <conditionalFormatting sqref="C101">
    <cfRule type="cellIs" dxfId="512" priority="501" stopIfTrue="1" operator="equal">
      <formula>"Towel"</formula>
    </cfRule>
  </conditionalFormatting>
  <conditionalFormatting sqref="B101">
    <cfRule type="cellIs" dxfId="511" priority="497" stopIfTrue="1" operator="equal">
      <formula>"Towel"</formula>
    </cfRule>
    <cfRule type="cellIs" dxfId="510" priority="498" stopIfTrue="1" operator="equal">
      <formula>"Napkin Hs"</formula>
    </cfRule>
  </conditionalFormatting>
  <conditionalFormatting sqref="B101">
    <cfRule type="cellIs" dxfId="509" priority="495" stopIfTrue="1" operator="equal">
      <formula>"Towel"</formula>
    </cfRule>
    <cfRule type="cellIs" dxfId="508" priority="496" stopIfTrue="1" operator="equal">
      <formula>"Napkin Hs"</formula>
    </cfRule>
  </conditionalFormatting>
  <conditionalFormatting sqref="B107:C107">
    <cfRule type="cellIs" dxfId="507" priority="493" stopIfTrue="1" operator="equal">
      <formula>"Towel"</formula>
    </cfRule>
    <cfRule type="cellIs" dxfId="506" priority="494" stopIfTrue="1" operator="equal">
      <formula>"Napkin Hs"</formula>
    </cfRule>
  </conditionalFormatting>
  <conditionalFormatting sqref="C107">
    <cfRule type="cellIs" dxfId="505" priority="491" stopIfTrue="1" operator="equal">
      <formula>"Towel"</formula>
    </cfRule>
    <cfRule type="cellIs" dxfId="504" priority="492" stopIfTrue="1" operator="equal">
      <formula>"Napkin Hs"</formula>
    </cfRule>
  </conditionalFormatting>
  <conditionalFormatting sqref="C107">
    <cfRule type="cellIs" dxfId="503" priority="489" stopIfTrue="1" operator="equal">
      <formula>"Towel"</formula>
    </cfRule>
    <cfRule type="cellIs" dxfId="502" priority="490" stopIfTrue="1" operator="equal">
      <formula>"Napkin Hs"</formula>
    </cfRule>
  </conditionalFormatting>
  <conditionalFormatting sqref="B106:C106">
    <cfRule type="cellIs" dxfId="501" priority="487" stopIfTrue="1" operator="equal">
      <formula>"Towel"</formula>
    </cfRule>
    <cfRule type="cellIs" dxfId="500" priority="488" stopIfTrue="1" operator="equal">
      <formula>"Napkin Hs"</formula>
    </cfRule>
  </conditionalFormatting>
  <conditionalFormatting sqref="C106">
    <cfRule type="cellIs" dxfId="499" priority="486" stopIfTrue="1" operator="equal">
      <formula>"Napkin Hs"</formula>
    </cfRule>
  </conditionalFormatting>
  <conditionalFormatting sqref="C106">
    <cfRule type="cellIs" dxfId="498" priority="483" stopIfTrue="1" operator="equal">
      <formula>"Towel"</formula>
    </cfRule>
    <cfRule type="cellIs" dxfId="497" priority="484" stopIfTrue="1" operator="equal">
      <formula>"Napkin Hs"</formula>
    </cfRule>
  </conditionalFormatting>
  <conditionalFormatting sqref="C106">
    <cfRule type="cellIs" dxfId="496" priority="485" stopIfTrue="1" operator="equal">
      <formula>"Towel"</formula>
    </cfRule>
  </conditionalFormatting>
  <conditionalFormatting sqref="B109:C109">
    <cfRule type="cellIs" dxfId="495" priority="481" stopIfTrue="1" operator="equal">
      <formula>"Towel"</formula>
    </cfRule>
    <cfRule type="cellIs" dxfId="494" priority="482" stopIfTrue="1" operator="equal">
      <formula>"Napkin Hs"</formula>
    </cfRule>
  </conditionalFormatting>
  <conditionalFormatting sqref="C109">
    <cfRule type="cellIs" dxfId="493" priority="480" stopIfTrue="1" operator="equal">
      <formula>"Napkin Hs"</formula>
    </cfRule>
  </conditionalFormatting>
  <conditionalFormatting sqref="C109">
    <cfRule type="cellIs" dxfId="492" priority="477" stopIfTrue="1" operator="equal">
      <formula>"Towel"</formula>
    </cfRule>
    <cfRule type="cellIs" dxfId="491" priority="478" stopIfTrue="1" operator="equal">
      <formula>"Napkin Hs"</formula>
    </cfRule>
  </conditionalFormatting>
  <conditionalFormatting sqref="C109">
    <cfRule type="cellIs" dxfId="490" priority="479" stopIfTrue="1" operator="equal">
      <formula>"Towel"</formula>
    </cfRule>
  </conditionalFormatting>
  <conditionalFormatting sqref="B108:C108">
    <cfRule type="cellIs" dxfId="489" priority="475" stopIfTrue="1" operator="equal">
      <formula>"Towel"</formula>
    </cfRule>
    <cfRule type="cellIs" dxfId="488" priority="476" stopIfTrue="1" operator="equal">
      <formula>"Napkin Hs"</formula>
    </cfRule>
  </conditionalFormatting>
  <conditionalFormatting sqref="C108">
    <cfRule type="cellIs" dxfId="487" priority="474" stopIfTrue="1" operator="equal">
      <formula>"Napkin Hs"</formula>
    </cfRule>
  </conditionalFormatting>
  <conditionalFormatting sqref="C108">
    <cfRule type="cellIs" dxfId="486" priority="471" stopIfTrue="1" operator="equal">
      <formula>"Towel"</formula>
    </cfRule>
    <cfRule type="cellIs" dxfId="485" priority="472" stopIfTrue="1" operator="equal">
      <formula>"Napkin Hs"</formula>
    </cfRule>
  </conditionalFormatting>
  <conditionalFormatting sqref="C108">
    <cfRule type="cellIs" dxfId="484" priority="473" stopIfTrue="1" operator="equal">
      <formula>"Towel"</formula>
    </cfRule>
  </conditionalFormatting>
  <conditionalFormatting sqref="B108:C109">
    <cfRule type="cellIs" dxfId="483" priority="469" stopIfTrue="1" operator="equal">
      <formula>"Towel"</formula>
    </cfRule>
    <cfRule type="cellIs" dxfId="482" priority="470" stopIfTrue="1" operator="equal">
      <formula>"Napkin Hs"</formula>
    </cfRule>
  </conditionalFormatting>
  <conditionalFormatting sqref="C108:C109">
    <cfRule type="cellIs" dxfId="481" priority="468" stopIfTrue="1" operator="equal">
      <formula>"Napkin Hs"</formula>
    </cfRule>
  </conditionalFormatting>
  <conditionalFormatting sqref="C108:C109">
    <cfRule type="cellIs" dxfId="480" priority="465" stopIfTrue="1" operator="equal">
      <formula>"Towel"</formula>
    </cfRule>
    <cfRule type="cellIs" dxfId="479" priority="466" stopIfTrue="1" operator="equal">
      <formula>"Napkin Hs"</formula>
    </cfRule>
  </conditionalFormatting>
  <conditionalFormatting sqref="C108:C109">
    <cfRule type="cellIs" dxfId="478" priority="467" stopIfTrue="1" operator="equal">
      <formula>"Towel"</formula>
    </cfRule>
  </conditionalFormatting>
  <conditionalFormatting sqref="B108:C109">
    <cfRule type="cellIs" dxfId="477" priority="463" stopIfTrue="1" operator="equal">
      <formula>"Towel"</formula>
    </cfRule>
    <cfRule type="cellIs" dxfId="476" priority="464" stopIfTrue="1" operator="equal">
      <formula>"Napkin Hs"</formula>
    </cfRule>
  </conditionalFormatting>
  <conditionalFormatting sqref="C108:C109">
    <cfRule type="cellIs" dxfId="475" priority="462" stopIfTrue="1" operator="equal">
      <formula>"Napkin Hs"</formula>
    </cfRule>
  </conditionalFormatting>
  <conditionalFormatting sqref="C108:C109">
    <cfRule type="cellIs" dxfId="474" priority="459" stopIfTrue="1" operator="equal">
      <formula>"Towel"</formula>
    </cfRule>
    <cfRule type="cellIs" dxfId="473" priority="460" stopIfTrue="1" operator="equal">
      <formula>"Napkin Hs"</formula>
    </cfRule>
  </conditionalFormatting>
  <conditionalFormatting sqref="C108:C109">
    <cfRule type="cellIs" dxfId="472" priority="461" stopIfTrue="1" operator="equal">
      <formula>"Towel"</formula>
    </cfRule>
  </conditionalFormatting>
  <conditionalFormatting sqref="B107:C107">
    <cfRule type="cellIs" dxfId="471" priority="457" stopIfTrue="1" operator="equal">
      <formula>"Towel"</formula>
    </cfRule>
    <cfRule type="cellIs" dxfId="470" priority="458" stopIfTrue="1" operator="equal">
      <formula>"Napkin Hs"</formula>
    </cfRule>
  </conditionalFormatting>
  <conditionalFormatting sqref="C107">
    <cfRule type="cellIs" dxfId="469" priority="456" stopIfTrue="1" operator="equal">
      <formula>"Napkin Hs"</formula>
    </cfRule>
  </conditionalFormatting>
  <conditionalFormatting sqref="C107">
    <cfRule type="cellIs" dxfId="468" priority="453" stopIfTrue="1" operator="equal">
      <formula>"Towel"</formula>
    </cfRule>
    <cfRule type="cellIs" dxfId="467" priority="454" stopIfTrue="1" operator="equal">
      <formula>"Napkin Hs"</formula>
    </cfRule>
  </conditionalFormatting>
  <conditionalFormatting sqref="C107">
    <cfRule type="cellIs" dxfId="466" priority="455" stopIfTrue="1" operator="equal">
      <formula>"Towel"</formula>
    </cfRule>
  </conditionalFormatting>
  <conditionalFormatting sqref="B107:C107">
    <cfRule type="cellIs" dxfId="465" priority="451" stopIfTrue="1" operator="equal">
      <formula>"Towel"</formula>
    </cfRule>
    <cfRule type="cellIs" dxfId="464" priority="452" stopIfTrue="1" operator="equal">
      <formula>"Napkin Hs"</formula>
    </cfRule>
  </conditionalFormatting>
  <conditionalFormatting sqref="C107">
    <cfRule type="cellIs" dxfId="463" priority="450" stopIfTrue="1" operator="equal">
      <formula>"Napkin Hs"</formula>
    </cfRule>
  </conditionalFormatting>
  <conditionalFormatting sqref="C107">
    <cfRule type="cellIs" dxfId="462" priority="447" stopIfTrue="1" operator="equal">
      <formula>"Towel"</formula>
    </cfRule>
    <cfRule type="cellIs" dxfId="461" priority="448" stopIfTrue="1" operator="equal">
      <formula>"Napkin Hs"</formula>
    </cfRule>
  </conditionalFormatting>
  <conditionalFormatting sqref="C107">
    <cfRule type="cellIs" dxfId="460" priority="449" stopIfTrue="1" operator="equal">
      <formula>"Towel"</formula>
    </cfRule>
  </conditionalFormatting>
  <conditionalFormatting sqref="C106">
    <cfRule type="cellIs" dxfId="459" priority="445" stopIfTrue="1" operator="equal">
      <formula>"Towel"</formula>
    </cfRule>
    <cfRule type="cellIs" dxfId="458" priority="446" stopIfTrue="1" operator="equal">
      <formula>"Napkin Hs"</formula>
    </cfRule>
  </conditionalFormatting>
  <conditionalFormatting sqref="C106">
    <cfRule type="cellIs" dxfId="457" priority="444" stopIfTrue="1" operator="equal">
      <formula>"Napkin Hs"</formula>
    </cfRule>
  </conditionalFormatting>
  <conditionalFormatting sqref="C106">
    <cfRule type="cellIs" dxfId="456" priority="441" stopIfTrue="1" operator="equal">
      <formula>"Towel"</formula>
    </cfRule>
    <cfRule type="cellIs" dxfId="455" priority="442" stopIfTrue="1" operator="equal">
      <formula>"Napkin Hs"</formula>
    </cfRule>
  </conditionalFormatting>
  <conditionalFormatting sqref="C106">
    <cfRule type="cellIs" dxfId="454" priority="443" stopIfTrue="1" operator="equal">
      <formula>"Towel"</formula>
    </cfRule>
  </conditionalFormatting>
  <conditionalFormatting sqref="C106">
    <cfRule type="cellIs" dxfId="453" priority="439" stopIfTrue="1" operator="equal">
      <formula>"Towel"</formula>
    </cfRule>
    <cfRule type="cellIs" dxfId="452" priority="440" stopIfTrue="1" operator="equal">
      <formula>"Napkin Hs"</formula>
    </cfRule>
  </conditionalFormatting>
  <conditionalFormatting sqref="C106">
    <cfRule type="cellIs" dxfId="451" priority="438" stopIfTrue="1" operator="equal">
      <formula>"Napkin Hs"</formula>
    </cfRule>
  </conditionalFormatting>
  <conditionalFormatting sqref="C106">
    <cfRule type="cellIs" dxfId="450" priority="435" stopIfTrue="1" operator="equal">
      <formula>"Towel"</formula>
    </cfRule>
    <cfRule type="cellIs" dxfId="449" priority="436" stopIfTrue="1" operator="equal">
      <formula>"Napkin Hs"</formula>
    </cfRule>
  </conditionalFormatting>
  <conditionalFormatting sqref="C106">
    <cfRule type="cellIs" dxfId="448" priority="437" stopIfTrue="1" operator="equal">
      <formula>"Towel"</formula>
    </cfRule>
  </conditionalFormatting>
  <conditionalFormatting sqref="B106">
    <cfRule type="cellIs" dxfId="447" priority="433" stopIfTrue="1" operator="equal">
      <formula>"Towel"</formula>
    </cfRule>
    <cfRule type="cellIs" dxfId="446" priority="434" stopIfTrue="1" operator="equal">
      <formula>"Napkin Hs"</formula>
    </cfRule>
  </conditionalFormatting>
  <conditionalFormatting sqref="B106">
    <cfRule type="cellIs" dxfId="445" priority="431" stopIfTrue="1" operator="equal">
      <formula>"Towel"</formula>
    </cfRule>
    <cfRule type="cellIs" dxfId="444" priority="432" stopIfTrue="1" operator="equal">
      <formula>"Napkin Hs"</formula>
    </cfRule>
  </conditionalFormatting>
  <conditionalFormatting sqref="B112:C112">
    <cfRule type="cellIs" dxfId="443" priority="429" stopIfTrue="1" operator="equal">
      <formula>"Towel"</formula>
    </cfRule>
    <cfRule type="cellIs" dxfId="442" priority="430" stopIfTrue="1" operator="equal">
      <formula>"Napkin Hs"</formula>
    </cfRule>
  </conditionalFormatting>
  <conditionalFormatting sqref="C112">
    <cfRule type="cellIs" dxfId="441" priority="427" stopIfTrue="1" operator="equal">
      <formula>"Towel"</formula>
    </cfRule>
    <cfRule type="cellIs" dxfId="440" priority="428" stopIfTrue="1" operator="equal">
      <formula>"Napkin Hs"</formula>
    </cfRule>
  </conditionalFormatting>
  <conditionalFormatting sqref="C112">
    <cfRule type="cellIs" dxfId="439" priority="425" stopIfTrue="1" operator="equal">
      <formula>"Towel"</formula>
    </cfRule>
    <cfRule type="cellIs" dxfId="438" priority="426" stopIfTrue="1" operator="equal">
      <formula>"Napkin Hs"</formula>
    </cfRule>
  </conditionalFormatting>
  <conditionalFormatting sqref="B111:C111">
    <cfRule type="cellIs" dxfId="437" priority="423" stopIfTrue="1" operator="equal">
      <formula>"Towel"</formula>
    </cfRule>
    <cfRule type="cellIs" dxfId="436" priority="424" stopIfTrue="1" operator="equal">
      <formula>"Napkin Hs"</formula>
    </cfRule>
  </conditionalFormatting>
  <conditionalFormatting sqref="C111">
    <cfRule type="cellIs" dxfId="435" priority="422" stopIfTrue="1" operator="equal">
      <formula>"Napkin Hs"</formula>
    </cfRule>
  </conditionalFormatting>
  <conditionalFormatting sqref="C111">
    <cfRule type="cellIs" dxfId="434" priority="419" stopIfTrue="1" operator="equal">
      <formula>"Towel"</formula>
    </cfRule>
    <cfRule type="cellIs" dxfId="433" priority="420" stopIfTrue="1" operator="equal">
      <formula>"Napkin Hs"</formula>
    </cfRule>
  </conditionalFormatting>
  <conditionalFormatting sqref="C111">
    <cfRule type="cellIs" dxfId="432" priority="421" stopIfTrue="1" operator="equal">
      <formula>"Towel"</formula>
    </cfRule>
  </conditionalFormatting>
  <conditionalFormatting sqref="B114:C114">
    <cfRule type="cellIs" dxfId="431" priority="417" stopIfTrue="1" operator="equal">
      <formula>"Towel"</formula>
    </cfRule>
    <cfRule type="cellIs" dxfId="430" priority="418" stopIfTrue="1" operator="equal">
      <formula>"Napkin Hs"</formula>
    </cfRule>
  </conditionalFormatting>
  <conditionalFormatting sqref="C114">
    <cfRule type="cellIs" dxfId="429" priority="416" stopIfTrue="1" operator="equal">
      <formula>"Napkin Hs"</formula>
    </cfRule>
  </conditionalFormatting>
  <conditionalFormatting sqref="C114">
    <cfRule type="cellIs" dxfId="428" priority="413" stopIfTrue="1" operator="equal">
      <formula>"Towel"</formula>
    </cfRule>
    <cfRule type="cellIs" dxfId="427" priority="414" stopIfTrue="1" operator="equal">
      <formula>"Napkin Hs"</formula>
    </cfRule>
  </conditionalFormatting>
  <conditionalFormatting sqref="C114">
    <cfRule type="cellIs" dxfId="426" priority="415" stopIfTrue="1" operator="equal">
      <formula>"Towel"</formula>
    </cfRule>
  </conditionalFormatting>
  <conditionalFormatting sqref="B113:C113">
    <cfRule type="cellIs" dxfId="425" priority="411" stopIfTrue="1" operator="equal">
      <formula>"Towel"</formula>
    </cfRule>
    <cfRule type="cellIs" dxfId="424" priority="412" stopIfTrue="1" operator="equal">
      <formula>"Napkin Hs"</formula>
    </cfRule>
  </conditionalFormatting>
  <conditionalFormatting sqref="C113">
    <cfRule type="cellIs" dxfId="423" priority="410" stopIfTrue="1" operator="equal">
      <formula>"Napkin Hs"</formula>
    </cfRule>
  </conditionalFormatting>
  <conditionalFormatting sqref="C113">
    <cfRule type="cellIs" dxfId="422" priority="407" stopIfTrue="1" operator="equal">
      <formula>"Towel"</formula>
    </cfRule>
    <cfRule type="cellIs" dxfId="421" priority="408" stopIfTrue="1" operator="equal">
      <formula>"Napkin Hs"</formula>
    </cfRule>
  </conditionalFormatting>
  <conditionalFormatting sqref="C113">
    <cfRule type="cellIs" dxfId="420" priority="409" stopIfTrue="1" operator="equal">
      <formula>"Towel"</formula>
    </cfRule>
  </conditionalFormatting>
  <conditionalFormatting sqref="B113:C114">
    <cfRule type="cellIs" dxfId="419" priority="405" stopIfTrue="1" operator="equal">
      <formula>"Towel"</formula>
    </cfRule>
    <cfRule type="cellIs" dxfId="418" priority="406" stopIfTrue="1" operator="equal">
      <formula>"Napkin Hs"</formula>
    </cfRule>
  </conditionalFormatting>
  <conditionalFormatting sqref="C113:C114">
    <cfRule type="cellIs" dxfId="417" priority="404" stopIfTrue="1" operator="equal">
      <formula>"Napkin Hs"</formula>
    </cfRule>
  </conditionalFormatting>
  <conditionalFormatting sqref="C113:C114">
    <cfRule type="cellIs" dxfId="416" priority="401" stopIfTrue="1" operator="equal">
      <formula>"Towel"</formula>
    </cfRule>
    <cfRule type="cellIs" dxfId="415" priority="402" stopIfTrue="1" operator="equal">
      <formula>"Napkin Hs"</formula>
    </cfRule>
  </conditionalFormatting>
  <conditionalFormatting sqref="C113:C114">
    <cfRule type="cellIs" dxfId="414" priority="403" stopIfTrue="1" operator="equal">
      <formula>"Towel"</formula>
    </cfRule>
  </conditionalFormatting>
  <conditionalFormatting sqref="B113:C114">
    <cfRule type="cellIs" dxfId="413" priority="399" stopIfTrue="1" operator="equal">
      <formula>"Towel"</formula>
    </cfRule>
    <cfRule type="cellIs" dxfId="412" priority="400" stopIfTrue="1" operator="equal">
      <formula>"Napkin Hs"</formula>
    </cfRule>
  </conditionalFormatting>
  <conditionalFormatting sqref="C113:C114">
    <cfRule type="cellIs" dxfId="411" priority="398" stopIfTrue="1" operator="equal">
      <formula>"Napkin Hs"</formula>
    </cfRule>
  </conditionalFormatting>
  <conditionalFormatting sqref="C113:C114">
    <cfRule type="cellIs" dxfId="410" priority="395" stopIfTrue="1" operator="equal">
      <formula>"Towel"</formula>
    </cfRule>
    <cfRule type="cellIs" dxfId="409" priority="396" stopIfTrue="1" operator="equal">
      <formula>"Napkin Hs"</formula>
    </cfRule>
  </conditionalFormatting>
  <conditionalFormatting sqref="C113:C114">
    <cfRule type="cellIs" dxfId="408" priority="397" stopIfTrue="1" operator="equal">
      <formula>"Towel"</formula>
    </cfRule>
  </conditionalFormatting>
  <conditionalFormatting sqref="B112:C112">
    <cfRule type="cellIs" dxfId="407" priority="393" stopIfTrue="1" operator="equal">
      <formula>"Towel"</formula>
    </cfRule>
    <cfRule type="cellIs" dxfId="406" priority="394" stopIfTrue="1" operator="equal">
      <formula>"Napkin Hs"</formula>
    </cfRule>
  </conditionalFormatting>
  <conditionalFormatting sqref="C112">
    <cfRule type="cellIs" dxfId="405" priority="392" stopIfTrue="1" operator="equal">
      <formula>"Napkin Hs"</formula>
    </cfRule>
  </conditionalFormatting>
  <conditionalFormatting sqref="C112">
    <cfRule type="cellIs" dxfId="404" priority="389" stopIfTrue="1" operator="equal">
      <formula>"Towel"</formula>
    </cfRule>
    <cfRule type="cellIs" dxfId="403" priority="390" stopIfTrue="1" operator="equal">
      <formula>"Napkin Hs"</formula>
    </cfRule>
  </conditionalFormatting>
  <conditionalFormatting sqref="C112">
    <cfRule type="cellIs" dxfId="402" priority="391" stopIfTrue="1" operator="equal">
      <formula>"Towel"</formula>
    </cfRule>
  </conditionalFormatting>
  <conditionalFormatting sqref="B112:C112">
    <cfRule type="cellIs" dxfId="401" priority="387" stopIfTrue="1" operator="equal">
      <formula>"Towel"</formula>
    </cfRule>
    <cfRule type="cellIs" dxfId="400" priority="388" stopIfTrue="1" operator="equal">
      <formula>"Napkin Hs"</formula>
    </cfRule>
  </conditionalFormatting>
  <conditionalFormatting sqref="C112">
    <cfRule type="cellIs" dxfId="399" priority="386" stopIfTrue="1" operator="equal">
      <formula>"Napkin Hs"</formula>
    </cfRule>
  </conditionalFormatting>
  <conditionalFormatting sqref="C112">
    <cfRule type="cellIs" dxfId="398" priority="383" stopIfTrue="1" operator="equal">
      <formula>"Towel"</formula>
    </cfRule>
    <cfRule type="cellIs" dxfId="397" priority="384" stopIfTrue="1" operator="equal">
      <formula>"Napkin Hs"</formula>
    </cfRule>
  </conditionalFormatting>
  <conditionalFormatting sqref="C112">
    <cfRule type="cellIs" dxfId="396" priority="385" stopIfTrue="1" operator="equal">
      <formula>"Towel"</formula>
    </cfRule>
  </conditionalFormatting>
  <conditionalFormatting sqref="C111">
    <cfRule type="cellIs" dxfId="395" priority="381" stopIfTrue="1" operator="equal">
      <formula>"Towel"</formula>
    </cfRule>
    <cfRule type="cellIs" dxfId="394" priority="382" stopIfTrue="1" operator="equal">
      <formula>"Napkin Hs"</formula>
    </cfRule>
  </conditionalFormatting>
  <conditionalFormatting sqref="C111">
    <cfRule type="cellIs" dxfId="393" priority="380" stopIfTrue="1" operator="equal">
      <formula>"Napkin Hs"</formula>
    </cfRule>
  </conditionalFormatting>
  <conditionalFormatting sqref="C111">
    <cfRule type="cellIs" dxfId="392" priority="377" stopIfTrue="1" operator="equal">
      <formula>"Towel"</formula>
    </cfRule>
    <cfRule type="cellIs" dxfId="391" priority="378" stopIfTrue="1" operator="equal">
      <formula>"Napkin Hs"</formula>
    </cfRule>
  </conditionalFormatting>
  <conditionalFormatting sqref="C111">
    <cfRule type="cellIs" dxfId="390" priority="379" stopIfTrue="1" operator="equal">
      <formula>"Towel"</formula>
    </cfRule>
  </conditionalFormatting>
  <conditionalFormatting sqref="C111">
    <cfRule type="cellIs" dxfId="389" priority="375" stopIfTrue="1" operator="equal">
      <formula>"Towel"</formula>
    </cfRule>
    <cfRule type="cellIs" dxfId="388" priority="376" stopIfTrue="1" operator="equal">
      <formula>"Napkin Hs"</formula>
    </cfRule>
  </conditionalFormatting>
  <conditionalFormatting sqref="C111">
    <cfRule type="cellIs" dxfId="387" priority="374" stopIfTrue="1" operator="equal">
      <formula>"Napkin Hs"</formula>
    </cfRule>
  </conditionalFormatting>
  <conditionalFormatting sqref="C111">
    <cfRule type="cellIs" dxfId="386" priority="371" stopIfTrue="1" operator="equal">
      <formula>"Towel"</formula>
    </cfRule>
    <cfRule type="cellIs" dxfId="385" priority="372" stopIfTrue="1" operator="equal">
      <formula>"Napkin Hs"</formula>
    </cfRule>
  </conditionalFormatting>
  <conditionalFormatting sqref="C111">
    <cfRule type="cellIs" dxfId="384" priority="373" stopIfTrue="1" operator="equal">
      <formula>"Towel"</formula>
    </cfRule>
  </conditionalFormatting>
  <conditionalFormatting sqref="B111">
    <cfRule type="cellIs" dxfId="383" priority="369" stopIfTrue="1" operator="equal">
      <formula>"Towel"</formula>
    </cfRule>
    <cfRule type="cellIs" dxfId="382" priority="370" stopIfTrue="1" operator="equal">
      <formula>"Napkin Hs"</formula>
    </cfRule>
  </conditionalFormatting>
  <conditionalFormatting sqref="B111">
    <cfRule type="cellIs" dxfId="381" priority="367" stopIfTrue="1" operator="equal">
      <formula>"Towel"</formula>
    </cfRule>
    <cfRule type="cellIs" dxfId="380" priority="368" stopIfTrue="1" operator="equal">
      <formula>"Napkin Hs"</formula>
    </cfRule>
  </conditionalFormatting>
  <conditionalFormatting sqref="B117:C117">
    <cfRule type="cellIs" dxfId="379" priority="365" stopIfTrue="1" operator="equal">
      <formula>"Towel"</formula>
    </cfRule>
    <cfRule type="cellIs" dxfId="378" priority="366" stopIfTrue="1" operator="equal">
      <formula>"Napkin Hs"</formula>
    </cfRule>
  </conditionalFormatting>
  <conditionalFormatting sqref="C117">
    <cfRule type="cellIs" dxfId="377" priority="363" stopIfTrue="1" operator="equal">
      <formula>"Towel"</formula>
    </cfRule>
    <cfRule type="cellIs" dxfId="376" priority="364" stopIfTrue="1" operator="equal">
      <formula>"Napkin Hs"</formula>
    </cfRule>
  </conditionalFormatting>
  <conditionalFormatting sqref="C117">
    <cfRule type="cellIs" dxfId="375" priority="361" stopIfTrue="1" operator="equal">
      <formula>"Towel"</formula>
    </cfRule>
    <cfRule type="cellIs" dxfId="374" priority="362" stopIfTrue="1" operator="equal">
      <formula>"Napkin Hs"</formula>
    </cfRule>
  </conditionalFormatting>
  <conditionalFormatting sqref="B116:C116">
    <cfRule type="cellIs" dxfId="373" priority="359" stopIfTrue="1" operator="equal">
      <formula>"Towel"</formula>
    </cfRule>
    <cfRule type="cellIs" dxfId="372" priority="360" stopIfTrue="1" operator="equal">
      <formula>"Napkin Hs"</formula>
    </cfRule>
  </conditionalFormatting>
  <conditionalFormatting sqref="C116">
    <cfRule type="cellIs" dxfId="371" priority="358" stopIfTrue="1" operator="equal">
      <formula>"Napkin Hs"</formula>
    </cfRule>
  </conditionalFormatting>
  <conditionalFormatting sqref="C116">
    <cfRule type="cellIs" dxfId="370" priority="355" stopIfTrue="1" operator="equal">
      <formula>"Towel"</formula>
    </cfRule>
    <cfRule type="cellIs" dxfId="369" priority="356" stopIfTrue="1" operator="equal">
      <formula>"Napkin Hs"</formula>
    </cfRule>
  </conditionalFormatting>
  <conditionalFormatting sqref="C116">
    <cfRule type="cellIs" dxfId="368" priority="357" stopIfTrue="1" operator="equal">
      <formula>"Towel"</formula>
    </cfRule>
  </conditionalFormatting>
  <conditionalFormatting sqref="B119:C119">
    <cfRule type="cellIs" dxfId="367" priority="353" stopIfTrue="1" operator="equal">
      <formula>"Towel"</formula>
    </cfRule>
    <cfRule type="cellIs" dxfId="366" priority="354" stopIfTrue="1" operator="equal">
      <formula>"Napkin Hs"</formula>
    </cfRule>
  </conditionalFormatting>
  <conditionalFormatting sqref="C119">
    <cfRule type="cellIs" dxfId="365" priority="352" stopIfTrue="1" operator="equal">
      <formula>"Napkin Hs"</formula>
    </cfRule>
  </conditionalFormatting>
  <conditionalFormatting sqref="C119">
    <cfRule type="cellIs" dxfId="364" priority="349" stopIfTrue="1" operator="equal">
      <formula>"Towel"</formula>
    </cfRule>
    <cfRule type="cellIs" dxfId="363" priority="350" stopIfTrue="1" operator="equal">
      <formula>"Napkin Hs"</formula>
    </cfRule>
  </conditionalFormatting>
  <conditionalFormatting sqref="C119">
    <cfRule type="cellIs" dxfId="362" priority="351" stopIfTrue="1" operator="equal">
      <formula>"Towel"</formula>
    </cfRule>
  </conditionalFormatting>
  <conditionalFormatting sqref="B118:C118">
    <cfRule type="cellIs" dxfId="361" priority="347" stopIfTrue="1" operator="equal">
      <formula>"Towel"</formula>
    </cfRule>
    <cfRule type="cellIs" dxfId="360" priority="348" stopIfTrue="1" operator="equal">
      <formula>"Napkin Hs"</formula>
    </cfRule>
  </conditionalFormatting>
  <conditionalFormatting sqref="C118">
    <cfRule type="cellIs" dxfId="359" priority="346" stopIfTrue="1" operator="equal">
      <formula>"Napkin Hs"</formula>
    </cfRule>
  </conditionalFormatting>
  <conditionalFormatting sqref="C118">
    <cfRule type="cellIs" dxfId="358" priority="343" stopIfTrue="1" operator="equal">
      <formula>"Towel"</formula>
    </cfRule>
    <cfRule type="cellIs" dxfId="357" priority="344" stopIfTrue="1" operator="equal">
      <formula>"Napkin Hs"</formula>
    </cfRule>
  </conditionalFormatting>
  <conditionalFormatting sqref="C118">
    <cfRule type="cellIs" dxfId="356" priority="345" stopIfTrue="1" operator="equal">
      <formula>"Towel"</formula>
    </cfRule>
  </conditionalFormatting>
  <conditionalFormatting sqref="B118:C119">
    <cfRule type="cellIs" dxfId="355" priority="341" stopIfTrue="1" operator="equal">
      <formula>"Towel"</formula>
    </cfRule>
    <cfRule type="cellIs" dxfId="354" priority="342" stopIfTrue="1" operator="equal">
      <formula>"Napkin Hs"</formula>
    </cfRule>
  </conditionalFormatting>
  <conditionalFormatting sqref="C118:C119">
    <cfRule type="cellIs" dxfId="353" priority="340" stopIfTrue="1" operator="equal">
      <formula>"Napkin Hs"</formula>
    </cfRule>
  </conditionalFormatting>
  <conditionalFormatting sqref="C118:C119">
    <cfRule type="cellIs" dxfId="352" priority="337" stopIfTrue="1" operator="equal">
      <formula>"Towel"</formula>
    </cfRule>
    <cfRule type="cellIs" dxfId="351" priority="338" stopIfTrue="1" operator="equal">
      <formula>"Napkin Hs"</formula>
    </cfRule>
  </conditionalFormatting>
  <conditionalFormatting sqref="C118:C119">
    <cfRule type="cellIs" dxfId="350" priority="339" stopIfTrue="1" operator="equal">
      <formula>"Towel"</formula>
    </cfRule>
  </conditionalFormatting>
  <conditionalFormatting sqref="B118:C119">
    <cfRule type="cellIs" dxfId="349" priority="335" stopIfTrue="1" operator="equal">
      <formula>"Towel"</formula>
    </cfRule>
    <cfRule type="cellIs" dxfId="348" priority="336" stopIfTrue="1" operator="equal">
      <formula>"Napkin Hs"</formula>
    </cfRule>
  </conditionalFormatting>
  <conditionalFormatting sqref="C118:C119">
    <cfRule type="cellIs" dxfId="347" priority="334" stopIfTrue="1" operator="equal">
      <formula>"Napkin Hs"</formula>
    </cfRule>
  </conditionalFormatting>
  <conditionalFormatting sqref="C118:C119">
    <cfRule type="cellIs" dxfId="346" priority="331" stopIfTrue="1" operator="equal">
      <formula>"Towel"</formula>
    </cfRule>
    <cfRule type="cellIs" dxfId="345" priority="332" stopIfTrue="1" operator="equal">
      <formula>"Napkin Hs"</formula>
    </cfRule>
  </conditionalFormatting>
  <conditionalFormatting sqref="C118:C119">
    <cfRule type="cellIs" dxfId="344" priority="333" stopIfTrue="1" operator="equal">
      <formula>"Towel"</formula>
    </cfRule>
  </conditionalFormatting>
  <conditionalFormatting sqref="B117:C117">
    <cfRule type="cellIs" dxfId="343" priority="329" stopIfTrue="1" operator="equal">
      <formula>"Towel"</formula>
    </cfRule>
    <cfRule type="cellIs" dxfId="342" priority="330" stopIfTrue="1" operator="equal">
      <formula>"Napkin Hs"</formula>
    </cfRule>
  </conditionalFormatting>
  <conditionalFormatting sqref="C117">
    <cfRule type="cellIs" dxfId="341" priority="328" stopIfTrue="1" operator="equal">
      <formula>"Napkin Hs"</formula>
    </cfRule>
  </conditionalFormatting>
  <conditionalFormatting sqref="C117">
    <cfRule type="cellIs" dxfId="340" priority="325" stopIfTrue="1" operator="equal">
      <formula>"Towel"</formula>
    </cfRule>
    <cfRule type="cellIs" dxfId="339" priority="326" stopIfTrue="1" operator="equal">
      <formula>"Napkin Hs"</formula>
    </cfRule>
  </conditionalFormatting>
  <conditionalFormatting sqref="C117">
    <cfRule type="cellIs" dxfId="338" priority="327" stopIfTrue="1" operator="equal">
      <formula>"Towel"</formula>
    </cfRule>
  </conditionalFormatting>
  <conditionalFormatting sqref="B117:C117">
    <cfRule type="cellIs" dxfId="337" priority="323" stopIfTrue="1" operator="equal">
      <formula>"Towel"</formula>
    </cfRule>
    <cfRule type="cellIs" dxfId="336" priority="324" stopIfTrue="1" operator="equal">
      <formula>"Napkin Hs"</formula>
    </cfRule>
  </conditionalFormatting>
  <conditionalFormatting sqref="C117">
    <cfRule type="cellIs" dxfId="335" priority="322" stopIfTrue="1" operator="equal">
      <formula>"Napkin Hs"</formula>
    </cfRule>
  </conditionalFormatting>
  <conditionalFormatting sqref="C117">
    <cfRule type="cellIs" dxfId="334" priority="319" stopIfTrue="1" operator="equal">
      <formula>"Towel"</formula>
    </cfRule>
    <cfRule type="cellIs" dxfId="333" priority="320" stopIfTrue="1" operator="equal">
      <formula>"Napkin Hs"</formula>
    </cfRule>
  </conditionalFormatting>
  <conditionalFormatting sqref="C117">
    <cfRule type="cellIs" dxfId="332" priority="321" stopIfTrue="1" operator="equal">
      <formula>"Towel"</formula>
    </cfRule>
  </conditionalFormatting>
  <conditionalFormatting sqref="C116">
    <cfRule type="cellIs" dxfId="331" priority="317" stopIfTrue="1" operator="equal">
      <formula>"Towel"</formula>
    </cfRule>
    <cfRule type="cellIs" dxfId="330" priority="318" stopIfTrue="1" operator="equal">
      <formula>"Napkin Hs"</formula>
    </cfRule>
  </conditionalFormatting>
  <conditionalFormatting sqref="C116">
    <cfRule type="cellIs" dxfId="329" priority="316" stopIfTrue="1" operator="equal">
      <formula>"Napkin Hs"</formula>
    </cfRule>
  </conditionalFormatting>
  <conditionalFormatting sqref="C116">
    <cfRule type="cellIs" dxfId="328" priority="313" stopIfTrue="1" operator="equal">
      <formula>"Towel"</formula>
    </cfRule>
    <cfRule type="cellIs" dxfId="327" priority="314" stopIfTrue="1" operator="equal">
      <formula>"Napkin Hs"</formula>
    </cfRule>
  </conditionalFormatting>
  <conditionalFormatting sqref="C116">
    <cfRule type="cellIs" dxfId="326" priority="315" stopIfTrue="1" operator="equal">
      <formula>"Towel"</formula>
    </cfRule>
  </conditionalFormatting>
  <conditionalFormatting sqref="C116">
    <cfRule type="cellIs" dxfId="325" priority="311" stopIfTrue="1" operator="equal">
      <formula>"Towel"</formula>
    </cfRule>
    <cfRule type="cellIs" dxfId="324" priority="312" stopIfTrue="1" operator="equal">
      <formula>"Napkin Hs"</formula>
    </cfRule>
  </conditionalFormatting>
  <conditionalFormatting sqref="C116">
    <cfRule type="cellIs" dxfId="323" priority="310" stopIfTrue="1" operator="equal">
      <formula>"Napkin Hs"</formula>
    </cfRule>
  </conditionalFormatting>
  <conditionalFormatting sqref="C116">
    <cfRule type="cellIs" dxfId="322" priority="307" stopIfTrue="1" operator="equal">
      <formula>"Towel"</formula>
    </cfRule>
    <cfRule type="cellIs" dxfId="321" priority="308" stopIfTrue="1" operator="equal">
      <formula>"Napkin Hs"</formula>
    </cfRule>
  </conditionalFormatting>
  <conditionalFormatting sqref="C116">
    <cfRule type="cellIs" dxfId="320" priority="309" stopIfTrue="1" operator="equal">
      <formula>"Towel"</formula>
    </cfRule>
  </conditionalFormatting>
  <conditionalFormatting sqref="B116">
    <cfRule type="cellIs" dxfId="319" priority="305" stopIfTrue="1" operator="equal">
      <formula>"Towel"</formula>
    </cfRule>
    <cfRule type="cellIs" dxfId="318" priority="306" stopIfTrue="1" operator="equal">
      <formula>"Napkin Hs"</formula>
    </cfRule>
  </conditionalFormatting>
  <conditionalFormatting sqref="B116">
    <cfRule type="cellIs" dxfId="317" priority="303" stopIfTrue="1" operator="equal">
      <formula>"Towel"</formula>
    </cfRule>
    <cfRule type="cellIs" dxfId="316" priority="304" stopIfTrue="1" operator="equal">
      <formula>"Napkin Hs"</formula>
    </cfRule>
  </conditionalFormatting>
  <conditionalFormatting sqref="B122:C122">
    <cfRule type="cellIs" dxfId="315" priority="301" stopIfTrue="1" operator="equal">
      <formula>"Towel"</formula>
    </cfRule>
    <cfRule type="cellIs" dxfId="314" priority="302" stopIfTrue="1" operator="equal">
      <formula>"Napkin Hs"</formula>
    </cfRule>
  </conditionalFormatting>
  <conditionalFormatting sqref="C122">
    <cfRule type="cellIs" dxfId="313" priority="299" stopIfTrue="1" operator="equal">
      <formula>"Towel"</formula>
    </cfRule>
    <cfRule type="cellIs" dxfId="312" priority="300" stopIfTrue="1" operator="equal">
      <formula>"Napkin Hs"</formula>
    </cfRule>
  </conditionalFormatting>
  <conditionalFormatting sqref="C122">
    <cfRule type="cellIs" dxfId="311" priority="297" stopIfTrue="1" operator="equal">
      <formula>"Towel"</formula>
    </cfRule>
    <cfRule type="cellIs" dxfId="310" priority="298" stopIfTrue="1" operator="equal">
      <formula>"Napkin Hs"</formula>
    </cfRule>
  </conditionalFormatting>
  <conditionalFormatting sqref="B121:C121">
    <cfRule type="cellIs" dxfId="309" priority="295" stopIfTrue="1" operator="equal">
      <formula>"Towel"</formula>
    </cfRule>
    <cfRule type="cellIs" dxfId="308" priority="296" stopIfTrue="1" operator="equal">
      <formula>"Napkin Hs"</formula>
    </cfRule>
  </conditionalFormatting>
  <conditionalFormatting sqref="C121">
    <cfRule type="cellIs" dxfId="307" priority="294" stopIfTrue="1" operator="equal">
      <formula>"Napkin Hs"</formula>
    </cfRule>
  </conditionalFormatting>
  <conditionalFormatting sqref="C121">
    <cfRule type="cellIs" dxfId="306" priority="291" stopIfTrue="1" operator="equal">
      <formula>"Towel"</formula>
    </cfRule>
    <cfRule type="cellIs" dxfId="305" priority="292" stopIfTrue="1" operator="equal">
      <formula>"Napkin Hs"</formula>
    </cfRule>
  </conditionalFormatting>
  <conditionalFormatting sqref="C121">
    <cfRule type="cellIs" dxfId="304" priority="293" stopIfTrue="1" operator="equal">
      <formula>"Towel"</formula>
    </cfRule>
  </conditionalFormatting>
  <conditionalFormatting sqref="B124:C124">
    <cfRule type="cellIs" dxfId="303" priority="289" stopIfTrue="1" operator="equal">
      <formula>"Towel"</formula>
    </cfRule>
    <cfRule type="cellIs" dxfId="302" priority="290" stopIfTrue="1" operator="equal">
      <formula>"Napkin Hs"</formula>
    </cfRule>
  </conditionalFormatting>
  <conditionalFormatting sqref="C124">
    <cfRule type="cellIs" dxfId="301" priority="288" stopIfTrue="1" operator="equal">
      <formula>"Napkin Hs"</formula>
    </cfRule>
  </conditionalFormatting>
  <conditionalFormatting sqref="C124">
    <cfRule type="cellIs" dxfId="300" priority="285" stopIfTrue="1" operator="equal">
      <formula>"Towel"</formula>
    </cfRule>
    <cfRule type="cellIs" dxfId="299" priority="286" stopIfTrue="1" operator="equal">
      <formula>"Napkin Hs"</formula>
    </cfRule>
  </conditionalFormatting>
  <conditionalFormatting sqref="C124">
    <cfRule type="cellIs" dxfId="298" priority="287" stopIfTrue="1" operator="equal">
      <formula>"Towel"</formula>
    </cfRule>
  </conditionalFormatting>
  <conditionalFormatting sqref="B123:C123">
    <cfRule type="cellIs" dxfId="297" priority="283" stopIfTrue="1" operator="equal">
      <formula>"Towel"</formula>
    </cfRule>
    <cfRule type="cellIs" dxfId="296" priority="284" stopIfTrue="1" operator="equal">
      <formula>"Napkin Hs"</formula>
    </cfRule>
  </conditionalFormatting>
  <conditionalFormatting sqref="C123">
    <cfRule type="cellIs" dxfId="295" priority="282" stopIfTrue="1" operator="equal">
      <formula>"Napkin Hs"</formula>
    </cfRule>
  </conditionalFormatting>
  <conditionalFormatting sqref="C123">
    <cfRule type="cellIs" dxfId="294" priority="279" stopIfTrue="1" operator="equal">
      <formula>"Towel"</formula>
    </cfRule>
    <cfRule type="cellIs" dxfId="293" priority="280" stopIfTrue="1" operator="equal">
      <formula>"Napkin Hs"</formula>
    </cfRule>
  </conditionalFormatting>
  <conditionalFormatting sqref="C123">
    <cfRule type="cellIs" dxfId="292" priority="281" stopIfTrue="1" operator="equal">
      <formula>"Towel"</formula>
    </cfRule>
  </conditionalFormatting>
  <conditionalFormatting sqref="B123:C124">
    <cfRule type="cellIs" dxfId="291" priority="277" stopIfTrue="1" operator="equal">
      <formula>"Towel"</formula>
    </cfRule>
    <cfRule type="cellIs" dxfId="290" priority="278" stopIfTrue="1" operator="equal">
      <formula>"Napkin Hs"</formula>
    </cfRule>
  </conditionalFormatting>
  <conditionalFormatting sqref="C123:C124">
    <cfRule type="cellIs" dxfId="289" priority="276" stopIfTrue="1" operator="equal">
      <formula>"Napkin Hs"</formula>
    </cfRule>
  </conditionalFormatting>
  <conditionalFormatting sqref="C123:C124">
    <cfRule type="cellIs" dxfId="288" priority="273" stopIfTrue="1" operator="equal">
      <formula>"Towel"</formula>
    </cfRule>
    <cfRule type="cellIs" dxfId="287" priority="274" stopIfTrue="1" operator="equal">
      <formula>"Napkin Hs"</formula>
    </cfRule>
  </conditionalFormatting>
  <conditionalFormatting sqref="C123:C124">
    <cfRule type="cellIs" dxfId="286" priority="275" stopIfTrue="1" operator="equal">
      <formula>"Towel"</formula>
    </cfRule>
  </conditionalFormatting>
  <conditionalFormatting sqref="B123:C124">
    <cfRule type="cellIs" dxfId="285" priority="271" stopIfTrue="1" operator="equal">
      <formula>"Towel"</formula>
    </cfRule>
    <cfRule type="cellIs" dxfId="284" priority="272" stopIfTrue="1" operator="equal">
      <formula>"Napkin Hs"</formula>
    </cfRule>
  </conditionalFormatting>
  <conditionalFormatting sqref="C123:C124">
    <cfRule type="cellIs" dxfId="283" priority="270" stopIfTrue="1" operator="equal">
      <formula>"Napkin Hs"</formula>
    </cfRule>
  </conditionalFormatting>
  <conditionalFormatting sqref="C123:C124">
    <cfRule type="cellIs" dxfId="282" priority="267" stopIfTrue="1" operator="equal">
      <formula>"Towel"</formula>
    </cfRule>
    <cfRule type="cellIs" dxfId="281" priority="268" stopIfTrue="1" operator="equal">
      <formula>"Napkin Hs"</formula>
    </cfRule>
  </conditionalFormatting>
  <conditionalFormatting sqref="C123:C124">
    <cfRule type="cellIs" dxfId="280" priority="269" stopIfTrue="1" operator="equal">
      <formula>"Towel"</formula>
    </cfRule>
  </conditionalFormatting>
  <conditionalFormatting sqref="B122:C122">
    <cfRule type="cellIs" dxfId="279" priority="265" stopIfTrue="1" operator="equal">
      <formula>"Towel"</formula>
    </cfRule>
    <cfRule type="cellIs" dxfId="278" priority="266" stopIfTrue="1" operator="equal">
      <formula>"Napkin Hs"</formula>
    </cfRule>
  </conditionalFormatting>
  <conditionalFormatting sqref="C122">
    <cfRule type="cellIs" dxfId="277" priority="264" stopIfTrue="1" operator="equal">
      <formula>"Napkin Hs"</formula>
    </cfRule>
  </conditionalFormatting>
  <conditionalFormatting sqref="C122">
    <cfRule type="cellIs" dxfId="276" priority="261" stopIfTrue="1" operator="equal">
      <formula>"Towel"</formula>
    </cfRule>
    <cfRule type="cellIs" dxfId="275" priority="262" stopIfTrue="1" operator="equal">
      <formula>"Napkin Hs"</formula>
    </cfRule>
  </conditionalFormatting>
  <conditionalFormatting sqref="C122">
    <cfRule type="cellIs" dxfId="274" priority="263" stopIfTrue="1" operator="equal">
      <formula>"Towel"</formula>
    </cfRule>
  </conditionalFormatting>
  <conditionalFormatting sqref="B122:C122">
    <cfRule type="cellIs" dxfId="273" priority="259" stopIfTrue="1" operator="equal">
      <formula>"Towel"</formula>
    </cfRule>
    <cfRule type="cellIs" dxfId="272" priority="260" stopIfTrue="1" operator="equal">
      <formula>"Napkin Hs"</formula>
    </cfRule>
  </conditionalFormatting>
  <conditionalFormatting sqref="C122">
    <cfRule type="cellIs" dxfId="271" priority="258" stopIfTrue="1" operator="equal">
      <formula>"Napkin Hs"</formula>
    </cfRule>
  </conditionalFormatting>
  <conditionalFormatting sqref="C122">
    <cfRule type="cellIs" dxfId="270" priority="255" stopIfTrue="1" operator="equal">
      <formula>"Towel"</formula>
    </cfRule>
    <cfRule type="cellIs" dxfId="269" priority="256" stopIfTrue="1" operator="equal">
      <formula>"Napkin Hs"</formula>
    </cfRule>
  </conditionalFormatting>
  <conditionalFormatting sqref="C122">
    <cfRule type="cellIs" dxfId="268" priority="257" stopIfTrue="1" operator="equal">
      <formula>"Towel"</formula>
    </cfRule>
  </conditionalFormatting>
  <conditionalFormatting sqref="C121">
    <cfRule type="cellIs" dxfId="267" priority="253" stopIfTrue="1" operator="equal">
      <formula>"Towel"</formula>
    </cfRule>
    <cfRule type="cellIs" dxfId="266" priority="254" stopIfTrue="1" operator="equal">
      <formula>"Napkin Hs"</formula>
    </cfRule>
  </conditionalFormatting>
  <conditionalFormatting sqref="C121">
    <cfRule type="cellIs" dxfId="265" priority="252" stopIfTrue="1" operator="equal">
      <formula>"Napkin Hs"</formula>
    </cfRule>
  </conditionalFormatting>
  <conditionalFormatting sqref="C121">
    <cfRule type="cellIs" dxfId="264" priority="249" stopIfTrue="1" operator="equal">
      <formula>"Towel"</formula>
    </cfRule>
    <cfRule type="cellIs" dxfId="263" priority="250" stopIfTrue="1" operator="equal">
      <formula>"Napkin Hs"</formula>
    </cfRule>
  </conditionalFormatting>
  <conditionalFormatting sqref="C121">
    <cfRule type="cellIs" dxfId="262" priority="251" stopIfTrue="1" operator="equal">
      <formula>"Towel"</formula>
    </cfRule>
  </conditionalFormatting>
  <conditionalFormatting sqref="C121">
    <cfRule type="cellIs" dxfId="261" priority="247" stopIfTrue="1" operator="equal">
      <formula>"Towel"</formula>
    </cfRule>
    <cfRule type="cellIs" dxfId="260" priority="248" stopIfTrue="1" operator="equal">
      <formula>"Napkin Hs"</formula>
    </cfRule>
  </conditionalFormatting>
  <conditionalFormatting sqref="C121">
    <cfRule type="cellIs" dxfId="259" priority="246" stopIfTrue="1" operator="equal">
      <formula>"Napkin Hs"</formula>
    </cfRule>
  </conditionalFormatting>
  <conditionalFormatting sqref="C121">
    <cfRule type="cellIs" dxfId="258" priority="243" stopIfTrue="1" operator="equal">
      <formula>"Towel"</formula>
    </cfRule>
    <cfRule type="cellIs" dxfId="257" priority="244" stopIfTrue="1" operator="equal">
      <formula>"Napkin Hs"</formula>
    </cfRule>
  </conditionalFormatting>
  <conditionalFormatting sqref="C121">
    <cfRule type="cellIs" dxfId="256" priority="245" stopIfTrue="1" operator="equal">
      <formula>"Towel"</formula>
    </cfRule>
  </conditionalFormatting>
  <conditionalFormatting sqref="B121">
    <cfRule type="cellIs" dxfId="255" priority="241" stopIfTrue="1" operator="equal">
      <formula>"Towel"</formula>
    </cfRule>
    <cfRule type="cellIs" dxfId="254" priority="242" stopIfTrue="1" operator="equal">
      <formula>"Napkin Hs"</formula>
    </cfRule>
  </conditionalFormatting>
  <conditionalFormatting sqref="B121">
    <cfRule type="cellIs" dxfId="253" priority="239" stopIfTrue="1" operator="equal">
      <formula>"Towel"</formula>
    </cfRule>
    <cfRule type="cellIs" dxfId="252" priority="240" stopIfTrue="1" operator="equal">
      <formula>"Napkin Hs"</formula>
    </cfRule>
  </conditionalFormatting>
  <conditionalFormatting sqref="B126:C127">
    <cfRule type="cellIs" dxfId="251" priority="237" stopIfTrue="1" operator="equal">
      <formula>"Towel"</formula>
    </cfRule>
    <cfRule type="cellIs" dxfId="250" priority="238" stopIfTrue="1" operator="equal">
      <formula>"Napkin Hs"</formula>
    </cfRule>
  </conditionalFormatting>
  <conditionalFormatting sqref="C126:C127">
    <cfRule type="cellIs" dxfId="249" priority="236" stopIfTrue="1" operator="equal">
      <formula>"Napkin Hs"</formula>
    </cfRule>
  </conditionalFormatting>
  <conditionalFormatting sqref="C126:C127">
    <cfRule type="cellIs" dxfId="248" priority="233" stopIfTrue="1" operator="equal">
      <formula>"Towel"</formula>
    </cfRule>
    <cfRule type="cellIs" dxfId="247" priority="234" stopIfTrue="1" operator="equal">
      <formula>"Napkin Hs"</formula>
    </cfRule>
  </conditionalFormatting>
  <conditionalFormatting sqref="C126:C127">
    <cfRule type="cellIs" dxfId="246" priority="235" stopIfTrue="1" operator="equal">
      <formula>"Towel"</formula>
    </cfRule>
  </conditionalFormatting>
  <conditionalFormatting sqref="B129:C129">
    <cfRule type="cellIs" dxfId="245" priority="231" stopIfTrue="1" operator="equal">
      <formula>"Towel"</formula>
    </cfRule>
    <cfRule type="cellIs" dxfId="244" priority="232" stopIfTrue="1" operator="equal">
      <formula>"Napkin Hs"</formula>
    </cfRule>
  </conditionalFormatting>
  <conditionalFormatting sqref="C129">
    <cfRule type="cellIs" dxfId="243" priority="230" stopIfTrue="1" operator="equal">
      <formula>"Napkin Hs"</formula>
    </cfRule>
  </conditionalFormatting>
  <conditionalFormatting sqref="C129">
    <cfRule type="cellIs" dxfId="242" priority="227" stopIfTrue="1" operator="equal">
      <formula>"Towel"</formula>
    </cfRule>
    <cfRule type="cellIs" dxfId="241" priority="228" stopIfTrue="1" operator="equal">
      <formula>"Napkin Hs"</formula>
    </cfRule>
  </conditionalFormatting>
  <conditionalFormatting sqref="C129">
    <cfRule type="cellIs" dxfId="240" priority="229" stopIfTrue="1" operator="equal">
      <formula>"Towel"</formula>
    </cfRule>
  </conditionalFormatting>
  <conditionalFormatting sqref="B128:C128">
    <cfRule type="cellIs" dxfId="239" priority="225" stopIfTrue="1" operator="equal">
      <formula>"Towel"</formula>
    </cfRule>
    <cfRule type="cellIs" dxfId="238" priority="226" stopIfTrue="1" operator="equal">
      <formula>"Napkin Hs"</formula>
    </cfRule>
  </conditionalFormatting>
  <conditionalFormatting sqref="C128">
    <cfRule type="cellIs" dxfId="237" priority="224" stopIfTrue="1" operator="equal">
      <formula>"Napkin Hs"</formula>
    </cfRule>
  </conditionalFormatting>
  <conditionalFormatting sqref="C128">
    <cfRule type="cellIs" dxfId="236" priority="221" stopIfTrue="1" operator="equal">
      <formula>"Towel"</formula>
    </cfRule>
    <cfRule type="cellIs" dxfId="235" priority="222" stopIfTrue="1" operator="equal">
      <formula>"Napkin Hs"</formula>
    </cfRule>
  </conditionalFormatting>
  <conditionalFormatting sqref="C128">
    <cfRule type="cellIs" dxfId="234" priority="223" stopIfTrue="1" operator="equal">
      <formula>"Towel"</formula>
    </cfRule>
  </conditionalFormatting>
  <conditionalFormatting sqref="B128:C129">
    <cfRule type="cellIs" dxfId="233" priority="219" stopIfTrue="1" operator="equal">
      <formula>"Towel"</formula>
    </cfRule>
    <cfRule type="cellIs" dxfId="232" priority="220" stopIfTrue="1" operator="equal">
      <formula>"Napkin Hs"</formula>
    </cfRule>
  </conditionalFormatting>
  <conditionalFormatting sqref="C128:C129">
    <cfRule type="cellIs" dxfId="231" priority="218" stopIfTrue="1" operator="equal">
      <formula>"Napkin Hs"</formula>
    </cfRule>
  </conditionalFormatting>
  <conditionalFormatting sqref="C128:C129">
    <cfRule type="cellIs" dxfId="230" priority="215" stopIfTrue="1" operator="equal">
      <formula>"Towel"</formula>
    </cfRule>
    <cfRule type="cellIs" dxfId="229" priority="216" stopIfTrue="1" operator="equal">
      <formula>"Napkin Hs"</formula>
    </cfRule>
  </conditionalFormatting>
  <conditionalFormatting sqref="C128:C129">
    <cfRule type="cellIs" dxfId="228" priority="217" stopIfTrue="1" operator="equal">
      <formula>"Towel"</formula>
    </cfRule>
  </conditionalFormatting>
  <conditionalFormatting sqref="B128:C129">
    <cfRule type="cellIs" dxfId="227" priority="213" stopIfTrue="1" operator="equal">
      <formula>"Towel"</formula>
    </cfRule>
    <cfRule type="cellIs" dxfId="226" priority="214" stopIfTrue="1" operator="equal">
      <formula>"Napkin Hs"</formula>
    </cfRule>
  </conditionalFormatting>
  <conditionalFormatting sqref="C128:C129">
    <cfRule type="cellIs" dxfId="225" priority="212" stopIfTrue="1" operator="equal">
      <formula>"Napkin Hs"</formula>
    </cfRule>
  </conditionalFormatting>
  <conditionalFormatting sqref="C128:C129">
    <cfRule type="cellIs" dxfId="224" priority="209" stopIfTrue="1" operator="equal">
      <formula>"Towel"</formula>
    </cfRule>
    <cfRule type="cellIs" dxfId="223" priority="210" stopIfTrue="1" operator="equal">
      <formula>"Napkin Hs"</formula>
    </cfRule>
  </conditionalFormatting>
  <conditionalFormatting sqref="C128:C129">
    <cfRule type="cellIs" dxfId="222" priority="211" stopIfTrue="1" operator="equal">
      <formula>"Towel"</formula>
    </cfRule>
  </conditionalFormatting>
  <conditionalFormatting sqref="C126:C127">
    <cfRule type="cellIs" dxfId="221" priority="207" stopIfTrue="1" operator="equal">
      <formula>"Towel"</formula>
    </cfRule>
    <cfRule type="cellIs" dxfId="220" priority="208" stopIfTrue="1" operator="equal">
      <formula>"Napkin Hs"</formula>
    </cfRule>
  </conditionalFormatting>
  <conditionalFormatting sqref="C126:C127">
    <cfRule type="cellIs" dxfId="219" priority="206" stopIfTrue="1" operator="equal">
      <formula>"Napkin Hs"</formula>
    </cfRule>
  </conditionalFormatting>
  <conditionalFormatting sqref="C126:C127">
    <cfRule type="cellIs" dxfId="218" priority="203" stopIfTrue="1" operator="equal">
      <formula>"Towel"</formula>
    </cfRule>
    <cfRule type="cellIs" dxfId="217" priority="204" stopIfTrue="1" operator="equal">
      <formula>"Napkin Hs"</formula>
    </cfRule>
  </conditionalFormatting>
  <conditionalFormatting sqref="C126:C127">
    <cfRule type="cellIs" dxfId="216" priority="205" stopIfTrue="1" operator="equal">
      <formula>"Towel"</formula>
    </cfRule>
  </conditionalFormatting>
  <conditionalFormatting sqref="C126:C127">
    <cfRule type="cellIs" dxfId="215" priority="201" stopIfTrue="1" operator="equal">
      <formula>"Towel"</formula>
    </cfRule>
    <cfRule type="cellIs" dxfId="214" priority="202" stopIfTrue="1" operator="equal">
      <formula>"Napkin Hs"</formula>
    </cfRule>
  </conditionalFormatting>
  <conditionalFormatting sqref="C126:C127">
    <cfRule type="cellIs" dxfId="213" priority="200" stopIfTrue="1" operator="equal">
      <formula>"Napkin Hs"</formula>
    </cfRule>
  </conditionalFormatting>
  <conditionalFormatting sqref="C126:C127">
    <cfRule type="cellIs" dxfId="212" priority="197" stopIfTrue="1" operator="equal">
      <formula>"Towel"</formula>
    </cfRule>
    <cfRule type="cellIs" dxfId="211" priority="198" stopIfTrue="1" operator="equal">
      <formula>"Napkin Hs"</formula>
    </cfRule>
  </conditionalFormatting>
  <conditionalFormatting sqref="C126:C127">
    <cfRule type="cellIs" dxfId="210" priority="199" stopIfTrue="1" operator="equal">
      <formula>"Towel"</formula>
    </cfRule>
  </conditionalFormatting>
  <conditionalFormatting sqref="B126:B127">
    <cfRule type="cellIs" dxfId="209" priority="195" stopIfTrue="1" operator="equal">
      <formula>"Towel"</formula>
    </cfRule>
    <cfRule type="cellIs" dxfId="208" priority="196" stopIfTrue="1" operator="equal">
      <formula>"Napkin Hs"</formula>
    </cfRule>
  </conditionalFormatting>
  <conditionalFormatting sqref="B126:B127">
    <cfRule type="cellIs" dxfId="207" priority="193" stopIfTrue="1" operator="equal">
      <formula>"Towel"</formula>
    </cfRule>
    <cfRule type="cellIs" dxfId="206" priority="194" stopIfTrue="1" operator="equal">
      <formula>"Napkin Hs"</formula>
    </cfRule>
  </conditionalFormatting>
  <conditionalFormatting sqref="B132:C132">
    <cfRule type="cellIs" dxfId="205" priority="191" stopIfTrue="1" operator="equal">
      <formula>"Towel"</formula>
    </cfRule>
    <cfRule type="cellIs" dxfId="204" priority="192" stopIfTrue="1" operator="equal">
      <formula>"Napkin Hs"</formula>
    </cfRule>
  </conditionalFormatting>
  <conditionalFormatting sqref="C132">
    <cfRule type="cellIs" dxfId="203" priority="189" stopIfTrue="1" operator="equal">
      <formula>"Towel"</formula>
    </cfRule>
    <cfRule type="cellIs" dxfId="202" priority="190" stopIfTrue="1" operator="equal">
      <formula>"Napkin Hs"</formula>
    </cfRule>
  </conditionalFormatting>
  <conditionalFormatting sqref="C132">
    <cfRule type="cellIs" dxfId="201" priority="187" stopIfTrue="1" operator="equal">
      <formula>"Towel"</formula>
    </cfRule>
    <cfRule type="cellIs" dxfId="200" priority="188" stopIfTrue="1" operator="equal">
      <formula>"Napkin Hs"</formula>
    </cfRule>
  </conditionalFormatting>
  <conditionalFormatting sqref="B134:C134">
    <cfRule type="cellIs" dxfId="199" priority="185" stopIfTrue="1" operator="equal">
      <formula>"Towel"</formula>
    </cfRule>
    <cfRule type="cellIs" dxfId="198" priority="186" stopIfTrue="1" operator="equal">
      <formula>"Napkin Hs"</formula>
    </cfRule>
  </conditionalFormatting>
  <conditionalFormatting sqref="C134">
    <cfRule type="cellIs" dxfId="197" priority="184" stopIfTrue="1" operator="equal">
      <formula>"Napkin Hs"</formula>
    </cfRule>
  </conditionalFormatting>
  <conditionalFormatting sqref="C134">
    <cfRule type="cellIs" dxfId="196" priority="181" stopIfTrue="1" operator="equal">
      <formula>"Towel"</formula>
    </cfRule>
    <cfRule type="cellIs" dxfId="195" priority="182" stopIfTrue="1" operator="equal">
      <formula>"Napkin Hs"</formula>
    </cfRule>
  </conditionalFormatting>
  <conditionalFormatting sqref="C134">
    <cfRule type="cellIs" dxfId="194" priority="183" stopIfTrue="1" operator="equal">
      <formula>"Towel"</formula>
    </cfRule>
  </conditionalFormatting>
  <conditionalFormatting sqref="B133:C133">
    <cfRule type="cellIs" dxfId="193" priority="179" stopIfTrue="1" operator="equal">
      <formula>"Towel"</formula>
    </cfRule>
    <cfRule type="cellIs" dxfId="192" priority="180" stopIfTrue="1" operator="equal">
      <formula>"Napkin Hs"</formula>
    </cfRule>
  </conditionalFormatting>
  <conditionalFormatting sqref="C133">
    <cfRule type="cellIs" dxfId="191" priority="178" stopIfTrue="1" operator="equal">
      <formula>"Napkin Hs"</formula>
    </cfRule>
  </conditionalFormatting>
  <conditionalFormatting sqref="C133">
    <cfRule type="cellIs" dxfId="190" priority="175" stopIfTrue="1" operator="equal">
      <formula>"Towel"</formula>
    </cfRule>
    <cfRule type="cellIs" dxfId="189" priority="176" stopIfTrue="1" operator="equal">
      <formula>"Napkin Hs"</formula>
    </cfRule>
  </conditionalFormatting>
  <conditionalFormatting sqref="C133">
    <cfRule type="cellIs" dxfId="188" priority="177" stopIfTrue="1" operator="equal">
      <formula>"Towel"</formula>
    </cfRule>
  </conditionalFormatting>
  <conditionalFormatting sqref="B133:C134">
    <cfRule type="cellIs" dxfId="187" priority="173" stopIfTrue="1" operator="equal">
      <formula>"Towel"</formula>
    </cfRule>
    <cfRule type="cellIs" dxfId="186" priority="174" stopIfTrue="1" operator="equal">
      <formula>"Napkin Hs"</formula>
    </cfRule>
  </conditionalFormatting>
  <conditionalFormatting sqref="C133:C134">
    <cfRule type="cellIs" dxfId="185" priority="172" stopIfTrue="1" operator="equal">
      <formula>"Napkin Hs"</formula>
    </cfRule>
  </conditionalFormatting>
  <conditionalFormatting sqref="C133:C134">
    <cfRule type="cellIs" dxfId="184" priority="169" stopIfTrue="1" operator="equal">
      <formula>"Towel"</formula>
    </cfRule>
    <cfRule type="cellIs" dxfId="183" priority="170" stopIfTrue="1" operator="equal">
      <formula>"Napkin Hs"</formula>
    </cfRule>
  </conditionalFormatting>
  <conditionalFormatting sqref="C133:C134">
    <cfRule type="cellIs" dxfId="182" priority="171" stopIfTrue="1" operator="equal">
      <formula>"Towel"</formula>
    </cfRule>
  </conditionalFormatting>
  <conditionalFormatting sqref="B133:C134">
    <cfRule type="cellIs" dxfId="181" priority="167" stopIfTrue="1" operator="equal">
      <formula>"Towel"</formula>
    </cfRule>
    <cfRule type="cellIs" dxfId="180" priority="168" stopIfTrue="1" operator="equal">
      <formula>"Napkin Hs"</formula>
    </cfRule>
  </conditionalFormatting>
  <conditionalFormatting sqref="C133:C134">
    <cfRule type="cellIs" dxfId="179" priority="166" stopIfTrue="1" operator="equal">
      <formula>"Napkin Hs"</formula>
    </cfRule>
  </conditionalFormatting>
  <conditionalFormatting sqref="C133:C134">
    <cfRule type="cellIs" dxfId="178" priority="163" stopIfTrue="1" operator="equal">
      <formula>"Towel"</formula>
    </cfRule>
    <cfRule type="cellIs" dxfId="177" priority="164" stopIfTrue="1" operator="equal">
      <formula>"Napkin Hs"</formula>
    </cfRule>
  </conditionalFormatting>
  <conditionalFormatting sqref="C133:C134">
    <cfRule type="cellIs" dxfId="176" priority="165" stopIfTrue="1" operator="equal">
      <formula>"Towel"</formula>
    </cfRule>
  </conditionalFormatting>
  <conditionalFormatting sqref="B132:C132">
    <cfRule type="cellIs" dxfId="175" priority="161" stopIfTrue="1" operator="equal">
      <formula>"Towel"</formula>
    </cfRule>
    <cfRule type="cellIs" dxfId="174" priority="162" stopIfTrue="1" operator="equal">
      <formula>"Napkin Hs"</formula>
    </cfRule>
  </conditionalFormatting>
  <conditionalFormatting sqref="C132">
    <cfRule type="cellIs" dxfId="173" priority="160" stopIfTrue="1" operator="equal">
      <formula>"Napkin Hs"</formula>
    </cfRule>
  </conditionalFormatting>
  <conditionalFormatting sqref="C132">
    <cfRule type="cellIs" dxfId="172" priority="157" stopIfTrue="1" operator="equal">
      <formula>"Towel"</formula>
    </cfRule>
    <cfRule type="cellIs" dxfId="171" priority="158" stopIfTrue="1" operator="equal">
      <formula>"Napkin Hs"</formula>
    </cfRule>
  </conditionalFormatting>
  <conditionalFormatting sqref="C132">
    <cfRule type="cellIs" dxfId="170" priority="159" stopIfTrue="1" operator="equal">
      <formula>"Towel"</formula>
    </cfRule>
  </conditionalFormatting>
  <conditionalFormatting sqref="B132:C132">
    <cfRule type="cellIs" dxfId="169" priority="155" stopIfTrue="1" operator="equal">
      <formula>"Towel"</formula>
    </cfRule>
    <cfRule type="cellIs" dxfId="168" priority="156" stopIfTrue="1" operator="equal">
      <formula>"Napkin Hs"</formula>
    </cfRule>
  </conditionalFormatting>
  <conditionalFormatting sqref="C132">
    <cfRule type="cellIs" dxfId="167" priority="154" stopIfTrue="1" operator="equal">
      <formula>"Napkin Hs"</formula>
    </cfRule>
  </conditionalFormatting>
  <conditionalFormatting sqref="C132">
    <cfRule type="cellIs" dxfId="166" priority="151" stopIfTrue="1" operator="equal">
      <formula>"Towel"</formula>
    </cfRule>
    <cfRule type="cellIs" dxfId="165" priority="152" stopIfTrue="1" operator="equal">
      <formula>"Napkin Hs"</formula>
    </cfRule>
  </conditionalFormatting>
  <conditionalFormatting sqref="C132">
    <cfRule type="cellIs" dxfId="164" priority="153" stopIfTrue="1" operator="equal">
      <formula>"Towel"</formula>
    </cfRule>
  </conditionalFormatting>
  <conditionalFormatting sqref="B131:C131">
    <cfRule type="cellIs" dxfId="163" priority="149" stopIfTrue="1" operator="equal">
      <formula>"Towel"</formula>
    </cfRule>
    <cfRule type="cellIs" dxfId="162" priority="150" stopIfTrue="1" operator="equal">
      <formula>"Napkin Hs"</formula>
    </cfRule>
  </conditionalFormatting>
  <conditionalFormatting sqref="C131">
    <cfRule type="cellIs" dxfId="161" priority="148" stopIfTrue="1" operator="equal">
      <formula>"Napkin Hs"</formula>
    </cfRule>
  </conditionalFormatting>
  <conditionalFormatting sqref="C131">
    <cfRule type="cellIs" dxfId="160" priority="145" stopIfTrue="1" operator="equal">
      <formula>"Towel"</formula>
    </cfRule>
    <cfRule type="cellIs" dxfId="159" priority="146" stopIfTrue="1" operator="equal">
      <formula>"Napkin Hs"</formula>
    </cfRule>
  </conditionalFormatting>
  <conditionalFormatting sqref="C131">
    <cfRule type="cellIs" dxfId="158" priority="147" stopIfTrue="1" operator="equal">
      <formula>"Towel"</formula>
    </cfRule>
  </conditionalFormatting>
  <conditionalFormatting sqref="C131">
    <cfRule type="cellIs" dxfId="157" priority="143" stopIfTrue="1" operator="equal">
      <formula>"Towel"</formula>
    </cfRule>
    <cfRule type="cellIs" dxfId="156" priority="144" stopIfTrue="1" operator="equal">
      <formula>"Napkin Hs"</formula>
    </cfRule>
  </conditionalFormatting>
  <conditionalFormatting sqref="C131">
    <cfRule type="cellIs" dxfId="155" priority="142" stopIfTrue="1" operator="equal">
      <formula>"Napkin Hs"</formula>
    </cfRule>
  </conditionalFormatting>
  <conditionalFormatting sqref="C131">
    <cfRule type="cellIs" dxfId="154" priority="139" stopIfTrue="1" operator="equal">
      <formula>"Towel"</formula>
    </cfRule>
    <cfRule type="cellIs" dxfId="153" priority="140" stopIfTrue="1" operator="equal">
      <formula>"Napkin Hs"</formula>
    </cfRule>
  </conditionalFormatting>
  <conditionalFormatting sqref="C131">
    <cfRule type="cellIs" dxfId="152" priority="141" stopIfTrue="1" operator="equal">
      <formula>"Towel"</formula>
    </cfRule>
  </conditionalFormatting>
  <conditionalFormatting sqref="C131">
    <cfRule type="cellIs" dxfId="151" priority="137" stopIfTrue="1" operator="equal">
      <formula>"Towel"</formula>
    </cfRule>
    <cfRule type="cellIs" dxfId="150" priority="138" stopIfTrue="1" operator="equal">
      <formula>"Napkin Hs"</formula>
    </cfRule>
  </conditionalFormatting>
  <conditionalFormatting sqref="C131">
    <cfRule type="cellIs" dxfId="149" priority="136" stopIfTrue="1" operator="equal">
      <formula>"Napkin Hs"</formula>
    </cfRule>
  </conditionalFormatting>
  <conditionalFormatting sqref="C131">
    <cfRule type="cellIs" dxfId="148" priority="133" stopIfTrue="1" operator="equal">
      <formula>"Towel"</formula>
    </cfRule>
    <cfRule type="cellIs" dxfId="147" priority="134" stopIfTrue="1" operator="equal">
      <formula>"Napkin Hs"</formula>
    </cfRule>
  </conditionalFormatting>
  <conditionalFormatting sqref="C131">
    <cfRule type="cellIs" dxfId="146" priority="135" stopIfTrue="1" operator="equal">
      <formula>"Towel"</formula>
    </cfRule>
  </conditionalFormatting>
  <conditionalFormatting sqref="B131">
    <cfRule type="cellIs" dxfId="145" priority="131" stopIfTrue="1" operator="equal">
      <formula>"Towel"</formula>
    </cfRule>
    <cfRule type="cellIs" dxfId="144" priority="132" stopIfTrue="1" operator="equal">
      <formula>"Napkin Hs"</formula>
    </cfRule>
  </conditionalFormatting>
  <conditionalFormatting sqref="B131">
    <cfRule type="cellIs" dxfId="143" priority="129" stopIfTrue="1" operator="equal">
      <formula>"Towel"</formula>
    </cfRule>
    <cfRule type="cellIs" dxfId="142" priority="130" stopIfTrue="1" operator="equal">
      <formula>"Napkin Hs"</formula>
    </cfRule>
  </conditionalFormatting>
  <conditionalFormatting sqref="B137:C137">
    <cfRule type="cellIs" dxfId="141" priority="127" stopIfTrue="1" operator="equal">
      <formula>"Towel"</formula>
    </cfRule>
    <cfRule type="cellIs" dxfId="140" priority="128" stopIfTrue="1" operator="equal">
      <formula>"Napkin Hs"</formula>
    </cfRule>
  </conditionalFormatting>
  <conditionalFormatting sqref="C137">
    <cfRule type="cellIs" dxfId="139" priority="125" stopIfTrue="1" operator="equal">
      <formula>"Towel"</formula>
    </cfRule>
    <cfRule type="cellIs" dxfId="138" priority="126" stopIfTrue="1" operator="equal">
      <formula>"Napkin Hs"</formula>
    </cfRule>
  </conditionalFormatting>
  <conditionalFormatting sqref="C137">
    <cfRule type="cellIs" dxfId="137" priority="123" stopIfTrue="1" operator="equal">
      <formula>"Towel"</formula>
    </cfRule>
    <cfRule type="cellIs" dxfId="136" priority="124" stopIfTrue="1" operator="equal">
      <formula>"Napkin Hs"</formula>
    </cfRule>
  </conditionalFormatting>
  <conditionalFormatting sqref="B136:C136">
    <cfRule type="cellIs" dxfId="135" priority="121" stopIfTrue="1" operator="equal">
      <formula>"Towel"</formula>
    </cfRule>
    <cfRule type="cellIs" dxfId="134" priority="122" stopIfTrue="1" operator="equal">
      <formula>"Napkin Hs"</formula>
    </cfRule>
  </conditionalFormatting>
  <conditionalFormatting sqref="C136">
    <cfRule type="cellIs" dxfId="133" priority="120" stopIfTrue="1" operator="equal">
      <formula>"Napkin Hs"</formula>
    </cfRule>
  </conditionalFormatting>
  <conditionalFormatting sqref="C136">
    <cfRule type="cellIs" dxfId="132" priority="117" stopIfTrue="1" operator="equal">
      <formula>"Towel"</formula>
    </cfRule>
    <cfRule type="cellIs" dxfId="131" priority="118" stopIfTrue="1" operator="equal">
      <formula>"Napkin Hs"</formula>
    </cfRule>
  </conditionalFormatting>
  <conditionalFormatting sqref="C136">
    <cfRule type="cellIs" dxfId="130" priority="119" stopIfTrue="1" operator="equal">
      <formula>"Towel"</formula>
    </cfRule>
  </conditionalFormatting>
  <conditionalFormatting sqref="B139:C139">
    <cfRule type="cellIs" dxfId="129" priority="115" stopIfTrue="1" operator="equal">
      <formula>"Towel"</formula>
    </cfRule>
    <cfRule type="cellIs" dxfId="128" priority="116" stopIfTrue="1" operator="equal">
      <formula>"Napkin Hs"</formula>
    </cfRule>
  </conditionalFormatting>
  <conditionalFormatting sqref="C139">
    <cfRule type="cellIs" dxfId="127" priority="114" stopIfTrue="1" operator="equal">
      <formula>"Napkin Hs"</formula>
    </cfRule>
  </conditionalFormatting>
  <conditionalFormatting sqref="C139">
    <cfRule type="cellIs" dxfId="126" priority="111" stopIfTrue="1" operator="equal">
      <formula>"Towel"</formula>
    </cfRule>
    <cfRule type="cellIs" dxfId="125" priority="112" stopIfTrue="1" operator="equal">
      <formula>"Napkin Hs"</formula>
    </cfRule>
  </conditionalFormatting>
  <conditionalFormatting sqref="C139">
    <cfRule type="cellIs" dxfId="124" priority="113" stopIfTrue="1" operator="equal">
      <formula>"Towel"</formula>
    </cfRule>
  </conditionalFormatting>
  <conditionalFormatting sqref="B138:C138">
    <cfRule type="cellIs" dxfId="123" priority="109" stopIfTrue="1" operator="equal">
      <formula>"Towel"</formula>
    </cfRule>
    <cfRule type="cellIs" dxfId="122" priority="110" stopIfTrue="1" operator="equal">
      <formula>"Napkin Hs"</formula>
    </cfRule>
  </conditionalFormatting>
  <conditionalFormatting sqref="C138">
    <cfRule type="cellIs" dxfId="121" priority="108" stopIfTrue="1" operator="equal">
      <formula>"Napkin Hs"</formula>
    </cfRule>
  </conditionalFormatting>
  <conditionalFormatting sqref="C138">
    <cfRule type="cellIs" dxfId="120" priority="105" stopIfTrue="1" operator="equal">
      <formula>"Towel"</formula>
    </cfRule>
    <cfRule type="cellIs" dxfId="119" priority="106" stopIfTrue="1" operator="equal">
      <formula>"Napkin Hs"</formula>
    </cfRule>
  </conditionalFormatting>
  <conditionalFormatting sqref="C138">
    <cfRule type="cellIs" dxfId="118" priority="107" stopIfTrue="1" operator="equal">
      <formula>"Towel"</formula>
    </cfRule>
  </conditionalFormatting>
  <conditionalFormatting sqref="B138:C139">
    <cfRule type="cellIs" dxfId="117" priority="103" stopIfTrue="1" operator="equal">
      <formula>"Towel"</formula>
    </cfRule>
    <cfRule type="cellIs" dxfId="116" priority="104" stopIfTrue="1" operator="equal">
      <formula>"Napkin Hs"</formula>
    </cfRule>
  </conditionalFormatting>
  <conditionalFormatting sqref="C138:C139">
    <cfRule type="cellIs" dxfId="115" priority="102" stopIfTrue="1" operator="equal">
      <formula>"Napkin Hs"</formula>
    </cfRule>
  </conditionalFormatting>
  <conditionalFormatting sqref="C138:C139">
    <cfRule type="cellIs" dxfId="114" priority="99" stopIfTrue="1" operator="equal">
      <formula>"Towel"</formula>
    </cfRule>
    <cfRule type="cellIs" dxfId="113" priority="100" stopIfTrue="1" operator="equal">
      <formula>"Napkin Hs"</formula>
    </cfRule>
  </conditionalFormatting>
  <conditionalFormatting sqref="C138:C139">
    <cfRule type="cellIs" dxfId="112" priority="101" stopIfTrue="1" operator="equal">
      <formula>"Towel"</formula>
    </cfRule>
  </conditionalFormatting>
  <conditionalFormatting sqref="B138:C139">
    <cfRule type="cellIs" dxfId="111" priority="97" stopIfTrue="1" operator="equal">
      <formula>"Towel"</formula>
    </cfRule>
    <cfRule type="cellIs" dxfId="110" priority="98" stopIfTrue="1" operator="equal">
      <formula>"Napkin Hs"</formula>
    </cfRule>
  </conditionalFormatting>
  <conditionalFormatting sqref="C138:C139">
    <cfRule type="cellIs" dxfId="109" priority="96" stopIfTrue="1" operator="equal">
      <formula>"Napkin Hs"</formula>
    </cfRule>
  </conditionalFormatting>
  <conditionalFormatting sqref="C138:C139">
    <cfRule type="cellIs" dxfId="108" priority="93" stopIfTrue="1" operator="equal">
      <formula>"Towel"</formula>
    </cfRule>
    <cfRule type="cellIs" dxfId="107" priority="94" stopIfTrue="1" operator="equal">
      <formula>"Napkin Hs"</formula>
    </cfRule>
  </conditionalFormatting>
  <conditionalFormatting sqref="C138:C139">
    <cfRule type="cellIs" dxfId="106" priority="95" stopIfTrue="1" operator="equal">
      <formula>"Towel"</formula>
    </cfRule>
  </conditionalFormatting>
  <conditionalFormatting sqref="B137:C137">
    <cfRule type="cellIs" dxfId="105" priority="91" stopIfTrue="1" operator="equal">
      <formula>"Towel"</formula>
    </cfRule>
    <cfRule type="cellIs" dxfId="104" priority="92" stopIfTrue="1" operator="equal">
      <formula>"Napkin Hs"</formula>
    </cfRule>
  </conditionalFormatting>
  <conditionalFormatting sqref="C137">
    <cfRule type="cellIs" dxfId="103" priority="90" stopIfTrue="1" operator="equal">
      <formula>"Napkin Hs"</formula>
    </cfRule>
  </conditionalFormatting>
  <conditionalFormatting sqref="C137">
    <cfRule type="cellIs" dxfId="102" priority="87" stopIfTrue="1" operator="equal">
      <formula>"Towel"</formula>
    </cfRule>
    <cfRule type="cellIs" dxfId="101" priority="88" stopIfTrue="1" operator="equal">
      <formula>"Napkin Hs"</formula>
    </cfRule>
  </conditionalFormatting>
  <conditionalFormatting sqref="C137">
    <cfRule type="cellIs" dxfId="100" priority="89" stopIfTrue="1" operator="equal">
      <formula>"Towel"</formula>
    </cfRule>
  </conditionalFormatting>
  <conditionalFormatting sqref="B137:C137">
    <cfRule type="cellIs" dxfId="99" priority="85" stopIfTrue="1" operator="equal">
      <formula>"Towel"</formula>
    </cfRule>
    <cfRule type="cellIs" dxfId="98" priority="86" stopIfTrue="1" operator="equal">
      <formula>"Napkin Hs"</formula>
    </cfRule>
  </conditionalFormatting>
  <conditionalFormatting sqref="C137">
    <cfRule type="cellIs" dxfId="97" priority="84" stopIfTrue="1" operator="equal">
      <formula>"Napkin Hs"</formula>
    </cfRule>
  </conditionalFormatting>
  <conditionalFormatting sqref="C137">
    <cfRule type="cellIs" dxfId="96" priority="81" stopIfTrue="1" operator="equal">
      <formula>"Towel"</formula>
    </cfRule>
    <cfRule type="cellIs" dxfId="95" priority="82" stopIfTrue="1" operator="equal">
      <formula>"Napkin Hs"</formula>
    </cfRule>
  </conditionalFormatting>
  <conditionalFormatting sqref="C137">
    <cfRule type="cellIs" dxfId="94" priority="83" stopIfTrue="1" operator="equal">
      <formula>"Towel"</formula>
    </cfRule>
  </conditionalFormatting>
  <conditionalFormatting sqref="C136">
    <cfRule type="cellIs" dxfId="93" priority="79" stopIfTrue="1" operator="equal">
      <formula>"Towel"</formula>
    </cfRule>
    <cfRule type="cellIs" dxfId="92" priority="80" stopIfTrue="1" operator="equal">
      <formula>"Napkin Hs"</formula>
    </cfRule>
  </conditionalFormatting>
  <conditionalFormatting sqref="C136">
    <cfRule type="cellIs" dxfId="91" priority="78" stopIfTrue="1" operator="equal">
      <formula>"Napkin Hs"</formula>
    </cfRule>
  </conditionalFormatting>
  <conditionalFormatting sqref="C136">
    <cfRule type="cellIs" dxfId="90" priority="75" stopIfTrue="1" operator="equal">
      <formula>"Towel"</formula>
    </cfRule>
    <cfRule type="cellIs" dxfId="89" priority="76" stopIfTrue="1" operator="equal">
      <formula>"Napkin Hs"</formula>
    </cfRule>
  </conditionalFormatting>
  <conditionalFormatting sqref="C136">
    <cfRule type="cellIs" dxfId="88" priority="77" stopIfTrue="1" operator="equal">
      <formula>"Towel"</formula>
    </cfRule>
  </conditionalFormatting>
  <conditionalFormatting sqref="C136">
    <cfRule type="cellIs" dxfId="87" priority="73" stopIfTrue="1" operator="equal">
      <formula>"Towel"</formula>
    </cfRule>
    <cfRule type="cellIs" dxfId="86" priority="74" stopIfTrue="1" operator="equal">
      <formula>"Napkin Hs"</formula>
    </cfRule>
  </conditionalFormatting>
  <conditionalFormatting sqref="C136">
    <cfRule type="cellIs" dxfId="85" priority="72" stopIfTrue="1" operator="equal">
      <formula>"Napkin Hs"</formula>
    </cfRule>
  </conditionalFormatting>
  <conditionalFormatting sqref="C136">
    <cfRule type="cellIs" dxfId="84" priority="69" stopIfTrue="1" operator="equal">
      <formula>"Towel"</formula>
    </cfRule>
    <cfRule type="cellIs" dxfId="83" priority="70" stopIfTrue="1" operator="equal">
      <formula>"Napkin Hs"</formula>
    </cfRule>
  </conditionalFormatting>
  <conditionalFormatting sqref="C136">
    <cfRule type="cellIs" dxfId="82" priority="71" stopIfTrue="1" operator="equal">
      <formula>"Towel"</formula>
    </cfRule>
  </conditionalFormatting>
  <conditionalFormatting sqref="B136">
    <cfRule type="cellIs" dxfId="81" priority="67" stopIfTrue="1" operator="equal">
      <formula>"Towel"</formula>
    </cfRule>
    <cfRule type="cellIs" dxfId="80" priority="68" stopIfTrue="1" operator="equal">
      <formula>"Napkin Hs"</formula>
    </cfRule>
  </conditionalFormatting>
  <conditionalFormatting sqref="B136">
    <cfRule type="cellIs" dxfId="79" priority="65" stopIfTrue="1" operator="equal">
      <formula>"Towel"</formula>
    </cfRule>
    <cfRule type="cellIs" dxfId="78" priority="66" stopIfTrue="1" operator="equal">
      <formula>"Napkin Hs"</formula>
    </cfRule>
  </conditionalFormatting>
  <conditionalFormatting sqref="B142:C142">
    <cfRule type="cellIs" dxfId="77" priority="63" stopIfTrue="1" operator="equal">
      <formula>"Towel"</formula>
    </cfRule>
    <cfRule type="cellIs" dxfId="76" priority="64" stopIfTrue="1" operator="equal">
      <formula>"Napkin Hs"</formula>
    </cfRule>
  </conditionalFormatting>
  <conditionalFormatting sqref="C142">
    <cfRule type="cellIs" dxfId="75" priority="61" stopIfTrue="1" operator="equal">
      <formula>"Towel"</formula>
    </cfRule>
    <cfRule type="cellIs" dxfId="74" priority="62" stopIfTrue="1" operator="equal">
      <formula>"Napkin Hs"</formula>
    </cfRule>
  </conditionalFormatting>
  <conditionalFormatting sqref="C142">
    <cfRule type="cellIs" dxfId="73" priority="59" stopIfTrue="1" operator="equal">
      <formula>"Towel"</formula>
    </cfRule>
    <cfRule type="cellIs" dxfId="72" priority="60" stopIfTrue="1" operator="equal">
      <formula>"Napkin Hs"</formula>
    </cfRule>
  </conditionalFormatting>
  <conditionalFormatting sqref="B141:C141">
    <cfRule type="cellIs" dxfId="71" priority="57" stopIfTrue="1" operator="equal">
      <formula>"Towel"</formula>
    </cfRule>
    <cfRule type="cellIs" dxfId="70" priority="58" stopIfTrue="1" operator="equal">
      <formula>"Napkin Hs"</formula>
    </cfRule>
  </conditionalFormatting>
  <conditionalFormatting sqref="C141">
    <cfRule type="cellIs" dxfId="69" priority="56" stopIfTrue="1" operator="equal">
      <formula>"Napkin Hs"</formula>
    </cfRule>
  </conditionalFormatting>
  <conditionalFormatting sqref="C141">
    <cfRule type="cellIs" dxfId="68" priority="53" stopIfTrue="1" operator="equal">
      <formula>"Towel"</formula>
    </cfRule>
    <cfRule type="cellIs" dxfId="67" priority="54" stopIfTrue="1" operator="equal">
      <formula>"Napkin Hs"</formula>
    </cfRule>
  </conditionalFormatting>
  <conditionalFormatting sqref="C141">
    <cfRule type="cellIs" dxfId="66" priority="55" stopIfTrue="1" operator="equal">
      <formula>"Towel"</formula>
    </cfRule>
  </conditionalFormatting>
  <conditionalFormatting sqref="B144:C144">
    <cfRule type="cellIs" dxfId="65" priority="51" stopIfTrue="1" operator="equal">
      <formula>"Towel"</formula>
    </cfRule>
    <cfRule type="cellIs" dxfId="64" priority="52" stopIfTrue="1" operator="equal">
      <formula>"Napkin Hs"</formula>
    </cfRule>
  </conditionalFormatting>
  <conditionalFormatting sqref="C144">
    <cfRule type="cellIs" dxfId="63" priority="50" stopIfTrue="1" operator="equal">
      <formula>"Napkin Hs"</formula>
    </cfRule>
  </conditionalFormatting>
  <conditionalFormatting sqref="C144">
    <cfRule type="cellIs" dxfId="62" priority="47" stopIfTrue="1" operator="equal">
      <formula>"Towel"</formula>
    </cfRule>
    <cfRule type="cellIs" dxfId="61" priority="48" stopIfTrue="1" operator="equal">
      <formula>"Napkin Hs"</formula>
    </cfRule>
  </conditionalFormatting>
  <conditionalFormatting sqref="C144">
    <cfRule type="cellIs" dxfId="60" priority="49" stopIfTrue="1" operator="equal">
      <formula>"Towel"</formula>
    </cfRule>
  </conditionalFormatting>
  <conditionalFormatting sqref="B143:C143">
    <cfRule type="cellIs" dxfId="59" priority="45" stopIfTrue="1" operator="equal">
      <formula>"Towel"</formula>
    </cfRule>
    <cfRule type="cellIs" dxfId="58" priority="46" stopIfTrue="1" operator="equal">
      <formula>"Napkin Hs"</formula>
    </cfRule>
  </conditionalFormatting>
  <conditionalFormatting sqref="C143">
    <cfRule type="cellIs" dxfId="57" priority="44" stopIfTrue="1" operator="equal">
      <formula>"Napkin Hs"</formula>
    </cfRule>
  </conditionalFormatting>
  <conditionalFormatting sqref="C143">
    <cfRule type="cellIs" dxfId="56" priority="41" stopIfTrue="1" operator="equal">
      <formula>"Towel"</formula>
    </cfRule>
    <cfRule type="cellIs" dxfId="55" priority="42" stopIfTrue="1" operator="equal">
      <formula>"Napkin Hs"</formula>
    </cfRule>
  </conditionalFormatting>
  <conditionalFormatting sqref="C143">
    <cfRule type="cellIs" dxfId="54" priority="43" stopIfTrue="1" operator="equal">
      <formula>"Towel"</formula>
    </cfRule>
  </conditionalFormatting>
  <conditionalFormatting sqref="B143:C144">
    <cfRule type="cellIs" dxfId="53" priority="39" stopIfTrue="1" operator="equal">
      <formula>"Towel"</formula>
    </cfRule>
    <cfRule type="cellIs" dxfId="52" priority="40" stopIfTrue="1" operator="equal">
      <formula>"Napkin Hs"</formula>
    </cfRule>
  </conditionalFormatting>
  <conditionalFormatting sqref="C143:C144">
    <cfRule type="cellIs" dxfId="51" priority="38" stopIfTrue="1" operator="equal">
      <formula>"Napkin Hs"</formula>
    </cfRule>
  </conditionalFormatting>
  <conditionalFormatting sqref="C143:C144">
    <cfRule type="cellIs" dxfId="50" priority="35" stopIfTrue="1" operator="equal">
      <formula>"Towel"</formula>
    </cfRule>
    <cfRule type="cellIs" dxfId="49" priority="36" stopIfTrue="1" operator="equal">
      <formula>"Napkin Hs"</formula>
    </cfRule>
  </conditionalFormatting>
  <conditionalFormatting sqref="C143:C144">
    <cfRule type="cellIs" dxfId="48" priority="37" stopIfTrue="1" operator="equal">
      <formula>"Towel"</formula>
    </cfRule>
  </conditionalFormatting>
  <conditionalFormatting sqref="B143:C144">
    <cfRule type="cellIs" dxfId="47" priority="33" stopIfTrue="1" operator="equal">
      <formula>"Towel"</formula>
    </cfRule>
    <cfRule type="cellIs" dxfId="46" priority="34" stopIfTrue="1" operator="equal">
      <formula>"Napkin Hs"</formula>
    </cfRule>
  </conditionalFormatting>
  <conditionalFormatting sqref="C143:C144">
    <cfRule type="cellIs" dxfId="45" priority="32" stopIfTrue="1" operator="equal">
      <formula>"Napkin Hs"</formula>
    </cfRule>
  </conditionalFormatting>
  <conditionalFormatting sqref="C143:C144">
    <cfRule type="cellIs" dxfId="44" priority="29" stopIfTrue="1" operator="equal">
      <formula>"Towel"</formula>
    </cfRule>
    <cfRule type="cellIs" dxfId="43" priority="30" stopIfTrue="1" operator="equal">
      <formula>"Napkin Hs"</formula>
    </cfRule>
  </conditionalFormatting>
  <conditionalFormatting sqref="C143:C144">
    <cfRule type="cellIs" dxfId="42" priority="31" stopIfTrue="1" operator="equal">
      <formula>"Towel"</formula>
    </cfRule>
  </conditionalFormatting>
  <conditionalFormatting sqref="B142:C142">
    <cfRule type="cellIs" dxfId="41" priority="27" stopIfTrue="1" operator="equal">
      <formula>"Towel"</formula>
    </cfRule>
    <cfRule type="cellIs" dxfId="40" priority="28" stopIfTrue="1" operator="equal">
      <formula>"Napkin Hs"</formula>
    </cfRule>
  </conditionalFormatting>
  <conditionalFormatting sqref="C142">
    <cfRule type="cellIs" dxfId="39" priority="26" stopIfTrue="1" operator="equal">
      <formula>"Napkin Hs"</formula>
    </cfRule>
  </conditionalFormatting>
  <conditionalFormatting sqref="C142">
    <cfRule type="cellIs" dxfId="38" priority="23" stopIfTrue="1" operator="equal">
      <formula>"Towel"</formula>
    </cfRule>
    <cfRule type="cellIs" dxfId="37" priority="24" stopIfTrue="1" operator="equal">
      <formula>"Napkin Hs"</formula>
    </cfRule>
  </conditionalFormatting>
  <conditionalFormatting sqref="C142">
    <cfRule type="cellIs" dxfId="36" priority="25" stopIfTrue="1" operator="equal">
      <formula>"Towel"</formula>
    </cfRule>
  </conditionalFormatting>
  <conditionalFormatting sqref="B142:C142">
    <cfRule type="cellIs" dxfId="35" priority="21" stopIfTrue="1" operator="equal">
      <formula>"Towel"</formula>
    </cfRule>
    <cfRule type="cellIs" dxfId="34" priority="22" stopIfTrue="1" operator="equal">
      <formula>"Napkin Hs"</formula>
    </cfRule>
  </conditionalFormatting>
  <conditionalFormatting sqref="C142">
    <cfRule type="cellIs" dxfId="33" priority="20" stopIfTrue="1" operator="equal">
      <formula>"Napkin Hs"</formula>
    </cfRule>
  </conditionalFormatting>
  <conditionalFormatting sqref="C142">
    <cfRule type="cellIs" dxfId="32" priority="17" stopIfTrue="1" operator="equal">
      <formula>"Towel"</formula>
    </cfRule>
    <cfRule type="cellIs" dxfId="31" priority="18" stopIfTrue="1" operator="equal">
      <formula>"Napkin Hs"</formula>
    </cfRule>
  </conditionalFormatting>
  <conditionalFormatting sqref="C142">
    <cfRule type="cellIs" dxfId="30" priority="19" stopIfTrue="1" operator="equal">
      <formula>"Towel"</formula>
    </cfRule>
  </conditionalFormatting>
  <conditionalFormatting sqref="C141">
    <cfRule type="cellIs" dxfId="29" priority="15" stopIfTrue="1" operator="equal">
      <formula>"Towel"</formula>
    </cfRule>
    <cfRule type="cellIs" dxfId="28" priority="16" stopIfTrue="1" operator="equal">
      <formula>"Napkin Hs"</formula>
    </cfRule>
  </conditionalFormatting>
  <conditionalFormatting sqref="C141">
    <cfRule type="cellIs" dxfId="27" priority="14" stopIfTrue="1" operator="equal">
      <formula>"Napkin Hs"</formula>
    </cfRule>
  </conditionalFormatting>
  <conditionalFormatting sqref="C141">
    <cfRule type="cellIs" dxfId="26" priority="11" stopIfTrue="1" operator="equal">
      <formula>"Towel"</formula>
    </cfRule>
    <cfRule type="cellIs" dxfId="25" priority="12" stopIfTrue="1" operator="equal">
      <formula>"Napkin Hs"</formula>
    </cfRule>
  </conditionalFormatting>
  <conditionalFormatting sqref="C141">
    <cfRule type="cellIs" dxfId="24" priority="13" stopIfTrue="1" operator="equal">
      <formula>"Towel"</formula>
    </cfRule>
  </conditionalFormatting>
  <conditionalFormatting sqref="C141">
    <cfRule type="cellIs" dxfId="23" priority="9" stopIfTrue="1" operator="equal">
      <formula>"Towel"</formula>
    </cfRule>
    <cfRule type="cellIs" dxfId="22" priority="10" stopIfTrue="1" operator="equal">
      <formula>"Napkin Hs"</formula>
    </cfRule>
  </conditionalFormatting>
  <conditionalFormatting sqref="C141">
    <cfRule type="cellIs" dxfId="21" priority="8" stopIfTrue="1" operator="equal">
      <formula>"Napkin Hs"</formula>
    </cfRule>
  </conditionalFormatting>
  <conditionalFormatting sqref="C141">
    <cfRule type="cellIs" dxfId="20" priority="5" stopIfTrue="1" operator="equal">
      <formula>"Towel"</formula>
    </cfRule>
    <cfRule type="cellIs" dxfId="19" priority="6" stopIfTrue="1" operator="equal">
      <formula>"Napkin Hs"</formula>
    </cfRule>
  </conditionalFormatting>
  <conditionalFormatting sqref="C141">
    <cfRule type="cellIs" dxfId="18" priority="7" stopIfTrue="1" operator="equal">
      <formula>"Towel"</formula>
    </cfRule>
  </conditionalFormatting>
  <conditionalFormatting sqref="B141">
    <cfRule type="cellIs" dxfId="17" priority="3" stopIfTrue="1" operator="equal">
      <formula>"Towel"</formula>
    </cfRule>
    <cfRule type="cellIs" dxfId="16" priority="4" stopIfTrue="1" operator="equal">
      <formula>"Napkin Hs"</formula>
    </cfRule>
  </conditionalFormatting>
  <conditionalFormatting sqref="B141">
    <cfRule type="cellIs" dxfId="15" priority="1" stopIfTrue="1" operator="equal">
      <formula>"Towel"</formula>
    </cfRule>
    <cfRule type="cellIs" dxfId="14" priority="2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topLeftCell="A4" workbookViewId="0">
      <pane xSplit="4" ySplit="1" topLeftCell="EH5" activePane="bottomRight" state="frozen"/>
      <selection activeCell="A4" sqref="A4"/>
      <selection pane="topRight" activeCell="E4" sqref="E4"/>
      <selection pane="bottomLeft" activeCell="A5" sqref="A5"/>
      <selection pane="bottomRight" activeCell="EL30" sqref="EL30"/>
    </sheetView>
  </sheetViews>
  <sheetFormatPr defaultColWidth="10.42578125" defaultRowHeight="12.75"/>
  <cols>
    <col min="1" max="1" width="8.140625" style="265" customWidth="1"/>
    <col min="2" max="2" width="13.5703125" style="265" customWidth="1"/>
    <col min="3" max="3" width="12.5703125" style="266" customWidth="1"/>
    <col min="4" max="4" width="11.140625" style="266" customWidth="1"/>
    <col min="5" max="5" width="11" style="267" customWidth="1"/>
    <col min="6" max="17" width="12.42578125" style="527" customWidth="1"/>
    <col min="18" max="20" width="12.42578125" style="527" hidden="1" customWidth="1"/>
    <col min="21" max="23" width="12.42578125" style="527" customWidth="1"/>
    <col min="24" max="32" width="12.42578125" style="527" hidden="1" customWidth="1"/>
    <col min="33" max="56" width="12.42578125" style="527" customWidth="1"/>
    <col min="57" max="65" width="12.42578125" style="527" hidden="1" customWidth="1"/>
    <col min="66" max="269" width="12.42578125" style="527" customWidth="1"/>
    <col min="270" max="272" width="9.28515625" style="527" customWidth="1"/>
    <col min="273" max="303" width="5.5703125" style="527" customWidth="1"/>
    <col min="304" max="304" width="8.7109375" style="527" bestFit="1" customWidth="1"/>
    <col min="305" max="305" width="7.7109375" style="527" customWidth="1"/>
    <col min="306" max="306" width="21" style="527" bestFit="1" customWidth="1"/>
    <col min="307" max="307" width="19.85546875" style="527" bestFit="1" customWidth="1"/>
    <col min="308" max="16384" width="10.42578125" style="265"/>
  </cols>
  <sheetData>
    <row r="1" spans="1:308" ht="15.75">
      <c r="A1" s="568"/>
      <c r="B1" s="262"/>
      <c r="C1" s="263"/>
      <c r="D1" s="263"/>
      <c r="E1" s="264"/>
    </row>
    <row r="2" spans="1:308" ht="15.75">
      <c r="A2" s="568"/>
    </row>
    <row r="3" spans="1:308" ht="15">
      <c r="A3" s="569"/>
    </row>
    <row r="4" spans="1:308" ht="15.75">
      <c r="A4" s="499" t="s">
        <v>291</v>
      </c>
    </row>
    <row r="5" spans="1:308" ht="13.5" thickBot="1">
      <c r="F5" s="703" t="s">
        <v>311</v>
      </c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  <c r="Y5" s="704"/>
      <c r="Z5" s="704"/>
      <c r="AA5" s="704"/>
      <c r="AB5" s="704"/>
      <c r="AC5" s="704"/>
      <c r="AD5" s="704"/>
      <c r="AE5" s="704"/>
      <c r="AF5" s="704"/>
      <c r="AG5" s="704"/>
      <c r="AH5" s="704"/>
      <c r="AI5" s="704"/>
      <c r="AJ5" s="704"/>
      <c r="AK5" s="704"/>
      <c r="AL5" s="704"/>
      <c r="AM5" s="704"/>
      <c r="AN5" s="704"/>
      <c r="AO5" s="704"/>
      <c r="AP5" s="704"/>
      <c r="AQ5" s="704"/>
      <c r="AR5" s="704"/>
      <c r="AS5" s="704"/>
      <c r="AT5" s="704"/>
      <c r="AU5" s="704"/>
      <c r="AV5" s="704"/>
      <c r="AW5" s="704"/>
      <c r="AX5" s="704"/>
      <c r="AY5" s="704"/>
      <c r="AZ5" s="704"/>
      <c r="BA5" s="704"/>
      <c r="BB5" s="704"/>
      <c r="BC5" s="704"/>
      <c r="BD5" s="704"/>
      <c r="BE5" s="704"/>
      <c r="BF5" s="704"/>
      <c r="BG5" s="704"/>
      <c r="BH5" s="704"/>
      <c r="BI5" s="704"/>
      <c r="BJ5" s="704"/>
      <c r="BK5" s="704"/>
      <c r="BL5" s="704"/>
      <c r="BM5" s="704"/>
      <c r="BN5" s="704"/>
      <c r="BO5" s="704"/>
      <c r="BP5" s="704"/>
      <c r="BQ5" s="704"/>
      <c r="BR5" s="704"/>
      <c r="BS5" s="704"/>
      <c r="BT5" s="704"/>
      <c r="BU5" s="704"/>
      <c r="BV5" s="704"/>
      <c r="BW5" s="704"/>
      <c r="BX5" s="704"/>
      <c r="BY5" s="704"/>
      <c r="BZ5" s="704"/>
      <c r="CA5" s="704"/>
      <c r="CB5" s="704"/>
      <c r="CC5" s="704"/>
      <c r="CD5" s="704"/>
      <c r="CE5" s="704"/>
      <c r="CF5" s="704"/>
      <c r="CG5" s="704"/>
      <c r="CH5" s="704"/>
      <c r="CI5" s="704"/>
      <c r="CJ5" s="704"/>
      <c r="CK5" s="704"/>
      <c r="CL5" s="704"/>
      <c r="CM5" s="704"/>
      <c r="CN5" s="704"/>
      <c r="CO5" s="704"/>
      <c r="CP5" s="704"/>
      <c r="CQ5" s="704"/>
      <c r="CR5" s="704"/>
      <c r="CS5" s="704"/>
      <c r="CT5" s="704"/>
      <c r="CU5" s="704"/>
      <c r="CV5" s="704"/>
      <c r="CW5" s="704"/>
      <c r="CX5" s="704"/>
      <c r="CY5" s="704"/>
      <c r="CZ5" s="704"/>
      <c r="DA5" s="704"/>
      <c r="DB5" s="704"/>
      <c r="DC5" s="704"/>
      <c r="DD5" s="704"/>
      <c r="DE5" s="704"/>
      <c r="DF5" s="704"/>
      <c r="DG5" s="704"/>
      <c r="DH5" s="704"/>
      <c r="DI5" s="704"/>
      <c r="DJ5" s="704"/>
      <c r="DK5" s="704"/>
      <c r="DL5" s="704"/>
      <c r="DM5" s="704"/>
      <c r="DN5" s="704"/>
      <c r="DO5" s="704"/>
      <c r="DP5" s="704"/>
      <c r="DQ5" s="704"/>
      <c r="DR5" s="704"/>
      <c r="DS5" s="704"/>
      <c r="DT5" s="704"/>
      <c r="DU5" s="704"/>
      <c r="DV5" s="704"/>
      <c r="DW5" s="704"/>
      <c r="DX5" s="704"/>
      <c r="DY5" s="704"/>
      <c r="DZ5" s="704"/>
      <c r="EA5" s="704"/>
      <c r="EB5" s="704"/>
      <c r="EC5" s="704"/>
      <c r="ED5" s="704"/>
      <c r="EE5" s="704"/>
      <c r="EF5" s="704"/>
      <c r="EG5" s="704"/>
      <c r="EH5" s="704"/>
      <c r="EI5" s="704"/>
      <c r="EJ5" s="704"/>
      <c r="EK5" s="704"/>
      <c r="EL5" s="704"/>
      <c r="EM5" s="704"/>
      <c r="EN5" s="704"/>
      <c r="EO5" s="704"/>
      <c r="EP5" s="704"/>
      <c r="EQ5" s="704"/>
      <c r="ER5" s="704"/>
      <c r="ES5" s="704"/>
      <c r="ET5" s="704"/>
      <c r="EU5" s="704"/>
      <c r="EV5" s="704"/>
      <c r="EW5" s="704"/>
      <c r="EX5" s="704"/>
      <c r="EY5" s="704"/>
      <c r="EZ5" s="704"/>
      <c r="FA5" s="704"/>
      <c r="FB5" s="704"/>
      <c r="FC5" s="704"/>
      <c r="FD5" s="704"/>
      <c r="FE5" s="704"/>
      <c r="FF5" s="704"/>
      <c r="FG5" s="704"/>
      <c r="FH5" s="704"/>
      <c r="FI5" s="704"/>
      <c r="FJ5" s="704"/>
      <c r="FK5" s="704"/>
      <c r="FL5" s="704"/>
      <c r="FM5" s="704"/>
      <c r="FN5" s="704"/>
      <c r="FO5" s="704"/>
      <c r="FP5" s="704"/>
      <c r="FQ5" s="704"/>
      <c r="FR5" s="704"/>
      <c r="FS5" s="704"/>
      <c r="FT5" s="704"/>
      <c r="FU5" s="704"/>
      <c r="FV5" s="704"/>
      <c r="FW5" s="704"/>
      <c r="FX5" s="704"/>
      <c r="FY5" s="704"/>
      <c r="FZ5" s="704"/>
      <c r="GA5" s="704"/>
      <c r="GB5" s="704"/>
      <c r="GC5" s="705"/>
      <c r="GD5" s="703" t="s">
        <v>312</v>
      </c>
      <c r="GE5" s="704"/>
      <c r="GF5" s="704"/>
      <c r="GG5" s="704"/>
      <c r="GH5" s="704"/>
      <c r="GI5" s="704"/>
      <c r="GJ5" s="704"/>
      <c r="GK5" s="704"/>
      <c r="GL5" s="704"/>
      <c r="GM5" s="704"/>
      <c r="GN5" s="704"/>
      <c r="GO5" s="704"/>
      <c r="GP5" s="704"/>
      <c r="GQ5" s="704"/>
      <c r="GR5" s="704"/>
      <c r="GS5" s="704"/>
      <c r="GT5" s="704"/>
      <c r="GU5" s="704"/>
      <c r="GV5" s="704"/>
      <c r="GW5" s="704"/>
      <c r="GX5" s="704"/>
      <c r="GY5" s="704"/>
      <c r="GZ5" s="704"/>
      <c r="HA5" s="704"/>
      <c r="HB5" s="704"/>
      <c r="HC5" s="704"/>
      <c r="HD5" s="704"/>
      <c r="HE5" s="704"/>
      <c r="HF5" s="704"/>
      <c r="HG5" s="704"/>
      <c r="HH5" s="704"/>
      <c r="HI5" s="704"/>
      <c r="HJ5" s="704"/>
      <c r="HK5" s="704"/>
      <c r="HL5" s="704"/>
      <c r="HM5" s="704"/>
      <c r="HN5" s="704"/>
      <c r="HO5" s="704"/>
      <c r="HP5" s="704"/>
      <c r="HQ5" s="704"/>
      <c r="HR5" s="704"/>
      <c r="HS5" s="704"/>
      <c r="HT5" s="704"/>
      <c r="HU5" s="704"/>
      <c r="HV5" s="704"/>
      <c r="HW5" s="704"/>
      <c r="HX5" s="704"/>
      <c r="HY5" s="704"/>
      <c r="HZ5" s="704"/>
      <c r="IA5" s="704"/>
      <c r="IB5" s="704"/>
      <c r="IC5" s="704"/>
      <c r="ID5" s="704"/>
      <c r="IE5" s="704"/>
      <c r="IF5" s="704"/>
      <c r="IG5" s="704"/>
      <c r="IH5" s="704"/>
      <c r="II5" s="704"/>
      <c r="IJ5" s="704"/>
      <c r="IK5" s="704"/>
      <c r="IL5" s="704"/>
      <c r="IM5" s="704"/>
      <c r="IN5" s="704"/>
      <c r="IO5" s="704"/>
      <c r="IP5" s="704"/>
      <c r="IQ5" s="704"/>
      <c r="IR5" s="704"/>
      <c r="IS5" s="704"/>
      <c r="IT5" s="704"/>
      <c r="IU5" s="704"/>
      <c r="IV5" s="704"/>
      <c r="IW5" s="704"/>
      <c r="IX5" s="704"/>
      <c r="IY5" s="704"/>
      <c r="IZ5" s="704"/>
      <c r="JA5" s="704"/>
      <c r="JB5" s="704"/>
      <c r="JC5" s="704"/>
      <c r="JD5" s="704"/>
      <c r="JE5" s="704"/>
      <c r="JF5" s="704"/>
      <c r="JG5" s="704"/>
      <c r="JH5" s="704"/>
      <c r="JI5" s="704"/>
      <c r="JJ5" s="704"/>
      <c r="JK5" s="704"/>
      <c r="JL5" s="704"/>
      <c r="JM5" s="704"/>
      <c r="JN5" s="704"/>
      <c r="JO5" s="704"/>
      <c r="JP5" s="704"/>
      <c r="JQ5" s="704"/>
      <c r="JR5" s="704"/>
      <c r="JS5" s="704"/>
      <c r="JT5" s="704"/>
      <c r="JU5" s="704"/>
      <c r="JV5" s="704"/>
      <c r="JW5" s="704"/>
      <c r="JX5" s="704"/>
      <c r="JY5" s="704"/>
      <c r="JZ5" s="704"/>
      <c r="KA5" s="704"/>
      <c r="KB5" s="704"/>
      <c r="KC5" s="704"/>
      <c r="KD5" s="704"/>
      <c r="KE5" s="704"/>
      <c r="KF5" s="704"/>
      <c r="KG5" s="704"/>
      <c r="KH5" s="704"/>
      <c r="KI5" s="704"/>
      <c r="KJ5" s="704"/>
      <c r="KK5" s="704"/>
      <c r="KL5" s="704"/>
      <c r="KM5" s="704"/>
      <c r="KN5" s="704"/>
      <c r="KO5" s="704"/>
      <c r="KP5" s="704"/>
      <c r="KQ5" s="704"/>
      <c r="KR5" s="704"/>
      <c r="KS5" s="705"/>
      <c r="KT5" s="706" t="s">
        <v>313</v>
      </c>
      <c r="KU5" s="706" t="s">
        <v>312</v>
      </c>
    </row>
    <row r="6" spans="1:308">
      <c r="A6" s="707" t="s">
        <v>29</v>
      </c>
      <c r="B6" s="710" t="s">
        <v>4</v>
      </c>
      <c r="C6" s="710" t="s">
        <v>5</v>
      </c>
      <c r="D6" s="713" t="s">
        <v>41</v>
      </c>
      <c r="E6" s="716" t="s">
        <v>39</v>
      </c>
      <c r="F6" s="719" t="s">
        <v>314</v>
      </c>
      <c r="G6" s="720"/>
      <c r="H6" s="721"/>
      <c r="I6" s="719" t="s">
        <v>315</v>
      </c>
      <c r="J6" s="720"/>
      <c r="K6" s="721"/>
      <c r="L6" s="719" t="s">
        <v>316</v>
      </c>
      <c r="M6" s="720"/>
      <c r="N6" s="721"/>
      <c r="O6" s="719" t="s">
        <v>317</v>
      </c>
      <c r="P6" s="720"/>
      <c r="Q6" s="721"/>
      <c r="R6" s="719" t="s">
        <v>318</v>
      </c>
      <c r="S6" s="720"/>
      <c r="T6" s="721"/>
      <c r="U6" s="719" t="s">
        <v>319</v>
      </c>
      <c r="V6" s="720"/>
      <c r="W6" s="721"/>
      <c r="X6" s="719" t="s">
        <v>320</v>
      </c>
      <c r="Y6" s="720"/>
      <c r="Z6" s="721"/>
      <c r="AA6" s="719" t="s">
        <v>321</v>
      </c>
      <c r="AB6" s="720"/>
      <c r="AC6" s="721"/>
      <c r="AD6" s="719" t="s">
        <v>322</v>
      </c>
      <c r="AE6" s="720"/>
      <c r="AF6" s="721"/>
      <c r="AG6" s="719" t="s">
        <v>323</v>
      </c>
      <c r="AH6" s="720"/>
      <c r="AI6" s="721"/>
      <c r="AJ6" s="719" t="s">
        <v>324</v>
      </c>
      <c r="AK6" s="720"/>
      <c r="AL6" s="721"/>
      <c r="AM6" s="719" t="s">
        <v>325</v>
      </c>
      <c r="AN6" s="720"/>
      <c r="AO6" s="721"/>
      <c r="AP6" s="719" t="s">
        <v>326</v>
      </c>
      <c r="AQ6" s="720"/>
      <c r="AR6" s="721"/>
      <c r="AS6" s="719" t="s">
        <v>327</v>
      </c>
      <c r="AT6" s="720"/>
      <c r="AU6" s="721"/>
      <c r="AV6" s="719" t="s">
        <v>328</v>
      </c>
      <c r="AW6" s="720"/>
      <c r="AX6" s="721"/>
      <c r="AY6" s="722" t="s">
        <v>329</v>
      </c>
      <c r="AZ6" s="723"/>
      <c r="BA6" s="723"/>
      <c r="BB6" s="722" t="s">
        <v>330</v>
      </c>
      <c r="BC6" s="723"/>
      <c r="BD6" s="724"/>
      <c r="BE6" s="722" t="s">
        <v>331</v>
      </c>
      <c r="BF6" s="723"/>
      <c r="BG6" s="723"/>
      <c r="BH6" s="722" t="s">
        <v>332</v>
      </c>
      <c r="BI6" s="723"/>
      <c r="BJ6" s="724"/>
      <c r="BK6" s="722" t="s">
        <v>333</v>
      </c>
      <c r="BL6" s="723"/>
      <c r="BM6" s="723"/>
      <c r="BN6" s="722" t="s">
        <v>334</v>
      </c>
      <c r="BO6" s="723"/>
      <c r="BP6" s="724"/>
      <c r="BQ6" s="722" t="s">
        <v>335</v>
      </c>
      <c r="BR6" s="723"/>
      <c r="BS6" s="723"/>
      <c r="BT6" s="722" t="s">
        <v>336</v>
      </c>
      <c r="BU6" s="723"/>
      <c r="BV6" s="724"/>
      <c r="BW6" s="722" t="s">
        <v>337</v>
      </c>
      <c r="BX6" s="723"/>
      <c r="BY6" s="723"/>
      <c r="BZ6" s="722" t="s">
        <v>338</v>
      </c>
      <c r="CA6" s="723"/>
      <c r="CB6" s="724"/>
      <c r="CC6" s="722" t="s">
        <v>339</v>
      </c>
      <c r="CD6" s="723"/>
      <c r="CE6" s="723"/>
      <c r="CF6" s="722" t="s">
        <v>340</v>
      </c>
      <c r="CG6" s="723"/>
      <c r="CH6" s="724"/>
      <c r="CI6" s="722" t="s">
        <v>341</v>
      </c>
      <c r="CJ6" s="723"/>
      <c r="CK6" s="723"/>
      <c r="CL6" s="722" t="s">
        <v>342</v>
      </c>
      <c r="CM6" s="723"/>
      <c r="CN6" s="724"/>
      <c r="CO6" s="722" t="s">
        <v>343</v>
      </c>
      <c r="CP6" s="723"/>
      <c r="CQ6" s="723"/>
      <c r="CR6" s="722" t="s">
        <v>344</v>
      </c>
      <c r="CS6" s="723"/>
      <c r="CT6" s="724"/>
      <c r="CU6" s="722" t="s">
        <v>226</v>
      </c>
      <c r="CV6" s="723"/>
      <c r="CW6" s="723"/>
      <c r="CX6" s="722" t="s">
        <v>345</v>
      </c>
      <c r="CY6" s="723"/>
      <c r="CZ6" s="724"/>
      <c r="DA6" s="722" t="s">
        <v>346</v>
      </c>
      <c r="DB6" s="723"/>
      <c r="DC6" s="723"/>
      <c r="DD6" s="722" t="s">
        <v>347</v>
      </c>
      <c r="DE6" s="723"/>
      <c r="DF6" s="724"/>
      <c r="DG6" s="722" t="s">
        <v>348</v>
      </c>
      <c r="DH6" s="723"/>
      <c r="DI6" s="723"/>
      <c r="DJ6" s="722" t="s">
        <v>349</v>
      </c>
      <c r="DK6" s="723"/>
      <c r="DL6" s="724"/>
      <c r="DM6" s="722" t="s">
        <v>350</v>
      </c>
      <c r="DN6" s="723"/>
      <c r="DO6" s="723"/>
      <c r="DP6" s="722" t="s">
        <v>351</v>
      </c>
      <c r="DQ6" s="723"/>
      <c r="DR6" s="724"/>
      <c r="DS6" s="722" t="s">
        <v>352</v>
      </c>
      <c r="DT6" s="723"/>
      <c r="DU6" s="723"/>
      <c r="DV6" s="722" t="s">
        <v>353</v>
      </c>
      <c r="DW6" s="723"/>
      <c r="DX6" s="724"/>
      <c r="DY6" s="722" t="s">
        <v>354</v>
      </c>
      <c r="DZ6" s="723"/>
      <c r="EA6" s="723"/>
      <c r="EB6" s="722" t="s">
        <v>383</v>
      </c>
      <c r="EC6" s="723"/>
      <c r="ED6" s="724"/>
      <c r="EE6" s="722" t="s">
        <v>419</v>
      </c>
      <c r="EF6" s="723"/>
      <c r="EG6" s="723"/>
      <c r="EH6" s="722" t="s">
        <v>420</v>
      </c>
      <c r="EI6" s="723"/>
      <c r="EJ6" s="724"/>
      <c r="EK6" s="722" t="s">
        <v>446</v>
      </c>
      <c r="EL6" s="723"/>
      <c r="EM6" s="723"/>
      <c r="EN6" s="722"/>
      <c r="EO6" s="723"/>
      <c r="EP6" s="724"/>
      <c r="EQ6" s="722"/>
      <c r="ER6" s="723"/>
      <c r="ES6" s="723"/>
      <c r="ET6" s="722"/>
      <c r="EU6" s="723"/>
      <c r="EV6" s="724"/>
      <c r="EW6" s="722"/>
      <c r="EX6" s="723"/>
      <c r="EY6" s="723"/>
      <c r="EZ6" s="722"/>
      <c r="FA6" s="723"/>
      <c r="FB6" s="724"/>
      <c r="FC6" s="722"/>
      <c r="FD6" s="723"/>
      <c r="FE6" s="723"/>
      <c r="FF6" s="722"/>
      <c r="FG6" s="723"/>
      <c r="FH6" s="724"/>
      <c r="FI6" s="722"/>
      <c r="FJ6" s="723"/>
      <c r="FK6" s="723"/>
      <c r="FL6" s="722"/>
      <c r="FM6" s="723"/>
      <c r="FN6" s="724"/>
      <c r="FO6" s="722"/>
      <c r="FP6" s="723"/>
      <c r="FQ6" s="723"/>
      <c r="FR6" s="722"/>
      <c r="FS6" s="723"/>
      <c r="FT6" s="724"/>
      <c r="FU6" s="722"/>
      <c r="FV6" s="723"/>
      <c r="FW6" s="723"/>
      <c r="FX6" s="722"/>
      <c r="FY6" s="723"/>
      <c r="FZ6" s="724"/>
      <c r="GA6" s="722"/>
      <c r="GB6" s="723"/>
      <c r="GC6" s="723"/>
      <c r="GD6" s="722" t="s">
        <v>355</v>
      </c>
      <c r="GE6" s="723"/>
      <c r="GF6" s="724"/>
      <c r="GG6" s="722" t="s">
        <v>356</v>
      </c>
      <c r="GH6" s="723"/>
      <c r="GI6" s="723"/>
      <c r="GJ6" s="722" t="s">
        <v>357</v>
      </c>
      <c r="GK6" s="723"/>
      <c r="GL6" s="724"/>
      <c r="GM6" s="722" t="s">
        <v>358</v>
      </c>
      <c r="GN6" s="723"/>
      <c r="GO6" s="723"/>
      <c r="GP6" s="722" t="s">
        <v>359</v>
      </c>
      <c r="GQ6" s="723"/>
      <c r="GR6" s="724"/>
      <c r="GS6" s="722" t="s">
        <v>360</v>
      </c>
      <c r="GT6" s="723"/>
      <c r="GU6" s="723"/>
      <c r="GV6" s="722" t="s">
        <v>361</v>
      </c>
      <c r="GW6" s="723"/>
      <c r="GX6" s="724"/>
      <c r="GY6" s="722" t="s">
        <v>362</v>
      </c>
      <c r="GZ6" s="723"/>
      <c r="HA6" s="723"/>
      <c r="HB6" s="722" t="s">
        <v>338</v>
      </c>
      <c r="HC6" s="723"/>
      <c r="HD6" s="724"/>
      <c r="HE6" s="722" t="s">
        <v>353</v>
      </c>
      <c r="HF6" s="723"/>
      <c r="HG6" s="723"/>
      <c r="HH6" s="722" t="s">
        <v>352</v>
      </c>
      <c r="HI6" s="723"/>
      <c r="HJ6" s="724"/>
      <c r="HK6" s="722" t="s">
        <v>334</v>
      </c>
      <c r="HL6" s="723"/>
      <c r="HM6" s="723"/>
      <c r="HN6" s="722" t="s">
        <v>363</v>
      </c>
      <c r="HO6" s="723"/>
      <c r="HP6" s="724"/>
      <c r="HQ6" s="722" t="s">
        <v>226</v>
      </c>
      <c r="HR6" s="723"/>
      <c r="HS6" s="723"/>
      <c r="HT6" s="722" t="s">
        <v>364</v>
      </c>
      <c r="HU6" s="723"/>
      <c r="HV6" s="724"/>
      <c r="HW6" s="722" t="s">
        <v>365</v>
      </c>
      <c r="HX6" s="723"/>
      <c r="HY6" s="723"/>
      <c r="HZ6" s="722" t="s">
        <v>366</v>
      </c>
      <c r="IA6" s="723"/>
      <c r="IB6" s="724"/>
      <c r="IC6" s="722" t="s">
        <v>367</v>
      </c>
      <c r="ID6" s="723"/>
      <c r="IE6" s="723"/>
      <c r="IF6" s="722" t="s">
        <v>368</v>
      </c>
      <c r="IG6" s="723"/>
      <c r="IH6" s="724"/>
      <c r="II6" s="725" t="s">
        <v>340</v>
      </c>
      <c r="IJ6" s="725"/>
      <c r="IK6" s="725"/>
      <c r="IL6" s="722" t="s">
        <v>343</v>
      </c>
      <c r="IM6" s="723"/>
      <c r="IN6" s="724"/>
      <c r="IO6" s="722" t="s">
        <v>344</v>
      </c>
      <c r="IP6" s="723"/>
      <c r="IQ6" s="723"/>
      <c r="IR6" s="722" t="s">
        <v>339</v>
      </c>
      <c r="IS6" s="723"/>
      <c r="IT6" s="724"/>
      <c r="IU6" s="722" t="s">
        <v>369</v>
      </c>
      <c r="IV6" s="723"/>
      <c r="IW6" s="723"/>
      <c r="IX6" s="722" t="s">
        <v>346</v>
      </c>
      <c r="IY6" s="723"/>
      <c r="IZ6" s="724"/>
      <c r="JA6" s="722" t="s">
        <v>370</v>
      </c>
      <c r="JB6" s="723"/>
      <c r="JC6" s="723"/>
      <c r="JD6" s="722" t="s">
        <v>371</v>
      </c>
      <c r="JE6" s="723"/>
      <c r="JF6" s="724"/>
      <c r="JG6" s="722" t="s">
        <v>372</v>
      </c>
      <c r="JH6" s="723"/>
      <c r="JI6" s="723"/>
      <c r="JJ6" s="722" t="s">
        <v>384</v>
      </c>
      <c r="JK6" s="723"/>
      <c r="JL6" s="724"/>
      <c r="JM6" s="722"/>
      <c r="JN6" s="723"/>
      <c r="JO6" s="723"/>
      <c r="JP6" s="722"/>
      <c r="JQ6" s="723"/>
      <c r="JR6" s="724"/>
      <c r="JS6" s="722"/>
      <c r="JT6" s="723"/>
      <c r="JU6" s="723"/>
      <c r="JV6" s="722"/>
      <c r="JW6" s="723"/>
      <c r="JX6" s="724"/>
      <c r="JY6" s="722"/>
      <c r="JZ6" s="723"/>
      <c r="KA6" s="723"/>
      <c r="KB6" s="722"/>
      <c r="KC6" s="723"/>
      <c r="KD6" s="724"/>
      <c r="KE6" s="722"/>
      <c r="KF6" s="723"/>
      <c r="KG6" s="723"/>
      <c r="KH6" s="722"/>
      <c r="KI6" s="723"/>
      <c r="KJ6" s="724"/>
      <c r="KK6" s="722"/>
      <c r="KL6" s="723"/>
      <c r="KM6" s="723"/>
      <c r="KN6" s="722"/>
      <c r="KO6" s="723"/>
      <c r="KP6" s="724"/>
      <c r="KQ6" s="725"/>
      <c r="KR6" s="725"/>
      <c r="KS6" s="725"/>
      <c r="KT6" s="706"/>
      <c r="KU6" s="706"/>
    </row>
    <row r="7" spans="1:308">
      <c r="A7" s="708"/>
      <c r="B7" s="711"/>
      <c r="C7" s="711"/>
      <c r="D7" s="714"/>
      <c r="E7" s="717"/>
      <c r="F7" s="719" t="s">
        <v>134</v>
      </c>
      <c r="G7" s="721"/>
      <c r="H7" s="528" t="s">
        <v>373</v>
      </c>
      <c r="I7" s="719" t="s">
        <v>134</v>
      </c>
      <c r="J7" s="721"/>
      <c r="K7" s="528" t="s">
        <v>373</v>
      </c>
      <c r="L7" s="719" t="s">
        <v>134</v>
      </c>
      <c r="M7" s="721"/>
      <c r="N7" s="528" t="s">
        <v>373</v>
      </c>
      <c r="O7" s="719" t="s">
        <v>134</v>
      </c>
      <c r="P7" s="721"/>
      <c r="Q7" s="528" t="s">
        <v>373</v>
      </c>
      <c r="R7" s="719" t="s">
        <v>134</v>
      </c>
      <c r="S7" s="721"/>
      <c r="T7" s="528" t="s">
        <v>373</v>
      </c>
      <c r="U7" s="719" t="s">
        <v>134</v>
      </c>
      <c r="V7" s="721"/>
      <c r="W7" s="528" t="s">
        <v>373</v>
      </c>
      <c r="X7" s="719" t="s">
        <v>134</v>
      </c>
      <c r="Y7" s="721"/>
      <c r="Z7" s="528" t="s">
        <v>373</v>
      </c>
      <c r="AA7" s="719" t="s">
        <v>134</v>
      </c>
      <c r="AB7" s="721"/>
      <c r="AC7" s="528" t="s">
        <v>373</v>
      </c>
      <c r="AD7" s="719" t="s">
        <v>134</v>
      </c>
      <c r="AE7" s="721"/>
      <c r="AF7" s="528" t="s">
        <v>373</v>
      </c>
      <c r="AG7" s="719" t="s">
        <v>134</v>
      </c>
      <c r="AH7" s="721"/>
      <c r="AI7" s="528" t="s">
        <v>373</v>
      </c>
      <c r="AJ7" s="719" t="s">
        <v>134</v>
      </c>
      <c r="AK7" s="721"/>
      <c r="AL7" s="528" t="s">
        <v>373</v>
      </c>
      <c r="AM7" s="719" t="s">
        <v>134</v>
      </c>
      <c r="AN7" s="721"/>
      <c r="AO7" s="528" t="s">
        <v>373</v>
      </c>
      <c r="AP7" s="719" t="s">
        <v>134</v>
      </c>
      <c r="AQ7" s="721"/>
      <c r="AR7" s="528" t="s">
        <v>373</v>
      </c>
      <c r="AS7" s="719" t="s">
        <v>134</v>
      </c>
      <c r="AT7" s="721"/>
      <c r="AU7" s="528" t="s">
        <v>373</v>
      </c>
      <c r="AV7" s="719" t="s">
        <v>134</v>
      </c>
      <c r="AW7" s="721"/>
      <c r="AX7" s="528" t="s">
        <v>373</v>
      </c>
      <c r="AY7" s="719" t="s">
        <v>134</v>
      </c>
      <c r="AZ7" s="721"/>
      <c r="BA7" s="528" t="s">
        <v>373</v>
      </c>
      <c r="BB7" s="719" t="s">
        <v>134</v>
      </c>
      <c r="BC7" s="721"/>
      <c r="BD7" s="528" t="s">
        <v>373</v>
      </c>
      <c r="BE7" s="719" t="s">
        <v>134</v>
      </c>
      <c r="BF7" s="721"/>
      <c r="BG7" s="528" t="s">
        <v>373</v>
      </c>
      <c r="BH7" s="719" t="s">
        <v>134</v>
      </c>
      <c r="BI7" s="721"/>
      <c r="BJ7" s="528" t="s">
        <v>373</v>
      </c>
      <c r="BK7" s="719" t="s">
        <v>134</v>
      </c>
      <c r="BL7" s="721"/>
      <c r="BM7" s="528" t="s">
        <v>373</v>
      </c>
      <c r="BN7" s="719" t="s">
        <v>134</v>
      </c>
      <c r="BO7" s="721"/>
      <c r="BP7" s="528" t="s">
        <v>373</v>
      </c>
      <c r="BQ7" s="719" t="s">
        <v>134</v>
      </c>
      <c r="BR7" s="721"/>
      <c r="BS7" s="528" t="s">
        <v>373</v>
      </c>
      <c r="BT7" s="719" t="s">
        <v>134</v>
      </c>
      <c r="BU7" s="721"/>
      <c r="BV7" s="528" t="s">
        <v>373</v>
      </c>
      <c r="BW7" s="719" t="s">
        <v>134</v>
      </c>
      <c r="BX7" s="721"/>
      <c r="BY7" s="528" t="s">
        <v>373</v>
      </c>
      <c r="BZ7" s="719" t="s">
        <v>134</v>
      </c>
      <c r="CA7" s="721"/>
      <c r="CB7" s="528" t="s">
        <v>373</v>
      </c>
      <c r="CC7" s="719" t="s">
        <v>134</v>
      </c>
      <c r="CD7" s="721"/>
      <c r="CE7" s="528" t="s">
        <v>373</v>
      </c>
      <c r="CF7" s="719" t="s">
        <v>134</v>
      </c>
      <c r="CG7" s="721"/>
      <c r="CH7" s="528" t="s">
        <v>373</v>
      </c>
      <c r="CI7" s="719" t="s">
        <v>134</v>
      </c>
      <c r="CJ7" s="721"/>
      <c r="CK7" s="528" t="s">
        <v>373</v>
      </c>
      <c r="CL7" s="719" t="s">
        <v>134</v>
      </c>
      <c r="CM7" s="721"/>
      <c r="CN7" s="528" t="s">
        <v>373</v>
      </c>
      <c r="CO7" s="719" t="s">
        <v>134</v>
      </c>
      <c r="CP7" s="721"/>
      <c r="CQ7" s="528" t="s">
        <v>373</v>
      </c>
      <c r="CR7" s="719" t="s">
        <v>134</v>
      </c>
      <c r="CS7" s="721"/>
      <c r="CT7" s="528" t="s">
        <v>373</v>
      </c>
      <c r="CU7" s="719" t="s">
        <v>134</v>
      </c>
      <c r="CV7" s="721"/>
      <c r="CW7" s="528" t="s">
        <v>373</v>
      </c>
      <c r="CX7" s="719" t="s">
        <v>134</v>
      </c>
      <c r="CY7" s="721"/>
      <c r="CZ7" s="528" t="s">
        <v>373</v>
      </c>
      <c r="DA7" s="719" t="s">
        <v>134</v>
      </c>
      <c r="DB7" s="721"/>
      <c r="DC7" s="528" t="s">
        <v>373</v>
      </c>
      <c r="DD7" s="719" t="s">
        <v>134</v>
      </c>
      <c r="DE7" s="721"/>
      <c r="DF7" s="528" t="s">
        <v>373</v>
      </c>
      <c r="DG7" s="719" t="s">
        <v>134</v>
      </c>
      <c r="DH7" s="721"/>
      <c r="DI7" s="528" t="s">
        <v>373</v>
      </c>
      <c r="DJ7" s="719" t="s">
        <v>134</v>
      </c>
      <c r="DK7" s="721"/>
      <c r="DL7" s="528" t="s">
        <v>373</v>
      </c>
      <c r="DM7" s="719" t="s">
        <v>134</v>
      </c>
      <c r="DN7" s="721"/>
      <c r="DO7" s="528" t="s">
        <v>373</v>
      </c>
      <c r="DP7" s="719" t="s">
        <v>134</v>
      </c>
      <c r="DQ7" s="721"/>
      <c r="DR7" s="528" t="s">
        <v>373</v>
      </c>
      <c r="DS7" s="719" t="s">
        <v>134</v>
      </c>
      <c r="DT7" s="721"/>
      <c r="DU7" s="528" t="s">
        <v>373</v>
      </c>
      <c r="DV7" s="719" t="s">
        <v>134</v>
      </c>
      <c r="DW7" s="721"/>
      <c r="DX7" s="528" t="s">
        <v>373</v>
      </c>
      <c r="DY7" s="719" t="s">
        <v>134</v>
      </c>
      <c r="DZ7" s="721"/>
      <c r="EA7" s="528" t="s">
        <v>373</v>
      </c>
      <c r="EB7" s="719" t="s">
        <v>134</v>
      </c>
      <c r="EC7" s="721"/>
      <c r="ED7" s="528" t="s">
        <v>373</v>
      </c>
      <c r="EE7" s="719" t="s">
        <v>134</v>
      </c>
      <c r="EF7" s="721"/>
      <c r="EG7" s="528" t="s">
        <v>373</v>
      </c>
      <c r="EH7" s="719" t="s">
        <v>134</v>
      </c>
      <c r="EI7" s="721"/>
      <c r="EJ7" s="528" t="s">
        <v>373</v>
      </c>
      <c r="EK7" s="719" t="s">
        <v>134</v>
      </c>
      <c r="EL7" s="721"/>
      <c r="EM7" s="528" t="s">
        <v>373</v>
      </c>
      <c r="EN7" s="719" t="s">
        <v>134</v>
      </c>
      <c r="EO7" s="721"/>
      <c r="EP7" s="528" t="s">
        <v>373</v>
      </c>
      <c r="EQ7" s="719" t="s">
        <v>134</v>
      </c>
      <c r="ER7" s="721"/>
      <c r="ES7" s="528" t="s">
        <v>373</v>
      </c>
      <c r="ET7" s="719" t="s">
        <v>134</v>
      </c>
      <c r="EU7" s="721"/>
      <c r="EV7" s="528" t="s">
        <v>373</v>
      </c>
      <c r="EW7" s="719" t="s">
        <v>134</v>
      </c>
      <c r="EX7" s="721"/>
      <c r="EY7" s="528" t="s">
        <v>373</v>
      </c>
      <c r="EZ7" s="719" t="s">
        <v>134</v>
      </c>
      <c r="FA7" s="721"/>
      <c r="FB7" s="528" t="s">
        <v>373</v>
      </c>
      <c r="FC7" s="719" t="s">
        <v>134</v>
      </c>
      <c r="FD7" s="721"/>
      <c r="FE7" s="528" t="s">
        <v>373</v>
      </c>
      <c r="FF7" s="719" t="s">
        <v>134</v>
      </c>
      <c r="FG7" s="721"/>
      <c r="FH7" s="528" t="s">
        <v>373</v>
      </c>
      <c r="FI7" s="719" t="s">
        <v>134</v>
      </c>
      <c r="FJ7" s="721"/>
      <c r="FK7" s="528" t="s">
        <v>373</v>
      </c>
      <c r="FL7" s="719" t="s">
        <v>134</v>
      </c>
      <c r="FM7" s="721"/>
      <c r="FN7" s="528" t="s">
        <v>373</v>
      </c>
      <c r="FO7" s="719" t="s">
        <v>134</v>
      </c>
      <c r="FP7" s="721"/>
      <c r="FQ7" s="528" t="s">
        <v>373</v>
      </c>
      <c r="FR7" s="719" t="s">
        <v>134</v>
      </c>
      <c r="FS7" s="721"/>
      <c r="FT7" s="528" t="s">
        <v>373</v>
      </c>
      <c r="FU7" s="719" t="s">
        <v>134</v>
      </c>
      <c r="FV7" s="721"/>
      <c r="FW7" s="528" t="s">
        <v>373</v>
      </c>
      <c r="FX7" s="719" t="s">
        <v>134</v>
      </c>
      <c r="FY7" s="721"/>
      <c r="FZ7" s="528" t="s">
        <v>373</v>
      </c>
      <c r="GA7" s="719" t="s">
        <v>134</v>
      </c>
      <c r="GB7" s="721"/>
      <c r="GC7" s="528" t="s">
        <v>373</v>
      </c>
      <c r="GD7" s="719" t="s">
        <v>134</v>
      </c>
      <c r="GE7" s="721"/>
      <c r="GF7" s="528" t="s">
        <v>373</v>
      </c>
      <c r="GG7" s="719" t="s">
        <v>134</v>
      </c>
      <c r="GH7" s="721"/>
      <c r="GI7" s="528" t="s">
        <v>373</v>
      </c>
      <c r="GJ7" s="719" t="s">
        <v>134</v>
      </c>
      <c r="GK7" s="721"/>
      <c r="GL7" s="528" t="s">
        <v>373</v>
      </c>
      <c r="GM7" s="719" t="s">
        <v>134</v>
      </c>
      <c r="GN7" s="721"/>
      <c r="GO7" s="528" t="s">
        <v>373</v>
      </c>
      <c r="GP7" s="719" t="s">
        <v>134</v>
      </c>
      <c r="GQ7" s="721"/>
      <c r="GR7" s="528" t="s">
        <v>373</v>
      </c>
      <c r="GS7" s="719" t="s">
        <v>134</v>
      </c>
      <c r="GT7" s="721"/>
      <c r="GU7" s="528" t="s">
        <v>373</v>
      </c>
      <c r="GV7" s="719" t="s">
        <v>134</v>
      </c>
      <c r="GW7" s="721"/>
      <c r="GX7" s="528" t="s">
        <v>373</v>
      </c>
      <c r="GY7" s="719" t="s">
        <v>134</v>
      </c>
      <c r="GZ7" s="721"/>
      <c r="HA7" s="528" t="s">
        <v>373</v>
      </c>
      <c r="HB7" s="719" t="s">
        <v>134</v>
      </c>
      <c r="HC7" s="721"/>
      <c r="HD7" s="528" t="s">
        <v>373</v>
      </c>
      <c r="HE7" s="719" t="s">
        <v>134</v>
      </c>
      <c r="HF7" s="721"/>
      <c r="HG7" s="528" t="s">
        <v>373</v>
      </c>
      <c r="HH7" s="719" t="s">
        <v>134</v>
      </c>
      <c r="HI7" s="721"/>
      <c r="HJ7" s="528" t="s">
        <v>373</v>
      </c>
      <c r="HK7" s="719" t="s">
        <v>134</v>
      </c>
      <c r="HL7" s="721"/>
      <c r="HM7" s="528" t="s">
        <v>373</v>
      </c>
      <c r="HN7" s="719" t="s">
        <v>134</v>
      </c>
      <c r="HO7" s="721"/>
      <c r="HP7" s="528" t="s">
        <v>373</v>
      </c>
      <c r="HQ7" s="719" t="s">
        <v>134</v>
      </c>
      <c r="HR7" s="721"/>
      <c r="HS7" s="528" t="s">
        <v>373</v>
      </c>
      <c r="HT7" s="719" t="s">
        <v>134</v>
      </c>
      <c r="HU7" s="721"/>
      <c r="HV7" s="528" t="s">
        <v>373</v>
      </c>
      <c r="HW7" s="719" t="s">
        <v>134</v>
      </c>
      <c r="HX7" s="721"/>
      <c r="HY7" s="528" t="s">
        <v>373</v>
      </c>
      <c r="HZ7" s="719" t="s">
        <v>134</v>
      </c>
      <c r="IA7" s="721"/>
      <c r="IB7" s="528" t="s">
        <v>373</v>
      </c>
      <c r="IC7" s="719" t="s">
        <v>134</v>
      </c>
      <c r="ID7" s="721"/>
      <c r="IE7" s="528" t="s">
        <v>373</v>
      </c>
      <c r="IF7" s="719" t="s">
        <v>134</v>
      </c>
      <c r="IG7" s="721"/>
      <c r="IH7" s="528" t="s">
        <v>373</v>
      </c>
      <c r="II7" s="725" t="s">
        <v>134</v>
      </c>
      <c r="IJ7" s="725"/>
      <c r="IK7" s="529" t="s">
        <v>373</v>
      </c>
      <c r="IL7" s="719" t="s">
        <v>134</v>
      </c>
      <c r="IM7" s="721"/>
      <c r="IN7" s="528" t="s">
        <v>373</v>
      </c>
      <c r="IO7" s="719" t="s">
        <v>134</v>
      </c>
      <c r="IP7" s="721"/>
      <c r="IQ7" s="528" t="s">
        <v>373</v>
      </c>
      <c r="IR7" s="719" t="s">
        <v>134</v>
      </c>
      <c r="IS7" s="721"/>
      <c r="IT7" s="528" t="s">
        <v>373</v>
      </c>
      <c r="IU7" s="719" t="s">
        <v>134</v>
      </c>
      <c r="IV7" s="721"/>
      <c r="IW7" s="528" t="s">
        <v>373</v>
      </c>
      <c r="IX7" s="719" t="s">
        <v>134</v>
      </c>
      <c r="IY7" s="721"/>
      <c r="IZ7" s="528" t="s">
        <v>373</v>
      </c>
      <c r="JA7" s="719" t="s">
        <v>134</v>
      </c>
      <c r="JB7" s="721"/>
      <c r="JC7" s="528" t="s">
        <v>373</v>
      </c>
      <c r="JD7" s="719" t="s">
        <v>134</v>
      </c>
      <c r="JE7" s="721"/>
      <c r="JF7" s="528" t="s">
        <v>373</v>
      </c>
      <c r="JG7" s="719" t="s">
        <v>134</v>
      </c>
      <c r="JH7" s="721"/>
      <c r="JI7" s="528" t="s">
        <v>373</v>
      </c>
      <c r="JJ7" s="719" t="s">
        <v>134</v>
      </c>
      <c r="JK7" s="721"/>
      <c r="JL7" s="528" t="s">
        <v>373</v>
      </c>
      <c r="JM7" s="719" t="s">
        <v>134</v>
      </c>
      <c r="JN7" s="721"/>
      <c r="JO7" s="528" t="s">
        <v>373</v>
      </c>
      <c r="JP7" s="719" t="s">
        <v>134</v>
      </c>
      <c r="JQ7" s="721"/>
      <c r="JR7" s="528" t="s">
        <v>373</v>
      </c>
      <c r="JS7" s="719" t="s">
        <v>134</v>
      </c>
      <c r="JT7" s="721"/>
      <c r="JU7" s="528" t="s">
        <v>373</v>
      </c>
      <c r="JV7" s="719" t="s">
        <v>134</v>
      </c>
      <c r="JW7" s="721"/>
      <c r="JX7" s="528" t="s">
        <v>373</v>
      </c>
      <c r="JY7" s="719" t="s">
        <v>134</v>
      </c>
      <c r="JZ7" s="721"/>
      <c r="KA7" s="528" t="s">
        <v>373</v>
      </c>
      <c r="KB7" s="719" t="s">
        <v>134</v>
      </c>
      <c r="KC7" s="721"/>
      <c r="KD7" s="528" t="s">
        <v>373</v>
      </c>
      <c r="KE7" s="719" t="s">
        <v>134</v>
      </c>
      <c r="KF7" s="721"/>
      <c r="KG7" s="528" t="s">
        <v>373</v>
      </c>
      <c r="KH7" s="719" t="s">
        <v>134</v>
      </c>
      <c r="KI7" s="721"/>
      <c r="KJ7" s="528" t="s">
        <v>373</v>
      </c>
      <c r="KK7" s="719" t="s">
        <v>134</v>
      </c>
      <c r="KL7" s="721"/>
      <c r="KM7" s="528" t="s">
        <v>373</v>
      </c>
      <c r="KN7" s="719" t="s">
        <v>134</v>
      </c>
      <c r="KO7" s="721"/>
      <c r="KP7" s="528" t="s">
        <v>373</v>
      </c>
      <c r="KQ7" s="725" t="s">
        <v>134</v>
      </c>
      <c r="KR7" s="725"/>
      <c r="KS7" s="529" t="s">
        <v>373</v>
      </c>
      <c r="KT7" s="706"/>
      <c r="KU7" s="706"/>
    </row>
    <row r="8" spans="1:308" ht="13.5" thickBot="1">
      <c r="A8" s="709"/>
      <c r="B8" s="712"/>
      <c r="C8" s="712"/>
      <c r="D8" s="715"/>
      <c r="E8" s="718"/>
      <c r="F8" s="545" t="s">
        <v>136</v>
      </c>
      <c r="G8" s="545" t="s">
        <v>40</v>
      </c>
      <c r="H8" s="546"/>
      <c r="I8" s="545" t="s">
        <v>136</v>
      </c>
      <c r="J8" s="545" t="s">
        <v>40</v>
      </c>
      <c r="K8" s="546"/>
      <c r="L8" s="545" t="s">
        <v>136</v>
      </c>
      <c r="M8" s="545" t="s">
        <v>40</v>
      </c>
      <c r="N8" s="546"/>
      <c r="O8" s="545" t="s">
        <v>136</v>
      </c>
      <c r="P8" s="545" t="s">
        <v>40</v>
      </c>
      <c r="Q8" s="546"/>
      <c r="R8" s="545" t="s">
        <v>136</v>
      </c>
      <c r="S8" s="545" t="s">
        <v>40</v>
      </c>
      <c r="T8" s="546"/>
      <c r="U8" s="545" t="s">
        <v>136</v>
      </c>
      <c r="V8" s="545" t="s">
        <v>40</v>
      </c>
      <c r="W8" s="546"/>
      <c r="X8" s="545" t="s">
        <v>136</v>
      </c>
      <c r="Y8" s="545" t="s">
        <v>40</v>
      </c>
      <c r="Z8" s="546"/>
      <c r="AA8" s="545" t="s">
        <v>136</v>
      </c>
      <c r="AB8" s="545" t="s">
        <v>40</v>
      </c>
      <c r="AC8" s="546"/>
      <c r="AD8" s="545" t="s">
        <v>136</v>
      </c>
      <c r="AE8" s="545" t="s">
        <v>40</v>
      </c>
      <c r="AF8" s="546"/>
      <c r="AG8" s="545" t="s">
        <v>136</v>
      </c>
      <c r="AH8" s="545" t="s">
        <v>40</v>
      </c>
      <c r="AI8" s="546"/>
      <c r="AJ8" s="545" t="s">
        <v>136</v>
      </c>
      <c r="AK8" s="545" t="s">
        <v>40</v>
      </c>
      <c r="AL8" s="546"/>
      <c r="AM8" s="545" t="s">
        <v>136</v>
      </c>
      <c r="AN8" s="545" t="s">
        <v>40</v>
      </c>
      <c r="AO8" s="546"/>
      <c r="AP8" s="545" t="s">
        <v>136</v>
      </c>
      <c r="AQ8" s="545" t="s">
        <v>40</v>
      </c>
      <c r="AR8" s="546"/>
      <c r="AS8" s="545" t="s">
        <v>136</v>
      </c>
      <c r="AT8" s="545" t="s">
        <v>40</v>
      </c>
      <c r="AU8" s="546"/>
      <c r="AV8" s="545" t="s">
        <v>136</v>
      </c>
      <c r="AW8" s="545" t="s">
        <v>40</v>
      </c>
      <c r="AX8" s="546"/>
      <c r="AY8" s="545" t="s">
        <v>136</v>
      </c>
      <c r="AZ8" s="545" t="s">
        <v>40</v>
      </c>
      <c r="BA8" s="546"/>
      <c r="BB8" s="545" t="s">
        <v>136</v>
      </c>
      <c r="BC8" s="545" t="s">
        <v>40</v>
      </c>
      <c r="BD8" s="546"/>
      <c r="BE8" s="545" t="s">
        <v>136</v>
      </c>
      <c r="BF8" s="545" t="s">
        <v>40</v>
      </c>
      <c r="BG8" s="546"/>
      <c r="BH8" s="545" t="s">
        <v>136</v>
      </c>
      <c r="BI8" s="545" t="s">
        <v>40</v>
      </c>
      <c r="BJ8" s="546"/>
      <c r="BK8" s="545" t="s">
        <v>136</v>
      </c>
      <c r="BL8" s="545" t="s">
        <v>40</v>
      </c>
      <c r="BM8" s="546"/>
      <c r="BN8" s="545" t="s">
        <v>136</v>
      </c>
      <c r="BO8" s="545" t="s">
        <v>40</v>
      </c>
      <c r="BP8" s="546"/>
      <c r="BQ8" s="545" t="s">
        <v>136</v>
      </c>
      <c r="BR8" s="545" t="s">
        <v>40</v>
      </c>
      <c r="BS8" s="546"/>
      <c r="BT8" s="545" t="s">
        <v>136</v>
      </c>
      <c r="BU8" s="545" t="s">
        <v>40</v>
      </c>
      <c r="BV8" s="546"/>
      <c r="BW8" s="545" t="s">
        <v>136</v>
      </c>
      <c r="BX8" s="545" t="s">
        <v>40</v>
      </c>
      <c r="BY8" s="546"/>
      <c r="BZ8" s="545" t="s">
        <v>136</v>
      </c>
      <c r="CA8" s="545" t="s">
        <v>40</v>
      </c>
      <c r="CB8" s="546"/>
      <c r="CC8" s="545" t="s">
        <v>136</v>
      </c>
      <c r="CD8" s="545" t="s">
        <v>40</v>
      </c>
      <c r="CE8" s="546"/>
      <c r="CF8" s="545" t="s">
        <v>136</v>
      </c>
      <c r="CG8" s="545" t="s">
        <v>40</v>
      </c>
      <c r="CH8" s="546"/>
      <c r="CI8" s="545" t="s">
        <v>136</v>
      </c>
      <c r="CJ8" s="545" t="s">
        <v>40</v>
      </c>
      <c r="CK8" s="546"/>
      <c r="CL8" s="545" t="s">
        <v>136</v>
      </c>
      <c r="CM8" s="545" t="s">
        <v>40</v>
      </c>
      <c r="CN8" s="546"/>
      <c r="CO8" s="545" t="s">
        <v>136</v>
      </c>
      <c r="CP8" s="545" t="s">
        <v>40</v>
      </c>
      <c r="CQ8" s="546"/>
      <c r="CR8" s="545" t="s">
        <v>136</v>
      </c>
      <c r="CS8" s="545" t="s">
        <v>40</v>
      </c>
      <c r="CT8" s="546"/>
      <c r="CU8" s="545" t="s">
        <v>136</v>
      </c>
      <c r="CV8" s="545" t="s">
        <v>40</v>
      </c>
      <c r="CW8" s="546"/>
      <c r="CX8" s="545" t="s">
        <v>136</v>
      </c>
      <c r="CY8" s="545" t="s">
        <v>40</v>
      </c>
      <c r="CZ8" s="546"/>
      <c r="DA8" s="545" t="s">
        <v>136</v>
      </c>
      <c r="DB8" s="545" t="s">
        <v>40</v>
      </c>
      <c r="DC8" s="546"/>
      <c r="DD8" s="545" t="s">
        <v>136</v>
      </c>
      <c r="DE8" s="545" t="s">
        <v>40</v>
      </c>
      <c r="DF8" s="546"/>
      <c r="DG8" s="545" t="s">
        <v>136</v>
      </c>
      <c r="DH8" s="545" t="s">
        <v>40</v>
      </c>
      <c r="DI8" s="546"/>
      <c r="DJ8" s="545" t="s">
        <v>136</v>
      </c>
      <c r="DK8" s="545" t="s">
        <v>40</v>
      </c>
      <c r="DL8" s="546"/>
      <c r="DM8" s="545" t="s">
        <v>136</v>
      </c>
      <c r="DN8" s="545" t="s">
        <v>40</v>
      </c>
      <c r="DO8" s="546"/>
      <c r="DP8" s="545" t="s">
        <v>136</v>
      </c>
      <c r="DQ8" s="545" t="s">
        <v>40</v>
      </c>
      <c r="DR8" s="546"/>
      <c r="DS8" s="545" t="s">
        <v>136</v>
      </c>
      <c r="DT8" s="545" t="s">
        <v>40</v>
      </c>
      <c r="DU8" s="546"/>
      <c r="DV8" s="545" t="s">
        <v>136</v>
      </c>
      <c r="DW8" s="545" t="s">
        <v>40</v>
      </c>
      <c r="DX8" s="546"/>
      <c r="DY8" s="545" t="s">
        <v>136</v>
      </c>
      <c r="DZ8" s="545" t="s">
        <v>40</v>
      </c>
      <c r="EA8" s="546"/>
      <c r="EB8" s="545" t="s">
        <v>136</v>
      </c>
      <c r="EC8" s="545" t="s">
        <v>40</v>
      </c>
      <c r="ED8" s="528"/>
      <c r="EE8" s="545" t="s">
        <v>136</v>
      </c>
      <c r="EF8" s="545" t="s">
        <v>40</v>
      </c>
      <c r="EG8" s="546"/>
      <c r="EH8" s="545" t="s">
        <v>136</v>
      </c>
      <c r="EI8" s="545" t="s">
        <v>40</v>
      </c>
      <c r="EJ8" s="546"/>
      <c r="EK8" s="545" t="s">
        <v>136</v>
      </c>
      <c r="EL8" s="545" t="s">
        <v>40</v>
      </c>
      <c r="EM8" s="546"/>
      <c r="EN8" s="545" t="s">
        <v>136</v>
      </c>
      <c r="EO8" s="545" t="s">
        <v>40</v>
      </c>
      <c r="EP8" s="546"/>
      <c r="EQ8" s="545" t="s">
        <v>136</v>
      </c>
      <c r="ER8" s="545" t="s">
        <v>40</v>
      </c>
      <c r="ES8" s="546"/>
      <c r="ET8" s="545" t="s">
        <v>136</v>
      </c>
      <c r="EU8" s="545" t="s">
        <v>40</v>
      </c>
      <c r="EV8" s="546"/>
      <c r="EW8" s="545" t="s">
        <v>136</v>
      </c>
      <c r="EX8" s="545" t="s">
        <v>40</v>
      </c>
      <c r="EY8" s="546"/>
      <c r="EZ8" s="545" t="s">
        <v>136</v>
      </c>
      <c r="FA8" s="545" t="s">
        <v>40</v>
      </c>
      <c r="FB8" s="546"/>
      <c r="FC8" s="545" t="s">
        <v>136</v>
      </c>
      <c r="FD8" s="545" t="s">
        <v>40</v>
      </c>
      <c r="FE8" s="546"/>
      <c r="FF8" s="545" t="s">
        <v>136</v>
      </c>
      <c r="FG8" s="545" t="s">
        <v>40</v>
      </c>
      <c r="FH8" s="546"/>
      <c r="FI8" s="545" t="s">
        <v>136</v>
      </c>
      <c r="FJ8" s="545" t="s">
        <v>40</v>
      </c>
      <c r="FK8" s="546"/>
      <c r="FL8" s="545" t="s">
        <v>136</v>
      </c>
      <c r="FM8" s="545" t="s">
        <v>40</v>
      </c>
      <c r="FN8" s="546"/>
      <c r="FO8" s="545" t="s">
        <v>136</v>
      </c>
      <c r="FP8" s="545" t="s">
        <v>40</v>
      </c>
      <c r="FQ8" s="546"/>
      <c r="FR8" s="545" t="s">
        <v>136</v>
      </c>
      <c r="FS8" s="545" t="s">
        <v>40</v>
      </c>
      <c r="FT8" s="546"/>
      <c r="FU8" s="545" t="s">
        <v>136</v>
      </c>
      <c r="FV8" s="545" t="s">
        <v>40</v>
      </c>
      <c r="FW8" s="546"/>
      <c r="FX8" s="545" t="s">
        <v>136</v>
      </c>
      <c r="FY8" s="545" t="s">
        <v>40</v>
      </c>
      <c r="FZ8" s="546"/>
      <c r="GA8" s="545" t="s">
        <v>136</v>
      </c>
      <c r="GB8" s="545" t="s">
        <v>40</v>
      </c>
      <c r="GC8" s="546"/>
      <c r="GD8" s="545" t="s">
        <v>136</v>
      </c>
      <c r="GE8" s="545" t="s">
        <v>40</v>
      </c>
      <c r="GF8" s="546"/>
      <c r="GG8" s="545" t="s">
        <v>136</v>
      </c>
      <c r="GH8" s="545" t="s">
        <v>40</v>
      </c>
      <c r="GI8" s="546"/>
      <c r="GJ8" s="545" t="s">
        <v>136</v>
      </c>
      <c r="GK8" s="545" t="s">
        <v>40</v>
      </c>
      <c r="GL8" s="546"/>
      <c r="GM8" s="545" t="s">
        <v>136</v>
      </c>
      <c r="GN8" s="545" t="s">
        <v>40</v>
      </c>
      <c r="GO8" s="546"/>
      <c r="GP8" s="545" t="s">
        <v>136</v>
      </c>
      <c r="GQ8" s="545" t="s">
        <v>40</v>
      </c>
      <c r="GR8" s="546"/>
      <c r="GS8" s="545" t="s">
        <v>136</v>
      </c>
      <c r="GT8" s="545" t="s">
        <v>40</v>
      </c>
      <c r="GU8" s="546"/>
      <c r="GV8" s="545" t="s">
        <v>136</v>
      </c>
      <c r="GW8" s="545" t="s">
        <v>40</v>
      </c>
      <c r="GX8" s="546"/>
      <c r="GY8" s="545" t="s">
        <v>136</v>
      </c>
      <c r="GZ8" s="545" t="s">
        <v>40</v>
      </c>
      <c r="HA8" s="546"/>
      <c r="HB8" s="545" t="s">
        <v>136</v>
      </c>
      <c r="HC8" s="545" t="s">
        <v>40</v>
      </c>
      <c r="HD8" s="546"/>
      <c r="HE8" s="545" t="s">
        <v>136</v>
      </c>
      <c r="HF8" s="545" t="s">
        <v>40</v>
      </c>
      <c r="HG8" s="546"/>
      <c r="HH8" s="545" t="s">
        <v>136</v>
      </c>
      <c r="HI8" s="545" t="s">
        <v>40</v>
      </c>
      <c r="HJ8" s="546"/>
      <c r="HK8" s="545" t="s">
        <v>136</v>
      </c>
      <c r="HL8" s="545" t="s">
        <v>40</v>
      </c>
      <c r="HM8" s="546"/>
      <c r="HN8" s="545" t="s">
        <v>136</v>
      </c>
      <c r="HO8" s="545" t="s">
        <v>40</v>
      </c>
      <c r="HP8" s="546"/>
      <c r="HQ8" s="545" t="s">
        <v>136</v>
      </c>
      <c r="HR8" s="545" t="s">
        <v>40</v>
      </c>
      <c r="HS8" s="546"/>
      <c r="HT8" s="545" t="s">
        <v>136</v>
      </c>
      <c r="HU8" s="545" t="s">
        <v>40</v>
      </c>
      <c r="HV8" s="546"/>
      <c r="HW8" s="545" t="s">
        <v>136</v>
      </c>
      <c r="HX8" s="545" t="s">
        <v>40</v>
      </c>
      <c r="HY8" s="546"/>
      <c r="HZ8" s="545" t="s">
        <v>136</v>
      </c>
      <c r="IA8" s="545" t="s">
        <v>40</v>
      </c>
      <c r="IB8" s="546"/>
      <c r="IC8" s="545" t="s">
        <v>136</v>
      </c>
      <c r="ID8" s="545" t="s">
        <v>40</v>
      </c>
      <c r="IE8" s="546"/>
      <c r="IF8" s="545" t="s">
        <v>136</v>
      </c>
      <c r="IG8" s="545" t="s">
        <v>40</v>
      </c>
      <c r="IH8" s="546"/>
      <c r="II8" s="545" t="s">
        <v>136</v>
      </c>
      <c r="IJ8" s="545" t="s">
        <v>40</v>
      </c>
      <c r="IK8" s="546"/>
      <c r="IL8" s="545" t="s">
        <v>136</v>
      </c>
      <c r="IM8" s="545" t="s">
        <v>40</v>
      </c>
      <c r="IN8" s="546"/>
      <c r="IO8" s="545" t="s">
        <v>136</v>
      </c>
      <c r="IP8" s="545" t="s">
        <v>40</v>
      </c>
      <c r="IQ8" s="546"/>
      <c r="IR8" s="545" t="s">
        <v>136</v>
      </c>
      <c r="IS8" s="545" t="s">
        <v>40</v>
      </c>
      <c r="IT8" s="546"/>
      <c r="IU8" s="545" t="s">
        <v>136</v>
      </c>
      <c r="IV8" s="545" t="s">
        <v>40</v>
      </c>
      <c r="IW8" s="546"/>
      <c r="IX8" s="545" t="s">
        <v>136</v>
      </c>
      <c r="IY8" s="545" t="s">
        <v>40</v>
      </c>
      <c r="IZ8" s="546"/>
      <c r="JA8" s="545" t="s">
        <v>136</v>
      </c>
      <c r="JB8" s="545" t="s">
        <v>40</v>
      </c>
      <c r="JC8" s="546"/>
      <c r="JD8" s="545" t="s">
        <v>136</v>
      </c>
      <c r="JE8" s="545" t="s">
        <v>40</v>
      </c>
      <c r="JF8" s="546"/>
      <c r="JG8" s="545" t="s">
        <v>136</v>
      </c>
      <c r="JH8" s="545" t="s">
        <v>40</v>
      </c>
      <c r="JI8" s="546"/>
      <c r="JJ8" s="545" t="s">
        <v>136</v>
      </c>
      <c r="JK8" s="545" t="s">
        <v>40</v>
      </c>
      <c r="JL8" s="546" t="s">
        <v>385</v>
      </c>
      <c r="JM8" s="545" t="s">
        <v>136</v>
      </c>
      <c r="JN8" s="545" t="s">
        <v>40</v>
      </c>
      <c r="JO8" s="546" t="s">
        <v>385</v>
      </c>
      <c r="JP8" s="545" t="s">
        <v>136</v>
      </c>
      <c r="JQ8" s="545" t="s">
        <v>40</v>
      </c>
      <c r="JR8" s="546" t="s">
        <v>385</v>
      </c>
      <c r="JS8" s="545" t="s">
        <v>136</v>
      </c>
      <c r="JT8" s="545" t="s">
        <v>40</v>
      </c>
      <c r="JU8" s="546" t="s">
        <v>385</v>
      </c>
      <c r="JV8" s="545" t="s">
        <v>136</v>
      </c>
      <c r="JW8" s="545" t="s">
        <v>40</v>
      </c>
      <c r="JX8" s="546" t="s">
        <v>385</v>
      </c>
      <c r="JY8" s="545" t="s">
        <v>136</v>
      </c>
      <c r="JZ8" s="545" t="s">
        <v>40</v>
      </c>
      <c r="KA8" s="546" t="s">
        <v>385</v>
      </c>
      <c r="KB8" s="545" t="s">
        <v>136</v>
      </c>
      <c r="KC8" s="545" t="s">
        <v>40</v>
      </c>
      <c r="KD8" s="546" t="s">
        <v>385</v>
      </c>
      <c r="KE8" s="545" t="s">
        <v>136</v>
      </c>
      <c r="KF8" s="545" t="s">
        <v>40</v>
      </c>
      <c r="KG8" s="546" t="s">
        <v>385</v>
      </c>
      <c r="KH8" s="545" t="s">
        <v>136</v>
      </c>
      <c r="KI8" s="545" t="s">
        <v>40</v>
      </c>
      <c r="KJ8" s="546" t="s">
        <v>385</v>
      </c>
      <c r="KK8" s="545" t="s">
        <v>136</v>
      </c>
      <c r="KL8" s="545" t="s">
        <v>40</v>
      </c>
      <c r="KM8" s="546" t="s">
        <v>385</v>
      </c>
      <c r="KN8" s="545" t="s">
        <v>136</v>
      </c>
      <c r="KO8" s="545" t="s">
        <v>40</v>
      </c>
      <c r="KP8" s="546" t="s">
        <v>385</v>
      </c>
      <c r="KQ8" s="545" t="s">
        <v>136</v>
      </c>
      <c r="KR8" s="545" t="s">
        <v>40</v>
      </c>
      <c r="KS8" s="546" t="s">
        <v>385</v>
      </c>
      <c r="KT8" s="706"/>
      <c r="KU8" s="706"/>
    </row>
    <row r="9" spans="1:308">
      <c r="A9" s="269">
        <f>+Report1!A9</f>
        <v>45931</v>
      </c>
      <c r="B9" s="270" t="str">
        <f>+Report1!B9</f>
        <v>Facial</v>
      </c>
      <c r="C9" s="270" t="str">
        <f>+Report1!C9</f>
        <v>12</v>
      </c>
      <c r="D9" s="271">
        <f>+Report1!P9</f>
        <v>16.666</v>
      </c>
      <c r="E9" s="570">
        <f>+Report1!R9</f>
        <v>8.9130000000000003</v>
      </c>
      <c r="F9" s="530"/>
      <c r="G9" s="531">
        <f t="shared" ref="G9:G39" si="0">+F9/$E9</f>
        <v>0</v>
      </c>
      <c r="H9" s="532">
        <f>+F9*$H$8</f>
        <v>0</v>
      </c>
      <c r="I9" s="530">
        <v>139.53488372093022</v>
      </c>
      <c r="J9" s="531">
        <f t="shared" ref="J9:J39" si="1">+I9/$E9</f>
        <v>15.655209662395402</v>
      </c>
      <c r="K9" s="532">
        <f>+I9*$H$8</f>
        <v>0</v>
      </c>
      <c r="L9" s="530"/>
      <c r="M9" s="531">
        <f t="shared" ref="M9:M39" si="2">+L9/$E9</f>
        <v>0</v>
      </c>
      <c r="N9" s="532">
        <f>+L9*$H$8</f>
        <v>0</v>
      </c>
      <c r="O9" s="530">
        <v>3</v>
      </c>
      <c r="P9" s="531">
        <f t="shared" ref="P9:P39" si="3">+O9/$E9</f>
        <v>0.33658700774150119</v>
      </c>
      <c r="Q9" s="532">
        <f>+O9*$H$8</f>
        <v>0</v>
      </c>
      <c r="R9" s="530"/>
      <c r="S9" s="531">
        <f t="shared" ref="S9:S39" si="4">+R9/$E9</f>
        <v>0</v>
      </c>
      <c r="T9" s="532">
        <f>+R9*$H$8</f>
        <v>0</v>
      </c>
      <c r="U9" s="530">
        <v>2.5625</v>
      </c>
      <c r="V9" s="531">
        <f t="shared" ref="V9:V39" si="5">+U9/$E9</f>
        <v>0.28750140244586558</v>
      </c>
      <c r="W9" s="532">
        <f>+U9*$H$8</f>
        <v>0</v>
      </c>
      <c r="X9" s="530"/>
      <c r="Y9" s="531">
        <f t="shared" ref="Y9:Y39" si="6">+X9/$E9</f>
        <v>0</v>
      </c>
      <c r="Z9" s="532">
        <f>+X9*$H$8</f>
        <v>0</v>
      </c>
      <c r="AA9" s="530"/>
      <c r="AB9" s="531">
        <f t="shared" ref="AB9:AB39" si="7">+AA9/$E9</f>
        <v>0</v>
      </c>
      <c r="AC9" s="532">
        <f>+AA9*$H$8</f>
        <v>0</v>
      </c>
      <c r="AD9" s="530"/>
      <c r="AE9" s="531">
        <f t="shared" ref="AE9:AE39" si="8">+AD9/$E9</f>
        <v>0</v>
      </c>
      <c r="AF9" s="532">
        <f>+AD9*$H$8</f>
        <v>0</v>
      </c>
      <c r="AG9" s="530"/>
      <c r="AH9" s="531">
        <f t="shared" ref="AH9:AH39" si="9">+AG9/$E9</f>
        <v>0</v>
      </c>
      <c r="AI9" s="532">
        <f>+AG9*$H$8</f>
        <v>0</v>
      </c>
      <c r="AJ9" s="530">
        <v>14.687499999999993</v>
      </c>
      <c r="AK9" s="531">
        <f t="shared" ref="AK9:AK39" si="10">+AJ9/$E9</f>
        <v>1.6478738920677654</v>
      </c>
      <c r="AL9" s="532">
        <f>+AJ9*$H$8</f>
        <v>0</v>
      </c>
      <c r="AM9" s="530"/>
      <c r="AN9" s="531">
        <f t="shared" ref="AN9:AN39" si="11">+AM9/$E9</f>
        <v>0</v>
      </c>
      <c r="AO9" s="532">
        <f>+AM9*$H$8</f>
        <v>0</v>
      </c>
      <c r="AP9" s="530">
        <v>19.936708860759438</v>
      </c>
      <c r="AQ9" s="531">
        <f t="shared" ref="AQ9:AQ39" si="12">+AP9/$E9</f>
        <v>2.2368123932188309</v>
      </c>
      <c r="AR9" s="532">
        <f>+AP9*$H$8</f>
        <v>0</v>
      </c>
      <c r="AS9" s="530"/>
      <c r="AT9" s="531">
        <f t="shared" ref="AT9:AT39" si="13">+AS9/$E9</f>
        <v>0</v>
      </c>
      <c r="AU9" s="532">
        <f>+AS9*$H$8</f>
        <v>0</v>
      </c>
      <c r="AV9" s="530"/>
      <c r="AW9" s="531">
        <f t="shared" ref="AW9:AW39" si="14">+AV9/$E9</f>
        <v>0</v>
      </c>
      <c r="AX9" s="532">
        <f>+AV9*$H$8</f>
        <v>0</v>
      </c>
      <c r="AY9" s="530">
        <v>27.999999999999943</v>
      </c>
      <c r="AZ9" s="531">
        <f t="shared" ref="AZ9:AZ39" si="15">+AY9/$E9</f>
        <v>3.1414787389206711</v>
      </c>
      <c r="BA9" s="532">
        <f>+AY9*$H$8</f>
        <v>0</v>
      </c>
      <c r="BB9" s="530"/>
      <c r="BC9" s="531">
        <f t="shared" ref="BC9:BC39" si="16">+BB9/$E9</f>
        <v>0</v>
      </c>
      <c r="BD9" s="532">
        <f>+BB9*$H$8</f>
        <v>0</v>
      </c>
      <c r="BE9" s="530"/>
      <c r="BF9" s="531">
        <f t="shared" ref="BF9:BF39" si="17">+BE9/$E9</f>
        <v>0</v>
      </c>
      <c r="BG9" s="532">
        <f>+BE9*$H$8</f>
        <v>0</v>
      </c>
      <c r="BH9" s="530"/>
      <c r="BI9" s="531">
        <f t="shared" ref="BI9:BI39" si="18">+BH9/$E9</f>
        <v>0</v>
      </c>
      <c r="BJ9" s="532">
        <f>+BH9*$H$8</f>
        <v>0</v>
      </c>
      <c r="BK9" s="530"/>
      <c r="BL9" s="531">
        <f t="shared" ref="BL9:BL39" si="19">+BK9/$E9</f>
        <v>0</v>
      </c>
      <c r="BM9" s="532">
        <f>+BK9*$H$8</f>
        <v>0</v>
      </c>
      <c r="BN9" s="530"/>
      <c r="BO9" s="531">
        <f t="shared" ref="BO9:BO39" si="20">+BN9/$E9</f>
        <v>0</v>
      </c>
      <c r="BP9" s="532">
        <f>+BN9*$H$8</f>
        <v>0</v>
      </c>
      <c r="BQ9" s="530"/>
      <c r="BR9" s="531">
        <f t="shared" ref="BR9:BR39" si="21">+BQ9/$E9</f>
        <v>0</v>
      </c>
      <c r="BS9" s="532">
        <f>+BQ9*$H$8</f>
        <v>0</v>
      </c>
      <c r="BT9" s="530"/>
      <c r="BU9" s="531">
        <f t="shared" ref="BU9:BU39" si="22">+BT9/$E9</f>
        <v>0</v>
      </c>
      <c r="BV9" s="532">
        <f>+BT9*$H$8</f>
        <v>0</v>
      </c>
      <c r="BW9" s="530"/>
      <c r="BX9" s="531">
        <f t="shared" ref="BX9:BX39" si="23">+BW9/$E9</f>
        <v>0</v>
      </c>
      <c r="BY9" s="532">
        <f>+BW9*$H$8</f>
        <v>0</v>
      </c>
      <c r="BZ9" s="530"/>
      <c r="CA9" s="531">
        <f t="shared" ref="CA9:CA39" si="24">+BZ9/$E9</f>
        <v>0</v>
      </c>
      <c r="CB9" s="532">
        <f>+BZ9*$H$8</f>
        <v>0</v>
      </c>
      <c r="CC9" s="530"/>
      <c r="CD9" s="531">
        <f t="shared" ref="CD9:CD39" si="25">+CC9/$E9</f>
        <v>0</v>
      </c>
      <c r="CE9" s="532">
        <f>+CC9*$H$8</f>
        <v>0</v>
      </c>
      <c r="CF9" s="530">
        <v>0.19999999999999857</v>
      </c>
      <c r="CG9" s="531">
        <f t="shared" ref="CG9:CG39" si="26">+CF9/$E9</f>
        <v>2.2439133849433249E-2</v>
      </c>
      <c r="CH9" s="532">
        <f>+CF9*$H$8</f>
        <v>0</v>
      </c>
      <c r="CI9" s="530"/>
      <c r="CJ9" s="531">
        <f t="shared" ref="CJ9:CJ39" si="27">+CI9/$E9</f>
        <v>0</v>
      </c>
      <c r="CK9" s="532">
        <f>+CI9*$H$8</f>
        <v>0</v>
      </c>
      <c r="CL9" s="530"/>
      <c r="CM9" s="531">
        <f t="shared" ref="CM9:CM39" si="28">+CL9/$E9</f>
        <v>0</v>
      </c>
      <c r="CN9" s="532">
        <f>+CL9*$H$8</f>
        <v>0</v>
      </c>
      <c r="CO9" s="530"/>
      <c r="CP9" s="531">
        <f t="shared" ref="CP9:CP39" si="29">+CO9/$E9</f>
        <v>0</v>
      </c>
      <c r="CQ9" s="532">
        <f>+CO9*$H$8</f>
        <v>0</v>
      </c>
      <c r="CR9" s="530"/>
      <c r="CS9" s="531">
        <f t="shared" ref="CS9:CS39" si="30">+CR9/$E9</f>
        <v>0</v>
      </c>
      <c r="CT9" s="532">
        <f>+CR9*$H$8</f>
        <v>0</v>
      </c>
      <c r="CU9" s="530"/>
      <c r="CV9" s="531">
        <f t="shared" ref="CV9:CV39" si="31">+CU9/$E9</f>
        <v>0</v>
      </c>
      <c r="CW9" s="532">
        <f>+CU9*$H$8</f>
        <v>0</v>
      </c>
      <c r="CX9" s="530"/>
      <c r="CY9" s="531">
        <f t="shared" ref="CY9:CY39" si="32">+CX9/$E9</f>
        <v>0</v>
      </c>
      <c r="CZ9" s="532">
        <f>+CX9*$H$8</f>
        <v>0</v>
      </c>
      <c r="DA9" s="530"/>
      <c r="DB9" s="531">
        <f t="shared" ref="DB9:DB39" si="33">+DA9/$E9</f>
        <v>0</v>
      </c>
      <c r="DC9" s="532">
        <f>+DA9*$H$8</f>
        <v>0</v>
      </c>
      <c r="DD9" s="530"/>
      <c r="DE9" s="531">
        <f t="shared" ref="DE9:DE39" si="34">+DD9/$E9</f>
        <v>0</v>
      </c>
      <c r="DF9" s="532">
        <f>+DD9*$H$8</f>
        <v>0</v>
      </c>
      <c r="DG9" s="530"/>
      <c r="DH9" s="531">
        <f t="shared" ref="DH9:DH39" si="35">+DG9/$E9</f>
        <v>0</v>
      </c>
      <c r="DI9" s="532">
        <v>0</v>
      </c>
      <c r="DJ9" s="530"/>
      <c r="DK9" s="531">
        <f t="shared" ref="DK9:DK39" si="36">+DJ9/$E9</f>
        <v>0</v>
      </c>
      <c r="DL9" s="532">
        <f>+DJ9*$H$8</f>
        <v>0</v>
      </c>
      <c r="DM9" s="530"/>
      <c r="DN9" s="531">
        <f t="shared" ref="DN9:DN39" si="37">+DM9/$E9</f>
        <v>0</v>
      </c>
      <c r="DO9" s="532">
        <f>+DM9*$H$8</f>
        <v>0</v>
      </c>
      <c r="DP9" s="530"/>
      <c r="DQ9" s="531">
        <f t="shared" ref="DQ9:DQ39" si="38">+DP9/$E9</f>
        <v>0</v>
      </c>
      <c r="DR9" s="532">
        <f>+DP9*$H$8</f>
        <v>0</v>
      </c>
      <c r="DS9" s="530"/>
      <c r="DT9" s="531">
        <f t="shared" ref="DT9:DT39" si="39">+DS9/$E9</f>
        <v>0</v>
      </c>
      <c r="DU9" s="532">
        <f>+DS9*$H$8</f>
        <v>0</v>
      </c>
      <c r="DV9" s="530"/>
      <c r="DW9" s="531">
        <f t="shared" ref="DW9:DW39" si="40">+DV9/$E9</f>
        <v>0</v>
      </c>
      <c r="DX9" s="532">
        <f>+DV9*$H$8</f>
        <v>0</v>
      </c>
      <c r="DY9" s="530"/>
      <c r="DZ9" s="531">
        <f t="shared" ref="DZ9:DZ39" si="41">+DY9/$E9</f>
        <v>0</v>
      </c>
      <c r="EA9" s="532">
        <f>+DY9*$H$8</f>
        <v>0</v>
      </c>
      <c r="EB9" s="530"/>
      <c r="EC9" s="531">
        <f t="shared" ref="EC9:EC39" si="42">+EB9/$E9</f>
        <v>0</v>
      </c>
      <c r="ED9" s="532">
        <f>+EB9*$H$8</f>
        <v>0</v>
      </c>
      <c r="EE9" s="530">
        <v>7.2674418604651123</v>
      </c>
      <c r="EF9" s="531">
        <f t="shared" ref="EF9:EF39" si="43">+EE9/$E9</f>
        <v>0.81537550324976016</v>
      </c>
      <c r="EG9" s="532">
        <f>+EE9*$H$8</f>
        <v>0</v>
      </c>
      <c r="EH9" s="530">
        <v>0.79999999999999716</v>
      </c>
      <c r="EI9" s="531">
        <f t="shared" ref="EI9:EI39" si="44">+EH9/$E9</f>
        <v>8.9756535397733331E-2</v>
      </c>
      <c r="EJ9" s="532">
        <f>+EH9*$H$8</f>
        <v>0</v>
      </c>
      <c r="EK9" s="530"/>
      <c r="EL9" s="531">
        <f t="shared" ref="EL9:EL39" si="45">+EK9/$E9</f>
        <v>0</v>
      </c>
      <c r="EM9" s="532">
        <f>+EK9*$H$8</f>
        <v>0</v>
      </c>
      <c r="EN9" s="530"/>
      <c r="EO9" s="531">
        <f t="shared" ref="EO9:EO39" si="46">+EN9/$E9</f>
        <v>0</v>
      </c>
      <c r="EP9" s="532">
        <f>+EN9*$H$8</f>
        <v>0</v>
      </c>
      <c r="EQ9" s="530"/>
      <c r="ER9" s="531">
        <f t="shared" ref="ER9:ER39" si="47">+EQ9/$E9</f>
        <v>0</v>
      </c>
      <c r="ES9" s="532">
        <f>+EQ9*$H$8</f>
        <v>0</v>
      </c>
      <c r="ET9" s="530"/>
      <c r="EU9" s="531">
        <f t="shared" ref="EU9:EU39" si="48">+ET9/$E9</f>
        <v>0</v>
      </c>
      <c r="EV9" s="532">
        <f>+ET9*$H$8</f>
        <v>0</v>
      </c>
      <c r="EW9" s="530"/>
      <c r="EX9" s="531">
        <f t="shared" ref="EX9:EX39" si="49">+EW9/$E9</f>
        <v>0</v>
      </c>
      <c r="EY9" s="532">
        <f>+EW9*$H$8</f>
        <v>0</v>
      </c>
      <c r="EZ9" s="530"/>
      <c r="FA9" s="531">
        <f t="shared" ref="FA9:FA39" si="50">+EZ9/$E9</f>
        <v>0</v>
      </c>
      <c r="FB9" s="532">
        <f>+EZ9*$H$8</f>
        <v>0</v>
      </c>
      <c r="FC9" s="530"/>
      <c r="FD9" s="531">
        <f t="shared" ref="FD9:FD39" si="51">+FC9/$E9</f>
        <v>0</v>
      </c>
      <c r="FE9" s="532">
        <f>+FC9*$H$8</f>
        <v>0</v>
      </c>
      <c r="FF9" s="530"/>
      <c r="FG9" s="531">
        <f t="shared" ref="FG9:FG39" si="52">+FF9/$E9</f>
        <v>0</v>
      </c>
      <c r="FH9" s="532">
        <f>+FF9*$H$8</f>
        <v>0</v>
      </c>
      <c r="FI9" s="530"/>
      <c r="FJ9" s="531">
        <f t="shared" ref="FJ9:FJ39" si="53">+FI9/$E9</f>
        <v>0</v>
      </c>
      <c r="FK9" s="532">
        <f>+FI9*$H$8</f>
        <v>0</v>
      </c>
      <c r="FL9" s="530"/>
      <c r="FM9" s="531">
        <f t="shared" ref="FM9:FM39" si="54">+FL9/$E9</f>
        <v>0</v>
      </c>
      <c r="FN9" s="532">
        <f>+FL9*$H$8</f>
        <v>0</v>
      </c>
      <c r="FO9" s="530"/>
      <c r="FP9" s="531">
        <f t="shared" ref="FP9:FP39" si="55">+FO9/$E9</f>
        <v>0</v>
      </c>
      <c r="FQ9" s="532">
        <f>+FO9*$H$8</f>
        <v>0</v>
      </c>
      <c r="FR9" s="530"/>
      <c r="FS9" s="531">
        <f t="shared" ref="FS9:FS39" si="56">+FR9/$E9</f>
        <v>0</v>
      </c>
      <c r="FT9" s="532">
        <f>+FR9*$H$8</f>
        <v>0</v>
      </c>
      <c r="FU9" s="530"/>
      <c r="FV9" s="531">
        <f t="shared" ref="FV9:FV39" si="57">+FU9/$E9</f>
        <v>0</v>
      </c>
      <c r="FW9" s="532">
        <f>+FU9*$H$8</f>
        <v>0</v>
      </c>
      <c r="FX9" s="530"/>
      <c r="FY9" s="531">
        <f t="shared" ref="FY9:FY39" si="58">+FX9/$E9</f>
        <v>0</v>
      </c>
      <c r="FZ9" s="532">
        <f>+FX9*$H$8</f>
        <v>0</v>
      </c>
      <c r="GA9" s="530"/>
      <c r="GB9" s="531">
        <f t="shared" ref="GB9:GB39" si="59">+GA9/$E9</f>
        <v>0</v>
      </c>
      <c r="GC9" s="532">
        <f>+GA9*$H$8</f>
        <v>0</v>
      </c>
      <c r="GD9" s="530"/>
      <c r="GE9" s="531">
        <f t="shared" ref="GE9:GE39" si="60">+GD9/$E9</f>
        <v>0</v>
      </c>
      <c r="GF9" s="532">
        <f>+GD9*$H$8</f>
        <v>0</v>
      </c>
      <c r="GG9" s="530"/>
      <c r="GH9" s="531">
        <f t="shared" ref="GH9:GH39" si="61">+GG9/$E9</f>
        <v>0</v>
      </c>
      <c r="GI9" s="532">
        <f>+GG9*$H$8</f>
        <v>0</v>
      </c>
      <c r="GJ9" s="530"/>
      <c r="GK9" s="531">
        <f t="shared" ref="GK9:GK39" si="62">+GJ9/$E9</f>
        <v>0</v>
      </c>
      <c r="GL9" s="532">
        <f>+GJ9*$H$8</f>
        <v>0</v>
      </c>
      <c r="GM9" s="530"/>
      <c r="GN9" s="531">
        <f t="shared" ref="GN9:GN39" si="63">+GM9/$E9</f>
        <v>0</v>
      </c>
      <c r="GO9" s="532">
        <f>+GM9*$H$8</f>
        <v>0</v>
      </c>
      <c r="GP9" s="530"/>
      <c r="GQ9" s="531">
        <f t="shared" ref="GQ9:GQ39" si="64">+GP9/$E9</f>
        <v>0</v>
      </c>
      <c r="GR9" s="532">
        <f>+GP9*$H$8</f>
        <v>0</v>
      </c>
      <c r="GS9" s="530"/>
      <c r="GT9" s="531">
        <f t="shared" ref="GT9:GT39" si="65">+GS9/$E9</f>
        <v>0</v>
      </c>
      <c r="GU9" s="532">
        <f>+GS9*$H$8</f>
        <v>0</v>
      </c>
      <c r="GV9" s="530"/>
      <c r="GW9" s="531">
        <f t="shared" ref="GW9:GW39" si="66">+GV9/$E9</f>
        <v>0</v>
      </c>
      <c r="GX9" s="532">
        <f>+GV9*$H$8</f>
        <v>0</v>
      </c>
      <c r="GY9" s="530"/>
      <c r="GZ9" s="531">
        <f t="shared" ref="GZ9:GZ39" si="67">+GY9/$E9</f>
        <v>0</v>
      </c>
      <c r="HA9" s="532">
        <f>+GY9*$H$8</f>
        <v>0</v>
      </c>
      <c r="HB9" s="530"/>
      <c r="HC9" s="531">
        <f t="shared" ref="HC9:HC39" si="68">+HB9/$E9</f>
        <v>0</v>
      </c>
      <c r="HD9" s="532">
        <f>+HB9*$H$8</f>
        <v>0</v>
      </c>
      <c r="HE9" s="530"/>
      <c r="HF9" s="531">
        <f t="shared" ref="HF9:HF39" si="69">+HE9/$E9</f>
        <v>0</v>
      </c>
      <c r="HG9" s="532">
        <f>+HE9*$H$8</f>
        <v>0</v>
      </c>
      <c r="HH9" s="530"/>
      <c r="HI9" s="531">
        <f t="shared" ref="HI9:HI39" si="70">+HH9/$E9</f>
        <v>0</v>
      </c>
      <c r="HJ9" s="532">
        <f>+HH9*$H$8</f>
        <v>0</v>
      </c>
      <c r="HK9" s="530"/>
      <c r="HL9" s="531">
        <f t="shared" ref="HL9:HL39" si="71">+HK9/$E9</f>
        <v>0</v>
      </c>
      <c r="HM9" s="532">
        <f>+HK9*$H$8</f>
        <v>0</v>
      </c>
      <c r="HN9" s="530"/>
      <c r="HO9" s="531">
        <f t="shared" ref="HO9:HO39" si="72">+HN9/$E9</f>
        <v>0</v>
      </c>
      <c r="HP9" s="532">
        <f>+HN9*$H$8</f>
        <v>0</v>
      </c>
      <c r="HQ9" s="530"/>
      <c r="HR9" s="531">
        <f t="shared" ref="HR9:HR39" si="73">+HQ9/$E9</f>
        <v>0</v>
      </c>
      <c r="HS9" s="532">
        <f>+HQ9*$H$8</f>
        <v>0</v>
      </c>
      <c r="HT9" s="530"/>
      <c r="HU9" s="531">
        <f t="shared" ref="HU9:HU39" si="74">+HT9/$E9</f>
        <v>0</v>
      </c>
      <c r="HV9" s="532">
        <f>+HT9*$H$8</f>
        <v>0</v>
      </c>
      <c r="HW9" s="530"/>
      <c r="HX9" s="531">
        <f t="shared" ref="HX9:HX39" si="75">+HW9/$E9</f>
        <v>0</v>
      </c>
      <c r="HY9" s="532">
        <f>+HW9*$H$8</f>
        <v>0</v>
      </c>
      <c r="HZ9" s="530"/>
      <c r="IA9" s="531">
        <f t="shared" ref="IA9:IA39" si="76">+HZ9/$E9</f>
        <v>0</v>
      </c>
      <c r="IB9" s="532">
        <f>+HZ9*$H$8</f>
        <v>0</v>
      </c>
      <c r="IC9" s="530"/>
      <c r="ID9" s="531">
        <f t="shared" ref="ID9:ID39" si="77">+IC9/$E9</f>
        <v>0</v>
      </c>
      <c r="IE9" s="532">
        <f>+IC9*$H$8</f>
        <v>0</v>
      </c>
      <c r="IF9" s="530"/>
      <c r="IG9" s="531">
        <f t="shared" ref="IG9:IG39" si="78">+IF9/$E9</f>
        <v>0</v>
      </c>
      <c r="IH9" s="532">
        <f>+IF9*$H$8</f>
        <v>0</v>
      </c>
      <c r="II9" s="530"/>
      <c r="IJ9" s="531">
        <f t="shared" ref="IJ9:IJ39" si="79">+II9/$E9</f>
        <v>0</v>
      </c>
      <c r="IK9" s="532">
        <f>+II9*$H$8</f>
        <v>0</v>
      </c>
      <c r="IL9" s="530"/>
      <c r="IM9" s="531">
        <f t="shared" ref="IM9:IM39" si="80">+IL9/$E9</f>
        <v>0</v>
      </c>
      <c r="IN9" s="532">
        <f>+IL9*$H$8</f>
        <v>0</v>
      </c>
      <c r="IO9" s="530"/>
      <c r="IP9" s="531">
        <f t="shared" ref="IP9:IP39" si="81">+IO9/$E9</f>
        <v>0</v>
      </c>
      <c r="IQ9" s="532">
        <f>+IO9*$H$8</f>
        <v>0</v>
      </c>
      <c r="IR9" s="530"/>
      <c r="IS9" s="531">
        <f t="shared" ref="IS9:IS39" si="82">+IR9/$E9</f>
        <v>0</v>
      </c>
      <c r="IT9" s="532">
        <f>+IR9*$H$8</f>
        <v>0</v>
      </c>
      <c r="IU9" s="530"/>
      <c r="IV9" s="531">
        <f t="shared" ref="IV9:IV39" si="83">+IU9/$E9</f>
        <v>0</v>
      </c>
      <c r="IW9" s="532">
        <f>+IU9*$H$8</f>
        <v>0</v>
      </c>
      <c r="IX9" s="530"/>
      <c r="IY9" s="531">
        <f t="shared" ref="IY9:IY39" si="84">+IX9/$E9</f>
        <v>0</v>
      </c>
      <c r="IZ9" s="532">
        <f>+IX9*$H$8</f>
        <v>0</v>
      </c>
      <c r="JA9" s="530"/>
      <c r="JB9" s="531">
        <f t="shared" ref="JB9:JB39" si="85">+JA9/$E9</f>
        <v>0</v>
      </c>
      <c r="JC9" s="532">
        <f>+JA9*$H$8</f>
        <v>0</v>
      </c>
      <c r="JD9" s="530"/>
      <c r="JE9" s="531">
        <f t="shared" ref="JE9:JE39" si="86">+JD9/$E9</f>
        <v>0</v>
      </c>
      <c r="JF9" s="532">
        <f>+JD9*$H$8</f>
        <v>0</v>
      </c>
      <c r="JG9" s="530"/>
      <c r="JH9" s="531">
        <f t="shared" ref="JH9:JH39" si="87">+JG9/$E9</f>
        <v>0</v>
      </c>
      <c r="JI9" s="532">
        <f>+JG9*$H$8</f>
        <v>0</v>
      </c>
      <c r="JJ9" s="530"/>
      <c r="JK9" s="532" t="str">
        <f t="shared" ref="JK9:JK39" si="88">IFERROR((JJ9/$L9),"0")</f>
        <v>0</v>
      </c>
      <c r="JL9" s="532" t="str">
        <f t="shared" ref="JL9:JL39" si="89">IFERROR(((JJ9*JL$8)/$L9),"0")</f>
        <v>0</v>
      </c>
      <c r="JM9" s="530"/>
      <c r="JN9" s="532" t="str">
        <f t="shared" ref="JN9:JN39" si="90">IFERROR((JM9/$L9),"0")</f>
        <v>0</v>
      </c>
      <c r="JO9" s="532" t="str">
        <f t="shared" ref="JO9:JO39" si="91">IFERROR(((JM9*JO$8)/$L9),"0")</f>
        <v>0</v>
      </c>
      <c r="JP9" s="530"/>
      <c r="JQ9" s="532" t="str">
        <f t="shared" ref="JQ9:JQ39" si="92">IFERROR((JP9/$L9),"0")</f>
        <v>0</v>
      </c>
      <c r="JR9" s="532" t="str">
        <f t="shared" ref="JR9:JR39" si="93">IFERROR(((JP9*JR$8)/$L9),"0")</f>
        <v>0</v>
      </c>
      <c r="JS9" s="530"/>
      <c r="JT9" s="532" t="str">
        <f t="shared" ref="JT9:JT39" si="94">IFERROR((JS9/$L9),"0")</f>
        <v>0</v>
      </c>
      <c r="JU9" s="532" t="str">
        <f t="shared" ref="JU9:JU39" si="95">IFERROR(((JS9*JU$8)/$L9),"0")</f>
        <v>0</v>
      </c>
      <c r="JV9" s="530"/>
      <c r="JW9" s="532" t="str">
        <f t="shared" ref="JW9:JW39" si="96">IFERROR((JV9/$L9),"0")</f>
        <v>0</v>
      </c>
      <c r="JX9" s="532" t="str">
        <f t="shared" ref="JX9:JX39" si="97">IFERROR(((JV9*JX$8)/$L9),"0")</f>
        <v>0</v>
      </c>
      <c r="JY9" s="530"/>
      <c r="JZ9" s="532" t="str">
        <f t="shared" ref="JZ9:JZ39" si="98">IFERROR((JY9/$L9),"0")</f>
        <v>0</v>
      </c>
      <c r="KA9" s="532" t="str">
        <f t="shared" ref="KA9:KA39" si="99">IFERROR(((JY9*KA$8)/$L9),"0")</f>
        <v>0</v>
      </c>
      <c r="KB9" s="530"/>
      <c r="KC9" s="532" t="str">
        <f t="shared" ref="KC9:KC39" si="100">IFERROR((KB9/$L9),"0")</f>
        <v>0</v>
      </c>
      <c r="KD9" s="532" t="str">
        <f t="shared" ref="KD9:KD39" si="101">IFERROR(((KB9*KD$8)/$L9),"0")</f>
        <v>0</v>
      </c>
      <c r="KE9" s="530"/>
      <c r="KF9" s="532" t="str">
        <f t="shared" ref="KF9:KF39" si="102">IFERROR((KE9/$L9),"0")</f>
        <v>0</v>
      </c>
      <c r="KG9" s="532" t="str">
        <f t="shared" ref="KG9:KG39" si="103">IFERROR(((KE9*KG$8)/$L9),"0")</f>
        <v>0</v>
      </c>
      <c r="KH9" s="530"/>
      <c r="KI9" s="532" t="str">
        <f t="shared" ref="KI9:KI39" si="104">IFERROR((KH9/$L9),"0")</f>
        <v>0</v>
      </c>
      <c r="KJ9" s="532" t="str">
        <f t="shared" ref="KJ9:KJ39" si="105">IFERROR(((KH9*KJ$8)/$L9),"0")</f>
        <v>0</v>
      </c>
      <c r="KK9" s="530"/>
      <c r="KL9" s="532" t="str">
        <f t="shared" ref="KL9:KL39" si="106">IFERROR((KK9/$L9),"0")</f>
        <v>0</v>
      </c>
      <c r="KM9" s="532" t="str">
        <f t="shared" ref="KM9:KM39" si="107">IFERROR(((KK9*KM$8)/$L9),"0")</f>
        <v>0</v>
      </c>
      <c r="KN9" s="530"/>
      <c r="KO9" s="532" t="str">
        <f t="shared" ref="KO9:KO39" si="108">IFERROR((KN9/$L9),"0")</f>
        <v>0</v>
      </c>
      <c r="KP9" s="532" t="str">
        <f t="shared" ref="KP9:KP39" si="109">IFERROR(((KN9*KP$8)/$L9),"0")</f>
        <v>0</v>
      </c>
      <c r="KQ9" s="530"/>
      <c r="KR9" s="532" t="str">
        <f t="shared" ref="KR9:KR39" si="110">IFERROR((KQ9/$L9),"0")</f>
        <v>0</v>
      </c>
      <c r="KS9" s="532" t="str">
        <f t="shared" ref="KS9:KS39" si="111">IFERROR(((KQ9*KS$8)/$L9),"0")</f>
        <v>0</v>
      </c>
      <c r="KT9" s="532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32">
        <f>GF9+GI9+GL9+GO9+GR9+GU9+GX9+HA9+HD9+HG9+HJ9+HM9+HP9+HS9+HV9+HY9+IB9+IE9+IH9+IK9+IN9+IQ9+IT9+IW9+IZ9+JC9+JF9+JI9+JL9+JO9+JR9+JU9+JX9++KA9+KD9+KG9+KJ9++KM9+KP9+KS9</f>
        <v>0</v>
      </c>
      <c r="KV9" s="268">
        <f>+F9+I9+L9+O9+R9+U9+X9+AA9+AD9+AG9+AJ9+AM9+AP9+AS9+AV9+AY9+BB9+BE9+BH9+BK9+BN9+BQ9+BT9+BW9+BZ9+CC9+CF9+CI9+CL9+CO9+CR9+CU9+CX9+DA9+DD9+DJ9+DM9+DP9+DS9+DV9+DY9+EB9+GG9+GJ9+GM9+GP9+GS9+HN9+II9+IR9+GV9+IU9++HT9+HW9+HZ9+IC9+JA9+JJ9+JM9+HB9+EE9+GD9+EH9++EK9</f>
        <v>215.98903444215472</v>
      </c>
    </row>
    <row r="10" spans="1:308">
      <c r="A10" s="269">
        <f>+A9+1</f>
        <v>45932</v>
      </c>
      <c r="B10" s="270" t="str">
        <f>+Report1!B10</f>
        <v>Facial</v>
      </c>
      <c r="C10" s="270" t="str">
        <f>+Report1!C10</f>
        <v>12</v>
      </c>
      <c r="D10" s="271">
        <f>+Report1!P10</f>
        <v>40.289000000000001</v>
      </c>
      <c r="E10" s="570">
        <f>+Report1!R10</f>
        <v>36.587000000000003</v>
      </c>
      <c r="F10" s="530"/>
      <c r="G10" s="531">
        <f t="shared" si="0"/>
        <v>0</v>
      </c>
      <c r="H10" s="532">
        <f t="shared" ref="H10:H39" si="112">+F10*$H$8</f>
        <v>0</v>
      </c>
      <c r="I10" s="530">
        <v>290.69767441860449</v>
      </c>
      <c r="J10" s="531">
        <f t="shared" si="1"/>
        <v>7.9453815403997172</v>
      </c>
      <c r="K10" s="532">
        <f t="shared" ref="K10:K39" si="113">+I10*$H$8</f>
        <v>0</v>
      </c>
      <c r="L10" s="530"/>
      <c r="M10" s="531">
        <f t="shared" si="2"/>
        <v>0</v>
      </c>
      <c r="N10" s="532">
        <f t="shared" ref="N10:N39" si="114">+L10*$H$8</f>
        <v>0</v>
      </c>
      <c r="O10" s="530">
        <v>6.0000000000000036</v>
      </c>
      <c r="P10" s="531">
        <f t="shared" si="3"/>
        <v>0.16399267499385037</v>
      </c>
      <c r="Q10" s="532">
        <f t="shared" ref="Q10:Q39" si="115">+O10*$H$8</f>
        <v>0</v>
      </c>
      <c r="R10" s="530"/>
      <c r="S10" s="531">
        <f t="shared" si="4"/>
        <v>0</v>
      </c>
      <c r="T10" s="532">
        <f t="shared" ref="T10:T39" si="116">+R10*$H$8</f>
        <v>0</v>
      </c>
      <c r="U10" s="530">
        <v>5.1250000000000071</v>
      </c>
      <c r="V10" s="531">
        <f t="shared" si="5"/>
        <v>0.1400770765572473</v>
      </c>
      <c r="W10" s="532">
        <f t="shared" ref="W10:W39" si="117">+U10*$H$8</f>
        <v>0</v>
      </c>
      <c r="X10" s="530"/>
      <c r="Y10" s="531">
        <f t="shared" si="6"/>
        <v>0</v>
      </c>
      <c r="Z10" s="532">
        <f t="shared" ref="Z10:Z39" si="118">+X10*$H$8</f>
        <v>0</v>
      </c>
      <c r="AA10" s="530"/>
      <c r="AB10" s="531">
        <f t="shared" si="7"/>
        <v>0</v>
      </c>
      <c r="AC10" s="532">
        <f t="shared" ref="AC10:AC39" si="119">+AA10*$H$8</f>
        <v>0</v>
      </c>
      <c r="AD10" s="530"/>
      <c r="AE10" s="531">
        <f t="shared" si="8"/>
        <v>0</v>
      </c>
      <c r="AF10" s="532">
        <f t="shared" ref="AF10:AF39" si="120">+AD10*$H$8</f>
        <v>0</v>
      </c>
      <c r="AG10" s="530"/>
      <c r="AH10" s="531">
        <f t="shared" si="9"/>
        <v>0</v>
      </c>
      <c r="AI10" s="532">
        <f t="shared" ref="AI10:AI39" si="121">+AG10*$H$8</f>
        <v>0</v>
      </c>
      <c r="AJ10" s="530"/>
      <c r="AK10" s="531">
        <f t="shared" si="10"/>
        <v>0</v>
      </c>
      <c r="AL10" s="532">
        <f t="shared" ref="AL10:AL39" si="122">+AJ10*$H$8</f>
        <v>0</v>
      </c>
      <c r="AM10" s="530"/>
      <c r="AN10" s="531">
        <f t="shared" si="11"/>
        <v>0</v>
      </c>
      <c r="AO10" s="532">
        <f t="shared" ref="AO10:AO39" si="123">+AM10*$H$8</f>
        <v>0</v>
      </c>
      <c r="AP10" s="530">
        <v>45.569620253164601</v>
      </c>
      <c r="AQ10" s="531">
        <f t="shared" si="12"/>
        <v>1.2455139872950665</v>
      </c>
      <c r="AR10" s="532">
        <f t="shared" ref="AR10:AR39" si="124">+AP10*$H$8</f>
        <v>0</v>
      </c>
      <c r="AS10" s="530"/>
      <c r="AT10" s="531">
        <f t="shared" si="13"/>
        <v>0</v>
      </c>
      <c r="AU10" s="532">
        <f t="shared" ref="AU10:AU39" si="125">+AS10*$H$8</f>
        <v>0</v>
      </c>
      <c r="AV10" s="530"/>
      <c r="AW10" s="531">
        <f t="shared" si="14"/>
        <v>0</v>
      </c>
      <c r="AX10" s="532">
        <f t="shared" ref="AX10:AX39" si="126">+AV10*$H$8</f>
        <v>0</v>
      </c>
      <c r="AY10" s="530">
        <v>56.000000000000028</v>
      </c>
      <c r="AZ10" s="531">
        <f t="shared" si="15"/>
        <v>1.5305982999426031</v>
      </c>
      <c r="BA10" s="532">
        <f t="shared" ref="BA10:BA39" si="127">+AY10*$H$8</f>
        <v>0</v>
      </c>
      <c r="BB10" s="530"/>
      <c r="BC10" s="531">
        <f t="shared" si="16"/>
        <v>0</v>
      </c>
      <c r="BD10" s="532">
        <f t="shared" ref="BD10:BD39" si="128">+BB10*$H$8</f>
        <v>0</v>
      </c>
      <c r="BE10" s="530"/>
      <c r="BF10" s="531">
        <f t="shared" si="17"/>
        <v>0</v>
      </c>
      <c r="BG10" s="532">
        <f t="shared" ref="BG10:BG39" si="129">+BE10*$H$8</f>
        <v>0</v>
      </c>
      <c r="BH10" s="530"/>
      <c r="BI10" s="531">
        <f t="shared" si="18"/>
        <v>0</v>
      </c>
      <c r="BJ10" s="532">
        <f t="shared" ref="BJ10:BJ39" si="130">+BH10*$H$8</f>
        <v>0</v>
      </c>
      <c r="BK10" s="530"/>
      <c r="BL10" s="531">
        <f t="shared" si="19"/>
        <v>0</v>
      </c>
      <c r="BM10" s="532">
        <f t="shared" ref="BM10:BM39" si="131">+BK10*$H$8</f>
        <v>0</v>
      </c>
      <c r="BN10" s="530"/>
      <c r="BO10" s="531">
        <f t="shared" si="20"/>
        <v>0</v>
      </c>
      <c r="BP10" s="532">
        <f t="shared" ref="BP10:BP39" si="132">+BN10*$H$8</f>
        <v>0</v>
      </c>
      <c r="BQ10" s="530">
        <v>25.316455696202539</v>
      </c>
      <c r="BR10" s="531">
        <f t="shared" si="21"/>
        <v>0.69195221516392535</v>
      </c>
      <c r="BS10" s="532">
        <f t="shared" ref="BS10:BS39" si="133">+BQ10*$H$8</f>
        <v>0</v>
      </c>
      <c r="BT10" s="530"/>
      <c r="BU10" s="531">
        <f t="shared" si="22"/>
        <v>0</v>
      </c>
      <c r="BV10" s="532">
        <f t="shared" ref="BV10:BV39" si="134">+BT10*$H$8</f>
        <v>0</v>
      </c>
      <c r="BW10" s="530"/>
      <c r="BX10" s="531">
        <f t="shared" si="23"/>
        <v>0</v>
      </c>
      <c r="BY10" s="532">
        <f t="shared" ref="BY10:BY39" si="135">+BW10*$H$8</f>
        <v>0</v>
      </c>
      <c r="BZ10" s="530"/>
      <c r="CA10" s="531">
        <f t="shared" si="24"/>
        <v>0</v>
      </c>
      <c r="CB10" s="532">
        <f t="shared" ref="CB10:CB39" si="136">+BZ10*$H$8</f>
        <v>0</v>
      </c>
      <c r="CC10" s="530"/>
      <c r="CD10" s="531">
        <f t="shared" si="25"/>
        <v>0</v>
      </c>
      <c r="CE10" s="532">
        <f t="shared" ref="CE10:CE39" si="137">+CC10*$H$8</f>
        <v>0</v>
      </c>
      <c r="CF10" s="530">
        <v>0.19999999999999857</v>
      </c>
      <c r="CG10" s="531">
        <f t="shared" si="26"/>
        <v>5.4664224997949696E-3</v>
      </c>
      <c r="CH10" s="532">
        <f t="shared" ref="CH10:CH39" si="138">+CF10*$H$8</f>
        <v>0</v>
      </c>
      <c r="CI10" s="530"/>
      <c r="CJ10" s="531">
        <f t="shared" si="27"/>
        <v>0</v>
      </c>
      <c r="CK10" s="532">
        <f t="shared" ref="CK10:CK39" si="139">+CI10*$H$8</f>
        <v>0</v>
      </c>
      <c r="CL10" s="530"/>
      <c r="CM10" s="531">
        <f t="shared" si="28"/>
        <v>0</v>
      </c>
      <c r="CN10" s="532">
        <f t="shared" ref="CN10:CN39" si="140">+CL10*$H$8</f>
        <v>0</v>
      </c>
      <c r="CO10" s="530"/>
      <c r="CP10" s="531">
        <f t="shared" si="29"/>
        <v>0</v>
      </c>
      <c r="CQ10" s="532">
        <f t="shared" ref="CQ10:CQ39" si="141">+CO10*$H$8</f>
        <v>0</v>
      </c>
      <c r="CR10" s="530"/>
      <c r="CS10" s="531">
        <f t="shared" si="30"/>
        <v>0</v>
      </c>
      <c r="CT10" s="532">
        <f t="shared" ref="CT10:CT39" si="142">+CR10*$H$8</f>
        <v>0</v>
      </c>
      <c r="CU10" s="530"/>
      <c r="CV10" s="531">
        <f t="shared" si="31"/>
        <v>0</v>
      </c>
      <c r="CW10" s="532">
        <f t="shared" ref="CW10:CW39" si="143">+CU10*$H$8</f>
        <v>0</v>
      </c>
      <c r="CX10" s="530"/>
      <c r="CY10" s="531">
        <f t="shared" si="32"/>
        <v>0</v>
      </c>
      <c r="CZ10" s="532">
        <f t="shared" ref="CZ10:CZ39" si="144">+CX10*$H$8</f>
        <v>0</v>
      </c>
      <c r="DA10" s="530"/>
      <c r="DB10" s="531">
        <f t="shared" si="33"/>
        <v>0</v>
      </c>
      <c r="DC10" s="532">
        <f t="shared" ref="DC10:DC39" si="145">+DA10*$H$8</f>
        <v>0</v>
      </c>
      <c r="DD10" s="530"/>
      <c r="DE10" s="531">
        <f t="shared" si="34"/>
        <v>0</v>
      </c>
      <c r="DF10" s="532">
        <f t="shared" ref="DF10:DF39" si="146">+DD10*$H$8</f>
        <v>0</v>
      </c>
      <c r="DG10" s="530"/>
      <c r="DH10" s="531">
        <f t="shared" si="35"/>
        <v>0</v>
      </c>
      <c r="DI10" s="532">
        <v>0</v>
      </c>
      <c r="DJ10" s="530"/>
      <c r="DK10" s="531">
        <f t="shared" si="36"/>
        <v>0</v>
      </c>
      <c r="DL10" s="532">
        <f t="shared" ref="DL10:DL39" si="147">+DJ10*$H$8</f>
        <v>0</v>
      </c>
      <c r="DM10" s="530"/>
      <c r="DN10" s="531">
        <f t="shared" si="37"/>
        <v>0</v>
      </c>
      <c r="DO10" s="532">
        <f t="shared" ref="DO10:DO39" si="148">+DM10*$H$8</f>
        <v>0</v>
      </c>
      <c r="DP10" s="530"/>
      <c r="DQ10" s="531">
        <f t="shared" si="38"/>
        <v>0</v>
      </c>
      <c r="DR10" s="532">
        <f t="shared" ref="DR10:DR39" si="149">+DP10*$H$8</f>
        <v>0</v>
      </c>
      <c r="DS10" s="530"/>
      <c r="DT10" s="531">
        <f t="shared" si="39"/>
        <v>0</v>
      </c>
      <c r="DU10" s="532">
        <f t="shared" ref="DU10:DU39" si="150">+DS10*$H$8</f>
        <v>0</v>
      </c>
      <c r="DV10" s="530"/>
      <c r="DW10" s="531">
        <f t="shared" si="40"/>
        <v>0</v>
      </c>
      <c r="DX10" s="532">
        <f t="shared" ref="DX10:DX39" si="151">+DV10*$H$8</f>
        <v>0</v>
      </c>
      <c r="DY10" s="530"/>
      <c r="DZ10" s="531">
        <f t="shared" si="41"/>
        <v>0</v>
      </c>
      <c r="EA10" s="532">
        <f t="shared" ref="EA10:EA39" si="152">+DY10*$H$8</f>
        <v>0</v>
      </c>
      <c r="EB10" s="530"/>
      <c r="EC10" s="531">
        <f t="shared" si="42"/>
        <v>0</v>
      </c>
      <c r="ED10" s="532">
        <f t="shared" ref="ED10:ED39" si="153">+EB10*$H$8</f>
        <v>0</v>
      </c>
      <c r="EE10" s="530">
        <v>7.2674418604651123</v>
      </c>
      <c r="EF10" s="531">
        <f t="shared" si="43"/>
        <v>0.19863453850999294</v>
      </c>
      <c r="EG10" s="532">
        <f t="shared" ref="EG10:EG39" si="154">+EE10*$H$8</f>
        <v>0</v>
      </c>
      <c r="EH10" s="530">
        <v>3</v>
      </c>
      <c r="EI10" s="531">
        <f t="shared" si="44"/>
        <v>8.1996337496925129E-2</v>
      </c>
      <c r="EJ10" s="532">
        <f t="shared" ref="EJ10:EJ39" si="155">+EH10*$H$8</f>
        <v>0</v>
      </c>
      <c r="EK10" s="530"/>
      <c r="EL10" s="531">
        <f t="shared" si="45"/>
        <v>0</v>
      </c>
      <c r="EM10" s="532">
        <f t="shared" ref="EM10:EM39" si="156">+EK10*$H$8</f>
        <v>0</v>
      </c>
      <c r="EN10" s="530"/>
      <c r="EO10" s="531">
        <f t="shared" si="46"/>
        <v>0</v>
      </c>
      <c r="EP10" s="532">
        <f t="shared" ref="EP10:EP39" si="157">+EN10*$H$8</f>
        <v>0</v>
      </c>
      <c r="EQ10" s="530"/>
      <c r="ER10" s="531">
        <f t="shared" si="47"/>
        <v>0</v>
      </c>
      <c r="ES10" s="532">
        <f t="shared" ref="ES10:ES39" si="158">+EQ10*$H$8</f>
        <v>0</v>
      </c>
      <c r="ET10" s="530"/>
      <c r="EU10" s="531">
        <f t="shared" si="48"/>
        <v>0</v>
      </c>
      <c r="EV10" s="532">
        <f t="shared" ref="EV10:EV39" si="159">+ET10*$H$8</f>
        <v>0</v>
      </c>
      <c r="EW10" s="530"/>
      <c r="EX10" s="531">
        <f t="shared" si="49"/>
        <v>0</v>
      </c>
      <c r="EY10" s="532">
        <f t="shared" ref="EY10:EY39" si="160">+EW10*$H$8</f>
        <v>0</v>
      </c>
      <c r="EZ10" s="530"/>
      <c r="FA10" s="531">
        <f t="shared" si="50"/>
        <v>0</v>
      </c>
      <c r="FB10" s="532">
        <f t="shared" ref="FB10:FB39" si="161">+EZ10*$H$8</f>
        <v>0</v>
      </c>
      <c r="FC10" s="530"/>
      <c r="FD10" s="531">
        <f t="shared" si="51"/>
        <v>0</v>
      </c>
      <c r="FE10" s="532">
        <f t="shared" ref="FE10:FE39" si="162">+FC10*$H$8</f>
        <v>0</v>
      </c>
      <c r="FF10" s="530"/>
      <c r="FG10" s="531">
        <f t="shared" si="52"/>
        <v>0</v>
      </c>
      <c r="FH10" s="532">
        <f t="shared" ref="FH10:FH39" si="163">+FF10*$H$8</f>
        <v>0</v>
      </c>
      <c r="FI10" s="530"/>
      <c r="FJ10" s="531">
        <f t="shared" si="53"/>
        <v>0</v>
      </c>
      <c r="FK10" s="532">
        <f t="shared" ref="FK10:FK39" si="164">+FI10*$H$8</f>
        <v>0</v>
      </c>
      <c r="FL10" s="530"/>
      <c r="FM10" s="531">
        <f t="shared" si="54"/>
        <v>0</v>
      </c>
      <c r="FN10" s="532">
        <f t="shared" ref="FN10:FN39" si="165">+FL10*$H$8</f>
        <v>0</v>
      </c>
      <c r="FO10" s="530"/>
      <c r="FP10" s="531">
        <f t="shared" si="55"/>
        <v>0</v>
      </c>
      <c r="FQ10" s="532">
        <f t="shared" ref="FQ10:FQ39" si="166">+FO10*$H$8</f>
        <v>0</v>
      </c>
      <c r="FR10" s="530"/>
      <c r="FS10" s="531">
        <f t="shared" si="56"/>
        <v>0</v>
      </c>
      <c r="FT10" s="532">
        <f t="shared" ref="FT10:FT39" si="167">+FR10*$H$8</f>
        <v>0</v>
      </c>
      <c r="FU10" s="530"/>
      <c r="FV10" s="531">
        <f t="shared" si="57"/>
        <v>0</v>
      </c>
      <c r="FW10" s="532">
        <f t="shared" ref="FW10:FW39" si="168">+FU10*$H$8</f>
        <v>0</v>
      </c>
      <c r="FX10" s="530"/>
      <c r="FY10" s="531">
        <f t="shared" si="58"/>
        <v>0</v>
      </c>
      <c r="FZ10" s="532">
        <f t="shared" ref="FZ10:FZ39" si="169">+FX10*$H$8</f>
        <v>0</v>
      </c>
      <c r="GA10" s="530"/>
      <c r="GB10" s="531">
        <f t="shared" si="59"/>
        <v>0</v>
      </c>
      <c r="GC10" s="532">
        <f t="shared" ref="GC10:GC39" si="170">+GA10*$H$8</f>
        <v>0</v>
      </c>
      <c r="GD10" s="530"/>
      <c r="GE10" s="531">
        <f t="shared" si="60"/>
        <v>0</v>
      </c>
      <c r="GF10" s="532">
        <f t="shared" ref="GF10:GF39" si="171">+GD10*$H$8</f>
        <v>0</v>
      </c>
      <c r="GG10" s="530"/>
      <c r="GH10" s="531">
        <f t="shared" si="61"/>
        <v>0</v>
      </c>
      <c r="GI10" s="532">
        <f t="shared" ref="GI10:GI39" si="172">+GG10*$H$8</f>
        <v>0</v>
      </c>
      <c r="GJ10" s="530"/>
      <c r="GK10" s="531">
        <f t="shared" si="62"/>
        <v>0</v>
      </c>
      <c r="GL10" s="532">
        <f t="shared" ref="GL10:GL39" si="173">+GJ10*$H$8</f>
        <v>0</v>
      </c>
      <c r="GM10" s="530"/>
      <c r="GN10" s="531">
        <f t="shared" si="63"/>
        <v>0</v>
      </c>
      <c r="GO10" s="532">
        <f t="shared" ref="GO10:GO39" si="174">+GM10*$H$8</f>
        <v>0</v>
      </c>
      <c r="GP10" s="530"/>
      <c r="GQ10" s="531">
        <f t="shared" si="64"/>
        <v>0</v>
      </c>
      <c r="GR10" s="532">
        <f t="shared" ref="GR10:GR39" si="175">+GP10*$H$8</f>
        <v>0</v>
      </c>
      <c r="GS10" s="530"/>
      <c r="GT10" s="531">
        <f t="shared" si="65"/>
        <v>0</v>
      </c>
      <c r="GU10" s="532">
        <f t="shared" ref="GU10:GU39" si="176">+GS10*$H$8</f>
        <v>0</v>
      </c>
      <c r="GV10" s="530"/>
      <c r="GW10" s="531">
        <f t="shared" si="66"/>
        <v>0</v>
      </c>
      <c r="GX10" s="532">
        <f t="shared" ref="GX10:GX39" si="177">+GV10*$H$8</f>
        <v>0</v>
      </c>
      <c r="GY10" s="530"/>
      <c r="GZ10" s="531">
        <f t="shared" si="67"/>
        <v>0</v>
      </c>
      <c r="HA10" s="532">
        <f t="shared" ref="HA10:HA39" si="178">+GY10*$H$8</f>
        <v>0</v>
      </c>
      <c r="HB10" s="530"/>
      <c r="HC10" s="531">
        <f t="shared" si="68"/>
        <v>0</v>
      </c>
      <c r="HD10" s="532">
        <f t="shared" ref="HD10:HD39" si="179">+HB10*$H$8</f>
        <v>0</v>
      </c>
      <c r="HE10" s="530"/>
      <c r="HF10" s="531">
        <f t="shared" si="69"/>
        <v>0</v>
      </c>
      <c r="HG10" s="532">
        <f t="shared" ref="HG10:HG39" si="180">+HE10*$H$8</f>
        <v>0</v>
      </c>
      <c r="HH10" s="530"/>
      <c r="HI10" s="531">
        <f t="shared" si="70"/>
        <v>0</v>
      </c>
      <c r="HJ10" s="532">
        <f t="shared" ref="HJ10:HJ39" si="181">+HH10*$H$8</f>
        <v>0</v>
      </c>
      <c r="HK10" s="530"/>
      <c r="HL10" s="531">
        <f t="shared" si="71"/>
        <v>0</v>
      </c>
      <c r="HM10" s="532">
        <f t="shared" ref="HM10:HM39" si="182">+HK10*$H$8</f>
        <v>0</v>
      </c>
      <c r="HN10" s="530"/>
      <c r="HO10" s="531">
        <f t="shared" si="72"/>
        <v>0</v>
      </c>
      <c r="HP10" s="532">
        <f t="shared" ref="HP10:HP39" si="183">+HN10*$H$8</f>
        <v>0</v>
      </c>
      <c r="HQ10" s="530"/>
      <c r="HR10" s="531">
        <f t="shared" si="73"/>
        <v>0</v>
      </c>
      <c r="HS10" s="532">
        <f t="shared" ref="HS10:HS39" si="184">+HQ10*$H$8</f>
        <v>0</v>
      </c>
      <c r="HT10" s="530"/>
      <c r="HU10" s="531">
        <f t="shared" si="74"/>
        <v>0</v>
      </c>
      <c r="HV10" s="532">
        <f t="shared" ref="HV10:HV39" si="185">+HT10*$H$8</f>
        <v>0</v>
      </c>
      <c r="HW10" s="530"/>
      <c r="HX10" s="531">
        <f t="shared" si="75"/>
        <v>0</v>
      </c>
      <c r="HY10" s="532">
        <f t="shared" ref="HY10:HY39" si="186">+HW10*$H$8</f>
        <v>0</v>
      </c>
      <c r="HZ10" s="530"/>
      <c r="IA10" s="531">
        <f t="shared" si="76"/>
        <v>0</v>
      </c>
      <c r="IB10" s="532">
        <f t="shared" ref="IB10:IB39" si="187">+HZ10*$H$8</f>
        <v>0</v>
      </c>
      <c r="IC10" s="530"/>
      <c r="ID10" s="531">
        <f t="shared" si="77"/>
        <v>0</v>
      </c>
      <c r="IE10" s="532">
        <f t="shared" ref="IE10:IE39" si="188">+IC10*$H$8</f>
        <v>0</v>
      </c>
      <c r="IF10" s="530"/>
      <c r="IG10" s="531">
        <f t="shared" si="78"/>
        <v>0</v>
      </c>
      <c r="IH10" s="532">
        <f t="shared" ref="IH10:IH39" si="189">+IF10*$H$8</f>
        <v>0</v>
      </c>
      <c r="II10" s="530"/>
      <c r="IJ10" s="531">
        <f t="shared" si="79"/>
        <v>0</v>
      </c>
      <c r="IK10" s="532">
        <f t="shared" ref="IK10:IK39" si="190">+II10*$H$8</f>
        <v>0</v>
      </c>
      <c r="IL10" s="530"/>
      <c r="IM10" s="531">
        <f t="shared" si="80"/>
        <v>0</v>
      </c>
      <c r="IN10" s="532">
        <f t="shared" ref="IN10:IN39" si="191">+IL10*$H$8</f>
        <v>0</v>
      </c>
      <c r="IO10" s="530"/>
      <c r="IP10" s="531">
        <f t="shared" si="81"/>
        <v>0</v>
      </c>
      <c r="IQ10" s="532">
        <f t="shared" ref="IQ10:IQ39" si="192">+IO10*$H$8</f>
        <v>0</v>
      </c>
      <c r="IR10" s="530"/>
      <c r="IS10" s="531">
        <f t="shared" si="82"/>
        <v>0</v>
      </c>
      <c r="IT10" s="532">
        <f t="shared" ref="IT10:IT39" si="193">+IR10*$H$8</f>
        <v>0</v>
      </c>
      <c r="IU10" s="530"/>
      <c r="IV10" s="531">
        <f t="shared" si="83"/>
        <v>0</v>
      </c>
      <c r="IW10" s="532">
        <f t="shared" ref="IW10:IW39" si="194">+IU10*$H$8</f>
        <v>0</v>
      </c>
      <c r="IX10" s="530"/>
      <c r="IY10" s="531">
        <f t="shared" si="84"/>
        <v>0</v>
      </c>
      <c r="IZ10" s="532">
        <f t="shared" ref="IZ10:IZ39" si="195">+IX10*$H$8</f>
        <v>0</v>
      </c>
      <c r="JA10" s="530"/>
      <c r="JB10" s="531">
        <f t="shared" si="85"/>
        <v>0</v>
      </c>
      <c r="JC10" s="532">
        <f t="shared" ref="JC10:JC39" si="196">+JA10*$H$8</f>
        <v>0</v>
      </c>
      <c r="JD10" s="530"/>
      <c r="JE10" s="531">
        <f t="shared" si="86"/>
        <v>0</v>
      </c>
      <c r="JF10" s="532">
        <f t="shared" ref="JF10:JF39" si="197">+JD10*$H$8</f>
        <v>0</v>
      </c>
      <c r="JG10" s="530"/>
      <c r="JH10" s="531">
        <f t="shared" si="87"/>
        <v>0</v>
      </c>
      <c r="JI10" s="532">
        <f t="shared" ref="JI10:JI39" si="198">+JG10*$H$8</f>
        <v>0</v>
      </c>
      <c r="JJ10" s="530"/>
      <c r="JK10" s="532" t="str">
        <f t="shared" si="88"/>
        <v>0</v>
      </c>
      <c r="JL10" s="532" t="str">
        <f t="shared" si="89"/>
        <v>0</v>
      </c>
      <c r="JM10" s="530"/>
      <c r="JN10" s="532" t="str">
        <f t="shared" si="90"/>
        <v>0</v>
      </c>
      <c r="JO10" s="532" t="str">
        <f t="shared" si="91"/>
        <v>0</v>
      </c>
      <c r="JP10" s="530"/>
      <c r="JQ10" s="532" t="str">
        <f t="shared" si="92"/>
        <v>0</v>
      </c>
      <c r="JR10" s="532" t="str">
        <f t="shared" si="93"/>
        <v>0</v>
      </c>
      <c r="JS10" s="530"/>
      <c r="JT10" s="532" t="str">
        <f t="shared" si="94"/>
        <v>0</v>
      </c>
      <c r="JU10" s="532" t="str">
        <f t="shared" si="95"/>
        <v>0</v>
      </c>
      <c r="JV10" s="530"/>
      <c r="JW10" s="532" t="str">
        <f t="shared" si="96"/>
        <v>0</v>
      </c>
      <c r="JX10" s="532" t="str">
        <f t="shared" si="97"/>
        <v>0</v>
      </c>
      <c r="JY10" s="530"/>
      <c r="JZ10" s="532" t="str">
        <f t="shared" si="98"/>
        <v>0</v>
      </c>
      <c r="KA10" s="532" t="str">
        <f t="shared" si="99"/>
        <v>0</v>
      </c>
      <c r="KB10" s="530"/>
      <c r="KC10" s="532" t="str">
        <f t="shared" si="100"/>
        <v>0</v>
      </c>
      <c r="KD10" s="532" t="str">
        <f t="shared" si="101"/>
        <v>0</v>
      </c>
      <c r="KE10" s="530"/>
      <c r="KF10" s="532" t="str">
        <f t="shared" si="102"/>
        <v>0</v>
      </c>
      <c r="KG10" s="532" t="str">
        <f t="shared" si="103"/>
        <v>0</v>
      </c>
      <c r="KH10" s="530"/>
      <c r="KI10" s="532" t="str">
        <f t="shared" si="104"/>
        <v>0</v>
      </c>
      <c r="KJ10" s="532" t="str">
        <f t="shared" si="105"/>
        <v>0</v>
      </c>
      <c r="KK10" s="530"/>
      <c r="KL10" s="532" t="str">
        <f t="shared" si="106"/>
        <v>0</v>
      </c>
      <c r="KM10" s="532" t="str">
        <f t="shared" si="107"/>
        <v>0</v>
      </c>
      <c r="KN10" s="530"/>
      <c r="KO10" s="532" t="str">
        <f t="shared" si="108"/>
        <v>0</v>
      </c>
      <c r="KP10" s="532" t="str">
        <f t="shared" si="109"/>
        <v>0</v>
      </c>
      <c r="KQ10" s="530"/>
      <c r="KR10" s="532" t="str">
        <f t="shared" si="110"/>
        <v>0</v>
      </c>
      <c r="KS10" s="532" t="str">
        <f t="shared" si="111"/>
        <v>0</v>
      </c>
      <c r="KT10" s="532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32">
        <f>GF10+GI10+GL10+GO10+GR10+GU10+GX10+HA10+HD10+HG10+HJ10+HM10+HP10+HS10+HV10+HY10+IB10+IE10+IH10+IK10+IN10+IQ10+IT10+IW10+IZ10+JC10+JF10+JI10+JL10+JO10+JR10+JU10+JX10++KA10+KD10+KG10+KJ10++KM10+KP10+KS10</f>
        <v>0</v>
      </c>
      <c r="KV10" s="268">
        <f t="shared" ref="KV10:KV41" si="199">+F10+I10+L10+O10+R10+U10+X10+AA10+AD10+AG10+AJ10+AM10+AP10+AS10+AV10+AY10+BB10+BE10+BH10+BK10+BN10+BQ10+BT10+BW10+BZ10+CC10+CF10+CI10+CL10+CO10+CR10+CU10+CX10+DA10+DD10+DJ10+DM10+DP10+DS10+DV10+DY10+EB10+GG10+GJ10+GM10+GP10+GS10+HN10+II10+IR10+GV10+IU10++HT10+HW10+HZ10+IC10+JA10+JJ10+JM10+HB10+EE10+GD10+EH10++EK10</f>
        <v>439.17619222843678</v>
      </c>
    </row>
    <row r="11" spans="1:308">
      <c r="A11" s="269">
        <f t="shared" ref="A11:A39" si="200">+A10+1</f>
        <v>45933</v>
      </c>
      <c r="B11" s="270" t="str">
        <f>+Report1!B11</f>
        <v>Facial</v>
      </c>
      <c r="C11" s="270" t="str">
        <f>+Report1!C11</f>
        <v>12</v>
      </c>
      <c r="D11" s="271">
        <f>+Report1!P11</f>
        <v>37.695</v>
      </c>
      <c r="E11" s="570">
        <f>+Report1!R11</f>
        <v>36.482999999999997</v>
      </c>
      <c r="F11" s="530"/>
      <c r="G11" s="531">
        <f t="shared" si="0"/>
        <v>0</v>
      </c>
      <c r="H11" s="532">
        <f t="shared" si="112"/>
        <v>0</v>
      </c>
      <c r="I11" s="530">
        <v>290.69767441860472</v>
      </c>
      <c r="J11" s="531">
        <f t="shared" si="1"/>
        <v>7.9680309848040114</v>
      </c>
      <c r="K11" s="532">
        <f t="shared" si="113"/>
        <v>0</v>
      </c>
      <c r="L11" s="530"/>
      <c r="M11" s="531">
        <f t="shared" si="2"/>
        <v>0</v>
      </c>
      <c r="N11" s="532">
        <f t="shared" si="114"/>
        <v>0</v>
      </c>
      <c r="O11" s="530">
        <v>5.9999999999999964</v>
      </c>
      <c r="P11" s="531">
        <f t="shared" si="3"/>
        <v>0.16446015952635465</v>
      </c>
      <c r="Q11" s="532">
        <f t="shared" si="115"/>
        <v>0</v>
      </c>
      <c r="R11" s="530"/>
      <c r="S11" s="531">
        <f t="shared" si="4"/>
        <v>0</v>
      </c>
      <c r="T11" s="532">
        <f t="shared" si="116"/>
        <v>0</v>
      </c>
      <c r="U11" s="530">
        <v>5.1249999999999929</v>
      </c>
      <c r="V11" s="531">
        <f>+U11/$E11</f>
        <v>0.14047638626209449</v>
      </c>
      <c r="W11" s="532">
        <f>+U11*$H$8</f>
        <v>0</v>
      </c>
      <c r="X11" s="530"/>
      <c r="Y11" s="531">
        <f t="shared" si="6"/>
        <v>0</v>
      </c>
      <c r="Z11" s="532">
        <f t="shared" si="118"/>
        <v>0</v>
      </c>
      <c r="AA11" s="530"/>
      <c r="AB11" s="531">
        <f t="shared" si="7"/>
        <v>0</v>
      </c>
      <c r="AC11" s="532">
        <f t="shared" si="119"/>
        <v>0</v>
      </c>
      <c r="AD11" s="530"/>
      <c r="AE11" s="531">
        <f t="shared" si="8"/>
        <v>0</v>
      </c>
      <c r="AF11" s="532">
        <f t="shared" si="120"/>
        <v>0</v>
      </c>
      <c r="AG11" s="530"/>
      <c r="AH11" s="531">
        <f t="shared" si="9"/>
        <v>0</v>
      </c>
      <c r="AI11" s="532">
        <f t="shared" si="121"/>
        <v>0</v>
      </c>
      <c r="AJ11" s="530"/>
      <c r="AK11" s="531">
        <f t="shared" si="10"/>
        <v>0</v>
      </c>
      <c r="AL11" s="532">
        <f t="shared" si="122"/>
        <v>0</v>
      </c>
      <c r="AM11" s="530"/>
      <c r="AN11" s="531">
        <f t="shared" si="11"/>
        <v>0</v>
      </c>
      <c r="AO11" s="532">
        <f t="shared" si="123"/>
        <v>0</v>
      </c>
      <c r="AP11" s="530">
        <v>48.417721518987321</v>
      </c>
      <c r="AQ11" s="531">
        <f t="shared" si="12"/>
        <v>1.3271310341525457</v>
      </c>
      <c r="AR11" s="532">
        <f t="shared" si="124"/>
        <v>0</v>
      </c>
      <c r="AS11" s="530"/>
      <c r="AT11" s="531">
        <f t="shared" si="13"/>
        <v>0</v>
      </c>
      <c r="AU11" s="532">
        <f t="shared" si="125"/>
        <v>0</v>
      </c>
      <c r="AV11" s="530"/>
      <c r="AW11" s="531">
        <f t="shared" si="14"/>
        <v>0</v>
      </c>
      <c r="AX11" s="532">
        <f t="shared" si="126"/>
        <v>0</v>
      </c>
      <c r="AY11" s="530">
        <v>56</v>
      </c>
      <c r="AZ11" s="531">
        <f t="shared" si="15"/>
        <v>1.5349614889126444</v>
      </c>
      <c r="BA11" s="532">
        <f t="shared" si="127"/>
        <v>0</v>
      </c>
      <c r="BB11" s="530"/>
      <c r="BC11" s="531">
        <f t="shared" si="16"/>
        <v>0</v>
      </c>
      <c r="BD11" s="532">
        <f t="shared" si="128"/>
        <v>0</v>
      </c>
      <c r="BE11" s="530"/>
      <c r="BF11" s="531">
        <f t="shared" si="17"/>
        <v>0</v>
      </c>
      <c r="BG11" s="532">
        <f t="shared" si="129"/>
        <v>0</v>
      </c>
      <c r="BH11" s="530"/>
      <c r="BI11" s="531">
        <f t="shared" si="18"/>
        <v>0</v>
      </c>
      <c r="BJ11" s="532">
        <f t="shared" si="130"/>
        <v>0</v>
      </c>
      <c r="BK11" s="530"/>
      <c r="BL11" s="531">
        <f t="shared" si="19"/>
        <v>0</v>
      </c>
      <c r="BM11" s="532">
        <f t="shared" si="131"/>
        <v>0</v>
      </c>
      <c r="BN11" s="530"/>
      <c r="BO11" s="531">
        <f t="shared" si="20"/>
        <v>0</v>
      </c>
      <c r="BP11" s="532">
        <f t="shared" si="132"/>
        <v>0</v>
      </c>
      <c r="BQ11" s="530">
        <v>20.253164556962027</v>
      </c>
      <c r="BR11" s="531">
        <f t="shared" si="21"/>
        <v>0.5551397789919148</v>
      </c>
      <c r="BS11" s="532">
        <f t="shared" si="133"/>
        <v>0</v>
      </c>
      <c r="BT11" s="530"/>
      <c r="BU11" s="531">
        <f t="shared" si="22"/>
        <v>0</v>
      </c>
      <c r="BV11" s="532">
        <f t="shared" si="134"/>
        <v>0</v>
      </c>
      <c r="BW11" s="530"/>
      <c r="BX11" s="531">
        <f t="shared" si="23"/>
        <v>0</v>
      </c>
      <c r="BY11" s="532">
        <f t="shared" si="135"/>
        <v>0</v>
      </c>
      <c r="BZ11" s="530"/>
      <c r="CA11" s="531">
        <f t="shared" si="24"/>
        <v>0</v>
      </c>
      <c r="CB11" s="532">
        <f t="shared" si="136"/>
        <v>0</v>
      </c>
      <c r="CC11" s="530"/>
      <c r="CD11" s="531">
        <f t="shared" si="25"/>
        <v>0</v>
      </c>
      <c r="CE11" s="532">
        <f t="shared" si="137"/>
        <v>0</v>
      </c>
      <c r="CF11" s="530">
        <v>0.40000000000000036</v>
      </c>
      <c r="CG11" s="531">
        <f t="shared" si="26"/>
        <v>1.0964010635090327E-2</v>
      </c>
      <c r="CH11" s="532">
        <f t="shared" si="138"/>
        <v>0</v>
      </c>
      <c r="CI11" s="530"/>
      <c r="CJ11" s="531">
        <f t="shared" si="27"/>
        <v>0</v>
      </c>
      <c r="CK11" s="532">
        <f t="shared" si="139"/>
        <v>0</v>
      </c>
      <c r="CL11" s="530"/>
      <c r="CM11" s="531">
        <f t="shared" si="28"/>
        <v>0</v>
      </c>
      <c r="CN11" s="532">
        <f t="shared" si="140"/>
        <v>0</v>
      </c>
      <c r="CO11" s="530"/>
      <c r="CP11" s="531">
        <f t="shared" si="29"/>
        <v>0</v>
      </c>
      <c r="CQ11" s="532">
        <f t="shared" si="141"/>
        <v>0</v>
      </c>
      <c r="CR11" s="530"/>
      <c r="CS11" s="531">
        <f t="shared" si="30"/>
        <v>0</v>
      </c>
      <c r="CT11" s="532">
        <f t="shared" si="142"/>
        <v>0</v>
      </c>
      <c r="CU11" s="530"/>
      <c r="CV11" s="531">
        <f t="shared" si="31"/>
        <v>0</v>
      </c>
      <c r="CW11" s="532">
        <f t="shared" si="143"/>
        <v>0</v>
      </c>
      <c r="CX11" s="530"/>
      <c r="CY11" s="531">
        <f t="shared" si="32"/>
        <v>0</v>
      </c>
      <c r="CZ11" s="532">
        <f t="shared" si="144"/>
        <v>0</v>
      </c>
      <c r="DA11" s="530"/>
      <c r="DB11" s="531">
        <f t="shared" si="33"/>
        <v>0</v>
      </c>
      <c r="DC11" s="532">
        <f t="shared" si="145"/>
        <v>0</v>
      </c>
      <c r="DD11" s="530"/>
      <c r="DE11" s="531">
        <f t="shared" si="34"/>
        <v>0</v>
      </c>
      <c r="DF11" s="532">
        <f t="shared" si="146"/>
        <v>0</v>
      </c>
      <c r="DG11" s="530"/>
      <c r="DH11" s="531">
        <f t="shared" si="35"/>
        <v>0</v>
      </c>
      <c r="DI11" s="532">
        <v>0</v>
      </c>
      <c r="DJ11" s="530"/>
      <c r="DK11" s="531">
        <f t="shared" si="36"/>
        <v>0</v>
      </c>
      <c r="DL11" s="532">
        <f t="shared" si="147"/>
        <v>0</v>
      </c>
      <c r="DM11" s="530"/>
      <c r="DN11" s="531">
        <f t="shared" si="37"/>
        <v>0</v>
      </c>
      <c r="DO11" s="532">
        <f t="shared" si="148"/>
        <v>0</v>
      </c>
      <c r="DP11" s="530"/>
      <c r="DQ11" s="531">
        <f t="shared" si="38"/>
        <v>0</v>
      </c>
      <c r="DR11" s="532">
        <f t="shared" si="149"/>
        <v>0</v>
      </c>
      <c r="DS11" s="530"/>
      <c r="DT11" s="531">
        <f t="shared" si="39"/>
        <v>0</v>
      </c>
      <c r="DU11" s="532">
        <f t="shared" si="150"/>
        <v>0</v>
      </c>
      <c r="DV11" s="530"/>
      <c r="DW11" s="531">
        <f t="shared" si="40"/>
        <v>0</v>
      </c>
      <c r="DX11" s="532">
        <f t="shared" si="151"/>
        <v>0</v>
      </c>
      <c r="DY11" s="530"/>
      <c r="DZ11" s="531">
        <f t="shared" si="41"/>
        <v>0</v>
      </c>
      <c r="EA11" s="532">
        <f t="shared" si="152"/>
        <v>0</v>
      </c>
      <c r="EB11" s="530"/>
      <c r="EC11" s="531">
        <f t="shared" si="42"/>
        <v>0</v>
      </c>
      <c r="ED11" s="532">
        <f t="shared" si="153"/>
        <v>0</v>
      </c>
      <c r="EE11" s="530">
        <v>7.2674418604651123</v>
      </c>
      <c r="EF11" s="531">
        <f t="shared" si="43"/>
        <v>0.19920077462010014</v>
      </c>
      <c r="EG11" s="532">
        <f t="shared" si="154"/>
        <v>0</v>
      </c>
      <c r="EH11" s="530">
        <v>2.5</v>
      </c>
      <c r="EI11" s="531">
        <f t="shared" si="44"/>
        <v>6.8525066469314486E-2</v>
      </c>
      <c r="EJ11" s="532">
        <f t="shared" si="155"/>
        <v>0</v>
      </c>
      <c r="EK11" s="530">
        <v>35.22352941176473</v>
      </c>
      <c r="EL11" s="531">
        <f t="shared" si="45"/>
        <v>0.9654778776900127</v>
      </c>
      <c r="EM11" s="532">
        <f t="shared" si="156"/>
        <v>0</v>
      </c>
      <c r="EN11" s="530"/>
      <c r="EO11" s="531">
        <f t="shared" si="46"/>
        <v>0</v>
      </c>
      <c r="EP11" s="532">
        <f t="shared" si="157"/>
        <v>0</v>
      </c>
      <c r="EQ11" s="530"/>
      <c r="ER11" s="531">
        <f t="shared" si="47"/>
        <v>0</v>
      </c>
      <c r="ES11" s="532">
        <f t="shared" si="158"/>
        <v>0</v>
      </c>
      <c r="ET11" s="530"/>
      <c r="EU11" s="531">
        <f t="shared" si="48"/>
        <v>0</v>
      </c>
      <c r="EV11" s="532">
        <f t="shared" si="159"/>
        <v>0</v>
      </c>
      <c r="EW11" s="530"/>
      <c r="EX11" s="531">
        <f t="shared" si="49"/>
        <v>0</v>
      </c>
      <c r="EY11" s="532">
        <f t="shared" si="160"/>
        <v>0</v>
      </c>
      <c r="EZ11" s="530"/>
      <c r="FA11" s="531">
        <f t="shared" si="50"/>
        <v>0</v>
      </c>
      <c r="FB11" s="532">
        <f t="shared" si="161"/>
        <v>0</v>
      </c>
      <c r="FC11" s="530"/>
      <c r="FD11" s="531">
        <f t="shared" si="51"/>
        <v>0</v>
      </c>
      <c r="FE11" s="532">
        <f t="shared" si="162"/>
        <v>0</v>
      </c>
      <c r="FF11" s="530"/>
      <c r="FG11" s="531">
        <f t="shared" si="52"/>
        <v>0</v>
      </c>
      <c r="FH11" s="532">
        <f t="shared" si="163"/>
        <v>0</v>
      </c>
      <c r="FI11" s="530"/>
      <c r="FJ11" s="531">
        <f t="shared" si="53"/>
        <v>0</v>
      </c>
      <c r="FK11" s="532">
        <f t="shared" si="164"/>
        <v>0</v>
      </c>
      <c r="FL11" s="530"/>
      <c r="FM11" s="531">
        <f t="shared" si="54"/>
        <v>0</v>
      </c>
      <c r="FN11" s="532">
        <f t="shared" si="165"/>
        <v>0</v>
      </c>
      <c r="FO11" s="530"/>
      <c r="FP11" s="531">
        <f t="shared" si="55"/>
        <v>0</v>
      </c>
      <c r="FQ11" s="532">
        <f t="shared" si="166"/>
        <v>0</v>
      </c>
      <c r="FR11" s="530"/>
      <c r="FS11" s="531">
        <f t="shared" si="56"/>
        <v>0</v>
      </c>
      <c r="FT11" s="532">
        <f t="shared" si="167"/>
        <v>0</v>
      </c>
      <c r="FU11" s="530"/>
      <c r="FV11" s="531">
        <f t="shared" si="57"/>
        <v>0</v>
      </c>
      <c r="FW11" s="532">
        <f t="shared" si="168"/>
        <v>0</v>
      </c>
      <c r="FX11" s="530"/>
      <c r="FY11" s="531">
        <f t="shared" si="58"/>
        <v>0</v>
      </c>
      <c r="FZ11" s="532">
        <f t="shared" si="169"/>
        <v>0</v>
      </c>
      <c r="GA11" s="530"/>
      <c r="GB11" s="531">
        <f t="shared" si="59"/>
        <v>0</v>
      </c>
      <c r="GC11" s="532">
        <f t="shared" si="170"/>
        <v>0</v>
      </c>
      <c r="GD11" s="530"/>
      <c r="GE11" s="531">
        <f t="shared" si="60"/>
        <v>0</v>
      </c>
      <c r="GF11" s="532">
        <f t="shared" si="171"/>
        <v>0</v>
      </c>
      <c r="GG11" s="530"/>
      <c r="GH11" s="531">
        <f t="shared" si="61"/>
        <v>0</v>
      </c>
      <c r="GI11" s="532">
        <f t="shared" si="172"/>
        <v>0</v>
      </c>
      <c r="GJ11" s="530"/>
      <c r="GK11" s="531">
        <f t="shared" si="62"/>
        <v>0</v>
      </c>
      <c r="GL11" s="532">
        <f t="shared" si="173"/>
        <v>0</v>
      </c>
      <c r="GM11" s="530"/>
      <c r="GN11" s="531">
        <f t="shared" si="63"/>
        <v>0</v>
      </c>
      <c r="GO11" s="532">
        <f t="shared" si="174"/>
        <v>0</v>
      </c>
      <c r="GP11" s="530"/>
      <c r="GQ11" s="531">
        <f t="shared" si="64"/>
        <v>0</v>
      </c>
      <c r="GR11" s="532">
        <f t="shared" si="175"/>
        <v>0</v>
      </c>
      <c r="GS11" s="530"/>
      <c r="GT11" s="531">
        <f t="shared" si="65"/>
        <v>0</v>
      </c>
      <c r="GU11" s="532">
        <f t="shared" si="176"/>
        <v>0</v>
      </c>
      <c r="GV11" s="530"/>
      <c r="GW11" s="531">
        <f t="shared" si="66"/>
        <v>0</v>
      </c>
      <c r="GX11" s="532">
        <f t="shared" si="177"/>
        <v>0</v>
      </c>
      <c r="GY11" s="530"/>
      <c r="GZ11" s="531">
        <f t="shared" si="67"/>
        <v>0</v>
      </c>
      <c r="HA11" s="532">
        <f t="shared" si="178"/>
        <v>0</v>
      </c>
      <c r="HB11" s="530"/>
      <c r="HC11" s="531">
        <f t="shared" si="68"/>
        <v>0</v>
      </c>
      <c r="HD11" s="532">
        <f t="shared" si="179"/>
        <v>0</v>
      </c>
      <c r="HE11" s="530"/>
      <c r="HF11" s="531">
        <f t="shared" si="69"/>
        <v>0</v>
      </c>
      <c r="HG11" s="532">
        <f t="shared" si="180"/>
        <v>0</v>
      </c>
      <c r="HH11" s="530"/>
      <c r="HI11" s="531">
        <f t="shared" si="70"/>
        <v>0</v>
      </c>
      <c r="HJ11" s="532">
        <f t="shared" si="181"/>
        <v>0</v>
      </c>
      <c r="HK11" s="530"/>
      <c r="HL11" s="531">
        <f t="shared" si="71"/>
        <v>0</v>
      </c>
      <c r="HM11" s="532">
        <f t="shared" si="182"/>
        <v>0</v>
      </c>
      <c r="HN11" s="530"/>
      <c r="HO11" s="531">
        <f t="shared" si="72"/>
        <v>0</v>
      </c>
      <c r="HP11" s="532">
        <f t="shared" si="183"/>
        <v>0</v>
      </c>
      <c r="HQ11" s="530"/>
      <c r="HR11" s="531">
        <f t="shared" si="73"/>
        <v>0</v>
      </c>
      <c r="HS11" s="532">
        <f t="shared" si="184"/>
        <v>0</v>
      </c>
      <c r="HT11" s="530"/>
      <c r="HU11" s="531">
        <f t="shared" si="74"/>
        <v>0</v>
      </c>
      <c r="HV11" s="532">
        <f t="shared" si="185"/>
        <v>0</v>
      </c>
      <c r="HW11" s="530"/>
      <c r="HX11" s="531">
        <f t="shared" si="75"/>
        <v>0</v>
      </c>
      <c r="HY11" s="532">
        <f t="shared" si="186"/>
        <v>0</v>
      </c>
      <c r="HZ11" s="530"/>
      <c r="IA11" s="531">
        <f t="shared" si="76"/>
        <v>0</v>
      </c>
      <c r="IB11" s="532">
        <f t="shared" si="187"/>
        <v>0</v>
      </c>
      <c r="IC11" s="530"/>
      <c r="ID11" s="531">
        <f t="shared" si="77"/>
        <v>0</v>
      </c>
      <c r="IE11" s="532">
        <f t="shared" si="188"/>
        <v>0</v>
      </c>
      <c r="IF11" s="530"/>
      <c r="IG11" s="531">
        <f t="shared" si="78"/>
        <v>0</v>
      </c>
      <c r="IH11" s="532">
        <f t="shared" si="189"/>
        <v>0</v>
      </c>
      <c r="II11" s="530"/>
      <c r="IJ11" s="531">
        <f t="shared" si="79"/>
        <v>0</v>
      </c>
      <c r="IK11" s="532">
        <f t="shared" si="190"/>
        <v>0</v>
      </c>
      <c r="IL11" s="530"/>
      <c r="IM11" s="531">
        <f t="shared" si="80"/>
        <v>0</v>
      </c>
      <c r="IN11" s="532">
        <f t="shared" si="191"/>
        <v>0</v>
      </c>
      <c r="IO11" s="530"/>
      <c r="IP11" s="531">
        <f t="shared" si="81"/>
        <v>0</v>
      </c>
      <c r="IQ11" s="532">
        <f t="shared" si="192"/>
        <v>0</v>
      </c>
      <c r="IR11" s="530"/>
      <c r="IS11" s="531">
        <f t="shared" si="82"/>
        <v>0</v>
      </c>
      <c r="IT11" s="532">
        <f t="shared" si="193"/>
        <v>0</v>
      </c>
      <c r="IU11" s="530"/>
      <c r="IV11" s="531">
        <f t="shared" si="83"/>
        <v>0</v>
      </c>
      <c r="IW11" s="532">
        <f t="shared" si="194"/>
        <v>0</v>
      </c>
      <c r="IX11" s="530"/>
      <c r="IY11" s="531">
        <f t="shared" si="84"/>
        <v>0</v>
      </c>
      <c r="IZ11" s="532">
        <f t="shared" si="195"/>
        <v>0</v>
      </c>
      <c r="JA11" s="530"/>
      <c r="JB11" s="531">
        <f t="shared" si="85"/>
        <v>0</v>
      </c>
      <c r="JC11" s="532">
        <f t="shared" si="196"/>
        <v>0</v>
      </c>
      <c r="JD11" s="530"/>
      <c r="JE11" s="531">
        <f t="shared" si="86"/>
        <v>0</v>
      </c>
      <c r="JF11" s="532">
        <f t="shared" si="197"/>
        <v>0</v>
      </c>
      <c r="JG11" s="530"/>
      <c r="JH11" s="531">
        <f t="shared" si="87"/>
        <v>0</v>
      </c>
      <c r="JI11" s="532">
        <f t="shared" si="198"/>
        <v>0</v>
      </c>
      <c r="JJ11" s="530"/>
      <c r="JK11" s="532" t="str">
        <f t="shared" si="88"/>
        <v>0</v>
      </c>
      <c r="JL11" s="532" t="str">
        <f t="shared" si="89"/>
        <v>0</v>
      </c>
      <c r="JM11" s="530"/>
      <c r="JN11" s="532" t="str">
        <f t="shared" si="90"/>
        <v>0</v>
      </c>
      <c r="JO11" s="532" t="str">
        <f t="shared" si="91"/>
        <v>0</v>
      </c>
      <c r="JP11" s="530"/>
      <c r="JQ11" s="532" t="str">
        <f t="shared" si="92"/>
        <v>0</v>
      </c>
      <c r="JR11" s="532" t="str">
        <f t="shared" si="93"/>
        <v>0</v>
      </c>
      <c r="JS11" s="530"/>
      <c r="JT11" s="532" t="str">
        <f t="shared" si="94"/>
        <v>0</v>
      </c>
      <c r="JU11" s="532" t="str">
        <f t="shared" si="95"/>
        <v>0</v>
      </c>
      <c r="JV11" s="530"/>
      <c r="JW11" s="532" t="str">
        <f t="shared" si="96"/>
        <v>0</v>
      </c>
      <c r="JX11" s="532" t="str">
        <f t="shared" si="97"/>
        <v>0</v>
      </c>
      <c r="JY11" s="530"/>
      <c r="JZ11" s="532" t="str">
        <f t="shared" si="98"/>
        <v>0</v>
      </c>
      <c r="KA11" s="532" t="str">
        <f t="shared" si="99"/>
        <v>0</v>
      </c>
      <c r="KB11" s="530"/>
      <c r="KC11" s="532" t="str">
        <f t="shared" si="100"/>
        <v>0</v>
      </c>
      <c r="KD11" s="532" t="str">
        <f t="shared" si="101"/>
        <v>0</v>
      </c>
      <c r="KE11" s="530"/>
      <c r="KF11" s="532" t="str">
        <f t="shared" si="102"/>
        <v>0</v>
      </c>
      <c r="KG11" s="532" t="str">
        <f t="shared" si="103"/>
        <v>0</v>
      </c>
      <c r="KH11" s="530"/>
      <c r="KI11" s="532" t="str">
        <f t="shared" si="104"/>
        <v>0</v>
      </c>
      <c r="KJ11" s="532" t="str">
        <f t="shared" si="105"/>
        <v>0</v>
      </c>
      <c r="KK11" s="530"/>
      <c r="KL11" s="532" t="str">
        <f t="shared" si="106"/>
        <v>0</v>
      </c>
      <c r="KM11" s="532" t="str">
        <f t="shared" si="107"/>
        <v>0</v>
      </c>
      <c r="KN11" s="530"/>
      <c r="KO11" s="532" t="str">
        <f t="shared" si="108"/>
        <v>0</v>
      </c>
      <c r="KP11" s="532" t="str">
        <f t="shared" si="109"/>
        <v>0</v>
      </c>
      <c r="KQ11" s="530"/>
      <c r="KR11" s="532" t="str">
        <f t="shared" si="110"/>
        <v>0</v>
      </c>
      <c r="KS11" s="532" t="str">
        <f t="shared" si="111"/>
        <v>0</v>
      </c>
      <c r="KT11" s="532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32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8">
        <f t="shared" si="199"/>
        <v>471.88453176678388</v>
      </c>
    </row>
    <row r="12" spans="1:308">
      <c r="A12" s="269">
        <f t="shared" si="200"/>
        <v>45934</v>
      </c>
      <c r="B12" s="270" t="str">
        <f>+Report1!B12</f>
        <v>Facial/Toilet</v>
      </c>
      <c r="C12" s="270" t="str">
        <f>+Report1!C12</f>
        <v>12/12,5/13</v>
      </c>
      <c r="D12" s="271">
        <f>+Report1!P12</f>
        <v>42.438000000000002</v>
      </c>
      <c r="E12" s="570">
        <f>+Report1!R12</f>
        <v>41.1</v>
      </c>
      <c r="F12" s="530"/>
      <c r="G12" s="531">
        <f t="shared" si="0"/>
        <v>0</v>
      </c>
      <c r="H12" s="532">
        <f t="shared" si="112"/>
        <v>0</v>
      </c>
      <c r="I12" s="530">
        <v>104.65116279069764</v>
      </c>
      <c r="J12" s="531">
        <f t="shared" si="1"/>
        <v>2.546257002206755</v>
      </c>
      <c r="K12" s="532">
        <f t="shared" si="113"/>
        <v>0</v>
      </c>
      <c r="L12" s="530"/>
      <c r="M12" s="531">
        <f t="shared" si="2"/>
        <v>0</v>
      </c>
      <c r="N12" s="532">
        <f t="shared" si="114"/>
        <v>0</v>
      </c>
      <c r="O12" s="530">
        <v>6.0592000000000024</v>
      </c>
      <c r="P12" s="531">
        <f t="shared" si="3"/>
        <v>0.14742579075425796</v>
      </c>
      <c r="Q12" s="532">
        <f t="shared" si="115"/>
        <v>0</v>
      </c>
      <c r="R12" s="530"/>
      <c r="S12" s="531">
        <f t="shared" si="4"/>
        <v>0</v>
      </c>
      <c r="T12" s="532">
        <f t="shared" si="116"/>
        <v>0</v>
      </c>
      <c r="U12" s="530">
        <v>5.1722000000000108</v>
      </c>
      <c r="V12" s="531">
        <f t="shared" si="5"/>
        <v>0.12584428223844307</v>
      </c>
      <c r="W12" s="532">
        <f t="shared" si="117"/>
        <v>0</v>
      </c>
      <c r="X12" s="530"/>
      <c r="Y12" s="531">
        <f t="shared" si="6"/>
        <v>0</v>
      </c>
      <c r="Z12" s="532">
        <f t="shared" si="118"/>
        <v>0</v>
      </c>
      <c r="AA12" s="530"/>
      <c r="AB12" s="531">
        <f t="shared" si="7"/>
        <v>0</v>
      </c>
      <c r="AC12" s="532">
        <f t="shared" si="119"/>
        <v>0</v>
      </c>
      <c r="AD12" s="530"/>
      <c r="AE12" s="531">
        <f t="shared" si="8"/>
        <v>0</v>
      </c>
      <c r="AF12" s="532">
        <f t="shared" si="120"/>
        <v>0</v>
      </c>
      <c r="AG12" s="530"/>
      <c r="AH12" s="531">
        <f t="shared" si="9"/>
        <v>0</v>
      </c>
      <c r="AI12" s="532">
        <f t="shared" si="121"/>
        <v>0</v>
      </c>
      <c r="AJ12" s="530"/>
      <c r="AK12" s="531">
        <f t="shared" si="10"/>
        <v>0</v>
      </c>
      <c r="AL12" s="532">
        <f t="shared" si="122"/>
        <v>0</v>
      </c>
      <c r="AM12" s="530"/>
      <c r="AN12" s="531">
        <f t="shared" si="11"/>
        <v>0</v>
      </c>
      <c r="AO12" s="532">
        <f t="shared" si="123"/>
        <v>0</v>
      </c>
      <c r="AP12" s="530">
        <v>46.023401265822713</v>
      </c>
      <c r="AQ12" s="531">
        <f t="shared" si="12"/>
        <v>1.1197907850565136</v>
      </c>
      <c r="AR12" s="532">
        <f t="shared" si="124"/>
        <v>0</v>
      </c>
      <c r="AS12" s="530"/>
      <c r="AT12" s="531">
        <f t="shared" si="13"/>
        <v>0</v>
      </c>
      <c r="AU12" s="532">
        <f t="shared" si="125"/>
        <v>0</v>
      </c>
      <c r="AV12" s="530"/>
      <c r="AW12" s="531">
        <f t="shared" si="14"/>
        <v>0</v>
      </c>
      <c r="AX12" s="532">
        <f t="shared" si="126"/>
        <v>0</v>
      </c>
      <c r="AY12" s="530">
        <v>58.919866666666621</v>
      </c>
      <c r="AZ12" s="531">
        <f t="shared" si="15"/>
        <v>1.4335733982157328</v>
      </c>
      <c r="BA12" s="532">
        <f t="shared" si="127"/>
        <v>0</v>
      </c>
      <c r="BB12" s="530"/>
      <c r="BC12" s="531">
        <f t="shared" si="16"/>
        <v>0</v>
      </c>
      <c r="BD12" s="532">
        <f t="shared" si="128"/>
        <v>0</v>
      </c>
      <c r="BE12" s="530"/>
      <c r="BF12" s="531">
        <f t="shared" si="17"/>
        <v>0</v>
      </c>
      <c r="BG12" s="532">
        <f t="shared" si="129"/>
        <v>0</v>
      </c>
      <c r="BH12" s="530"/>
      <c r="BI12" s="531">
        <f t="shared" si="18"/>
        <v>0</v>
      </c>
      <c r="BJ12" s="532">
        <f t="shared" si="130"/>
        <v>0</v>
      </c>
      <c r="BK12" s="530"/>
      <c r="BL12" s="531">
        <f t="shared" si="19"/>
        <v>0</v>
      </c>
      <c r="BM12" s="532">
        <f t="shared" si="131"/>
        <v>0</v>
      </c>
      <c r="BN12" s="530"/>
      <c r="BO12" s="531">
        <f t="shared" si="20"/>
        <v>0</v>
      </c>
      <c r="BP12" s="532">
        <f t="shared" si="132"/>
        <v>0</v>
      </c>
      <c r="BQ12" s="530">
        <v>17.721518987341774</v>
      </c>
      <c r="BR12" s="531">
        <f t="shared" si="21"/>
        <v>0.43118051064091906</v>
      </c>
      <c r="BS12" s="532">
        <f t="shared" si="133"/>
        <v>0</v>
      </c>
      <c r="BT12" s="530"/>
      <c r="BU12" s="531">
        <f t="shared" si="22"/>
        <v>0</v>
      </c>
      <c r="BV12" s="532">
        <f t="shared" si="134"/>
        <v>0</v>
      </c>
      <c r="BW12" s="530"/>
      <c r="BX12" s="531">
        <f t="shared" si="23"/>
        <v>0</v>
      </c>
      <c r="BY12" s="532">
        <f t="shared" si="135"/>
        <v>0</v>
      </c>
      <c r="BZ12" s="530"/>
      <c r="CA12" s="531">
        <f t="shared" si="24"/>
        <v>0</v>
      </c>
      <c r="CB12" s="532">
        <f t="shared" si="136"/>
        <v>0</v>
      </c>
      <c r="CC12" s="530"/>
      <c r="CD12" s="531">
        <f t="shared" si="25"/>
        <v>0</v>
      </c>
      <c r="CE12" s="532">
        <f t="shared" si="137"/>
        <v>0</v>
      </c>
      <c r="CF12" s="530">
        <v>0.89999999999999925</v>
      </c>
      <c r="CG12" s="531">
        <f t="shared" si="26"/>
        <v>2.1897810218978082E-2</v>
      </c>
      <c r="CH12" s="532">
        <f t="shared" si="138"/>
        <v>0</v>
      </c>
      <c r="CI12" s="530"/>
      <c r="CJ12" s="531">
        <f t="shared" si="27"/>
        <v>0</v>
      </c>
      <c r="CK12" s="532">
        <f t="shared" si="139"/>
        <v>0</v>
      </c>
      <c r="CL12" s="530"/>
      <c r="CM12" s="531">
        <f t="shared" si="28"/>
        <v>0</v>
      </c>
      <c r="CN12" s="532">
        <f t="shared" si="140"/>
        <v>0</v>
      </c>
      <c r="CO12" s="530"/>
      <c r="CP12" s="531">
        <f t="shared" si="29"/>
        <v>0</v>
      </c>
      <c r="CQ12" s="532">
        <f t="shared" si="141"/>
        <v>0</v>
      </c>
      <c r="CR12" s="530"/>
      <c r="CS12" s="531">
        <f t="shared" si="30"/>
        <v>0</v>
      </c>
      <c r="CT12" s="532">
        <f t="shared" si="142"/>
        <v>0</v>
      </c>
      <c r="CU12" s="530"/>
      <c r="CV12" s="531">
        <f t="shared" si="31"/>
        <v>0</v>
      </c>
      <c r="CW12" s="532">
        <f t="shared" si="143"/>
        <v>0</v>
      </c>
      <c r="CX12" s="530"/>
      <c r="CY12" s="531">
        <f t="shared" si="32"/>
        <v>0</v>
      </c>
      <c r="CZ12" s="532">
        <f t="shared" si="144"/>
        <v>0</v>
      </c>
      <c r="DA12" s="530">
        <v>72.674418604651237</v>
      </c>
      <c r="DB12" s="531">
        <f t="shared" si="33"/>
        <v>1.768234029310249</v>
      </c>
      <c r="DC12" s="532">
        <f t="shared" si="145"/>
        <v>0</v>
      </c>
      <c r="DD12" s="530"/>
      <c r="DE12" s="531">
        <f t="shared" si="34"/>
        <v>0</v>
      </c>
      <c r="DF12" s="532">
        <f t="shared" si="146"/>
        <v>0</v>
      </c>
      <c r="DG12" s="530"/>
      <c r="DH12" s="531">
        <f t="shared" si="35"/>
        <v>0</v>
      </c>
      <c r="DI12" s="532">
        <v>0</v>
      </c>
      <c r="DJ12" s="530"/>
      <c r="DK12" s="531">
        <f t="shared" si="36"/>
        <v>0</v>
      </c>
      <c r="DL12" s="532">
        <f t="shared" si="147"/>
        <v>0</v>
      </c>
      <c r="DM12" s="530"/>
      <c r="DN12" s="531">
        <f t="shared" si="37"/>
        <v>0</v>
      </c>
      <c r="DO12" s="532">
        <f t="shared" si="148"/>
        <v>0</v>
      </c>
      <c r="DP12" s="530"/>
      <c r="DQ12" s="531">
        <f t="shared" si="38"/>
        <v>0</v>
      </c>
      <c r="DR12" s="532">
        <f t="shared" si="149"/>
        <v>0</v>
      </c>
      <c r="DS12" s="530"/>
      <c r="DT12" s="531">
        <f t="shared" si="39"/>
        <v>0</v>
      </c>
      <c r="DU12" s="532">
        <f t="shared" si="150"/>
        <v>0</v>
      </c>
      <c r="DV12" s="530"/>
      <c r="DW12" s="531">
        <f t="shared" si="40"/>
        <v>0</v>
      </c>
      <c r="DX12" s="532">
        <f t="shared" si="151"/>
        <v>0</v>
      </c>
      <c r="DY12" s="530"/>
      <c r="DZ12" s="531">
        <f t="shared" si="41"/>
        <v>0</v>
      </c>
      <c r="EA12" s="532">
        <f t="shared" si="152"/>
        <v>0</v>
      </c>
      <c r="EB12" s="530"/>
      <c r="EC12" s="531">
        <f t="shared" si="42"/>
        <v>0</v>
      </c>
      <c r="ED12" s="532">
        <f t="shared" si="153"/>
        <v>0</v>
      </c>
      <c r="EE12" s="530">
        <v>7.2674418604651265</v>
      </c>
      <c r="EF12" s="531">
        <f t="shared" si="43"/>
        <v>0.17682340293102497</v>
      </c>
      <c r="EG12" s="532">
        <f t="shared" si="154"/>
        <v>0</v>
      </c>
      <c r="EH12" s="530">
        <v>2.5</v>
      </c>
      <c r="EI12" s="531">
        <f t="shared" si="44"/>
        <v>6.0827250608272501E-2</v>
      </c>
      <c r="EJ12" s="532">
        <f t="shared" si="155"/>
        <v>0</v>
      </c>
      <c r="EK12" s="530">
        <v>35.572941176470522</v>
      </c>
      <c r="EL12" s="531">
        <f t="shared" si="45"/>
        <v>0.86552168312580346</v>
      </c>
      <c r="EM12" s="532">
        <f t="shared" si="156"/>
        <v>0</v>
      </c>
      <c r="EN12" s="530"/>
      <c r="EO12" s="531">
        <f t="shared" si="46"/>
        <v>0</v>
      </c>
      <c r="EP12" s="532">
        <f t="shared" si="157"/>
        <v>0</v>
      </c>
      <c r="EQ12" s="530"/>
      <c r="ER12" s="531">
        <f t="shared" si="47"/>
        <v>0</v>
      </c>
      <c r="ES12" s="532">
        <f t="shared" si="158"/>
        <v>0</v>
      </c>
      <c r="ET12" s="530"/>
      <c r="EU12" s="531">
        <f t="shared" si="48"/>
        <v>0</v>
      </c>
      <c r="EV12" s="532">
        <f t="shared" si="159"/>
        <v>0</v>
      </c>
      <c r="EW12" s="530"/>
      <c r="EX12" s="531">
        <f t="shared" si="49"/>
        <v>0</v>
      </c>
      <c r="EY12" s="532">
        <f t="shared" si="160"/>
        <v>0</v>
      </c>
      <c r="EZ12" s="530"/>
      <c r="FA12" s="531">
        <f t="shared" si="50"/>
        <v>0</v>
      </c>
      <c r="FB12" s="532">
        <f t="shared" si="161"/>
        <v>0</v>
      </c>
      <c r="FC12" s="530"/>
      <c r="FD12" s="531">
        <f t="shared" si="51"/>
        <v>0</v>
      </c>
      <c r="FE12" s="532">
        <f t="shared" si="162"/>
        <v>0</v>
      </c>
      <c r="FF12" s="530"/>
      <c r="FG12" s="531">
        <f t="shared" si="52"/>
        <v>0</v>
      </c>
      <c r="FH12" s="532">
        <f t="shared" si="163"/>
        <v>0</v>
      </c>
      <c r="FI12" s="530"/>
      <c r="FJ12" s="531">
        <f t="shared" si="53"/>
        <v>0</v>
      </c>
      <c r="FK12" s="532">
        <f t="shared" si="164"/>
        <v>0</v>
      </c>
      <c r="FL12" s="530"/>
      <c r="FM12" s="531">
        <f t="shared" si="54"/>
        <v>0</v>
      </c>
      <c r="FN12" s="532">
        <f t="shared" si="165"/>
        <v>0</v>
      </c>
      <c r="FO12" s="530"/>
      <c r="FP12" s="531">
        <f t="shared" si="55"/>
        <v>0</v>
      </c>
      <c r="FQ12" s="532">
        <f t="shared" si="166"/>
        <v>0</v>
      </c>
      <c r="FR12" s="530"/>
      <c r="FS12" s="531">
        <f t="shared" si="56"/>
        <v>0</v>
      </c>
      <c r="FT12" s="532">
        <f t="shared" si="167"/>
        <v>0</v>
      </c>
      <c r="FU12" s="530"/>
      <c r="FV12" s="531">
        <f t="shared" si="57"/>
        <v>0</v>
      </c>
      <c r="FW12" s="532">
        <f t="shared" si="168"/>
        <v>0</v>
      </c>
      <c r="FX12" s="530"/>
      <c r="FY12" s="531">
        <f t="shared" si="58"/>
        <v>0</v>
      </c>
      <c r="FZ12" s="532">
        <f t="shared" si="169"/>
        <v>0</v>
      </c>
      <c r="GA12" s="530"/>
      <c r="GB12" s="531">
        <f t="shared" si="59"/>
        <v>0</v>
      </c>
      <c r="GC12" s="532">
        <f t="shared" si="170"/>
        <v>0</v>
      </c>
      <c r="GD12" s="530"/>
      <c r="GE12" s="531">
        <f t="shared" si="60"/>
        <v>0</v>
      </c>
      <c r="GF12" s="532">
        <f t="shared" si="171"/>
        <v>0</v>
      </c>
      <c r="GG12" s="530"/>
      <c r="GH12" s="531">
        <f t="shared" si="61"/>
        <v>0</v>
      </c>
      <c r="GI12" s="532">
        <f t="shared" si="172"/>
        <v>0</v>
      </c>
      <c r="GJ12" s="530"/>
      <c r="GK12" s="531">
        <f t="shared" si="62"/>
        <v>0</v>
      </c>
      <c r="GL12" s="532">
        <f t="shared" si="173"/>
        <v>0</v>
      </c>
      <c r="GM12" s="530"/>
      <c r="GN12" s="531">
        <f t="shared" si="63"/>
        <v>0</v>
      </c>
      <c r="GO12" s="532">
        <f t="shared" si="174"/>
        <v>0</v>
      </c>
      <c r="GP12" s="530"/>
      <c r="GQ12" s="531">
        <f t="shared" si="64"/>
        <v>0</v>
      </c>
      <c r="GR12" s="532">
        <f t="shared" si="175"/>
        <v>0</v>
      </c>
      <c r="GS12" s="530"/>
      <c r="GT12" s="531">
        <f t="shared" si="65"/>
        <v>0</v>
      </c>
      <c r="GU12" s="532">
        <f t="shared" si="176"/>
        <v>0</v>
      </c>
      <c r="GV12" s="530"/>
      <c r="GW12" s="531">
        <f t="shared" si="66"/>
        <v>0</v>
      </c>
      <c r="GX12" s="532">
        <f t="shared" si="177"/>
        <v>0</v>
      </c>
      <c r="GY12" s="530"/>
      <c r="GZ12" s="531">
        <f t="shared" si="67"/>
        <v>0</v>
      </c>
      <c r="HA12" s="532">
        <f t="shared" si="178"/>
        <v>0</v>
      </c>
      <c r="HB12" s="530"/>
      <c r="HC12" s="531">
        <f t="shared" si="68"/>
        <v>0</v>
      </c>
      <c r="HD12" s="532">
        <f t="shared" si="179"/>
        <v>0</v>
      </c>
      <c r="HE12" s="530"/>
      <c r="HF12" s="531">
        <f t="shared" si="69"/>
        <v>0</v>
      </c>
      <c r="HG12" s="532">
        <f t="shared" si="180"/>
        <v>0</v>
      </c>
      <c r="HH12" s="530"/>
      <c r="HI12" s="531">
        <f t="shared" si="70"/>
        <v>0</v>
      </c>
      <c r="HJ12" s="532">
        <f t="shared" si="181"/>
        <v>0</v>
      </c>
      <c r="HK12" s="530"/>
      <c r="HL12" s="531">
        <f t="shared" si="71"/>
        <v>0</v>
      </c>
      <c r="HM12" s="532">
        <f t="shared" si="182"/>
        <v>0</v>
      </c>
      <c r="HN12" s="530"/>
      <c r="HO12" s="531">
        <f t="shared" si="72"/>
        <v>0</v>
      </c>
      <c r="HP12" s="532">
        <f t="shared" si="183"/>
        <v>0</v>
      </c>
      <c r="HQ12" s="530"/>
      <c r="HR12" s="531">
        <f t="shared" si="73"/>
        <v>0</v>
      </c>
      <c r="HS12" s="532">
        <f t="shared" si="184"/>
        <v>0</v>
      </c>
      <c r="HT12" s="530"/>
      <c r="HU12" s="531">
        <f t="shared" si="74"/>
        <v>0</v>
      </c>
      <c r="HV12" s="532">
        <f t="shared" si="185"/>
        <v>0</v>
      </c>
      <c r="HW12" s="530"/>
      <c r="HX12" s="531">
        <f t="shared" si="75"/>
        <v>0</v>
      </c>
      <c r="HY12" s="532">
        <f t="shared" si="186"/>
        <v>0</v>
      </c>
      <c r="HZ12" s="530"/>
      <c r="IA12" s="531">
        <f t="shared" si="76"/>
        <v>0</v>
      </c>
      <c r="IB12" s="532">
        <f t="shared" si="187"/>
        <v>0</v>
      </c>
      <c r="IC12" s="530"/>
      <c r="ID12" s="531">
        <f t="shared" si="77"/>
        <v>0</v>
      </c>
      <c r="IE12" s="532">
        <f t="shared" si="188"/>
        <v>0</v>
      </c>
      <c r="IF12" s="530"/>
      <c r="IG12" s="531">
        <f t="shared" si="78"/>
        <v>0</v>
      </c>
      <c r="IH12" s="532">
        <f t="shared" si="189"/>
        <v>0</v>
      </c>
      <c r="II12" s="530"/>
      <c r="IJ12" s="531">
        <f t="shared" si="79"/>
        <v>0</v>
      </c>
      <c r="IK12" s="532">
        <f t="shared" si="190"/>
        <v>0</v>
      </c>
      <c r="IL12" s="530"/>
      <c r="IM12" s="531">
        <f t="shared" si="80"/>
        <v>0</v>
      </c>
      <c r="IN12" s="532">
        <f t="shared" si="191"/>
        <v>0</v>
      </c>
      <c r="IO12" s="530"/>
      <c r="IP12" s="531">
        <f t="shared" si="81"/>
        <v>0</v>
      </c>
      <c r="IQ12" s="532">
        <f t="shared" si="192"/>
        <v>0</v>
      </c>
      <c r="IR12" s="530"/>
      <c r="IS12" s="531">
        <f t="shared" si="82"/>
        <v>0</v>
      </c>
      <c r="IT12" s="532">
        <f t="shared" si="193"/>
        <v>0</v>
      </c>
      <c r="IU12" s="530"/>
      <c r="IV12" s="531">
        <f t="shared" si="83"/>
        <v>0</v>
      </c>
      <c r="IW12" s="532">
        <f t="shared" si="194"/>
        <v>0</v>
      </c>
      <c r="IX12" s="530"/>
      <c r="IY12" s="531">
        <f t="shared" si="84"/>
        <v>0</v>
      </c>
      <c r="IZ12" s="532">
        <f t="shared" si="195"/>
        <v>0</v>
      </c>
      <c r="JA12" s="530"/>
      <c r="JB12" s="531">
        <f t="shared" si="85"/>
        <v>0</v>
      </c>
      <c r="JC12" s="532">
        <f t="shared" si="196"/>
        <v>0</v>
      </c>
      <c r="JD12" s="530"/>
      <c r="JE12" s="531">
        <f t="shared" si="86"/>
        <v>0</v>
      </c>
      <c r="JF12" s="532">
        <f t="shared" si="197"/>
        <v>0</v>
      </c>
      <c r="JG12" s="530"/>
      <c r="JH12" s="531">
        <f t="shared" si="87"/>
        <v>0</v>
      </c>
      <c r="JI12" s="532">
        <f t="shared" si="198"/>
        <v>0</v>
      </c>
      <c r="JJ12" s="530"/>
      <c r="JK12" s="532" t="str">
        <f t="shared" si="88"/>
        <v>0</v>
      </c>
      <c r="JL12" s="532" t="str">
        <f t="shared" si="89"/>
        <v>0</v>
      </c>
      <c r="JM12" s="530"/>
      <c r="JN12" s="532" t="str">
        <f t="shared" si="90"/>
        <v>0</v>
      </c>
      <c r="JO12" s="532" t="str">
        <f t="shared" si="91"/>
        <v>0</v>
      </c>
      <c r="JP12" s="530"/>
      <c r="JQ12" s="532" t="str">
        <f t="shared" si="92"/>
        <v>0</v>
      </c>
      <c r="JR12" s="532" t="str">
        <f t="shared" si="93"/>
        <v>0</v>
      </c>
      <c r="JS12" s="530"/>
      <c r="JT12" s="532" t="str">
        <f t="shared" si="94"/>
        <v>0</v>
      </c>
      <c r="JU12" s="532" t="str">
        <f t="shared" si="95"/>
        <v>0</v>
      </c>
      <c r="JV12" s="530"/>
      <c r="JW12" s="532" t="str">
        <f t="shared" si="96"/>
        <v>0</v>
      </c>
      <c r="JX12" s="532" t="str">
        <f t="shared" si="97"/>
        <v>0</v>
      </c>
      <c r="JY12" s="530"/>
      <c r="JZ12" s="532" t="str">
        <f t="shared" si="98"/>
        <v>0</v>
      </c>
      <c r="KA12" s="532" t="str">
        <f t="shared" si="99"/>
        <v>0</v>
      </c>
      <c r="KB12" s="530"/>
      <c r="KC12" s="532" t="str">
        <f t="shared" si="100"/>
        <v>0</v>
      </c>
      <c r="KD12" s="532" t="str">
        <f t="shared" si="101"/>
        <v>0</v>
      </c>
      <c r="KE12" s="530"/>
      <c r="KF12" s="532" t="str">
        <f t="shared" si="102"/>
        <v>0</v>
      </c>
      <c r="KG12" s="532" t="str">
        <f t="shared" si="103"/>
        <v>0</v>
      </c>
      <c r="KH12" s="530"/>
      <c r="KI12" s="532" t="str">
        <f t="shared" si="104"/>
        <v>0</v>
      </c>
      <c r="KJ12" s="532" t="str">
        <f t="shared" si="105"/>
        <v>0</v>
      </c>
      <c r="KK12" s="530"/>
      <c r="KL12" s="532" t="str">
        <f t="shared" si="106"/>
        <v>0</v>
      </c>
      <c r="KM12" s="532" t="str">
        <f t="shared" si="107"/>
        <v>0</v>
      </c>
      <c r="KN12" s="530"/>
      <c r="KO12" s="532" t="str">
        <f t="shared" si="108"/>
        <v>0</v>
      </c>
      <c r="KP12" s="532" t="str">
        <f t="shared" si="109"/>
        <v>0</v>
      </c>
      <c r="KQ12" s="530"/>
      <c r="KR12" s="532" t="str">
        <f t="shared" si="110"/>
        <v>0</v>
      </c>
      <c r="KS12" s="532" t="str">
        <f t="shared" si="111"/>
        <v>0</v>
      </c>
      <c r="KT12" s="532">
        <f t="shared" si="201"/>
        <v>0</v>
      </c>
      <c r="KU12" s="532">
        <f t="shared" si="202"/>
        <v>0</v>
      </c>
      <c r="KV12" s="268">
        <f t="shared" si="199"/>
        <v>357.46215135211565</v>
      </c>
    </row>
    <row r="13" spans="1:308">
      <c r="A13" s="269">
        <f t="shared" si="200"/>
        <v>45935</v>
      </c>
      <c r="B13" s="270" t="str">
        <f>+Report1!B13</f>
        <v>Toilet</v>
      </c>
      <c r="C13" s="270" t="str">
        <f>+Report1!C13</f>
        <v>13</v>
      </c>
      <c r="D13" s="271">
        <f>+Report1!P13</f>
        <v>41.597000000000001</v>
      </c>
      <c r="E13" s="570">
        <f>+Report1!R13</f>
        <v>40.323999999999998</v>
      </c>
      <c r="F13" s="530"/>
      <c r="G13" s="531">
        <f t="shared" si="0"/>
        <v>0</v>
      </c>
      <c r="H13" s="532">
        <f t="shared" si="112"/>
        <v>0</v>
      </c>
      <c r="I13" s="530"/>
      <c r="J13" s="531">
        <f t="shared" si="1"/>
        <v>0</v>
      </c>
      <c r="K13" s="532">
        <f t="shared" si="113"/>
        <v>0</v>
      </c>
      <c r="L13" s="530"/>
      <c r="M13" s="531">
        <f t="shared" si="2"/>
        <v>0</v>
      </c>
      <c r="N13" s="532">
        <f t="shared" si="114"/>
        <v>0</v>
      </c>
      <c r="O13" s="530">
        <v>5.9391999999999978</v>
      </c>
      <c r="P13" s="531">
        <f t="shared" si="3"/>
        <v>0.1472869754984624</v>
      </c>
      <c r="Q13" s="532">
        <f t="shared" si="115"/>
        <v>0</v>
      </c>
      <c r="R13" s="530"/>
      <c r="S13" s="531">
        <f t="shared" si="4"/>
        <v>0</v>
      </c>
      <c r="T13" s="532">
        <f t="shared" si="116"/>
        <v>0</v>
      </c>
      <c r="U13" s="530">
        <v>5.0778999999999996</v>
      </c>
      <c r="V13" s="531">
        <f t="shared" si="5"/>
        <v>0.12592748735244519</v>
      </c>
      <c r="W13" s="532">
        <f t="shared" si="117"/>
        <v>0</v>
      </c>
      <c r="X13" s="530"/>
      <c r="Y13" s="531">
        <f t="shared" si="6"/>
        <v>0</v>
      </c>
      <c r="Z13" s="532">
        <f t="shared" si="118"/>
        <v>0</v>
      </c>
      <c r="AA13" s="530"/>
      <c r="AB13" s="531">
        <f t="shared" si="7"/>
        <v>0</v>
      </c>
      <c r="AC13" s="532">
        <f t="shared" si="119"/>
        <v>0</v>
      </c>
      <c r="AD13" s="530"/>
      <c r="AE13" s="531">
        <f t="shared" si="8"/>
        <v>0</v>
      </c>
      <c r="AF13" s="532">
        <f t="shared" si="120"/>
        <v>0</v>
      </c>
      <c r="AG13" s="530"/>
      <c r="AH13" s="531">
        <f t="shared" si="9"/>
        <v>0</v>
      </c>
      <c r="AI13" s="532">
        <f t="shared" si="121"/>
        <v>0</v>
      </c>
      <c r="AJ13" s="530"/>
      <c r="AK13" s="531">
        <f t="shared" si="10"/>
        <v>0</v>
      </c>
      <c r="AL13" s="532">
        <f t="shared" si="122"/>
        <v>0</v>
      </c>
      <c r="AM13" s="530"/>
      <c r="AN13" s="531">
        <f t="shared" si="11"/>
        <v>0</v>
      </c>
      <c r="AO13" s="532">
        <f t="shared" si="123"/>
        <v>0</v>
      </c>
      <c r="AP13" s="530">
        <v>45.111200000000053</v>
      </c>
      <c r="AQ13" s="531">
        <f t="shared" si="12"/>
        <v>1.1187183811129862</v>
      </c>
      <c r="AR13" s="532">
        <f t="shared" si="124"/>
        <v>0</v>
      </c>
      <c r="AS13" s="530"/>
      <c r="AT13" s="531">
        <f t="shared" si="13"/>
        <v>0</v>
      </c>
      <c r="AU13" s="532">
        <f t="shared" si="125"/>
        <v>0</v>
      </c>
      <c r="AV13" s="530"/>
      <c r="AW13" s="531">
        <f t="shared" si="14"/>
        <v>0</v>
      </c>
      <c r="AX13" s="532">
        <f t="shared" si="126"/>
        <v>0</v>
      </c>
      <c r="AY13" s="530">
        <v>57.748400000000004</v>
      </c>
      <c r="AZ13" s="531">
        <f t="shared" si="15"/>
        <v>1.4321099097311776</v>
      </c>
      <c r="BA13" s="532">
        <f t="shared" si="127"/>
        <v>0</v>
      </c>
      <c r="BB13" s="530"/>
      <c r="BC13" s="531">
        <f t="shared" si="16"/>
        <v>0</v>
      </c>
      <c r="BD13" s="532">
        <f t="shared" si="128"/>
        <v>0</v>
      </c>
      <c r="BE13" s="530"/>
      <c r="BF13" s="531">
        <f t="shared" si="17"/>
        <v>0</v>
      </c>
      <c r="BG13" s="532">
        <f t="shared" si="129"/>
        <v>0</v>
      </c>
      <c r="BH13" s="530"/>
      <c r="BI13" s="531">
        <f t="shared" si="18"/>
        <v>0</v>
      </c>
      <c r="BJ13" s="532">
        <f t="shared" si="130"/>
        <v>0</v>
      </c>
      <c r="BK13" s="530"/>
      <c r="BL13" s="531">
        <f t="shared" si="19"/>
        <v>0</v>
      </c>
      <c r="BM13" s="532">
        <f t="shared" si="131"/>
        <v>0</v>
      </c>
      <c r="BN13" s="530"/>
      <c r="BO13" s="531">
        <f t="shared" si="20"/>
        <v>0</v>
      </c>
      <c r="BP13" s="532">
        <f t="shared" si="132"/>
        <v>0</v>
      </c>
      <c r="BQ13" s="530"/>
      <c r="BR13" s="531">
        <f t="shared" si="21"/>
        <v>0</v>
      </c>
      <c r="BS13" s="532">
        <f t="shared" si="133"/>
        <v>0</v>
      </c>
      <c r="BT13" s="530"/>
      <c r="BU13" s="531">
        <f t="shared" si="22"/>
        <v>0</v>
      </c>
      <c r="BV13" s="532">
        <f t="shared" si="134"/>
        <v>0</v>
      </c>
      <c r="BW13" s="530"/>
      <c r="BX13" s="531">
        <f t="shared" si="23"/>
        <v>0</v>
      </c>
      <c r="BY13" s="532">
        <f t="shared" si="135"/>
        <v>0</v>
      </c>
      <c r="BZ13" s="530"/>
      <c r="CA13" s="531">
        <f t="shared" si="24"/>
        <v>0</v>
      </c>
      <c r="CB13" s="532">
        <f t="shared" si="136"/>
        <v>0</v>
      </c>
      <c r="CC13" s="530"/>
      <c r="CD13" s="531">
        <f t="shared" si="25"/>
        <v>0</v>
      </c>
      <c r="CE13" s="532">
        <f t="shared" si="137"/>
        <v>0</v>
      </c>
      <c r="CF13" s="530">
        <v>1.3</v>
      </c>
      <c r="CG13" s="531">
        <f t="shared" si="26"/>
        <v>3.2238865191945243E-2</v>
      </c>
      <c r="CH13" s="532">
        <f t="shared" si="138"/>
        <v>0</v>
      </c>
      <c r="CI13" s="530"/>
      <c r="CJ13" s="531">
        <f t="shared" si="27"/>
        <v>0</v>
      </c>
      <c r="CK13" s="532">
        <f t="shared" si="139"/>
        <v>0</v>
      </c>
      <c r="CL13" s="530"/>
      <c r="CM13" s="531">
        <f t="shared" si="28"/>
        <v>0</v>
      </c>
      <c r="CN13" s="532">
        <f t="shared" si="140"/>
        <v>0</v>
      </c>
      <c r="CO13" s="530"/>
      <c r="CP13" s="531">
        <f t="shared" si="29"/>
        <v>0</v>
      </c>
      <c r="CQ13" s="532">
        <f t="shared" si="141"/>
        <v>0</v>
      </c>
      <c r="CR13" s="530"/>
      <c r="CS13" s="531">
        <f t="shared" si="30"/>
        <v>0</v>
      </c>
      <c r="CT13" s="532">
        <f t="shared" si="142"/>
        <v>0</v>
      </c>
      <c r="CU13" s="530"/>
      <c r="CV13" s="531">
        <f t="shared" si="31"/>
        <v>0</v>
      </c>
      <c r="CW13" s="532">
        <f t="shared" si="143"/>
        <v>0</v>
      </c>
      <c r="CX13" s="530"/>
      <c r="CY13" s="531">
        <f t="shared" si="32"/>
        <v>0</v>
      </c>
      <c r="CZ13" s="532">
        <f t="shared" si="144"/>
        <v>0</v>
      </c>
      <c r="DA13" s="530">
        <v>145.34883720930225</v>
      </c>
      <c r="DB13" s="531">
        <f t="shared" si="33"/>
        <v>3.6045242835359153</v>
      </c>
      <c r="DC13" s="532">
        <f t="shared" si="145"/>
        <v>0</v>
      </c>
      <c r="DD13" s="530"/>
      <c r="DE13" s="531">
        <f t="shared" si="34"/>
        <v>0</v>
      </c>
      <c r="DF13" s="532">
        <f t="shared" si="146"/>
        <v>0</v>
      </c>
      <c r="DG13" s="530"/>
      <c r="DH13" s="531">
        <f t="shared" si="35"/>
        <v>0</v>
      </c>
      <c r="DI13" s="532">
        <v>0</v>
      </c>
      <c r="DJ13" s="530"/>
      <c r="DK13" s="531">
        <f t="shared" si="36"/>
        <v>0</v>
      </c>
      <c r="DL13" s="532">
        <f t="shared" si="147"/>
        <v>0</v>
      </c>
      <c r="DM13" s="530"/>
      <c r="DN13" s="531">
        <f t="shared" si="37"/>
        <v>0</v>
      </c>
      <c r="DO13" s="532">
        <f t="shared" si="148"/>
        <v>0</v>
      </c>
      <c r="DP13" s="530"/>
      <c r="DQ13" s="531">
        <f t="shared" si="38"/>
        <v>0</v>
      </c>
      <c r="DR13" s="532">
        <f t="shared" si="149"/>
        <v>0</v>
      </c>
      <c r="DS13" s="530"/>
      <c r="DT13" s="531">
        <f t="shared" si="39"/>
        <v>0</v>
      </c>
      <c r="DU13" s="532">
        <f t="shared" si="150"/>
        <v>0</v>
      </c>
      <c r="DV13" s="530"/>
      <c r="DW13" s="531">
        <f t="shared" si="40"/>
        <v>0</v>
      </c>
      <c r="DX13" s="532">
        <f t="shared" si="151"/>
        <v>0</v>
      </c>
      <c r="DY13" s="530"/>
      <c r="DZ13" s="531">
        <f t="shared" si="41"/>
        <v>0</v>
      </c>
      <c r="EA13" s="532">
        <f t="shared" si="152"/>
        <v>0</v>
      </c>
      <c r="EB13" s="530"/>
      <c r="EC13" s="531">
        <f t="shared" si="42"/>
        <v>0</v>
      </c>
      <c r="ED13" s="532">
        <f t="shared" si="153"/>
        <v>0</v>
      </c>
      <c r="EE13" s="530">
        <v>7.2674418604651265</v>
      </c>
      <c r="EF13" s="531">
        <f t="shared" si="43"/>
        <v>0.18022621417679613</v>
      </c>
      <c r="EG13" s="532">
        <f t="shared" si="154"/>
        <v>0</v>
      </c>
      <c r="EH13" s="530">
        <v>2.5</v>
      </c>
      <c r="EI13" s="531">
        <f t="shared" si="44"/>
        <v>6.1997817676817779E-2</v>
      </c>
      <c r="EJ13" s="532">
        <f t="shared" si="155"/>
        <v>0</v>
      </c>
      <c r="EK13" s="530">
        <v>34.869999999999891</v>
      </c>
      <c r="EL13" s="531">
        <f t="shared" si="45"/>
        <v>0.86474556095625166</v>
      </c>
      <c r="EM13" s="532">
        <f t="shared" si="156"/>
        <v>0</v>
      </c>
      <c r="EN13" s="530"/>
      <c r="EO13" s="531">
        <f t="shared" si="46"/>
        <v>0</v>
      </c>
      <c r="EP13" s="532">
        <f t="shared" si="157"/>
        <v>0</v>
      </c>
      <c r="EQ13" s="530"/>
      <c r="ER13" s="531">
        <f t="shared" si="47"/>
        <v>0</v>
      </c>
      <c r="ES13" s="532">
        <f t="shared" si="158"/>
        <v>0</v>
      </c>
      <c r="ET13" s="530"/>
      <c r="EU13" s="531">
        <f t="shared" si="48"/>
        <v>0</v>
      </c>
      <c r="EV13" s="532">
        <f t="shared" si="159"/>
        <v>0</v>
      </c>
      <c r="EW13" s="530"/>
      <c r="EX13" s="531">
        <f t="shared" si="49"/>
        <v>0</v>
      </c>
      <c r="EY13" s="532">
        <f t="shared" si="160"/>
        <v>0</v>
      </c>
      <c r="EZ13" s="530"/>
      <c r="FA13" s="531">
        <f t="shared" si="50"/>
        <v>0</v>
      </c>
      <c r="FB13" s="532">
        <f t="shared" si="161"/>
        <v>0</v>
      </c>
      <c r="FC13" s="530"/>
      <c r="FD13" s="531">
        <f t="shared" si="51"/>
        <v>0</v>
      </c>
      <c r="FE13" s="532">
        <f t="shared" si="162"/>
        <v>0</v>
      </c>
      <c r="FF13" s="530"/>
      <c r="FG13" s="531">
        <f t="shared" si="52"/>
        <v>0</v>
      </c>
      <c r="FH13" s="532">
        <f t="shared" si="163"/>
        <v>0</v>
      </c>
      <c r="FI13" s="530"/>
      <c r="FJ13" s="531">
        <f t="shared" si="53"/>
        <v>0</v>
      </c>
      <c r="FK13" s="532">
        <f t="shared" si="164"/>
        <v>0</v>
      </c>
      <c r="FL13" s="530"/>
      <c r="FM13" s="531">
        <f t="shared" si="54"/>
        <v>0</v>
      </c>
      <c r="FN13" s="532">
        <f t="shared" si="165"/>
        <v>0</v>
      </c>
      <c r="FO13" s="530"/>
      <c r="FP13" s="531">
        <f t="shared" si="55"/>
        <v>0</v>
      </c>
      <c r="FQ13" s="532">
        <f t="shared" si="166"/>
        <v>0</v>
      </c>
      <c r="FR13" s="530"/>
      <c r="FS13" s="531">
        <f t="shared" si="56"/>
        <v>0</v>
      </c>
      <c r="FT13" s="532">
        <f t="shared" si="167"/>
        <v>0</v>
      </c>
      <c r="FU13" s="530"/>
      <c r="FV13" s="531">
        <f t="shared" si="57"/>
        <v>0</v>
      </c>
      <c r="FW13" s="532">
        <f t="shared" si="168"/>
        <v>0</v>
      </c>
      <c r="FX13" s="530"/>
      <c r="FY13" s="531">
        <f t="shared" si="58"/>
        <v>0</v>
      </c>
      <c r="FZ13" s="532">
        <f t="shared" si="169"/>
        <v>0</v>
      </c>
      <c r="GA13" s="530"/>
      <c r="GB13" s="531">
        <f t="shared" si="59"/>
        <v>0</v>
      </c>
      <c r="GC13" s="532">
        <f t="shared" si="170"/>
        <v>0</v>
      </c>
      <c r="GD13" s="530"/>
      <c r="GE13" s="531">
        <f t="shared" si="60"/>
        <v>0</v>
      </c>
      <c r="GF13" s="532">
        <f t="shared" si="171"/>
        <v>0</v>
      </c>
      <c r="GG13" s="530"/>
      <c r="GH13" s="531">
        <f t="shared" si="61"/>
        <v>0</v>
      </c>
      <c r="GI13" s="532">
        <f t="shared" si="172"/>
        <v>0</v>
      </c>
      <c r="GJ13" s="530"/>
      <c r="GK13" s="531">
        <f t="shared" si="62"/>
        <v>0</v>
      </c>
      <c r="GL13" s="532">
        <f t="shared" si="173"/>
        <v>0</v>
      </c>
      <c r="GM13" s="530"/>
      <c r="GN13" s="531">
        <f t="shared" si="63"/>
        <v>0</v>
      </c>
      <c r="GO13" s="532">
        <f t="shared" si="174"/>
        <v>0</v>
      </c>
      <c r="GP13" s="530"/>
      <c r="GQ13" s="531">
        <f t="shared" si="64"/>
        <v>0</v>
      </c>
      <c r="GR13" s="532">
        <f t="shared" si="175"/>
        <v>0</v>
      </c>
      <c r="GS13" s="530"/>
      <c r="GT13" s="531">
        <f t="shared" si="65"/>
        <v>0</v>
      </c>
      <c r="GU13" s="532">
        <f t="shared" si="176"/>
        <v>0</v>
      </c>
      <c r="GV13" s="530"/>
      <c r="GW13" s="531">
        <f t="shared" si="66"/>
        <v>0</v>
      </c>
      <c r="GX13" s="532">
        <f t="shared" si="177"/>
        <v>0</v>
      </c>
      <c r="GY13" s="530"/>
      <c r="GZ13" s="531">
        <f t="shared" si="67"/>
        <v>0</v>
      </c>
      <c r="HA13" s="532">
        <f t="shared" si="178"/>
        <v>0</v>
      </c>
      <c r="HB13" s="530"/>
      <c r="HC13" s="531">
        <f t="shared" si="68"/>
        <v>0</v>
      </c>
      <c r="HD13" s="532">
        <f t="shared" si="179"/>
        <v>0</v>
      </c>
      <c r="HE13" s="530"/>
      <c r="HF13" s="531">
        <f t="shared" si="69"/>
        <v>0</v>
      </c>
      <c r="HG13" s="532">
        <f t="shared" si="180"/>
        <v>0</v>
      </c>
      <c r="HH13" s="530"/>
      <c r="HI13" s="531">
        <f t="shared" si="70"/>
        <v>0</v>
      </c>
      <c r="HJ13" s="532">
        <f t="shared" si="181"/>
        <v>0</v>
      </c>
      <c r="HK13" s="530"/>
      <c r="HL13" s="531">
        <f t="shared" si="71"/>
        <v>0</v>
      </c>
      <c r="HM13" s="532">
        <f t="shared" si="182"/>
        <v>0</v>
      </c>
      <c r="HN13" s="530"/>
      <c r="HO13" s="531">
        <f t="shared" si="72"/>
        <v>0</v>
      </c>
      <c r="HP13" s="532">
        <f t="shared" si="183"/>
        <v>0</v>
      </c>
      <c r="HQ13" s="530"/>
      <c r="HR13" s="531">
        <f t="shared" si="73"/>
        <v>0</v>
      </c>
      <c r="HS13" s="532">
        <f t="shared" si="184"/>
        <v>0</v>
      </c>
      <c r="HT13" s="530"/>
      <c r="HU13" s="531">
        <f t="shared" si="74"/>
        <v>0</v>
      </c>
      <c r="HV13" s="532">
        <f t="shared" si="185"/>
        <v>0</v>
      </c>
      <c r="HW13" s="530"/>
      <c r="HX13" s="531">
        <f t="shared" si="75"/>
        <v>0</v>
      </c>
      <c r="HY13" s="532">
        <f t="shared" si="186"/>
        <v>0</v>
      </c>
      <c r="HZ13" s="530"/>
      <c r="IA13" s="531">
        <f t="shared" si="76"/>
        <v>0</v>
      </c>
      <c r="IB13" s="532">
        <f t="shared" si="187"/>
        <v>0</v>
      </c>
      <c r="IC13" s="530"/>
      <c r="ID13" s="531">
        <f t="shared" si="77"/>
        <v>0</v>
      </c>
      <c r="IE13" s="532">
        <f t="shared" si="188"/>
        <v>0</v>
      </c>
      <c r="IF13" s="530"/>
      <c r="IG13" s="531">
        <f t="shared" si="78"/>
        <v>0</v>
      </c>
      <c r="IH13" s="532">
        <f t="shared" si="189"/>
        <v>0</v>
      </c>
      <c r="II13" s="530"/>
      <c r="IJ13" s="531">
        <f t="shared" si="79"/>
        <v>0</v>
      </c>
      <c r="IK13" s="532">
        <f t="shared" si="190"/>
        <v>0</v>
      </c>
      <c r="IL13" s="530"/>
      <c r="IM13" s="531">
        <f t="shared" si="80"/>
        <v>0</v>
      </c>
      <c r="IN13" s="532">
        <f t="shared" si="191"/>
        <v>0</v>
      </c>
      <c r="IO13" s="530"/>
      <c r="IP13" s="531">
        <f t="shared" si="81"/>
        <v>0</v>
      </c>
      <c r="IQ13" s="532">
        <f t="shared" si="192"/>
        <v>0</v>
      </c>
      <c r="IR13" s="530"/>
      <c r="IS13" s="531">
        <f t="shared" si="82"/>
        <v>0</v>
      </c>
      <c r="IT13" s="532">
        <f t="shared" si="193"/>
        <v>0</v>
      </c>
      <c r="IU13" s="530"/>
      <c r="IV13" s="531">
        <f t="shared" si="83"/>
        <v>0</v>
      </c>
      <c r="IW13" s="532">
        <f t="shared" si="194"/>
        <v>0</v>
      </c>
      <c r="IX13" s="530"/>
      <c r="IY13" s="531">
        <f t="shared" si="84"/>
        <v>0</v>
      </c>
      <c r="IZ13" s="532">
        <f t="shared" si="195"/>
        <v>0</v>
      </c>
      <c r="JA13" s="530"/>
      <c r="JB13" s="531">
        <f t="shared" si="85"/>
        <v>0</v>
      </c>
      <c r="JC13" s="532">
        <f t="shared" si="196"/>
        <v>0</v>
      </c>
      <c r="JD13" s="530"/>
      <c r="JE13" s="531">
        <f t="shared" si="86"/>
        <v>0</v>
      </c>
      <c r="JF13" s="532">
        <f t="shared" si="197"/>
        <v>0</v>
      </c>
      <c r="JG13" s="530"/>
      <c r="JH13" s="531">
        <f t="shared" si="87"/>
        <v>0</v>
      </c>
      <c r="JI13" s="532">
        <f t="shared" si="198"/>
        <v>0</v>
      </c>
      <c r="JJ13" s="530"/>
      <c r="JK13" s="532" t="str">
        <f t="shared" si="88"/>
        <v>0</v>
      </c>
      <c r="JL13" s="532" t="str">
        <f t="shared" si="89"/>
        <v>0</v>
      </c>
      <c r="JM13" s="530"/>
      <c r="JN13" s="532" t="str">
        <f t="shared" si="90"/>
        <v>0</v>
      </c>
      <c r="JO13" s="532" t="str">
        <f t="shared" si="91"/>
        <v>0</v>
      </c>
      <c r="JP13" s="530"/>
      <c r="JQ13" s="532" t="str">
        <f t="shared" si="92"/>
        <v>0</v>
      </c>
      <c r="JR13" s="532" t="str">
        <f t="shared" si="93"/>
        <v>0</v>
      </c>
      <c r="JS13" s="530"/>
      <c r="JT13" s="532" t="str">
        <f t="shared" si="94"/>
        <v>0</v>
      </c>
      <c r="JU13" s="532" t="str">
        <f t="shared" si="95"/>
        <v>0</v>
      </c>
      <c r="JV13" s="530"/>
      <c r="JW13" s="532" t="str">
        <f t="shared" si="96"/>
        <v>0</v>
      </c>
      <c r="JX13" s="532" t="str">
        <f t="shared" si="97"/>
        <v>0</v>
      </c>
      <c r="JY13" s="530"/>
      <c r="JZ13" s="532" t="str">
        <f t="shared" si="98"/>
        <v>0</v>
      </c>
      <c r="KA13" s="532" t="str">
        <f t="shared" si="99"/>
        <v>0</v>
      </c>
      <c r="KB13" s="530"/>
      <c r="KC13" s="532" t="str">
        <f t="shared" si="100"/>
        <v>0</v>
      </c>
      <c r="KD13" s="532" t="str">
        <f t="shared" si="101"/>
        <v>0</v>
      </c>
      <c r="KE13" s="530"/>
      <c r="KF13" s="532" t="str">
        <f t="shared" si="102"/>
        <v>0</v>
      </c>
      <c r="KG13" s="532" t="str">
        <f t="shared" si="103"/>
        <v>0</v>
      </c>
      <c r="KH13" s="530"/>
      <c r="KI13" s="532" t="str">
        <f t="shared" si="104"/>
        <v>0</v>
      </c>
      <c r="KJ13" s="532" t="str">
        <f t="shared" si="105"/>
        <v>0</v>
      </c>
      <c r="KK13" s="530"/>
      <c r="KL13" s="532" t="str">
        <f t="shared" si="106"/>
        <v>0</v>
      </c>
      <c r="KM13" s="532" t="str">
        <f t="shared" si="107"/>
        <v>0</v>
      </c>
      <c r="KN13" s="530"/>
      <c r="KO13" s="532" t="str">
        <f t="shared" si="108"/>
        <v>0</v>
      </c>
      <c r="KP13" s="532" t="str">
        <f t="shared" si="109"/>
        <v>0</v>
      </c>
      <c r="KQ13" s="530"/>
      <c r="KR13" s="532" t="str">
        <f t="shared" si="110"/>
        <v>0</v>
      </c>
      <c r="KS13" s="532" t="str">
        <f t="shared" si="111"/>
        <v>0</v>
      </c>
      <c r="KT13" s="532">
        <f t="shared" si="201"/>
        <v>0</v>
      </c>
      <c r="KU13" s="532">
        <f t="shared" si="202"/>
        <v>0</v>
      </c>
      <c r="KV13" s="268">
        <f t="shared" si="199"/>
        <v>305.16297906976729</v>
      </c>
    </row>
    <row r="14" spans="1:308">
      <c r="A14" s="269">
        <f t="shared" si="200"/>
        <v>45936</v>
      </c>
      <c r="B14" s="270" t="str">
        <f>+Report1!B14</f>
        <v>Toilet</v>
      </c>
      <c r="C14" s="270" t="str">
        <f>+Report1!C14</f>
        <v>13</v>
      </c>
      <c r="D14" s="271">
        <f>+Report1!P14</f>
        <v>42.959000000000003</v>
      </c>
      <c r="E14" s="570">
        <f>+Report1!R14</f>
        <v>41.719000000000001</v>
      </c>
      <c r="F14" s="530"/>
      <c r="G14" s="531">
        <f t="shared" si="0"/>
        <v>0</v>
      </c>
      <c r="H14" s="532">
        <f t="shared" si="112"/>
        <v>0</v>
      </c>
      <c r="I14" s="530"/>
      <c r="J14" s="531">
        <f t="shared" si="1"/>
        <v>0</v>
      </c>
      <c r="K14" s="532">
        <f t="shared" si="113"/>
        <v>0</v>
      </c>
      <c r="L14" s="530"/>
      <c r="M14" s="531">
        <f t="shared" si="2"/>
        <v>0</v>
      </c>
      <c r="N14" s="532">
        <f t="shared" si="114"/>
        <v>0</v>
      </c>
      <c r="O14" s="530">
        <v>6.0015999999999998</v>
      </c>
      <c r="P14" s="531">
        <f t="shared" si="3"/>
        <v>0.14385771471032383</v>
      </c>
      <c r="Q14" s="532">
        <f t="shared" si="115"/>
        <v>0</v>
      </c>
      <c r="R14" s="530"/>
      <c r="S14" s="531">
        <f t="shared" si="4"/>
        <v>0</v>
      </c>
      <c r="T14" s="532">
        <f t="shared" si="116"/>
        <v>0</v>
      </c>
      <c r="U14" s="530">
        <v>5.1248999999999931</v>
      </c>
      <c r="V14" s="531">
        <f t="shared" si="5"/>
        <v>0.12284330880414183</v>
      </c>
      <c r="W14" s="532">
        <f t="shared" si="117"/>
        <v>0</v>
      </c>
      <c r="X14" s="530"/>
      <c r="Y14" s="531">
        <f t="shared" si="6"/>
        <v>0</v>
      </c>
      <c r="Z14" s="532">
        <f t="shared" si="118"/>
        <v>0</v>
      </c>
      <c r="AA14" s="530"/>
      <c r="AB14" s="531">
        <f t="shared" si="7"/>
        <v>0</v>
      </c>
      <c r="AC14" s="532">
        <f t="shared" si="119"/>
        <v>0</v>
      </c>
      <c r="AD14" s="530"/>
      <c r="AE14" s="531">
        <f t="shared" si="8"/>
        <v>0</v>
      </c>
      <c r="AF14" s="532">
        <f t="shared" si="120"/>
        <v>0</v>
      </c>
      <c r="AG14" s="530"/>
      <c r="AH14" s="531">
        <f t="shared" si="9"/>
        <v>0</v>
      </c>
      <c r="AI14" s="532">
        <f t="shared" si="121"/>
        <v>0</v>
      </c>
      <c r="AJ14" s="530"/>
      <c r="AK14" s="531">
        <f t="shared" si="10"/>
        <v>0</v>
      </c>
      <c r="AL14" s="532">
        <f t="shared" si="122"/>
        <v>0</v>
      </c>
      <c r="AM14" s="530"/>
      <c r="AN14" s="531">
        <f t="shared" si="11"/>
        <v>0</v>
      </c>
      <c r="AO14" s="532">
        <f t="shared" si="123"/>
        <v>0</v>
      </c>
      <c r="AP14" s="530">
        <v>39.878056962025312</v>
      </c>
      <c r="AQ14" s="531">
        <f t="shared" si="12"/>
        <v>0.95587279086328314</v>
      </c>
      <c r="AR14" s="532">
        <f t="shared" si="124"/>
        <v>0</v>
      </c>
      <c r="AS14" s="530"/>
      <c r="AT14" s="531">
        <f t="shared" si="13"/>
        <v>0</v>
      </c>
      <c r="AU14" s="532">
        <f t="shared" si="125"/>
        <v>0</v>
      </c>
      <c r="AV14" s="530"/>
      <c r="AW14" s="531">
        <f t="shared" si="14"/>
        <v>0</v>
      </c>
      <c r="AX14" s="532">
        <f t="shared" si="126"/>
        <v>0</v>
      </c>
      <c r="AY14" s="530">
        <v>58.331733333333347</v>
      </c>
      <c r="AZ14" s="531">
        <f t="shared" si="15"/>
        <v>1.3982054539498392</v>
      </c>
      <c r="BA14" s="532">
        <f t="shared" si="127"/>
        <v>0</v>
      </c>
      <c r="BB14" s="530"/>
      <c r="BC14" s="531">
        <f t="shared" si="16"/>
        <v>0</v>
      </c>
      <c r="BD14" s="532">
        <f t="shared" si="128"/>
        <v>0</v>
      </c>
      <c r="BE14" s="530"/>
      <c r="BF14" s="531">
        <f t="shared" si="17"/>
        <v>0</v>
      </c>
      <c r="BG14" s="532">
        <f t="shared" si="129"/>
        <v>0</v>
      </c>
      <c r="BH14" s="530"/>
      <c r="BI14" s="531">
        <f t="shared" si="18"/>
        <v>0</v>
      </c>
      <c r="BJ14" s="532">
        <f t="shared" si="130"/>
        <v>0</v>
      </c>
      <c r="BK14" s="530"/>
      <c r="BL14" s="531">
        <f t="shared" si="19"/>
        <v>0</v>
      </c>
      <c r="BM14" s="532">
        <f t="shared" si="131"/>
        <v>0</v>
      </c>
      <c r="BN14" s="530"/>
      <c r="BO14" s="531">
        <f t="shared" si="20"/>
        <v>0</v>
      </c>
      <c r="BP14" s="532">
        <f t="shared" si="132"/>
        <v>0</v>
      </c>
      <c r="BQ14" s="530"/>
      <c r="BR14" s="531">
        <f t="shared" si="21"/>
        <v>0</v>
      </c>
      <c r="BS14" s="532">
        <f t="shared" si="133"/>
        <v>0</v>
      </c>
      <c r="BT14" s="530"/>
      <c r="BU14" s="531">
        <f t="shared" si="22"/>
        <v>0</v>
      </c>
      <c r="BV14" s="532">
        <f t="shared" si="134"/>
        <v>0</v>
      </c>
      <c r="BW14" s="530"/>
      <c r="BX14" s="531">
        <f t="shared" si="23"/>
        <v>0</v>
      </c>
      <c r="BY14" s="532">
        <f t="shared" si="135"/>
        <v>0</v>
      </c>
      <c r="BZ14" s="530"/>
      <c r="CA14" s="531">
        <f t="shared" si="24"/>
        <v>0</v>
      </c>
      <c r="CB14" s="532">
        <f t="shared" si="136"/>
        <v>0</v>
      </c>
      <c r="CC14" s="530"/>
      <c r="CD14" s="531">
        <f t="shared" si="25"/>
        <v>0</v>
      </c>
      <c r="CE14" s="532">
        <f t="shared" si="137"/>
        <v>0</v>
      </c>
      <c r="CF14" s="530">
        <v>1.3000000000000007</v>
      </c>
      <c r="CG14" s="531">
        <f t="shared" si="26"/>
        <v>3.1160861957381544E-2</v>
      </c>
      <c r="CH14" s="532">
        <f t="shared" si="138"/>
        <v>0</v>
      </c>
      <c r="CI14" s="530"/>
      <c r="CJ14" s="531">
        <f t="shared" si="27"/>
        <v>0</v>
      </c>
      <c r="CK14" s="532">
        <f t="shared" si="139"/>
        <v>0</v>
      </c>
      <c r="CL14" s="530"/>
      <c r="CM14" s="531">
        <f t="shared" si="28"/>
        <v>0</v>
      </c>
      <c r="CN14" s="532">
        <f t="shared" si="140"/>
        <v>0</v>
      </c>
      <c r="CO14" s="530"/>
      <c r="CP14" s="531">
        <f t="shared" si="29"/>
        <v>0</v>
      </c>
      <c r="CQ14" s="532">
        <f t="shared" si="141"/>
        <v>0</v>
      </c>
      <c r="CR14" s="530"/>
      <c r="CS14" s="531">
        <f t="shared" si="30"/>
        <v>0</v>
      </c>
      <c r="CT14" s="532">
        <f t="shared" si="142"/>
        <v>0</v>
      </c>
      <c r="CU14" s="530"/>
      <c r="CV14" s="531">
        <f t="shared" si="31"/>
        <v>0</v>
      </c>
      <c r="CW14" s="532">
        <f t="shared" si="143"/>
        <v>0</v>
      </c>
      <c r="CX14" s="530"/>
      <c r="CY14" s="531">
        <f t="shared" si="32"/>
        <v>0</v>
      </c>
      <c r="CZ14" s="532">
        <f t="shared" si="144"/>
        <v>0</v>
      </c>
      <c r="DA14" s="530">
        <v>116.2790697674418</v>
      </c>
      <c r="DB14" s="531">
        <f t="shared" si="33"/>
        <v>2.7871969550430689</v>
      </c>
      <c r="DC14" s="532">
        <f t="shared" si="145"/>
        <v>0</v>
      </c>
      <c r="DD14" s="530"/>
      <c r="DE14" s="531">
        <f t="shared" si="34"/>
        <v>0</v>
      </c>
      <c r="DF14" s="532">
        <f t="shared" si="146"/>
        <v>0</v>
      </c>
      <c r="DG14" s="530"/>
      <c r="DH14" s="531">
        <f t="shared" si="35"/>
        <v>0</v>
      </c>
      <c r="DI14" s="532">
        <f t="shared" ref="DI14:DI39" si="203">+DG14*$H$8</f>
        <v>0</v>
      </c>
      <c r="DJ14" s="530"/>
      <c r="DK14" s="531">
        <f t="shared" si="36"/>
        <v>0</v>
      </c>
      <c r="DL14" s="532">
        <f t="shared" si="147"/>
        <v>0</v>
      </c>
      <c r="DM14" s="530"/>
      <c r="DN14" s="531">
        <f t="shared" si="37"/>
        <v>0</v>
      </c>
      <c r="DO14" s="532">
        <f t="shared" si="148"/>
        <v>0</v>
      </c>
      <c r="DP14" s="530"/>
      <c r="DQ14" s="531">
        <f t="shared" si="38"/>
        <v>0</v>
      </c>
      <c r="DR14" s="532">
        <f t="shared" si="149"/>
        <v>0</v>
      </c>
      <c r="DS14" s="530"/>
      <c r="DT14" s="531">
        <f t="shared" si="39"/>
        <v>0</v>
      </c>
      <c r="DU14" s="532">
        <f t="shared" si="150"/>
        <v>0</v>
      </c>
      <c r="DV14" s="530"/>
      <c r="DW14" s="531">
        <f t="shared" si="40"/>
        <v>0</v>
      </c>
      <c r="DX14" s="532">
        <f t="shared" si="151"/>
        <v>0</v>
      </c>
      <c r="DY14" s="530"/>
      <c r="DZ14" s="531">
        <f t="shared" si="41"/>
        <v>0</v>
      </c>
      <c r="EA14" s="532">
        <f t="shared" si="152"/>
        <v>0</v>
      </c>
      <c r="EB14" s="530"/>
      <c r="EC14" s="531">
        <f t="shared" si="42"/>
        <v>0</v>
      </c>
      <c r="ED14" s="532">
        <f t="shared" si="153"/>
        <v>0</v>
      </c>
      <c r="EE14" s="530">
        <v>7.2674418604650555</v>
      </c>
      <c r="EF14" s="531">
        <f t="shared" si="43"/>
        <v>0.17419980969019044</v>
      </c>
      <c r="EG14" s="532">
        <f t="shared" si="154"/>
        <v>0</v>
      </c>
      <c r="EH14" s="530">
        <v>2.5</v>
      </c>
      <c r="EI14" s="531">
        <f t="shared" si="44"/>
        <v>5.9924734533426012E-2</v>
      </c>
      <c r="EJ14" s="532">
        <f t="shared" si="155"/>
        <v>0</v>
      </c>
      <c r="EK14" s="530">
        <v>35.227647058823663</v>
      </c>
      <c r="EL14" s="531">
        <f t="shared" si="45"/>
        <v>0.84440295929489351</v>
      </c>
      <c r="EM14" s="532">
        <f t="shared" si="156"/>
        <v>0</v>
      </c>
      <c r="EN14" s="530"/>
      <c r="EO14" s="531">
        <f t="shared" si="46"/>
        <v>0</v>
      </c>
      <c r="EP14" s="532">
        <f t="shared" si="157"/>
        <v>0</v>
      </c>
      <c r="EQ14" s="530"/>
      <c r="ER14" s="531">
        <f t="shared" si="47"/>
        <v>0</v>
      </c>
      <c r="ES14" s="532">
        <f t="shared" si="158"/>
        <v>0</v>
      </c>
      <c r="ET14" s="530"/>
      <c r="EU14" s="531">
        <f t="shared" si="48"/>
        <v>0</v>
      </c>
      <c r="EV14" s="532">
        <f t="shared" si="159"/>
        <v>0</v>
      </c>
      <c r="EW14" s="530"/>
      <c r="EX14" s="531">
        <f t="shared" si="49"/>
        <v>0</v>
      </c>
      <c r="EY14" s="532">
        <f t="shared" si="160"/>
        <v>0</v>
      </c>
      <c r="EZ14" s="530"/>
      <c r="FA14" s="531">
        <f t="shared" si="50"/>
        <v>0</v>
      </c>
      <c r="FB14" s="532">
        <f t="shared" si="161"/>
        <v>0</v>
      </c>
      <c r="FC14" s="530"/>
      <c r="FD14" s="531">
        <f t="shared" si="51"/>
        <v>0</v>
      </c>
      <c r="FE14" s="532">
        <f t="shared" si="162"/>
        <v>0</v>
      </c>
      <c r="FF14" s="530"/>
      <c r="FG14" s="531">
        <f t="shared" si="52"/>
        <v>0</v>
      </c>
      <c r="FH14" s="532">
        <f t="shared" si="163"/>
        <v>0</v>
      </c>
      <c r="FI14" s="530"/>
      <c r="FJ14" s="531">
        <f t="shared" si="53"/>
        <v>0</v>
      </c>
      <c r="FK14" s="532">
        <f t="shared" si="164"/>
        <v>0</v>
      </c>
      <c r="FL14" s="530"/>
      <c r="FM14" s="531">
        <f t="shared" si="54"/>
        <v>0</v>
      </c>
      <c r="FN14" s="532">
        <f t="shared" si="165"/>
        <v>0</v>
      </c>
      <c r="FO14" s="530"/>
      <c r="FP14" s="531">
        <f t="shared" si="55"/>
        <v>0</v>
      </c>
      <c r="FQ14" s="532">
        <f t="shared" si="166"/>
        <v>0</v>
      </c>
      <c r="FR14" s="530"/>
      <c r="FS14" s="531">
        <f t="shared" si="56"/>
        <v>0</v>
      </c>
      <c r="FT14" s="532">
        <f t="shared" si="167"/>
        <v>0</v>
      </c>
      <c r="FU14" s="530"/>
      <c r="FV14" s="531">
        <f t="shared" si="57"/>
        <v>0</v>
      </c>
      <c r="FW14" s="532">
        <f t="shared" si="168"/>
        <v>0</v>
      </c>
      <c r="FX14" s="530"/>
      <c r="FY14" s="531">
        <f t="shared" si="58"/>
        <v>0</v>
      </c>
      <c r="FZ14" s="532">
        <f t="shared" si="169"/>
        <v>0</v>
      </c>
      <c r="GA14" s="530"/>
      <c r="GB14" s="531">
        <f t="shared" si="59"/>
        <v>0</v>
      </c>
      <c r="GC14" s="532">
        <f t="shared" si="170"/>
        <v>0</v>
      </c>
      <c r="GD14" s="530"/>
      <c r="GE14" s="531">
        <f t="shared" si="60"/>
        <v>0</v>
      </c>
      <c r="GF14" s="532">
        <f t="shared" si="171"/>
        <v>0</v>
      </c>
      <c r="GG14" s="530"/>
      <c r="GH14" s="531">
        <f t="shared" si="61"/>
        <v>0</v>
      </c>
      <c r="GI14" s="532">
        <f t="shared" si="172"/>
        <v>0</v>
      </c>
      <c r="GJ14" s="530"/>
      <c r="GK14" s="531">
        <f t="shared" si="62"/>
        <v>0</v>
      </c>
      <c r="GL14" s="532">
        <f t="shared" si="173"/>
        <v>0</v>
      </c>
      <c r="GM14" s="530"/>
      <c r="GN14" s="531">
        <f t="shared" si="63"/>
        <v>0</v>
      </c>
      <c r="GO14" s="532">
        <f t="shared" si="174"/>
        <v>0</v>
      </c>
      <c r="GP14" s="530"/>
      <c r="GQ14" s="531">
        <f t="shared" si="64"/>
        <v>0</v>
      </c>
      <c r="GR14" s="532">
        <f t="shared" si="175"/>
        <v>0</v>
      </c>
      <c r="GS14" s="530"/>
      <c r="GT14" s="531">
        <f t="shared" si="65"/>
        <v>0</v>
      </c>
      <c r="GU14" s="532">
        <f t="shared" si="176"/>
        <v>0</v>
      </c>
      <c r="GV14" s="530"/>
      <c r="GW14" s="531">
        <f t="shared" si="66"/>
        <v>0</v>
      </c>
      <c r="GX14" s="532">
        <f t="shared" si="177"/>
        <v>0</v>
      </c>
      <c r="GY14" s="530"/>
      <c r="GZ14" s="531">
        <f t="shared" si="67"/>
        <v>0</v>
      </c>
      <c r="HA14" s="532">
        <f t="shared" si="178"/>
        <v>0</v>
      </c>
      <c r="HB14" s="530"/>
      <c r="HC14" s="531">
        <f t="shared" si="68"/>
        <v>0</v>
      </c>
      <c r="HD14" s="532">
        <f t="shared" si="179"/>
        <v>0</v>
      </c>
      <c r="HE14" s="530"/>
      <c r="HF14" s="531">
        <f t="shared" si="69"/>
        <v>0</v>
      </c>
      <c r="HG14" s="532">
        <f t="shared" si="180"/>
        <v>0</v>
      </c>
      <c r="HH14" s="530"/>
      <c r="HI14" s="531">
        <f t="shared" si="70"/>
        <v>0</v>
      </c>
      <c r="HJ14" s="532">
        <f t="shared" si="181"/>
        <v>0</v>
      </c>
      <c r="HK14" s="530"/>
      <c r="HL14" s="531">
        <f t="shared" si="71"/>
        <v>0</v>
      </c>
      <c r="HM14" s="532">
        <f t="shared" si="182"/>
        <v>0</v>
      </c>
      <c r="HN14" s="530"/>
      <c r="HO14" s="531">
        <f t="shared" si="72"/>
        <v>0</v>
      </c>
      <c r="HP14" s="532">
        <f t="shared" si="183"/>
        <v>0</v>
      </c>
      <c r="HQ14" s="530"/>
      <c r="HR14" s="531">
        <f t="shared" si="73"/>
        <v>0</v>
      </c>
      <c r="HS14" s="532">
        <f t="shared" si="184"/>
        <v>0</v>
      </c>
      <c r="HT14" s="530"/>
      <c r="HU14" s="531">
        <f t="shared" si="74"/>
        <v>0</v>
      </c>
      <c r="HV14" s="532">
        <f t="shared" si="185"/>
        <v>0</v>
      </c>
      <c r="HW14" s="530"/>
      <c r="HX14" s="531">
        <f t="shared" si="75"/>
        <v>0</v>
      </c>
      <c r="HY14" s="532">
        <f t="shared" si="186"/>
        <v>0</v>
      </c>
      <c r="HZ14" s="530"/>
      <c r="IA14" s="531">
        <f t="shared" si="76"/>
        <v>0</v>
      </c>
      <c r="IB14" s="532">
        <f t="shared" si="187"/>
        <v>0</v>
      </c>
      <c r="IC14" s="530"/>
      <c r="ID14" s="531">
        <f t="shared" si="77"/>
        <v>0</v>
      </c>
      <c r="IE14" s="532">
        <f t="shared" si="188"/>
        <v>0</v>
      </c>
      <c r="IF14" s="530"/>
      <c r="IG14" s="531">
        <f t="shared" si="78"/>
        <v>0</v>
      </c>
      <c r="IH14" s="532">
        <f t="shared" si="189"/>
        <v>0</v>
      </c>
      <c r="II14" s="530"/>
      <c r="IJ14" s="531">
        <f t="shared" si="79"/>
        <v>0</v>
      </c>
      <c r="IK14" s="532">
        <f t="shared" si="190"/>
        <v>0</v>
      </c>
      <c r="IL14" s="530"/>
      <c r="IM14" s="531">
        <f t="shared" si="80"/>
        <v>0</v>
      </c>
      <c r="IN14" s="532">
        <f t="shared" si="191"/>
        <v>0</v>
      </c>
      <c r="IO14" s="530"/>
      <c r="IP14" s="531">
        <f t="shared" si="81"/>
        <v>0</v>
      </c>
      <c r="IQ14" s="532">
        <f t="shared" si="192"/>
        <v>0</v>
      </c>
      <c r="IR14" s="530"/>
      <c r="IS14" s="531">
        <f t="shared" si="82"/>
        <v>0</v>
      </c>
      <c r="IT14" s="532">
        <f t="shared" si="193"/>
        <v>0</v>
      </c>
      <c r="IU14" s="530"/>
      <c r="IV14" s="531">
        <f t="shared" si="83"/>
        <v>0</v>
      </c>
      <c r="IW14" s="532">
        <f t="shared" si="194"/>
        <v>0</v>
      </c>
      <c r="IX14" s="530"/>
      <c r="IY14" s="531">
        <f t="shared" si="84"/>
        <v>0</v>
      </c>
      <c r="IZ14" s="532">
        <f t="shared" si="195"/>
        <v>0</v>
      </c>
      <c r="JA14" s="530"/>
      <c r="JB14" s="531">
        <f t="shared" si="85"/>
        <v>0</v>
      </c>
      <c r="JC14" s="532">
        <f t="shared" si="196"/>
        <v>0</v>
      </c>
      <c r="JD14" s="530"/>
      <c r="JE14" s="531">
        <f t="shared" si="86"/>
        <v>0</v>
      </c>
      <c r="JF14" s="532">
        <f t="shared" si="197"/>
        <v>0</v>
      </c>
      <c r="JG14" s="530"/>
      <c r="JH14" s="531">
        <f t="shared" si="87"/>
        <v>0</v>
      </c>
      <c r="JI14" s="532">
        <f t="shared" si="198"/>
        <v>0</v>
      </c>
      <c r="JJ14" s="530"/>
      <c r="JK14" s="532" t="str">
        <f t="shared" si="88"/>
        <v>0</v>
      </c>
      <c r="JL14" s="532" t="str">
        <f t="shared" si="89"/>
        <v>0</v>
      </c>
      <c r="JM14" s="530"/>
      <c r="JN14" s="532" t="str">
        <f t="shared" si="90"/>
        <v>0</v>
      </c>
      <c r="JO14" s="532" t="str">
        <f t="shared" si="91"/>
        <v>0</v>
      </c>
      <c r="JP14" s="530"/>
      <c r="JQ14" s="532" t="str">
        <f t="shared" si="92"/>
        <v>0</v>
      </c>
      <c r="JR14" s="532" t="str">
        <f t="shared" si="93"/>
        <v>0</v>
      </c>
      <c r="JS14" s="530"/>
      <c r="JT14" s="532" t="str">
        <f t="shared" si="94"/>
        <v>0</v>
      </c>
      <c r="JU14" s="532" t="str">
        <f t="shared" si="95"/>
        <v>0</v>
      </c>
      <c r="JV14" s="530"/>
      <c r="JW14" s="532" t="str">
        <f t="shared" si="96"/>
        <v>0</v>
      </c>
      <c r="JX14" s="532" t="str">
        <f t="shared" si="97"/>
        <v>0</v>
      </c>
      <c r="JY14" s="530"/>
      <c r="JZ14" s="532" t="str">
        <f t="shared" si="98"/>
        <v>0</v>
      </c>
      <c r="KA14" s="532" t="str">
        <f t="shared" si="99"/>
        <v>0</v>
      </c>
      <c r="KB14" s="530"/>
      <c r="KC14" s="532" t="str">
        <f t="shared" si="100"/>
        <v>0</v>
      </c>
      <c r="KD14" s="532" t="str">
        <f t="shared" si="101"/>
        <v>0</v>
      </c>
      <c r="KE14" s="530"/>
      <c r="KF14" s="532" t="str">
        <f t="shared" si="102"/>
        <v>0</v>
      </c>
      <c r="KG14" s="532" t="str">
        <f t="shared" si="103"/>
        <v>0</v>
      </c>
      <c r="KH14" s="530"/>
      <c r="KI14" s="532" t="str">
        <f t="shared" si="104"/>
        <v>0</v>
      </c>
      <c r="KJ14" s="532" t="str">
        <f t="shared" si="105"/>
        <v>0</v>
      </c>
      <c r="KK14" s="530"/>
      <c r="KL14" s="532" t="str">
        <f t="shared" si="106"/>
        <v>0</v>
      </c>
      <c r="KM14" s="532" t="str">
        <f t="shared" si="107"/>
        <v>0</v>
      </c>
      <c r="KN14" s="530"/>
      <c r="KO14" s="532" t="str">
        <f t="shared" si="108"/>
        <v>0</v>
      </c>
      <c r="KP14" s="532" t="str">
        <f t="shared" si="109"/>
        <v>0</v>
      </c>
      <c r="KQ14" s="530"/>
      <c r="KR14" s="532" t="str">
        <f t="shared" si="110"/>
        <v>0</v>
      </c>
      <c r="KS14" s="532" t="str">
        <f t="shared" si="111"/>
        <v>0</v>
      </c>
      <c r="KT14" s="532">
        <f t="shared" si="201"/>
        <v>0</v>
      </c>
      <c r="KU14" s="532">
        <f t="shared" si="202"/>
        <v>0</v>
      </c>
      <c r="KV14" s="268">
        <f t="shared" si="199"/>
        <v>271.91044898208918</v>
      </c>
    </row>
    <row r="15" spans="1:308">
      <c r="A15" s="269">
        <f t="shared" si="200"/>
        <v>45937</v>
      </c>
      <c r="B15" s="270" t="str">
        <f>+Report1!B15</f>
        <v>Toilet</v>
      </c>
      <c r="C15" s="270" t="str">
        <f>+Report1!C15</f>
        <v>13/12,5</v>
      </c>
      <c r="D15" s="271">
        <f>+Report1!P15</f>
        <v>42.984000000000002</v>
      </c>
      <c r="E15" s="570">
        <f>+Report1!R15</f>
        <v>42.372</v>
      </c>
      <c r="F15" s="530"/>
      <c r="G15" s="531">
        <f t="shared" si="0"/>
        <v>0</v>
      </c>
      <c r="H15" s="532">
        <f t="shared" si="112"/>
        <v>0</v>
      </c>
      <c r="I15" s="530"/>
      <c r="J15" s="531">
        <f t="shared" si="1"/>
        <v>0</v>
      </c>
      <c r="K15" s="532">
        <f t="shared" si="113"/>
        <v>0</v>
      </c>
      <c r="L15" s="530"/>
      <c r="M15" s="531">
        <f t="shared" si="2"/>
        <v>0</v>
      </c>
      <c r="N15" s="532">
        <f t="shared" si="114"/>
        <v>0</v>
      </c>
      <c r="O15" s="530">
        <v>3</v>
      </c>
      <c r="P15" s="531">
        <f t="shared" si="3"/>
        <v>7.0801472670631554E-2</v>
      </c>
      <c r="Q15" s="532">
        <f t="shared" si="115"/>
        <v>0</v>
      </c>
      <c r="R15" s="530"/>
      <c r="S15" s="531">
        <f t="shared" si="4"/>
        <v>0</v>
      </c>
      <c r="T15" s="532">
        <f t="shared" si="116"/>
        <v>0</v>
      </c>
      <c r="U15" s="530">
        <v>10.249999999999972</v>
      </c>
      <c r="V15" s="531">
        <f t="shared" si="5"/>
        <v>0.24190503162465712</v>
      </c>
      <c r="W15" s="532">
        <f t="shared" si="117"/>
        <v>0</v>
      </c>
      <c r="X15" s="530"/>
      <c r="Y15" s="531">
        <f t="shared" si="6"/>
        <v>0</v>
      </c>
      <c r="Z15" s="532">
        <f t="shared" si="118"/>
        <v>0</v>
      </c>
      <c r="AA15" s="530"/>
      <c r="AB15" s="531">
        <f t="shared" si="7"/>
        <v>0</v>
      </c>
      <c r="AC15" s="532">
        <f t="shared" si="119"/>
        <v>0</v>
      </c>
      <c r="AD15" s="530"/>
      <c r="AE15" s="531">
        <f t="shared" si="8"/>
        <v>0</v>
      </c>
      <c r="AF15" s="532">
        <f t="shared" si="120"/>
        <v>0</v>
      </c>
      <c r="AG15" s="530"/>
      <c r="AH15" s="531">
        <f t="shared" si="9"/>
        <v>0</v>
      </c>
      <c r="AI15" s="532">
        <f t="shared" si="121"/>
        <v>0</v>
      </c>
      <c r="AJ15" s="530"/>
      <c r="AK15" s="531">
        <f t="shared" si="10"/>
        <v>0</v>
      </c>
      <c r="AL15" s="532">
        <f t="shared" si="122"/>
        <v>0</v>
      </c>
      <c r="AM15" s="530"/>
      <c r="AN15" s="531">
        <f t="shared" si="11"/>
        <v>0</v>
      </c>
      <c r="AO15" s="532">
        <f t="shared" si="123"/>
        <v>0</v>
      </c>
      <c r="AP15" s="530">
        <v>42.721518987341767</v>
      </c>
      <c r="AQ15" s="531">
        <f t="shared" si="12"/>
        <v>1.008248819676715</v>
      </c>
      <c r="AR15" s="532">
        <f t="shared" si="124"/>
        <v>0</v>
      </c>
      <c r="AS15" s="530"/>
      <c r="AT15" s="531">
        <f t="shared" si="13"/>
        <v>0</v>
      </c>
      <c r="AU15" s="532">
        <f t="shared" si="125"/>
        <v>0</v>
      </c>
      <c r="AV15" s="530"/>
      <c r="AW15" s="531">
        <f t="shared" si="14"/>
        <v>0</v>
      </c>
      <c r="AX15" s="532">
        <f t="shared" si="126"/>
        <v>0</v>
      </c>
      <c r="AY15" s="530">
        <v>60.666666666666657</v>
      </c>
      <c r="AZ15" s="531">
        <f t="shared" si="15"/>
        <v>1.4317631140061045</v>
      </c>
      <c r="BA15" s="532">
        <f t="shared" si="127"/>
        <v>0</v>
      </c>
      <c r="BB15" s="530"/>
      <c r="BC15" s="531">
        <f t="shared" si="16"/>
        <v>0</v>
      </c>
      <c r="BD15" s="532">
        <f t="shared" si="128"/>
        <v>0</v>
      </c>
      <c r="BE15" s="530"/>
      <c r="BF15" s="531">
        <f t="shared" si="17"/>
        <v>0</v>
      </c>
      <c r="BG15" s="532">
        <f t="shared" si="129"/>
        <v>0</v>
      </c>
      <c r="BH15" s="530"/>
      <c r="BI15" s="531">
        <f t="shared" si="18"/>
        <v>0</v>
      </c>
      <c r="BJ15" s="532">
        <f t="shared" si="130"/>
        <v>0</v>
      </c>
      <c r="BK15" s="530"/>
      <c r="BL15" s="531">
        <f t="shared" si="19"/>
        <v>0</v>
      </c>
      <c r="BM15" s="532">
        <f t="shared" si="131"/>
        <v>0</v>
      </c>
      <c r="BN15" s="530"/>
      <c r="BO15" s="531">
        <f t="shared" si="20"/>
        <v>0</v>
      </c>
      <c r="BP15" s="532">
        <f t="shared" si="132"/>
        <v>0</v>
      </c>
      <c r="BQ15" s="530"/>
      <c r="BR15" s="531">
        <f t="shared" si="21"/>
        <v>0</v>
      </c>
      <c r="BS15" s="532">
        <f t="shared" si="133"/>
        <v>0</v>
      </c>
      <c r="BT15" s="530"/>
      <c r="BU15" s="531">
        <f t="shared" si="22"/>
        <v>0</v>
      </c>
      <c r="BV15" s="532">
        <f t="shared" si="134"/>
        <v>0</v>
      </c>
      <c r="BW15" s="530"/>
      <c r="BX15" s="531">
        <f t="shared" si="23"/>
        <v>0</v>
      </c>
      <c r="BY15" s="532">
        <f t="shared" si="135"/>
        <v>0</v>
      </c>
      <c r="BZ15" s="530"/>
      <c r="CA15" s="531">
        <f t="shared" si="24"/>
        <v>0</v>
      </c>
      <c r="CB15" s="532">
        <f t="shared" si="136"/>
        <v>0</v>
      </c>
      <c r="CC15" s="530"/>
      <c r="CD15" s="531">
        <f t="shared" si="25"/>
        <v>0</v>
      </c>
      <c r="CE15" s="532">
        <f t="shared" si="137"/>
        <v>0</v>
      </c>
      <c r="CF15" s="530">
        <v>1</v>
      </c>
      <c r="CG15" s="531">
        <f t="shared" si="26"/>
        <v>2.3600490890210518E-2</v>
      </c>
      <c r="CH15" s="532">
        <f t="shared" si="138"/>
        <v>0</v>
      </c>
      <c r="CI15" s="530"/>
      <c r="CJ15" s="531">
        <f t="shared" si="27"/>
        <v>0</v>
      </c>
      <c r="CK15" s="532">
        <f t="shared" si="139"/>
        <v>0</v>
      </c>
      <c r="CL15" s="530"/>
      <c r="CM15" s="531">
        <f t="shared" si="28"/>
        <v>0</v>
      </c>
      <c r="CN15" s="532">
        <f t="shared" si="140"/>
        <v>0</v>
      </c>
      <c r="CO15" s="530"/>
      <c r="CP15" s="531">
        <f t="shared" si="29"/>
        <v>0</v>
      </c>
      <c r="CQ15" s="532">
        <f t="shared" si="141"/>
        <v>0</v>
      </c>
      <c r="CR15" s="530"/>
      <c r="CS15" s="531">
        <f t="shared" si="30"/>
        <v>0</v>
      </c>
      <c r="CT15" s="532">
        <f t="shared" si="142"/>
        <v>0</v>
      </c>
      <c r="CU15" s="530"/>
      <c r="CV15" s="531">
        <f t="shared" si="31"/>
        <v>0</v>
      </c>
      <c r="CW15" s="532">
        <f t="shared" si="143"/>
        <v>0</v>
      </c>
      <c r="CX15" s="530"/>
      <c r="CY15" s="531">
        <f t="shared" si="32"/>
        <v>0</v>
      </c>
      <c r="CZ15" s="532">
        <f t="shared" si="144"/>
        <v>0</v>
      </c>
      <c r="DA15" s="530">
        <v>101.74418604651169</v>
      </c>
      <c r="DB15" s="531">
        <f t="shared" si="33"/>
        <v>2.401212735922583</v>
      </c>
      <c r="DC15" s="532">
        <f t="shared" si="145"/>
        <v>0</v>
      </c>
      <c r="DD15" s="530"/>
      <c r="DE15" s="531">
        <f t="shared" si="34"/>
        <v>0</v>
      </c>
      <c r="DF15" s="532">
        <f t="shared" si="146"/>
        <v>0</v>
      </c>
      <c r="DG15" s="530"/>
      <c r="DH15" s="531">
        <f t="shared" si="35"/>
        <v>0</v>
      </c>
      <c r="DI15" s="532">
        <f t="shared" si="203"/>
        <v>0</v>
      </c>
      <c r="DJ15" s="530"/>
      <c r="DK15" s="531">
        <f t="shared" si="36"/>
        <v>0</v>
      </c>
      <c r="DL15" s="532">
        <f t="shared" si="147"/>
        <v>0</v>
      </c>
      <c r="DM15" s="530"/>
      <c r="DN15" s="531">
        <f t="shared" si="37"/>
        <v>0</v>
      </c>
      <c r="DO15" s="532">
        <f t="shared" si="148"/>
        <v>0</v>
      </c>
      <c r="DP15" s="530"/>
      <c r="DQ15" s="531">
        <f t="shared" si="38"/>
        <v>0</v>
      </c>
      <c r="DR15" s="532">
        <f t="shared" si="149"/>
        <v>0</v>
      </c>
      <c r="DS15" s="530"/>
      <c r="DT15" s="531">
        <f t="shared" si="39"/>
        <v>0</v>
      </c>
      <c r="DU15" s="532">
        <f t="shared" si="150"/>
        <v>0</v>
      </c>
      <c r="DV15" s="530"/>
      <c r="DW15" s="531">
        <f t="shared" si="40"/>
        <v>0</v>
      </c>
      <c r="DX15" s="532">
        <f t="shared" si="151"/>
        <v>0</v>
      </c>
      <c r="DY15" s="530"/>
      <c r="DZ15" s="531">
        <f t="shared" si="41"/>
        <v>0</v>
      </c>
      <c r="EA15" s="532">
        <f t="shared" si="152"/>
        <v>0</v>
      </c>
      <c r="EB15" s="530"/>
      <c r="EC15" s="531">
        <f t="shared" si="42"/>
        <v>0</v>
      </c>
      <c r="ED15" s="532">
        <f t="shared" si="153"/>
        <v>0</v>
      </c>
      <c r="EE15" s="530">
        <v>7.2674418604651123</v>
      </c>
      <c r="EF15" s="531">
        <f t="shared" si="43"/>
        <v>0.17151519542304144</v>
      </c>
      <c r="EG15" s="532">
        <f t="shared" si="154"/>
        <v>0</v>
      </c>
      <c r="EH15" s="530">
        <v>2.5</v>
      </c>
      <c r="EI15" s="531">
        <f t="shared" si="44"/>
        <v>5.9001227225526288E-2</v>
      </c>
      <c r="EJ15" s="532">
        <f t="shared" si="155"/>
        <v>0</v>
      </c>
      <c r="EK15" s="530">
        <v>23.482352941176487</v>
      </c>
      <c r="EL15" s="531">
        <f t="shared" si="45"/>
        <v>0.55419505666894375</v>
      </c>
      <c r="EM15" s="532">
        <f t="shared" si="156"/>
        <v>0</v>
      </c>
      <c r="EN15" s="530"/>
      <c r="EO15" s="531">
        <f t="shared" si="46"/>
        <v>0</v>
      </c>
      <c r="EP15" s="532">
        <f t="shared" si="157"/>
        <v>0</v>
      </c>
      <c r="EQ15" s="530"/>
      <c r="ER15" s="531">
        <f t="shared" si="47"/>
        <v>0</v>
      </c>
      <c r="ES15" s="532">
        <f t="shared" si="158"/>
        <v>0</v>
      </c>
      <c r="ET15" s="530"/>
      <c r="EU15" s="531">
        <f t="shared" si="48"/>
        <v>0</v>
      </c>
      <c r="EV15" s="532">
        <f t="shared" si="159"/>
        <v>0</v>
      </c>
      <c r="EW15" s="530"/>
      <c r="EX15" s="531">
        <f t="shared" si="49"/>
        <v>0</v>
      </c>
      <c r="EY15" s="532">
        <f t="shared" si="160"/>
        <v>0</v>
      </c>
      <c r="EZ15" s="530"/>
      <c r="FA15" s="531">
        <f t="shared" si="50"/>
        <v>0</v>
      </c>
      <c r="FB15" s="532">
        <f t="shared" si="161"/>
        <v>0</v>
      </c>
      <c r="FC15" s="530"/>
      <c r="FD15" s="531">
        <f t="shared" si="51"/>
        <v>0</v>
      </c>
      <c r="FE15" s="532">
        <f t="shared" si="162"/>
        <v>0</v>
      </c>
      <c r="FF15" s="530"/>
      <c r="FG15" s="531">
        <f t="shared" si="52"/>
        <v>0</v>
      </c>
      <c r="FH15" s="532">
        <f t="shared" si="163"/>
        <v>0</v>
      </c>
      <c r="FI15" s="530"/>
      <c r="FJ15" s="531">
        <f t="shared" si="53"/>
        <v>0</v>
      </c>
      <c r="FK15" s="532">
        <f t="shared" si="164"/>
        <v>0</v>
      </c>
      <c r="FL15" s="530"/>
      <c r="FM15" s="531">
        <f t="shared" si="54"/>
        <v>0</v>
      </c>
      <c r="FN15" s="532">
        <f t="shared" si="165"/>
        <v>0</v>
      </c>
      <c r="FO15" s="530"/>
      <c r="FP15" s="531">
        <f t="shared" si="55"/>
        <v>0</v>
      </c>
      <c r="FQ15" s="532">
        <f t="shared" si="166"/>
        <v>0</v>
      </c>
      <c r="FR15" s="530"/>
      <c r="FS15" s="531">
        <f t="shared" si="56"/>
        <v>0</v>
      </c>
      <c r="FT15" s="532">
        <f t="shared" si="167"/>
        <v>0</v>
      </c>
      <c r="FU15" s="530"/>
      <c r="FV15" s="531">
        <f t="shared" si="57"/>
        <v>0</v>
      </c>
      <c r="FW15" s="532">
        <f t="shared" si="168"/>
        <v>0</v>
      </c>
      <c r="FX15" s="530"/>
      <c r="FY15" s="531">
        <f t="shared" si="58"/>
        <v>0</v>
      </c>
      <c r="FZ15" s="532">
        <f t="shared" si="169"/>
        <v>0</v>
      </c>
      <c r="GA15" s="530"/>
      <c r="GB15" s="531">
        <f t="shared" si="59"/>
        <v>0</v>
      </c>
      <c r="GC15" s="532">
        <f t="shared" si="170"/>
        <v>0</v>
      </c>
      <c r="GD15" s="530"/>
      <c r="GE15" s="531">
        <f t="shared" si="60"/>
        <v>0</v>
      </c>
      <c r="GF15" s="532">
        <f t="shared" si="171"/>
        <v>0</v>
      </c>
      <c r="GG15" s="530"/>
      <c r="GH15" s="531">
        <f t="shared" si="61"/>
        <v>0</v>
      </c>
      <c r="GI15" s="532">
        <f t="shared" si="172"/>
        <v>0</v>
      </c>
      <c r="GJ15" s="530"/>
      <c r="GK15" s="531">
        <f t="shared" si="62"/>
        <v>0</v>
      </c>
      <c r="GL15" s="532">
        <f t="shared" si="173"/>
        <v>0</v>
      </c>
      <c r="GM15" s="530"/>
      <c r="GN15" s="531">
        <f t="shared" si="63"/>
        <v>0</v>
      </c>
      <c r="GO15" s="532">
        <f t="shared" si="174"/>
        <v>0</v>
      </c>
      <c r="GP15" s="530"/>
      <c r="GQ15" s="531">
        <f t="shared" si="64"/>
        <v>0</v>
      </c>
      <c r="GR15" s="532">
        <f t="shared" si="175"/>
        <v>0</v>
      </c>
      <c r="GS15" s="530"/>
      <c r="GT15" s="531">
        <f t="shared" si="65"/>
        <v>0</v>
      </c>
      <c r="GU15" s="532">
        <f t="shared" si="176"/>
        <v>0</v>
      </c>
      <c r="GV15" s="530"/>
      <c r="GW15" s="531">
        <f t="shared" si="66"/>
        <v>0</v>
      </c>
      <c r="GX15" s="532">
        <f t="shared" si="177"/>
        <v>0</v>
      </c>
      <c r="GY15" s="530"/>
      <c r="GZ15" s="531">
        <f t="shared" si="67"/>
        <v>0</v>
      </c>
      <c r="HA15" s="532">
        <f t="shared" si="178"/>
        <v>0</v>
      </c>
      <c r="HB15" s="530"/>
      <c r="HC15" s="531">
        <f t="shared" si="68"/>
        <v>0</v>
      </c>
      <c r="HD15" s="532">
        <f t="shared" si="179"/>
        <v>0</v>
      </c>
      <c r="HE15" s="530"/>
      <c r="HF15" s="531">
        <f t="shared" si="69"/>
        <v>0</v>
      </c>
      <c r="HG15" s="532">
        <f t="shared" si="180"/>
        <v>0</v>
      </c>
      <c r="HH15" s="530"/>
      <c r="HI15" s="531">
        <f t="shared" si="70"/>
        <v>0</v>
      </c>
      <c r="HJ15" s="532">
        <f t="shared" si="181"/>
        <v>0</v>
      </c>
      <c r="HK15" s="530"/>
      <c r="HL15" s="531">
        <f t="shared" si="71"/>
        <v>0</v>
      </c>
      <c r="HM15" s="532">
        <f t="shared" si="182"/>
        <v>0</v>
      </c>
      <c r="HN15" s="530"/>
      <c r="HO15" s="531">
        <f t="shared" si="72"/>
        <v>0</v>
      </c>
      <c r="HP15" s="532">
        <f t="shared" si="183"/>
        <v>0</v>
      </c>
      <c r="HQ15" s="530"/>
      <c r="HR15" s="531">
        <f t="shared" si="73"/>
        <v>0</v>
      </c>
      <c r="HS15" s="532">
        <f t="shared" si="184"/>
        <v>0</v>
      </c>
      <c r="HT15" s="530"/>
      <c r="HU15" s="531">
        <f t="shared" si="74"/>
        <v>0</v>
      </c>
      <c r="HV15" s="532">
        <f t="shared" si="185"/>
        <v>0</v>
      </c>
      <c r="HW15" s="530"/>
      <c r="HX15" s="531">
        <f t="shared" si="75"/>
        <v>0</v>
      </c>
      <c r="HY15" s="532">
        <f t="shared" si="186"/>
        <v>0</v>
      </c>
      <c r="HZ15" s="530"/>
      <c r="IA15" s="531">
        <f t="shared" si="76"/>
        <v>0</v>
      </c>
      <c r="IB15" s="532">
        <f t="shared" si="187"/>
        <v>0</v>
      </c>
      <c r="IC15" s="530"/>
      <c r="ID15" s="531">
        <f t="shared" si="77"/>
        <v>0</v>
      </c>
      <c r="IE15" s="532">
        <f t="shared" si="188"/>
        <v>0</v>
      </c>
      <c r="IF15" s="530"/>
      <c r="IG15" s="531">
        <f t="shared" si="78"/>
        <v>0</v>
      </c>
      <c r="IH15" s="532">
        <f t="shared" si="189"/>
        <v>0</v>
      </c>
      <c r="II15" s="530"/>
      <c r="IJ15" s="531">
        <f t="shared" si="79"/>
        <v>0</v>
      </c>
      <c r="IK15" s="532">
        <f t="shared" si="190"/>
        <v>0</v>
      </c>
      <c r="IL15" s="530"/>
      <c r="IM15" s="531">
        <f t="shared" si="80"/>
        <v>0</v>
      </c>
      <c r="IN15" s="532">
        <f t="shared" si="191"/>
        <v>0</v>
      </c>
      <c r="IO15" s="530"/>
      <c r="IP15" s="531">
        <f t="shared" si="81"/>
        <v>0</v>
      </c>
      <c r="IQ15" s="532">
        <f t="shared" si="192"/>
        <v>0</v>
      </c>
      <c r="IR15" s="530"/>
      <c r="IS15" s="531">
        <f t="shared" si="82"/>
        <v>0</v>
      </c>
      <c r="IT15" s="532">
        <f t="shared" si="193"/>
        <v>0</v>
      </c>
      <c r="IU15" s="530"/>
      <c r="IV15" s="531">
        <f t="shared" si="83"/>
        <v>0</v>
      </c>
      <c r="IW15" s="532">
        <f t="shared" si="194"/>
        <v>0</v>
      </c>
      <c r="IX15" s="530"/>
      <c r="IY15" s="531">
        <f t="shared" si="84"/>
        <v>0</v>
      </c>
      <c r="IZ15" s="532">
        <f t="shared" si="195"/>
        <v>0</v>
      </c>
      <c r="JA15" s="530"/>
      <c r="JB15" s="531">
        <f t="shared" si="85"/>
        <v>0</v>
      </c>
      <c r="JC15" s="532">
        <f t="shared" si="196"/>
        <v>0</v>
      </c>
      <c r="JD15" s="530"/>
      <c r="JE15" s="531">
        <f t="shared" si="86"/>
        <v>0</v>
      </c>
      <c r="JF15" s="532">
        <f t="shared" si="197"/>
        <v>0</v>
      </c>
      <c r="JG15" s="530"/>
      <c r="JH15" s="531">
        <f t="shared" si="87"/>
        <v>0</v>
      </c>
      <c r="JI15" s="532">
        <f t="shared" si="198"/>
        <v>0</v>
      </c>
      <c r="JJ15" s="530"/>
      <c r="JK15" s="532" t="str">
        <f t="shared" si="88"/>
        <v>0</v>
      </c>
      <c r="JL15" s="532" t="str">
        <f t="shared" si="89"/>
        <v>0</v>
      </c>
      <c r="JM15" s="530"/>
      <c r="JN15" s="532" t="str">
        <f t="shared" si="90"/>
        <v>0</v>
      </c>
      <c r="JO15" s="532" t="str">
        <f t="shared" si="91"/>
        <v>0</v>
      </c>
      <c r="JP15" s="530"/>
      <c r="JQ15" s="532" t="str">
        <f t="shared" si="92"/>
        <v>0</v>
      </c>
      <c r="JR15" s="532" t="str">
        <f t="shared" si="93"/>
        <v>0</v>
      </c>
      <c r="JS15" s="530"/>
      <c r="JT15" s="532" t="str">
        <f t="shared" si="94"/>
        <v>0</v>
      </c>
      <c r="JU15" s="532" t="str">
        <f t="shared" si="95"/>
        <v>0</v>
      </c>
      <c r="JV15" s="530"/>
      <c r="JW15" s="532" t="str">
        <f t="shared" si="96"/>
        <v>0</v>
      </c>
      <c r="JX15" s="532" t="str">
        <f t="shared" si="97"/>
        <v>0</v>
      </c>
      <c r="JY15" s="530"/>
      <c r="JZ15" s="532" t="str">
        <f t="shared" si="98"/>
        <v>0</v>
      </c>
      <c r="KA15" s="532" t="str">
        <f t="shared" si="99"/>
        <v>0</v>
      </c>
      <c r="KB15" s="530"/>
      <c r="KC15" s="532" t="str">
        <f t="shared" si="100"/>
        <v>0</v>
      </c>
      <c r="KD15" s="532" t="str">
        <f t="shared" si="101"/>
        <v>0</v>
      </c>
      <c r="KE15" s="530"/>
      <c r="KF15" s="532" t="str">
        <f t="shared" si="102"/>
        <v>0</v>
      </c>
      <c r="KG15" s="532" t="str">
        <f t="shared" si="103"/>
        <v>0</v>
      </c>
      <c r="KH15" s="530"/>
      <c r="KI15" s="532" t="str">
        <f t="shared" si="104"/>
        <v>0</v>
      </c>
      <c r="KJ15" s="532" t="str">
        <f t="shared" si="105"/>
        <v>0</v>
      </c>
      <c r="KK15" s="530"/>
      <c r="KL15" s="532" t="str">
        <f t="shared" si="106"/>
        <v>0</v>
      </c>
      <c r="KM15" s="532" t="str">
        <f t="shared" si="107"/>
        <v>0</v>
      </c>
      <c r="KN15" s="530"/>
      <c r="KO15" s="532" t="str">
        <f t="shared" si="108"/>
        <v>0</v>
      </c>
      <c r="KP15" s="532" t="str">
        <f t="shared" si="109"/>
        <v>0</v>
      </c>
      <c r="KQ15" s="530"/>
      <c r="KR15" s="532" t="str">
        <f t="shared" si="110"/>
        <v>0</v>
      </c>
      <c r="KS15" s="532" t="str">
        <f t="shared" si="111"/>
        <v>0</v>
      </c>
      <c r="KT15" s="532">
        <f t="shared" si="201"/>
        <v>0</v>
      </c>
      <c r="KU15" s="532">
        <f t="shared" si="202"/>
        <v>0</v>
      </c>
      <c r="KV15" s="268">
        <f t="shared" si="199"/>
        <v>252.63216650216168</v>
      </c>
    </row>
    <row r="16" spans="1:308">
      <c r="A16" s="269">
        <f t="shared" si="200"/>
        <v>45938</v>
      </c>
      <c r="B16" s="270" t="str">
        <f>+Report1!B16</f>
        <v>Toilet</v>
      </c>
      <c r="C16" s="270" t="str">
        <f>+Report1!C16</f>
        <v>12,5</v>
      </c>
      <c r="D16" s="271">
        <f>+Report1!P16</f>
        <v>42.14</v>
      </c>
      <c r="E16" s="570">
        <f>+Report1!R16</f>
        <v>43.186999999999998</v>
      </c>
      <c r="F16" s="530"/>
      <c r="G16" s="531">
        <f t="shared" si="0"/>
        <v>0</v>
      </c>
      <c r="H16" s="532">
        <f t="shared" si="112"/>
        <v>0</v>
      </c>
      <c r="I16" s="530"/>
      <c r="J16" s="531">
        <f t="shared" si="1"/>
        <v>0</v>
      </c>
      <c r="K16" s="532">
        <f t="shared" si="113"/>
        <v>0</v>
      </c>
      <c r="L16" s="530"/>
      <c r="M16" s="531">
        <f t="shared" si="2"/>
        <v>0</v>
      </c>
      <c r="N16" s="532">
        <f t="shared" si="114"/>
        <v>0</v>
      </c>
      <c r="O16" s="530"/>
      <c r="P16" s="531">
        <f t="shared" si="3"/>
        <v>0</v>
      </c>
      <c r="Q16" s="532">
        <f t="shared" si="115"/>
        <v>0</v>
      </c>
      <c r="R16" s="530"/>
      <c r="S16" s="531">
        <f t="shared" si="4"/>
        <v>0</v>
      </c>
      <c r="T16" s="532">
        <f t="shared" si="116"/>
        <v>0</v>
      </c>
      <c r="U16" s="530">
        <v>4.0088000000000363</v>
      </c>
      <c r="V16" s="531">
        <f t="shared" si="5"/>
        <v>9.2824229513511852E-2</v>
      </c>
      <c r="W16" s="532">
        <f t="shared" si="117"/>
        <v>0</v>
      </c>
      <c r="X16" s="530"/>
      <c r="Y16" s="531">
        <f t="shared" si="6"/>
        <v>0</v>
      </c>
      <c r="Z16" s="532">
        <f t="shared" si="118"/>
        <v>0</v>
      </c>
      <c r="AA16" s="530"/>
      <c r="AB16" s="531">
        <f t="shared" si="7"/>
        <v>0</v>
      </c>
      <c r="AC16" s="532">
        <f t="shared" si="119"/>
        <v>0</v>
      </c>
      <c r="AD16" s="530"/>
      <c r="AE16" s="531">
        <f t="shared" si="8"/>
        <v>0</v>
      </c>
      <c r="AF16" s="532">
        <f t="shared" si="120"/>
        <v>0</v>
      </c>
      <c r="AG16" s="530"/>
      <c r="AH16" s="531">
        <f t="shared" si="9"/>
        <v>0</v>
      </c>
      <c r="AI16" s="532">
        <f t="shared" si="121"/>
        <v>0</v>
      </c>
      <c r="AJ16" s="530"/>
      <c r="AK16" s="531">
        <f t="shared" si="10"/>
        <v>0</v>
      </c>
      <c r="AL16" s="532">
        <f t="shared" si="122"/>
        <v>0</v>
      </c>
      <c r="AM16" s="530"/>
      <c r="AN16" s="531">
        <f t="shared" si="11"/>
        <v>0</v>
      </c>
      <c r="AO16" s="532">
        <f t="shared" si="123"/>
        <v>0</v>
      </c>
      <c r="AP16" s="530">
        <v>35.656824050632906</v>
      </c>
      <c r="AQ16" s="531">
        <f t="shared" si="12"/>
        <v>0.82563790146648086</v>
      </c>
      <c r="AR16" s="532">
        <f t="shared" si="124"/>
        <v>0</v>
      </c>
      <c r="AS16" s="530"/>
      <c r="AT16" s="531">
        <f t="shared" si="13"/>
        <v>0</v>
      </c>
      <c r="AU16" s="532">
        <f t="shared" si="125"/>
        <v>0</v>
      </c>
      <c r="AV16" s="530"/>
      <c r="AW16" s="531">
        <f t="shared" si="14"/>
        <v>0</v>
      </c>
      <c r="AX16" s="532">
        <f t="shared" si="126"/>
        <v>0</v>
      </c>
      <c r="AY16" s="530">
        <v>73.029599999999988</v>
      </c>
      <c r="AZ16" s="531">
        <f t="shared" si="15"/>
        <v>1.6910088684094748</v>
      </c>
      <c r="BA16" s="532">
        <f t="shared" si="127"/>
        <v>0</v>
      </c>
      <c r="BB16" s="530"/>
      <c r="BC16" s="531">
        <f t="shared" si="16"/>
        <v>0</v>
      </c>
      <c r="BD16" s="532">
        <f t="shared" si="128"/>
        <v>0</v>
      </c>
      <c r="BE16" s="530"/>
      <c r="BF16" s="531">
        <f t="shared" si="17"/>
        <v>0</v>
      </c>
      <c r="BG16" s="532">
        <f t="shared" si="129"/>
        <v>0</v>
      </c>
      <c r="BH16" s="530"/>
      <c r="BI16" s="531">
        <f t="shared" si="18"/>
        <v>0</v>
      </c>
      <c r="BJ16" s="532">
        <f t="shared" si="130"/>
        <v>0</v>
      </c>
      <c r="BK16" s="530"/>
      <c r="BL16" s="531">
        <f t="shared" si="19"/>
        <v>0</v>
      </c>
      <c r="BM16" s="532">
        <f t="shared" si="131"/>
        <v>0</v>
      </c>
      <c r="BN16" s="530"/>
      <c r="BO16" s="531">
        <f t="shared" si="20"/>
        <v>0</v>
      </c>
      <c r="BP16" s="532">
        <f t="shared" si="132"/>
        <v>0</v>
      </c>
      <c r="BQ16" s="530"/>
      <c r="BR16" s="531">
        <f t="shared" si="21"/>
        <v>0</v>
      </c>
      <c r="BS16" s="532">
        <f t="shared" si="133"/>
        <v>0</v>
      </c>
      <c r="BT16" s="530"/>
      <c r="BU16" s="531">
        <f t="shared" si="22"/>
        <v>0</v>
      </c>
      <c r="BV16" s="532">
        <f t="shared" si="134"/>
        <v>0</v>
      </c>
      <c r="BW16" s="530"/>
      <c r="BX16" s="531">
        <f t="shared" si="23"/>
        <v>0</v>
      </c>
      <c r="BY16" s="532">
        <f t="shared" si="135"/>
        <v>0</v>
      </c>
      <c r="BZ16" s="530"/>
      <c r="CA16" s="531">
        <f t="shared" si="24"/>
        <v>0</v>
      </c>
      <c r="CB16" s="532">
        <f t="shared" si="136"/>
        <v>0</v>
      </c>
      <c r="CC16" s="530"/>
      <c r="CD16" s="531">
        <f t="shared" si="25"/>
        <v>0</v>
      </c>
      <c r="CE16" s="532">
        <f t="shared" si="137"/>
        <v>0</v>
      </c>
      <c r="CF16" s="530">
        <v>1</v>
      </c>
      <c r="CG16" s="531">
        <f t="shared" si="26"/>
        <v>2.3155116122907358E-2</v>
      </c>
      <c r="CH16" s="532">
        <f t="shared" si="138"/>
        <v>0</v>
      </c>
      <c r="CI16" s="530"/>
      <c r="CJ16" s="531">
        <f t="shared" si="27"/>
        <v>0</v>
      </c>
      <c r="CK16" s="532">
        <f t="shared" si="139"/>
        <v>0</v>
      </c>
      <c r="CL16" s="530"/>
      <c r="CM16" s="531">
        <f t="shared" si="28"/>
        <v>0</v>
      </c>
      <c r="CN16" s="532">
        <f t="shared" si="140"/>
        <v>0</v>
      </c>
      <c r="CO16" s="530"/>
      <c r="CP16" s="531">
        <f t="shared" si="29"/>
        <v>0</v>
      </c>
      <c r="CQ16" s="532">
        <f t="shared" si="141"/>
        <v>0</v>
      </c>
      <c r="CR16" s="530"/>
      <c r="CS16" s="531">
        <f t="shared" si="30"/>
        <v>0</v>
      </c>
      <c r="CT16" s="532">
        <f t="shared" si="142"/>
        <v>0</v>
      </c>
      <c r="CU16" s="530"/>
      <c r="CV16" s="531">
        <f t="shared" si="31"/>
        <v>0</v>
      </c>
      <c r="CW16" s="532">
        <f t="shared" si="143"/>
        <v>0</v>
      </c>
      <c r="CX16" s="530"/>
      <c r="CY16" s="531">
        <f t="shared" si="32"/>
        <v>0</v>
      </c>
      <c r="CZ16" s="532">
        <f t="shared" si="144"/>
        <v>0</v>
      </c>
      <c r="DA16" s="530">
        <v>98.55823255813948</v>
      </c>
      <c r="DB16" s="531">
        <f t="shared" si="33"/>
        <v>2.2821273197522283</v>
      </c>
      <c r="DC16" s="532">
        <f t="shared" si="145"/>
        <v>0</v>
      </c>
      <c r="DD16" s="530"/>
      <c r="DE16" s="531">
        <f t="shared" si="34"/>
        <v>0</v>
      </c>
      <c r="DF16" s="532">
        <f t="shared" si="146"/>
        <v>0</v>
      </c>
      <c r="DG16" s="530"/>
      <c r="DH16" s="531">
        <f t="shared" si="35"/>
        <v>0</v>
      </c>
      <c r="DI16" s="532">
        <f t="shared" si="203"/>
        <v>0</v>
      </c>
      <c r="DJ16" s="530"/>
      <c r="DK16" s="531">
        <f t="shared" si="36"/>
        <v>0</v>
      </c>
      <c r="DL16" s="532">
        <f t="shared" si="147"/>
        <v>0</v>
      </c>
      <c r="DM16" s="530"/>
      <c r="DN16" s="531">
        <f t="shared" si="37"/>
        <v>0</v>
      </c>
      <c r="DO16" s="532">
        <f t="shared" si="148"/>
        <v>0</v>
      </c>
      <c r="DP16" s="530"/>
      <c r="DQ16" s="531">
        <f t="shared" si="38"/>
        <v>0</v>
      </c>
      <c r="DR16" s="532">
        <f t="shared" si="149"/>
        <v>0</v>
      </c>
      <c r="DS16" s="530"/>
      <c r="DT16" s="531">
        <f t="shared" si="39"/>
        <v>0</v>
      </c>
      <c r="DU16" s="532">
        <f t="shared" si="150"/>
        <v>0</v>
      </c>
      <c r="DV16" s="530"/>
      <c r="DW16" s="531">
        <f t="shared" si="40"/>
        <v>0</v>
      </c>
      <c r="DX16" s="532">
        <f t="shared" si="151"/>
        <v>0</v>
      </c>
      <c r="DY16" s="530"/>
      <c r="DZ16" s="531">
        <f t="shared" si="41"/>
        <v>0</v>
      </c>
      <c r="EA16" s="532">
        <f t="shared" si="152"/>
        <v>0</v>
      </c>
      <c r="EB16" s="530"/>
      <c r="EC16" s="531">
        <f t="shared" si="42"/>
        <v>0</v>
      </c>
      <c r="ED16" s="532">
        <f t="shared" si="153"/>
        <v>0</v>
      </c>
      <c r="EE16" s="530">
        <v>7.2674418604651123</v>
      </c>
      <c r="EF16" s="531">
        <f t="shared" si="43"/>
        <v>0.16827846019554757</v>
      </c>
      <c r="EG16" s="532">
        <f t="shared" si="154"/>
        <v>0</v>
      </c>
      <c r="EH16" s="530">
        <v>5.8269997276755872</v>
      </c>
      <c r="EI16" s="531">
        <f t="shared" si="44"/>
        <v>0.13492485534247778</v>
      </c>
      <c r="EJ16" s="532">
        <f t="shared" si="155"/>
        <v>0</v>
      </c>
      <c r="EK16" s="530">
        <v>73.489999999999895</v>
      </c>
      <c r="EL16" s="531">
        <f t="shared" si="45"/>
        <v>1.7016694838724593</v>
      </c>
      <c r="EM16" s="532">
        <f t="shared" si="156"/>
        <v>0</v>
      </c>
      <c r="EN16" s="530"/>
      <c r="EO16" s="531">
        <f t="shared" si="46"/>
        <v>0</v>
      </c>
      <c r="EP16" s="532">
        <f t="shared" si="157"/>
        <v>0</v>
      </c>
      <c r="EQ16" s="530"/>
      <c r="ER16" s="531">
        <f t="shared" si="47"/>
        <v>0</v>
      </c>
      <c r="ES16" s="532">
        <f t="shared" si="158"/>
        <v>0</v>
      </c>
      <c r="ET16" s="530"/>
      <c r="EU16" s="531">
        <f t="shared" si="48"/>
        <v>0</v>
      </c>
      <c r="EV16" s="532">
        <f t="shared" si="159"/>
        <v>0</v>
      </c>
      <c r="EW16" s="530"/>
      <c r="EX16" s="531">
        <f t="shared" si="49"/>
        <v>0</v>
      </c>
      <c r="EY16" s="532">
        <f t="shared" si="160"/>
        <v>0</v>
      </c>
      <c r="EZ16" s="530"/>
      <c r="FA16" s="531">
        <f t="shared" si="50"/>
        <v>0</v>
      </c>
      <c r="FB16" s="532">
        <f t="shared" si="161"/>
        <v>0</v>
      </c>
      <c r="FC16" s="530"/>
      <c r="FD16" s="531">
        <f t="shared" si="51"/>
        <v>0</v>
      </c>
      <c r="FE16" s="532">
        <f t="shared" si="162"/>
        <v>0</v>
      </c>
      <c r="FF16" s="530"/>
      <c r="FG16" s="531">
        <f t="shared" si="52"/>
        <v>0</v>
      </c>
      <c r="FH16" s="532">
        <f t="shared" si="163"/>
        <v>0</v>
      </c>
      <c r="FI16" s="530"/>
      <c r="FJ16" s="531">
        <f t="shared" si="53"/>
        <v>0</v>
      </c>
      <c r="FK16" s="532">
        <f t="shared" si="164"/>
        <v>0</v>
      </c>
      <c r="FL16" s="530"/>
      <c r="FM16" s="531">
        <f t="shared" si="54"/>
        <v>0</v>
      </c>
      <c r="FN16" s="532">
        <f t="shared" si="165"/>
        <v>0</v>
      </c>
      <c r="FO16" s="530"/>
      <c r="FP16" s="531">
        <f t="shared" si="55"/>
        <v>0</v>
      </c>
      <c r="FQ16" s="532">
        <f t="shared" si="166"/>
        <v>0</v>
      </c>
      <c r="FR16" s="530"/>
      <c r="FS16" s="531">
        <f t="shared" si="56"/>
        <v>0</v>
      </c>
      <c r="FT16" s="532">
        <f t="shared" si="167"/>
        <v>0</v>
      </c>
      <c r="FU16" s="530"/>
      <c r="FV16" s="531">
        <f t="shared" si="57"/>
        <v>0</v>
      </c>
      <c r="FW16" s="532">
        <f t="shared" si="168"/>
        <v>0</v>
      </c>
      <c r="FX16" s="530"/>
      <c r="FY16" s="531">
        <f t="shared" si="58"/>
        <v>0</v>
      </c>
      <c r="FZ16" s="532">
        <f t="shared" si="169"/>
        <v>0</v>
      </c>
      <c r="GA16" s="530"/>
      <c r="GB16" s="531">
        <f t="shared" si="59"/>
        <v>0</v>
      </c>
      <c r="GC16" s="532">
        <f t="shared" si="170"/>
        <v>0</v>
      </c>
      <c r="GD16" s="530"/>
      <c r="GE16" s="531">
        <f t="shared" si="60"/>
        <v>0</v>
      </c>
      <c r="GF16" s="532">
        <f t="shared" si="171"/>
        <v>0</v>
      </c>
      <c r="GG16" s="530"/>
      <c r="GH16" s="531">
        <f t="shared" si="61"/>
        <v>0</v>
      </c>
      <c r="GI16" s="532">
        <f t="shared" si="172"/>
        <v>0</v>
      </c>
      <c r="GJ16" s="530"/>
      <c r="GK16" s="531">
        <f t="shared" si="62"/>
        <v>0</v>
      </c>
      <c r="GL16" s="532">
        <f t="shared" si="173"/>
        <v>0</v>
      </c>
      <c r="GM16" s="530"/>
      <c r="GN16" s="531">
        <f t="shared" si="63"/>
        <v>0</v>
      </c>
      <c r="GO16" s="532">
        <f t="shared" si="174"/>
        <v>0</v>
      </c>
      <c r="GP16" s="530"/>
      <c r="GQ16" s="531">
        <f t="shared" si="64"/>
        <v>0</v>
      </c>
      <c r="GR16" s="532">
        <f t="shared" si="175"/>
        <v>0</v>
      </c>
      <c r="GS16" s="530"/>
      <c r="GT16" s="531">
        <f t="shared" si="65"/>
        <v>0</v>
      </c>
      <c r="GU16" s="532">
        <f t="shared" si="176"/>
        <v>0</v>
      </c>
      <c r="GV16" s="530"/>
      <c r="GW16" s="531">
        <f t="shared" si="66"/>
        <v>0</v>
      </c>
      <c r="GX16" s="532">
        <f t="shared" si="177"/>
        <v>0</v>
      </c>
      <c r="GY16" s="530"/>
      <c r="GZ16" s="531">
        <f t="shared" si="67"/>
        <v>0</v>
      </c>
      <c r="HA16" s="532">
        <f t="shared" si="178"/>
        <v>0</v>
      </c>
      <c r="HB16" s="530"/>
      <c r="HC16" s="531">
        <f t="shared" si="68"/>
        <v>0</v>
      </c>
      <c r="HD16" s="532">
        <f t="shared" si="179"/>
        <v>0</v>
      </c>
      <c r="HE16" s="530"/>
      <c r="HF16" s="531">
        <f t="shared" si="69"/>
        <v>0</v>
      </c>
      <c r="HG16" s="532">
        <f t="shared" si="180"/>
        <v>0</v>
      </c>
      <c r="HH16" s="530"/>
      <c r="HI16" s="531">
        <f t="shared" si="70"/>
        <v>0</v>
      </c>
      <c r="HJ16" s="532">
        <f t="shared" si="181"/>
        <v>0</v>
      </c>
      <c r="HK16" s="530"/>
      <c r="HL16" s="531">
        <f t="shared" si="71"/>
        <v>0</v>
      </c>
      <c r="HM16" s="532">
        <f t="shared" si="182"/>
        <v>0</v>
      </c>
      <c r="HN16" s="530"/>
      <c r="HO16" s="531">
        <f t="shared" si="72"/>
        <v>0</v>
      </c>
      <c r="HP16" s="532">
        <f t="shared" si="183"/>
        <v>0</v>
      </c>
      <c r="HQ16" s="530"/>
      <c r="HR16" s="531">
        <f t="shared" si="73"/>
        <v>0</v>
      </c>
      <c r="HS16" s="532">
        <f t="shared" si="184"/>
        <v>0</v>
      </c>
      <c r="HT16" s="530"/>
      <c r="HU16" s="531">
        <f t="shared" si="74"/>
        <v>0</v>
      </c>
      <c r="HV16" s="532">
        <f t="shared" si="185"/>
        <v>0</v>
      </c>
      <c r="HW16" s="530"/>
      <c r="HX16" s="531">
        <f t="shared" si="75"/>
        <v>0</v>
      </c>
      <c r="HY16" s="532">
        <f t="shared" si="186"/>
        <v>0</v>
      </c>
      <c r="HZ16" s="530"/>
      <c r="IA16" s="531">
        <f t="shared" si="76"/>
        <v>0</v>
      </c>
      <c r="IB16" s="532">
        <f t="shared" si="187"/>
        <v>0</v>
      </c>
      <c r="IC16" s="530"/>
      <c r="ID16" s="531">
        <f t="shared" si="77"/>
        <v>0</v>
      </c>
      <c r="IE16" s="532">
        <f t="shared" si="188"/>
        <v>0</v>
      </c>
      <c r="IF16" s="530"/>
      <c r="IG16" s="531">
        <f t="shared" si="78"/>
        <v>0</v>
      </c>
      <c r="IH16" s="532">
        <f t="shared" si="189"/>
        <v>0</v>
      </c>
      <c r="II16" s="530"/>
      <c r="IJ16" s="531">
        <f t="shared" si="79"/>
        <v>0</v>
      </c>
      <c r="IK16" s="532">
        <f t="shared" si="190"/>
        <v>0</v>
      </c>
      <c r="IL16" s="530"/>
      <c r="IM16" s="531">
        <f t="shared" si="80"/>
        <v>0</v>
      </c>
      <c r="IN16" s="532">
        <f t="shared" si="191"/>
        <v>0</v>
      </c>
      <c r="IO16" s="530"/>
      <c r="IP16" s="531">
        <f t="shared" si="81"/>
        <v>0</v>
      </c>
      <c r="IQ16" s="532">
        <f t="shared" si="192"/>
        <v>0</v>
      </c>
      <c r="IR16" s="530"/>
      <c r="IS16" s="531">
        <f t="shared" si="82"/>
        <v>0</v>
      </c>
      <c r="IT16" s="532">
        <f t="shared" si="193"/>
        <v>0</v>
      </c>
      <c r="IU16" s="530"/>
      <c r="IV16" s="531">
        <f t="shared" si="83"/>
        <v>0</v>
      </c>
      <c r="IW16" s="532">
        <f t="shared" si="194"/>
        <v>0</v>
      </c>
      <c r="IX16" s="530"/>
      <c r="IY16" s="531">
        <f t="shared" si="84"/>
        <v>0</v>
      </c>
      <c r="IZ16" s="532">
        <f t="shared" si="195"/>
        <v>0</v>
      </c>
      <c r="JA16" s="530"/>
      <c r="JB16" s="531">
        <f t="shared" si="85"/>
        <v>0</v>
      </c>
      <c r="JC16" s="532">
        <f t="shared" si="196"/>
        <v>0</v>
      </c>
      <c r="JD16" s="530"/>
      <c r="JE16" s="531">
        <f t="shared" si="86"/>
        <v>0</v>
      </c>
      <c r="JF16" s="532">
        <f t="shared" si="197"/>
        <v>0</v>
      </c>
      <c r="JG16" s="530"/>
      <c r="JH16" s="531">
        <f t="shared" si="87"/>
        <v>0</v>
      </c>
      <c r="JI16" s="532">
        <f t="shared" si="198"/>
        <v>0</v>
      </c>
      <c r="JJ16" s="530"/>
      <c r="JK16" s="532" t="str">
        <f t="shared" si="88"/>
        <v>0</v>
      </c>
      <c r="JL16" s="532" t="str">
        <f t="shared" si="89"/>
        <v>0</v>
      </c>
      <c r="JM16" s="530"/>
      <c r="JN16" s="532" t="str">
        <f t="shared" si="90"/>
        <v>0</v>
      </c>
      <c r="JO16" s="532" t="str">
        <f t="shared" si="91"/>
        <v>0</v>
      </c>
      <c r="JP16" s="530"/>
      <c r="JQ16" s="532" t="str">
        <f t="shared" si="92"/>
        <v>0</v>
      </c>
      <c r="JR16" s="532" t="str">
        <f t="shared" si="93"/>
        <v>0</v>
      </c>
      <c r="JS16" s="530"/>
      <c r="JT16" s="532" t="str">
        <f t="shared" si="94"/>
        <v>0</v>
      </c>
      <c r="JU16" s="532" t="str">
        <f t="shared" si="95"/>
        <v>0</v>
      </c>
      <c r="JV16" s="530"/>
      <c r="JW16" s="532" t="str">
        <f t="shared" si="96"/>
        <v>0</v>
      </c>
      <c r="JX16" s="532" t="str">
        <f t="shared" si="97"/>
        <v>0</v>
      </c>
      <c r="JY16" s="530"/>
      <c r="JZ16" s="532" t="str">
        <f t="shared" si="98"/>
        <v>0</v>
      </c>
      <c r="KA16" s="532" t="str">
        <f t="shared" si="99"/>
        <v>0</v>
      </c>
      <c r="KB16" s="530"/>
      <c r="KC16" s="532" t="str">
        <f t="shared" si="100"/>
        <v>0</v>
      </c>
      <c r="KD16" s="532" t="str">
        <f t="shared" si="101"/>
        <v>0</v>
      </c>
      <c r="KE16" s="530"/>
      <c r="KF16" s="532" t="str">
        <f t="shared" si="102"/>
        <v>0</v>
      </c>
      <c r="KG16" s="532" t="str">
        <f t="shared" si="103"/>
        <v>0</v>
      </c>
      <c r="KH16" s="530"/>
      <c r="KI16" s="532" t="str">
        <f t="shared" si="104"/>
        <v>0</v>
      </c>
      <c r="KJ16" s="532" t="str">
        <f t="shared" si="105"/>
        <v>0</v>
      </c>
      <c r="KK16" s="530"/>
      <c r="KL16" s="532" t="str">
        <f t="shared" si="106"/>
        <v>0</v>
      </c>
      <c r="KM16" s="532" t="str">
        <f t="shared" si="107"/>
        <v>0</v>
      </c>
      <c r="KN16" s="530"/>
      <c r="KO16" s="532" t="str">
        <f t="shared" si="108"/>
        <v>0</v>
      </c>
      <c r="KP16" s="532" t="str">
        <f t="shared" si="109"/>
        <v>0</v>
      </c>
      <c r="KQ16" s="530"/>
      <c r="KR16" s="532" t="str">
        <f t="shared" si="110"/>
        <v>0</v>
      </c>
      <c r="KS16" s="532" t="str">
        <f t="shared" si="111"/>
        <v>0</v>
      </c>
      <c r="KT16" s="532">
        <f t="shared" si="201"/>
        <v>0</v>
      </c>
      <c r="KU16" s="532">
        <f t="shared" si="202"/>
        <v>0</v>
      </c>
      <c r="KV16" s="268">
        <f t="shared" si="199"/>
        <v>298.83789819691299</v>
      </c>
    </row>
    <row r="17" spans="1:309">
      <c r="A17" s="269">
        <f t="shared" si="200"/>
        <v>45939</v>
      </c>
      <c r="B17" s="270" t="str">
        <f>+Report1!B17</f>
        <v>Toilet</v>
      </c>
      <c r="C17" s="270" t="str">
        <f>+Report1!C17</f>
        <v>12,5</v>
      </c>
      <c r="D17" s="271">
        <f>+Report1!P17</f>
        <v>38.646000000000001</v>
      </c>
      <c r="E17" s="570">
        <f>+Report1!R17</f>
        <v>36.542999999999999</v>
      </c>
      <c r="F17" s="530"/>
      <c r="G17" s="531">
        <f t="shared" si="0"/>
        <v>0</v>
      </c>
      <c r="H17" s="532">
        <f t="shared" si="112"/>
        <v>0</v>
      </c>
      <c r="I17" s="530"/>
      <c r="J17" s="531">
        <f t="shared" si="1"/>
        <v>0</v>
      </c>
      <c r="K17" s="532">
        <f t="shared" si="113"/>
        <v>0</v>
      </c>
      <c r="L17" s="530"/>
      <c r="M17" s="531">
        <f t="shared" si="2"/>
        <v>0</v>
      </c>
      <c r="N17" s="532">
        <f t="shared" si="114"/>
        <v>0</v>
      </c>
      <c r="O17" s="530"/>
      <c r="P17" s="531">
        <f t="shared" si="3"/>
        <v>0</v>
      </c>
      <c r="Q17" s="532">
        <f t="shared" si="115"/>
        <v>0</v>
      </c>
      <c r="R17" s="530"/>
      <c r="S17" s="531">
        <f t="shared" si="4"/>
        <v>0</v>
      </c>
      <c r="T17" s="532">
        <f t="shared" si="116"/>
        <v>0</v>
      </c>
      <c r="U17" s="530">
        <v>3.6770999999999958</v>
      </c>
      <c r="V17" s="531">
        <f t="shared" si="5"/>
        <v>0.1006239225022575</v>
      </c>
      <c r="W17" s="532">
        <f t="shared" si="117"/>
        <v>0</v>
      </c>
      <c r="X17" s="530"/>
      <c r="Y17" s="531">
        <f t="shared" si="6"/>
        <v>0</v>
      </c>
      <c r="Z17" s="532">
        <f t="shared" si="118"/>
        <v>0</v>
      </c>
      <c r="AA17" s="530"/>
      <c r="AB17" s="531">
        <f t="shared" si="7"/>
        <v>0</v>
      </c>
      <c r="AC17" s="532">
        <f t="shared" si="119"/>
        <v>0</v>
      </c>
      <c r="AD17" s="530"/>
      <c r="AE17" s="531">
        <f t="shared" si="8"/>
        <v>0</v>
      </c>
      <c r="AF17" s="532">
        <f t="shared" si="120"/>
        <v>0</v>
      </c>
      <c r="AG17" s="530"/>
      <c r="AH17" s="531">
        <f t="shared" si="9"/>
        <v>0</v>
      </c>
      <c r="AI17" s="532">
        <f t="shared" si="121"/>
        <v>0</v>
      </c>
      <c r="AJ17" s="530"/>
      <c r="AK17" s="531">
        <f t="shared" si="10"/>
        <v>0</v>
      </c>
      <c r="AL17" s="532">
        <f t="shared" si="122"/>
        <v>0</v>
      </c>
      <c r="AM17" s="530"/>
      <c r="AN17" s="531">
        <f t="shared" si="11"/>
        <v>0</v>
      </c>
      <c r="AO17" s="532">
        <f t="shared" si="123"/>
        <v>0</v>
      </c>
      <c r="AP17" s="530">
        <v>32.699200000000019</v>
      </c>
      <c r="AQ17" s="531">
        <f t="shared" si="12"/>
        <v>0.89481432832553487</v>
      </c>
      <c r="AR17" s="532">
        <f t="shared" si="124"/>
        <v>0</v>
      </c>
      <c r="AS17" s="530"/>
      <c r="AT17" s="531">
        <f t="shared" si="13"/>
        <v>0</v>
      </c>
      <c r="AU17" s="532">
        <f t="shared" si="125"/>
        <v>0</v>
      </c>
      <c r="AV17" s="530"/>
      <c r="AW17" s="531">
        <f t="shared" si="14"/>
        <v>0</v>
      </c>
      <c r="AX17" s="532">
        <f t="shared" si="126"/>
        <v>0</v>
      </c>
      <c r="AY17" s="530">
        <v>66.966800000000006</v>
      </c>
      <c r="AZ17" s="531">
        <f t="shared" si="15"/>
        <v>1.8325479572011059</v>
      </c>
      <c r="BA17" s="532">
        <f t="shared" si="127"/>
        <v>0</v>
      </c>
      <c r="BB17" s="530"/>
      <c r="BC17" s="531">
        <f t="shared" si="16"/>
        <v>0</v>
      </c>
      <c r="BD17" s="532">
        <f t="shared" si="128"/>
        <v>0</v>
      </c>
      <c r="BE17" s="530"/>
      <c r="BF17" s="531">
        <f t="shared" si="17"/>
        <v>0</v>
      </c>
      <c r="BG17" s="532">
        <f t="shared" si="129"/>
        <v>0</v>
      </c>
      <c r="BH17" s="530"/>
      <c r="BI17" s="531">
        <f t="shared" si="18"/>
        <v>0</v>
      </c>
      <c r="BJ17" s="532">
        <f t="shared" si="130"/>
        <v>0</v>
      </c>
      <c r="BK17" s="530"/>
      <c r="BL17" s="531">
        <f t="shared" si="19"/>
        <v>0</v>
      </c>
      <c r="BM17" s="532">
        <f t="shared" si="131"/>
        <v>0</v>
      </c>
      <c r="BN17" s="530"/>
      <c r="BO17" s="531">
        <f t="shared" si="20"/>
        <v>0</v>
      </c>
      <c r="BP17" s="532">
        <f t="shared" si="132"/>
        <v>0</v>
      </c>
      <c r="BQ17" s="530"/>
      <c r="BR17" s="531">
        <f t="shared" si="21"/>
        <v>0</v>
      </c>
      <c r="BS17" s="532">
        <f t="shared" si="133"/>
        <v>0</v>
      </c>
      <c r="BT17" s="530"/>
      <c r="BU17" s="531">
        <f t="shared" si="22"/>
        <v>0</v>
      </c>
      <c r="BV17" s="532">
        <f t="shared" si="134"/>
        <v>0</v>
      </c>
      <c r="BW17" s="530"/>
      <c r="BX17" s="531">
        <f t="shared" si="23"/>
        <v>0</v>
      </c>
      <c r="BY17" s="532">
        <f t="shared" si="135"/>
        <v>0</v>
      </c>
      <c r="BZ17" s="530"/>
      <c r="CA17" s="531">
        <f t="shared" si="24"/>
        <v>0</v>
      </c>
      <c r="CB17" s="532">
        <f t="shared" si="136"/>
        <v>0</v>
      </c>
      <c r="CC17" s="530"/>
      <c r="CD17" s="531">
        <f t="shared" si="25"/>
        <v>0</v>
      </c>
      <c r="CE17" s="532">
        <f t="shared" si="137"/>
        <v>0</v>
      </c>
      <c r="CF17" s="530">
        <v>1</v>
      </c>
      <c r="CG17" s="531">
        <f t="shared" si="26"/>
        <v>2.7365022028842733E-2</v>
      </c>
      <c r="CH17" s="532">
        <f t="shared" si="138"/>
        <v>0</v>
      </c>
      <c r="CI17" s="530"/>
      <c r="CJ17" s="531">
        <f t="shared" si="27"/>
        <v>0</v>
      </c>
      <c r="CK17" s="532">
        <f t="shared" si="139"/>
        <v>0</v>
      </c>
      <c r="CL17" s="530"/>
      <c r="CM17" s="531">
        <f t="shared" si="28"/>
        <v>0</v>
      </c>
      <c r="CN17" s="532">
        <f t="shared" si="140"/>
        <v>0</v>
      </c>
      <c r="CO17" s="530"/>
      <c r="CP17" s="531">
        <f t="shared" si="29"/>
        <v>0</v>
      </c>
      <c r="CQ17" s="532">
        <f t="shared" si="141"/>
        <v>0</v>
      </c>
      <c r="CR17" s="530"/>
      <c r="CS17" s="531">
        <f t="shared" si="30"/>
        <v>0</v>
      </c>
      <c r="CT17" s="532">
        <f t="shared" si="142"/>
        <v>0</v>
      </c>
      <c r="CU17" s="530"/>
      <c r="CV17" s="531">
        <f t="shared" si="31"/>
        <v>0</v>
      </c>
      <c r="CW17" s="532">
        <f t="shared" si="143"/>
        <v>0</v>
      </c>
      <c r="CX17" s="530"/>
      <c r="CY17" s="531">
        <f t="shared" si="32"/>
        <v>0</v>
      </c>
      <c r="CZ17" s="532">
        <f t="shared" si="144"/>
        <v>0</v>
      </c>
      <c r="DA17" s="530">
        <v>90.396000000000186</v>
      </c>
      <c r="DB17" s="531">
        <f t="shared" si="33"/>
        <v>2.4736885313192727</v>
      </c>
      <c r="DC17" s="532">
        <f t="shared" si="145"/>
        <v>0</v>
      </c>
      <c r="DD17" s="530"/>
      <c r="DE17" s="531">
        <f t="shared" si="34"/>
        <v>0</v>
      </c>
      <c r="DF17" s="532">
        <f t="shared" si="146"/>
        <v>0</v>
      </c>
      <c r="DG17" s="530"/>
      <c r="DH17" s="531">
        <f t="shared" si="35"/>
        <v>0</v>
      </c>
      <c r="DI17" s="532">
        <f t="shared" si="203"/>
        <v>0</v>
      </c>
      <c r="DJ17" s="530"/>
      <c r="DK17" s="531">
        <f t="shared" si="36"/>
        <v>0</v>
      </c>
      <c r="DL17" s="532">
        <f t="shared" si="147"/>
        <v>0</v>
      </c>
      <c r="DM17" s="530"/>
      <c r="DN17" s="531">
        <f t="shared" si="37"/>
        <v>0</v>
      </c>
      <c r="DO17" s="532">
        <f t="shared" si="148"/>
        <v>0</v>
      </c>
      <c r="DP17" s="530"/>
      <c r="DQ17" s="531">
        <f t="shared" si="38"/>
        <v>0</v>
      </c>
      <c r="DR17" s="532">
        <f t="shared" si="149"/>
        <v>0</v>
      </c>
      <c r="DS17" s="530"/>
      <c r="DT17" s="531">
        <f t="shared" si="39"/>
        <v>0</v>
      </c>
      <c r="DU17" s="532">
        <f t="shared" si="150"/>
        <v>0</v>
      </c>
      <c r="DV17" s="530"/>
      <c r="DW17" s="531">
        <f t="shared" si="40"/>
        <v>0</v>
      </c>
      <c r="DX17" s="532">
        <f t="shared" si="151"/>
        <v>0</v>
      </c>
      <c r="DY17" s="530"/>
      <c r="DZ17" s="531">
        <f t="shared" si="41"/>
        <v>0</v>
      </c>
      <c r="EA17" s="532">
        <f t="shared" si="152"/>
        <v>0</v>
      </c>
      <c r="EB17" s="530"/>
      <c r="EC17" s="531">
        <f t="shared" si="42"/>
        <v>0</v>
      </c>
      <c r="ED17" s="532">
        <f t="shared" si="153"/>
        <v>0</v>
      </c>
      <c r="EE17" s="530">
        <v>7.2674418604651123</v>
      </c>
      <c r="EF17" s="531">
        <f t="shared" si="43"/>
        <v>0.19887370660496162</v>
      </c>
      <c r="EG17" s="532">
        <f t="shared" si="154"/>
        <v>0</v>
      </c>
      <c r="EH17" s="530">
        <v>4.1730002723244128</v>
      </c>
      <c r="EI17" s="531">
        <f t="shared" si="44"/>
        <v>0.11419424437852428</v>
      </c>
      <c r="EJ17" s="532">
        <f t="shared" si="155"/>
        <v>0</v>
      </c>
      <c r="EK17" s="530">
        <v>67.399999999999977</v>
      </c>
      <c r="EL17" s="531">
        <f t="shared" si="45"/>
        <v>1.8444024847439997</v>
      </c>
      <c r="EM17" s="532">
        <f t="shared" si="156"/>
        <v>0</v>
      </c>
      <c r="EN17" s="530"/>
      <c r="EO17" s="531">
        <f t="shared" si="46"/>
        <v>0</v>
      </c>
      <c r="EP17" s="532">
        <f t="shared" si="157"/>
        <v>0</v>
      </c>
      <c r="EQ17" s="530"/>
      <c r="ER17" s="531">
        <f t="shared" si="47"/>
        <v>0</v>
      </c>
      <c r="ES17" s="532">
        <f t="shared" si="158"/>
        <v>0</v>
      </c>
      <c r="ET17" s="530"/>
      <c r="EU17" s="531">
        <f t="shared" si="48"/>
        <v>0</v>
      </c>
      <c r="EV17" s="532">
        <f t="shared" si="159"/>
        <v>0</v>
      </c>
      <c r="EW17" s="530"/>
      <c r="EX17" s="531">
        <f t="shared" si="49"/>
        <v>0</v>
      </c>
      <c r="EY17" s="532">
        <f t="shared" si="160"/>
        <v>0</v>
      </c>
      <c r="EZ17" s="530"/>
      <c r="FA17" s="531">
        <f t="shared" si="50"/>
        <v>0</v>
      </c>
      <c r="FB17" s="532">
        <f t="shared" si="161"/>
        <v>0</v>
      </c>
      <c r="FC17" s="530"/>
      <c r="FD17" s="531">
        <f t="shared" si="51"/>
        <v>0</v>
      </c>
      <c r="FE17" s="532">
        <f t="shared" si="162"/>
        <v>0</v>
      </c>
      <c r="FF17" s="530"/>
      <c r="FG17" s="531">
        <f t="shared" si="52"/>
        <v>0</v>
      </c>
      <c r="FH17" s="532">
        <f t="shared" si="163"/>
        <v>0</v>
      </c>
      <c r="FI17" s="530"/>
      <c r="FJ17" s="531">
        <f t="shared" si="53"/>
        <v>0</v>
      </c>
      <c r="FK17" s="532">
        <f t="shared" si="164"/>
        <v>0</v>
      </c>
      <c r="FL17" s="530"/>
      <c r="FM17" s="531">
        <f t="shared" si="54"/>
        <v>0</v>
      </c>
      <c r="FN17" s="532">
        <f t="shared" si="165"/>
        <v>0</v>
      </c>
      <c r="FO17" s="530"/>
      <c r="FP17" s="531">
        <f t="shared" si="55"/>
        <v>0</v>
      </c>
      <c r="FQ17" s="532">
        <f t="shared" si="166"/>
        <v>0</v>
      </c>
      <c r="FR17" s="530"/>
      <c r="FS17" s="531">
        <f t="shared" si="56"/>
        <v>0</v>
      </c>
      <c r="FT17" s="532">
        <f t="shared" si="167"/>
        <v>0</v>
      </c>
      <c r="FU17" s="530"/>
      <c r="FV17" s="531">
        <f t="shared" si="57"/>
        <v>0</v>
      </c>
      <c r="FW17" s="532">
        <f t="shared" si="168"/>
        <v>0</v>
      </c>
      <c r="FX17" s="530"/>
      <c r="FY17" s="531">
        <f t="shared" si="58"/>
        <v>0</v>
      </c>
      <c r="FZ17" s="532">
        <f t="shared" si="169"/>
        <v>0</v>
      </c>
      <c r="GA17" s="530"/>
      <c r="GB17" s="531">
        <f t="shared" si="59"/>
        <v>0</v>
      </c>
      <c r="GC17" s="532">
        <f t="shared" si="170"/>
        <v>0</v>
      </c>
      <c r="GD17" s="530"/>
      <c r="GE17" s="531">
        <f t="shared" si="60"/>
        <v>0</v>
      </c>
      <c r="GF17" s="532">
        <f t="shared" si="171"/>
        <v>0</v>
      </c>
      <c r="GG17" s="530"/>
      <c r="GH17" s="531">
        <f t="shared" si="61"/>
        <v>0</v>
      </c>
      <c r="GI17" s="532">
        <f t="shared" si="172"/>
        <v>0</v>
      </c>
      <c r="GJ17" s="530"/>
      <c r="GK17" s="531">
        <f t="shared" si="62"/>
        <v>0</v>
      </c>
      <c r="GL17" s="532">
        <f t="shared" si="173"/>
        <v>0</v>
      </c>
      <c r="GM17" s="530"/>
      <c r="GN17" s="531">
        <f t="shared" si="63"/>
        <v>0</v>
      </c>
      <c r="GO17" s="532">
        <f t="shared" si="174"/>
        <v>0</v>
      </c>
      <c r="GP17" s="530"/>
      <c r="GQ17" s="531">
        <f t="shared" si="64"/>
        <v>0</v>
      </c>
      <c r="GR17" s="532">
        <f t="shared" si="175"/>
        <v>0</v>
      </c>
      <c r="GS17" s="530"/>
      <c r="GT17" s="531">
        <f t="shared" si="65"/>
        <v>0</v>
      </c>
      <c r="GU17" s="532">
        <f t="shared" si="176"/>
        <v>0</v>
      </c>
      <c r="GV17" s="530"/>
      <c r="GW17" s="531">
        <f t="shared" si="66"/>
        <v>0</v>
      </c>
      <c r="GX17" s="532">
        <f t="shared" si="177"/>
        <v>0</v>
      </c>
      <c r="GY17" s="530"/>
      <c r="GZ17" s="531">
        <f t="shared" si="67"/>
        <v>0</v>
      </c>
      <c r="HA17" s="532">
        <f t="shared" si="178"/>
        <v>0</v>
      </c>
      <c r="HB17" s="530"/>
      <c r="HC17" s="531">
        <f t="shared" si="68"/>
        <v>0</v>
      </c>
      <c r="HD17" s="532">
        <f t="shared" si="179"/>
        <v>0</v>
      </c>
      <c r="HE17" s="530"/>
      <c r="HF17" s="531">
        <f t="shared" si="69"/>
        <v>0</v>
      </c>
      <c r="HG17" s="532">
        <f t="shared" si="180"/>
        <v>0</v>
      </c>
      <c r="HH17" s="530"/>
      <c r="HI17" s="531">
        <f t="shared" si="70"/>
        <v>0</v>
      </c>
      <c r="HJ17" s="532">
        <f t="shared" si="181"/>
        <v>0</v>
      </c>
      <c r="HK17" s="530"/>
      <c r="HL17" s="531">
        <f t="shared" si="71"/>
        <v>0</v>
      </c>
      <c r="HM17" s="532">
        <f t="shared" si="182"/>
        <v>0</v>
      </c>
      <c r="HN17" s="530"/>
      <c r="HO17" s="531">
        <f t="shared" si="72"/>
        <v>0</v>
      </c>
      <c r="HP17" s="532">
        <f t="shared" si="183"/>
        <v>0</v>
      </c>
      <c r="HQ17" s="530"/>
      <c r="HR17" s="531">
        <f t="shared" si="73"/>
        <v>0</v>
      </c>
      <c r="HS17" s="532">
        <f t="shared" si="184"/>
        <v>0</v>
      </c>
      <c r="HT17" s="530"/>
      <c r="HU17" s="531">
        <f t="shared" si="74"/>
        <v>0</v>
      </c>
      <c r="HV17" s="532">
        <f t="shared" si="185"/>
        <v>0</v>
      </c>
      <c r="HW17" s="530"/>
      <c r="HX17" s="531">
        <f t="shared" si="75"/>
        <v>0</v>
      </c>
      <c r="HY17" s="532">
        <f t="shared" si="186"/>
        <v>0</v>
      </c>
      <c r="HZ17" s="530"/>
      <c r="IA17" s="531">
        <f t="shared" si="76"/>
        <v>0</v>
      </c>
      <c r="IB17" s="532">
        <f t="shared" si="187"/>
        <v>0</v>
      </c>
      <c r="IC17" s="530"/>
      <c r="ID17" s="531">
        <f t="shared" si="77"/>
        <v>0</v>
      </c>
      <c r="IE17" s="532">
        <f t="shared" si="188"/>
        <v>0</v>
      </c>
      <c r="IF17" s="530"/>
      <c r="IG17" s="531">
        <f t="shared" si="78"/>
        <v>0</v>
      </c>
      <c r="IH17" s="532">
        <f t="shared" si="189"/>
        <v>0</v>
      </c>
      <c r="II17" s="530"/>
      <c r="IJ17" s="531">
        <f t="shared" si="79"/>
        <v>0</v>
      </c>
      <c r="IK17" s="532">
        <f t="shared" si="190"/>
        <v>0</v>
      </c>
      <c r="IL17" s="530"/>
      <c r="IM17" s="531">
        <f t="shared" si="80"/>
        <v>0</v>
      </c>
      <c r="IN17" s="532">
        <f t="shared" si="191"/>
        <v>0</v>
      </c>
      <c r="IO17" s="530"/>
      <c r="IP17" s="531">
        <f t="shared" si="81"/>
        <v>0</v>
      </c>
      <c r="IQ17" s="532">
        <f t="shared" si="192"/>
        <v>0</v>
      </c>
      <c r="IR17" s="530"/>
      <c r="IS17" s="531">
        <f t="shared" si="82"/>
        <v>0</v>
      </c>
      <c r="IT17" s="532">
        <f t="shared" si="193"/>
        <v>0</v>
      </c>
      <c r="IU17" s="530"/>
      <c r="IV17" s="531">
        <f t="shared" si="83"/>
        <v>0</v>
      </c>
      <c r="IW17" s="532">
        <f t="shared" si="194"/>
        <v>0</v>
      </c>
      <c r="IX17" s="530"/>
      <c r="IY17" s="531">
        <f t="shared" si="84"/>
        <v>0</v>
      </c>
      <c r="IZ17" s="532">
        <f t="shared" si="195"/>
        <v>0</v>
      </c>
      <c r="JA17" s="530"/>
      <c r="JB17" s="531">
        <f t="shared" si="85"/>
        <v>0</v>
      </c>
      <c r="JC17" s="532">
        <f t="shared" si="196"/>
        <v>0</v>
      </c>
      <c r="JD17" s="530"/>
      <c r="JE17" s="531">
        <f t="shared" si="86"/>
        <v>0</v>
      </c>
      <c r="JF17" s="532">
        <f t="shared" si="197"/>
        <v>0</v>
      </c>
      <c r="JG17" s="530"/>
      <c r="JH17" s="531">
        <f t="shared" si="87"/>
        <v>0</v>
      </c>
      <c r="JI17" s="532">
        <f t="shared" si="198"/>
        <v>0</v>
      </c>
      <c r="JJ17" s="530"/>
      <c r="JK17" s="532" t="str">
        <f t="shared" si="88"/>
        <v>0</v>
      </c>
      <c r="JL17" s="532" t="str">
        <f t="shared" si="89"/>
        <v>0</v>
      </c>
      <c r="JM17" s="530"/>
      <c r="JN17" s="532" t="str">
        <f t="shared" si="90"/>
        <v>0</v>
      </c>
      <c r="JO17" s="532" t="str">
        <f t="shared" si="91"/>
        <v>0</v>
      </c>
      <c r="JP17" s="530"/>
      <c r="JQ17" s="532" t="str">
        <f t="shared" si="92"/>
        <v>0</v>
      </c>
      <c r="JR17" s="532" t="str">
        <f t="shared" si="93"/>
        <v>0</v>
      </c>
      <c r="JS17" s="530"/>
      <c r="JT17" s="532" t="str">
        <f t="shared" si="94"/>
        <v>0</v>
      </c>
      <c r="JU17" s="532" t="str">
        <f t="shared" si="95"/>
        <v>0</v>
      </c>
      <c r="JV17" s="530"/>
      <c r="JW17" s="532" t="str">
        <f t="shared" si="96"/>
        <v>0</v>
      </c>
      <c r="JX17" s="532" t="str">
        <f t="shared" si="97"/>
        <v>0</v>
      </c>
      <c r="JY17" s="530"/>
      <c r="JZ17" s="532" t="str">
        <f t="shared" si="98"/>
        <v>0</v>
      </c>
      <c r="KA17" s="532" t="str">
        <f t="shared" si="99"/>
        <v>0</v>
      </c>
      <c r="KB17" s="530"/>
      <c r="KC17" s="532" t="str">
        <f t="shared" si="100"/>
        <v>0</v>
      </c>
      <c r="KD17" s="532" t="str">
        <f t="shared" si="101"/>
        <v>0</v>
      </c>
      <c r="KE17" s="530"/>
      <c r="KF17" s="532" t="str">
        <f t="shared" si="102"/>
        <v>0</v>
      </c>
      <c r="KG17" s="532" t="str">
        <f t="shared" si="103"/>
        <v>0</v>
      </c>
      <c r="KH17" s="530"/>
      <c r="KI17" s="532" t="str">
        <f t="shared" si="104"/>
        <v>0</v>
      </c>
      <c r="KJ17" s="532" t="str">
        <f t="shared" si="105"/>
        <v>0</v>
      </c>
      <c r="KK17" s="530"/>
      <c r="KL17" s="532" t="str">
        <f t="shared" si="106"/>
        <v>0</v>
      </c>
      <c r="KM17" s="532" t="str">
        <f t="shared" si="107"/>
        <v>0</v>
      </c>
      <c r="KN17" s="530"/>
      <c r="KO17" s="532" t="str">
        <f t="shared" si="108"/>
        <v>0</v>
      </c>
      <c r="KP17" s="532" t="str">
        <f t="shared" si="109"/>
        <v>0</v>
      </c>
      <c r="KQ17" s="530"/>
      <c r="KR17" s="532" t="str">
        <f t="shared" si="110"/>
        <v>0</v>
      </c>
      <c r="KS17" s="532" t="str">
        <f t="shared" si="111"/>
        <v>0</v>
      </c>
      <c r="KT17" s="532">
        <f t="shared" si="201"/>
        <v>0</v>
      </c>
      <c r="KU17" s="532">
        <f t="shared" si="202"/>
        <v>0</v>
      </c>
      <c r="KV17" s="268">
        <f t="shared" si="199"/>
        <v>273.5795421327897</v>
      </c>
    </row>
    <row r="18" spans="1:309">
      <c r="A18" s="269">
        <f t="shared" si="200"/>
        <v>45940</v>
      </c>
      <c r="B18" s="270" t="str">
        <f>+Report1!B18</f>
        <v>Toilet</v>
      </c>
      <c r="C18" s="270" t="str">
        <f>+Report1!C18</f>
        <v>12,5</v>
      </c>
      <c r="D18" s="271">
        <f>+Report1!P18</f>
        <v>40.244</v>
      </c>
      <c r="E18" s="570">
        <f>+Report1!R18</f>
        <v>35.942</v>
      </c>
      <c r="F18" s="530"/>
      <c r="G18" s="531">
        <f t="shared" si="0"/>
        <v>0</v>
      </c>
      <c r="H18" s="532">
        <f t="shared" si="112"/>
        <v>0</v>
      </c>
      <c r="I18" s="530"/>
      <c r="J18" s="531">
        <f t="shared" si="1"/>
        <v>0</v>
      </c>
      <c r="K18" s="532">
        <f t="shared" si="113"/>
        <v>0</v>
      </c>
      <c r="L18" s="530"/>
      <c r="M18" s="531">
        <f t="shared" si="2"/>
        <v>0</v>
      </c>
      <c r="N18" s="532">
        <f t="shared" si="114"/>
        <v>0</v>
      </c>
      <c r="O18" s="530">
        <v>3</v>
      </c>
      <c r="P18" s="531">
        <f t="shared" si="3"/>
        <v>8.3467809248233271E-2</v>
      </c>
      <c r="Q18" s="532">
        <f t="shared" si="115"/>
        <v>0</v>
      </c>
      <c r="R18" s="530"/>
      <c r="S18" s="531">
        <f t="shared" si="4"/>
        <v>0</v>
      </c>
      <c r="T18" s="532">
        <f t="shared" si="116"/>
        <v>0</v>
      </c>
      <c r="U18" s="530">
        <v>7.6890999999999678</v>
      </c>
      <c r="V18" s="531">
        <f t="shared" si="5"/>
        <v>0.21393077736352922</v>
      </c>
      <c r="W18" s="532">
        <f t="shared" si="117"/>
        <v>0</v>
      </c>
      <c r="X18" s="530"/>
      <c r="Y18" s="531">
        <f t="shared" si="6"/>
        <v>0</v>
      </c>
      <c r="Z18" s="532">
        <f t="shared" si="118"/>
        <v>0</v>
      </c>
      <c r="AA18" s="530"/>
      <c r="AB18" s="531">
        <f t="shared" si="7"/>
        <v>0</v>
      </c>
      <c r="AC18" s="532">
        <f t="shared" si="119"/>
        <v>0</v>
      </c>
      <c r="AD18" s="530"/>
      <c r="AE18" s="531">
        <f t="shared" si="8"/>
        <v>0</v>
      </c>
      <c r="AF18" s="532">
        <f t="shared" si="120"/>
        <v>0</v>
      </c>
      <c r="AG18" s="530"/>
      <c r="AH18" s="531">
        <f t="shared" si="9"/>
        <v>0</v>
      </c>
      <c r="AI18" s="532">
        <f t="shared" si="121"/>
        <v>0</v>
      </c>
      <c r="AJ18" s="530"/>
      <c r="AK18" s="531">
        <f t="shared" si="10"/>
        <v>0</v>
      </c>
      <c r="AL18" s="532">
        <f t="shared" si="122"/>
        <v>0</v>
      </c>
      <c r="AM18" s="530"/>
      <c r="AN18" s="531">
        <f t="shared" si="11"/>
        <v>0</v>
      </c>
      <c r="AO18" s="532">
        <f t="shared" si="123"/>
        <v>0</v>
      </c>
      <c r="AP18" s="530">
        <v>54.112330379746851</v>
      </c>
      <c r="AQ18" s="531">
        <f t="shared" si="12"/>
        <v>1.5055458900380294</v>
      </c>
      <c r="AR18" s="532">
        <f t="shared" si="124"/>
        <v>0</v>
      </c>
      <c r="AS18" s="530"/>
      <c r="AT18" s="531">
        <f t="shared" si="13"/>
        <v>0</v>
      </c>
      <c r="AU18" s="532">
        <f t="shared" si="125"/>
        <v>0</v>
      </c>
      <c r="AV18" s="530"/>
      <c r="AW18" s="531">
        <f t="shared" si="14"/>
        <v>0</v>
      </c>
      <c r="AX18" s="532">
        <f t="shared" si="126"/>
        <v>0</v>
      </c>
      <c r="AY18" s="530">
        <v>63.00360000000002</v>
      </c>
      <c r="AZ18" s="531">
        <f t="shared" si="15"/>
        <v>1.7529241555839969</v>
      </c>
      <c r="BA18" s="532">
        <f t="shared" si="127"/>
        <v>0</v>
      </c>
      <c r="BB18" s="530"/>
      <c r="BC18" s="531">
        <f t="shared" si="16"/>
        <v>0</v>
      </c>
      <c r="BD18" s="532">
        <f t="shared" si="128"/>
        <v>0</v>
      </c>
      <c r="BE18" s="530"/>
      <c r="BF18" s="531">
        <f t="shared" si="17"/>
        <v>0</v>
      </c>
      <c r="BG18" s="532">
        <f t="shared" si="129"/>
        <v>0</v>
      </c>
      <c r="BH18" s="530"/>
      <c r="BI18" s="531">
        <f t="shared" si="18"/>
        <v>0</v>
      </c>
      <c r="BJ18" s="532">
        <f t="shared" si="130"/>
        <v>0</v>
      </c>
      <c r="BK18" s="530"/>
      <c r="BL18" s="531">
        <f t="shared" si="19"/>
        <v>0</v>
      </c>
      <c r="BM18" s="532">
        <f t="shared" si="131"/>
        <v>0</v>
      </c>
      <c r="BN18" s="530"/>
      <c r="BO18" s="531">
        <f t="shared" si="20"/>
        <v>0</v>
      </c>
      <c r="BP18" s="532">
        <f t="shared" si="132"/>
        <v>0</v>
      </c>
      <c r="BQ18" s="530"/>
      <c r="BR18" s="531">
        <f t="shared" si="21"/>
        <v>0</v>
      </c>
      <c r="BS18" s="532">
        <f t="shared" si="133"/>
        <v>0</v>
      </c>
      <c r="BT18" s="530"/>
      <c r="BU18" s="531">
        <f t="shared" si="22"/>
        <v>0</v>
      </c>
      <c r="BV18" s="532">
        <f t="shared" si="134"/>
        <v>0</v>
      </c>
      <c r="BW18" s="530"/>
      <c r="BX18" s="531">
        <f t="shared" si="23"/>
        <v>0</v>
      </c>
      <c r="BY18" s="532">
        <f t="shared" si="135"/>
        <v>0</v>
      </c>
      <c r="BZ18" s="530"/>
      <c r="CA18" s="531">
        <f t="shared" si="24"/>
        <v>0</v>
      </c>
      <c r="CB18" s="532">
        <f t="shared" si="136"/>
        <v>0</v>
      </c>
      <c r="CC18" s="530"/>
      <c r="CD18" s="531">
        <f t="shared" si="25"/>
        <v>0</v>
      </c>
      <c r="CE18" s="532">
        <f t="shared" si="137"/>
        <v>0</v>
      </c>
      <c r="CF18" s="530">
        <v>2.4999999999999991</v>
      </c>
      <c r="CG18" s="531">
        <f t="shared" si="26"/>
        <v>6.9556507706861032E-2</v>
      </c>
      <c r="CH18" s="532">
        <f t="shared" si="138"/>
        <v>0</v>
      </c>
      <c r="CI18" s="530"/>
      <c r="CJ18" s="531">
        <f t="shared" si="27"/>
        <v>0</v>
      </c>
      <c r="CK18" s="532">
        <f t="shared" si="139"/>
        <v>0</v>
      </c>
      <c r="CL18" s="530"/>
      <c r="CM18" s="531">
        <f t="shared" si="28"/>
        <v>0</v>
      </c>
      <c r="CN18" s="532">
        <f t="shared" si="140"/>
        <v>0</v>
      </c>
      <c r="CO18" s="530"/>
      <c r="CP18" s="531">
        <f t="shared" si="29"/>
        <v>0</v>
      </c>
      <c r="CQ18" s="532">
        <f t="shared" si="141"/>
        <v>0</v>
      </c>
      <c r="CR18" s="530"/>
      <c r="CS18" s="531">
        <f t="shared" si="30"/>
        <v>0</v>
      </c>
      <c r="CT18" s="532">
        <f t="shared" si="142"/>
        <v>0</v>
      </c>
      <c r="CU18" s="530"/>
      <c r="CV18" s="531">
        <f t="shared" si="31"/>
        <v>0</v>
      </c>
      <c r="CW18" s="532">
        <f t="shared" si="143"/>
        <v>0</v>
      </c>
      <c r="CX18" s="530"/>
      <c r="CY18" s="531">
        <f t="shared" si="32"/>
        <v>0</v>
      </c>
      <c r="CZ18" s="532">
        <f t="shared" si="144"/>
        <v>0</v>
      </c>
      <c r="DA18" s="530">
        <v>87.208558139534716</v>
      </c>
      <c r="DB18" s="531">
        <f t="shared" si="33"/>
        <v>2.4263690985347148</v>
      </c>
      <c r="DC18" s="532">
        <f t="shared" si="145"/>
        <v>0</v>
      </c>
      <c r="DD18" s="530"/>
      <c r="DE18" s="531">
        <f t="shared" si="34"/>
        <v>0</v>
      </c>
      <c r="DF18" s="532">
        <f t="shared" si="146"/>
        <v>0</v>
      </c>
      <c r="DG18" s="530"/>
      <c r="DH18" s="531">
        <f t="shared" si="35"/>
        <v>0</v>
      </c>
      <c r="DI18" s="532">
        <f t="shared" si="203"/>
        <v>0</v>
      </c>
      <c r="DJ18" s="530"/>
      <c r="DK18" s="531">
        <f t="shared" si="36"/>
        <v>0</v>
      </c>
      <c r="DL18" s="532">
        <f t="shared" si="147"/>
        <v>0</v>
      </c>
      <c r="DM18" s="530"/>
      <c r="DN18" s="531">
        <f t="shared" si="37"/>
        <v>0</v>
      </c>
      <c r="DO18" s="532">
        <f t="shared" si="148"/>
        <v>0</v>
      </c>
      <c r="DP18" s="530"/>
      <c r="DQ18" s="531">
        <f t="shared" si="38"/>
        <v>0</v>
      </c>
      <c r="DR18" s="532">
        <f t="shared" si="149"/>
        <v>0</v>
      </c>
      <c r="DS18" s="530"/>
      <c r="DT18" s="531">
        <f t="shared" si="39"/>
        <v>0</v>
      </c>
      <c r="DU18" s="532">
        <f t="shared" si="150"/>
        <v>0</v>
      </c>
      <c r="DV18" s="530"/>
      <c r="DW18" s="531">
        <f t="shared" si="40"/>
        <v>0</v>
      </c>
      <c r="DX18" s="532">
        <f t="shared" si="151"/>
        <v>0</v>
      </c>
      <c r="DY18" s="530"/>
      <c r="DZ18" s="531">
        <f t="shared" si="41"/>
        <v>0</v>
      </c>
      <c r="EA18" s="532">
        <f t="shared" si="152"/>
        <v>0</v>
      </c>
      <c r="EB18" s="530"/>
      <c r="EC18" s="531">
        <f t="shared" si="42"/>
        <v>0</v>
      </c>
      <c r="ED18" s="532">
        <f t="shared" si="153"/>
        <v>0</v>
      </c>
      <c r="EE18" s="530"/>
      <c r="EF18" s="531">
        <f t="shared" si="43"/>
        <v>0</v>
      </c>
      <c r="EG18" s="532">
        <f t="shared" si="154"/>
        <v>0</v>
      </c>
      <c r="EH18" s="530">
        <v>4</v>
      </c>
      <c r="EI18" s="531">
        <f t="shared" si="44"/>
        <v>0.11129041233097768</v>
      </c>
      <c r="EJ18" s="532">
        <f t="shared" si="155"/>
        <v>0</v>
      </c>
      <c r="EK18" s="530">
        <v>46.968823529411793</v>
      </c>
      <c r="EL18" s="531">
        <f t="shared" si="45"/>
        <v>1.3067949343222913</v>
      </c>
      <c r="EM18" s="532">
        <f t="shared" si="156"/>
        <v>0</v>
      </c>
      <c r="EN18" s="530"/>
      <c r="EO18" s="531">
        <f t="shared" si="46"/>
        <v>0</v>
      </c>
      <c r="EP18" s="532">
        <f t="shared" si="157"/>
        <v>0</v>
      </c>
      <c r="EQ18" s="530"/>
      <c r="ER18" s="531">
        <f t="shared" si="47"/>
        <v>0</v>
      </c>
      <c r="ES18" s="532">
        <f t="shared" si="158"/>
        <v>0</v>
      </c>
      <c r="ET18" s="530"/>
      <c r="EU18" s="531">
        <f t="shared" si="48"/>
        <v>0</v>
      </c>
      <c r="EV18" s="532">
        <f t="shared" si="159"/>
        <v>0</v>
      </c>
      <c r="EW18" s="530"/>
      <c r="EX18" s="531">
        <f t="shared" si="49"/>
        <v>0</v>
      </c>
      <c r="EY18" s="532">
        <f t="shared" si="160"/>
        <v>0</v>
      </c>
      <c r="EZ18" s="530"/>
      <c r="FA18" s="531">
        <f t="shared" si="50"/>
        <v>0</v>
      </c>
      <c r="FB18" s="532">
        <f t="shared" si="161"/>
        <v>0</v>
      </c>
      <c r="FC18" s="530"/>
      <c r="FD18" s="531">
        <f t="shared" si="51"/>
        <v>0</v>
      </c>
      <c r="FE18" s="532">
        <f t="shared" si="162"/>
        <v>0</v>
      </c>
      <c r="FF18" s="530"/>
      <c r="FG18" s="531">
        <f t="shared" si="52"/>
        <v>0</v>
      </c>
      <c r="FH18" s="532">
        <f t="shared" si="163"/>
        <v>0</v>
      </c>
      <c r="FI18" s="530"/>
      <c r="FJ18" s="531">
        <f t="shared" si="53"/>
        <v>0</v>
      </c>
      <c r="FK18" s="532">
        <f t="shared" si="164"/>
        <v>0</v>
      </c>
      <c r="FL18" s="530"/>
      <c r="FM18" s="531">
        <f t="shared" si="54"/>
        <v>0</v>
      </c>
      <c r="FN18" s="532">
        <f t="shared" si="165"/>
        <v>0</v>
      </c>
      <c r="FO18" s="530"/>
      <c r="FP18" s="531">
        <f t="shared" si="55"/>
        <v>0</v>
      </c>
      <c r="FQ18" s="532">
        <f t="shared" si="166"/>
        <v>0</v>
      </c>
      <c r="FR18" s="530"/>
      <c r="FS18" s="531">
        <f t="shared" si="56"/>
        <v>0</v>
      </c>
      <c r="FT18" s="532">
        <f t="shared" si="167"/>
        <v>0</v>
      </c>
      <c r="FU18" s="530"/>
      <c r="FV18" s="531">
        <f t="shared" si="57"/>
        <v>0</v>
      </c>
      <c r="FW18" s="532">
        <f t="shared" si="168"/>
        <v>0</v>
      </c>
      <c r="FX18" s="530"/>
      <c r="FY18" s="531">
        <f t="shared" si="58"/>
        <v>0</v>
      </c>
      <c r="FZ18" s="532">
        <f t="shared" si="169"/>
        <v>0</v>
      </c>
      <c r="GA18" s="530"/>
      <c r="GB18" s="531">
        <f t="shared" si="59"/>
        <v>0</v>
      </c>
      <c r="GC18" s="532">
        <f t="shared" si="170"/>
        <v>0</v>
      </c>
      <c r="GD18" s="530"/>
      <c r="GE18" s="531">
        <f t="shared" si="60"/>
        <v>0</v>
      </c>
      <c r="GF18" s="532">
        <f t="shared" si="171"/>
        <v>0</v>
      </c>
      <c r="GG18" s="530"/>
      <c r="GH18" s="531">
        <f t="shared" si="61"/>
        <v>0</v>
      </c>
      <c r="GI18" s="532">
        <f t="shared" si="172"/>
        <v>0</v>
      </c>
      <c r="GJ18" s="530"/>
      <c r="GK18" s="531">
        <f t="shared" si="62"/>
        <v>0</v>
      </c>
      <c r="GL18" s="532">
        <f t="shared" si="173"/>
        <v>0</v>
      </c>
      <c r="GM18" s="530"/>
      <c r="GN18" s="531">
        <f t="shared" si="63"/>
        <v>0</v>
      </c>
      <c r="GO18" s="532">
        <f t="shared" si="174"/>
        <v>0</v>
      </c>
      <c r="GP18" s="530"/>
      <c r="GQ18" s="531">
        <f t="shared" si="64"/>
        <v>0</v>
      </c>
      <c r="GR18" s="532">
        <f t="shared" si="175"/>
        <v>0</v>
      </c>
      <c r="GS18" s="530"/>
      <c r="GT18" s="531">
        <f t="shared" si="65"/>
        <v>0</v>
      </c>
      <c r="GU18" s="532">
        <f t="shared" si="176"/>
        <v>0</v>
      </c>
      <c r="GV18" s="530"/>
      <c r="GW18" s="531">
        <f t="shared" si="66"/>
        <v>0</v>
      </c>
      <c r="GX18" s="532">
        <f t="shared" si="177"/>
        <v>0</v>
      </c>
      <c r="GY18" s="530"/>
      <c r="GZ18" s="531">
        <f t="shared" si="67"/>
        <v>0</v>
      </c>
      <c r="HA18" s="532">
        <f t="shared" si="178"/>
        <v>0</v>
      </c>
      <c r="HB18" s="530"/>
      <c r="HC18" s="531">
        <f t="shared" si="68"/>
        <v>0</v>
      </c>
      <c r="HD18" s="532">
        <f t="shared" si="179"/>
        <v>0</v>
      </c>
      <c r="HE18" s="530"/>
      <c r="HF18" s="531">
        <f t="shared" si="69"/>
        <v>0</v>
      </c>
      <c r="HG18" s="532">
        <f t="shared" si="180"/>
        <v>0</v>
      </c>
      <c r="HH18" s="530"/>
      <c r="HI18" s="531">
        <f t="shared" si="70"/>
        <v>0</v>
      </c>
      <c r="HJ18" s="532">
        <f t="shared" si="181"/>
        <v>0</v>
      </c>
      <c r="HK18" s="530"/>
      <c r="HL18" s="531">
        <f t="shared" si="71"/>
        <v>0</v>
      </c>
      <c r="HM18" s="532">
        <f t="shared" si="182"/>
        <v>0</v>
      </c>
      <c r="HN18" s="530"/>
      <c r="HO18" s="531">
        <f t="shared" si="72"/>
        <v>0</v>
      </c>
      <c r="HP18" s="532">
        <f t="shared" si="183"/>
        <v>0</v>
      </c>
      <c r="HQ18" s="530"/>
      <c r="HR18" s="531">
        <f t="shared" si="73"/>
        <v>0</v>
      </c>
      <c r="HS18" s="532">
        <f t="shared" si="184"/>
        <v>0</v>
      </c>
      <c r="HT18" s="530"/>
      <c r="HU18" s="531">
        <f t="shared" si="74"/>
        <v>0</v>
      </c>
      <c r="HV18" s="532">
        <f t="shared" si="185"/>
        <v>0</v>
      </c>
      <c r="HW18" s="530"/>
      <c r="HX18" s="531">
        <f t="shared" si="75"/>
        <v>0</v>
      </c>
      <c r="HY18" s="532">
        <f t="shared" si="186"/>
        <v>0</v>
      </c>
      <c r="HZ18" s="530"/>
      <c r="IA18" s="531">
        <f t="shared" si="76"/>
        <v>0</v>
      </c>
      <c r="IB18" s="532">
        <f t="shared" si="187"/>
        <v>0</v>
      </c>
      <c r="IC18" s="530"/>
      <c r="ID18" s="531">
        <f t="shared" si="77"/>
        <v>0</v>
      </c>
      <c r="IE18" s="532">
        <f t="shared" si="188"/>
        <v>0</v>
      </c>
      <c r="IF18" s="530"/>
      <c r="IG18" s="531">
        <f t="shared" si="78"/>
        <v>0</v>
      </c>
      <c r="IH18" s="532">
        <f t="shared" si="189"/>
        <v>0</v>
      </c>
      <c r="II18" s="530"/>
      <c r="IJ18" s="531">
        <f t="shared" si="79"/>
        <v>0</v>
      </c>
      <c r="IK18" s="532">
        <f t="shared" si="190"/>
        <v>0</v>
      </c>
      <c r="IL18" s="530"/>
      <c r="IM18" s="531">
        <f t="shared" si="80"/>
        <v>0</v>
      </c>
      <c r="IN18" s="532">
        <f t="shared" si="191"/>
        <v>0</v>
      </c>
      <c r="IO18" s="530"/>
      <c r="IP18" s="531">
        <f t="shared" si="81"/>
        <v>0</v>
      </c>
      <c r="IQ18" s="532">
        <f t="shared" si="192"/>
        <v>0</v>
      </c>
      <c r="IR18" s="530"/>
      <c r="IS18" s="531">
        <f t="shared" si="82"/>
        <v>0</v>
      </c>
      <c r="IT18" s="532">
        <f t="shared" si="193"/>
        <v>0</v>
      </c>
      <c r="IU18" s="530"/>
      <c r="IV18" s="531">
        <f t="shared" si="83"/>
        <v>0</v>
      </c>
      <c r="IW18" s="532">
        <f t="shared" si="194"/>
        <v>0</v>
      </c>
      <c r="IX18" s="530"/>
      <c r="IY18" s="531">
        <f t="shared" si="84"/>
        <v>0</v>
      </c>
      <c r="IZ18" s="532">
        <f t="shared" si="195"/>
        <v>0</v>
      </c>
      <c r="JA18" s="530"/>
      <c r="JB18" s="531">
        <f t="shared" si="85"/>
        <v>0</v>
      </c>
      <c r="JC18" s="532">
        <f t="shared" si="196"/>
        <v>0</v>
      </c>
      <c r="JD18" s="530"/>
      <c r="JE18" s="531">
        <f t="shared" si="86"/>
        <v>0</v>
      </c>
      <c r="JF18" s="532">
        <f t="shared" si="197"/>
        <v>0</v>
      </c>
      <c r="JG18" s="530"/>
      <c r="JH18" s="531">
        <f t="shared" si="87"/>
        <v>0</v>
      </c>
      <c r="JI18" s="532">
        <f t="shared" si="198"/>
        <v>0</v>
      </c>
      <c r="JJ18" s="530"/>
      <c r="JK18" s="532" t="str">
        <f t="shared" si="88"/>
        <v>0</v>
      </c>
      <c r="JL18" s="532" t="str">
        <f t="shared" si="89"/>
        <v>0</v>
      </c>
      <c r="JM18" s="530"/>
      <c r="JN18" s="532" t="str">
        <f t="shared" si="90"/>
        <v>0</v>
      </c>
      <c r="JO18" s="532" t="str">
        <f t="shared" si="91"/>
        <v>0</v>
      </c>
      <c r="JP18" s="530"/>
      <c r="JQ18" s="532" t="str">
        <f t="shared" si="92"/>
        <v>0</v>
      </c>
      <c r="JR18" s="532" t="str">
        <f t="shared" si="93"/>
        <v>0</v>
      </c>
      <c r="JS18" s="530"/>
      <c r="JT18" s="532" t="str">
        <f t="shared" si="94"/>
        <v>0</v>
      </c>
      <c r="JU18" s="532" t="str">
        <f t="shared" si="95"/>
        <v>0</v>
      </c>
      <c r="JV18" s="530"/>
      <c r="JW18" s="532" t="str">
        <f t="shared" si="96"/>
        <v>0</v>
      </c>
      <c r="JX18" s="532" t="str">
        <f t="shared" si="97"/>
        <v>0</v>
      </c>
      <c r="JY18" s="530"/>
      <c r="JZ18" s="532" t="str">
        <f t="shared" si="98"/>
        <v>0</v>
      </c>
      <c r="KA18" s="532" t="str">
        <f t="shared" si="99"/>
        <v>0</v>
      </c>
      <c r="KB18" s="530"/>
      <c r="KC18" s="532" t="str">
        <f t="shared" si="100"/>
        <v>0</v>
      </c>
      <c r="KD18" s="532" t="str">
        <f t="shared" si="101"/>
        <v>0</v>
      </c>
      <c r="KE18" s="530"/>
      <c r="KF18" s="532" t="str">
        <f t="shared" si="102"/>
        <v>0</v>
      </c>
      <c r="KG18" s="532" t="str">
        <f t="shared" si="103"/>
        <v>0</v>
      </c>
      <c r="KH18" s="530"/>
      <c r="KI18" s="532" t="str">
        <f t="shared" si="104"/>
        <v>0</v>
      </c>
      <c r="KJ18" s="532" t="str">
        <f t="shared" si="105"/>
        <v>0</v>
      </c>
      <c r="KK18" s="530"/>
      <c r="KL18" s="532" t="str">
        <f t="shared" si="106"/>
        <v>0</v>
      </c>
      <c r="KM18" s="532" t="str">
        <f t="shared" si="107"/>
        <v>0</v>
      </c>
      <c r="KN18" s="530"/>
      <c r="KO18" s="532" t="str">
        <f t="shared" si="108"/>
        <v>0</v>
      </c>
      <c r="KP18" s="532" t="str">
        <f t="shared" si="109"/>
        <v>0</v>
      </c>
      <c r="KQ18" s="530"/>
      <c r="KR18" s="532" t="str">
        <f t="shared" si="110"/>
        <v>0</v>
      </c>
      <c r="KS18" s="532" t="str">
        <f t="shared" si="111"/>
        <v>0</v>
      </c>
      <c r="KT18" s="532">
        <f t="shared" si="201"/>
        <v>0</v>
      </c>
      <c r="KU18" s="532">
        <f t="shared" si="202"/>
        <v>0</v>
      </c>
      <c r="KV18" s="268">
        <f t="shared" si="199"/>
        <v>268.48241204869333</v>
      </c>
      <c r="KW18" s="268">
        <f>+KV18-'[4]10'!$F$66</f>
        <v>0</v>
      </c>
    </row>
    <row r="19" spans="1:309">
      <c r="A19" s="269">
        <f t="shared" si="200"/>
        <v>45941</v>
      </c>
      <c r="B19" s="270" t="str">
        <f>+Report1!B19</f>
        <v>Toilet</v>
      </c>
      <c r="C19" s="270" t="str">
        <f>+Report1!C19</f>
        <v>12,5/12</v>
      </c>
      <c r="D19" s="271">
        <f>+Report1!P19</f>
        <v>39.607999999999997</v>
      </c>
      <c r="E19" s="570">
        <f>+Report1!R19</f>
        <v>40.204999999999998</v>
      </c>
      <c r="F19" s="530"/>
      <c r="G19" s="531">
        <f t="shared" si="0"/>
        <v>0</v>
      </c>
      <c r="H19" s="532">
        <f t="shared" si="112"/>
        <v>0</v>
      </c>
      <c r="I19" s="530"/>
      <c r="J19" s="531">
        <f t="shared" si="1"/>
        <v>0</v>
      </c>
      <c r="K19" s="532">
        <f t="shared" si="113"/>
        <v>0</v>
      </c>
      <c r="L19" s="530"/>
      <c r="M19" s="531">
        <f t="shared" si="2"/>
        <v>0</v>
      </c>
      <c r="N19" s="532">
        <f t="shared" si="114"/>
        <v>0</v>
      </c>
      <c r="O19" s="530">
        <v>2.8888000000000318</v>
      </c>
      <c r="P19" s="531">
        <f t="shared" si="3"/>
        <v>7.1851759731377488E-2</v>
      </c>
      <c r="Q19" s="532">
        <f t="shared" si="115"/>
        <v>0</v>
      </c>
      <c r="R19" s="530"/>
      <c r="S19" s="531">
        <f t="shared" si="4"/>
        <v>0</v>
      </c>
      <c r="T19" s="532">
        <f t="shared" si="116"/>
        <v>0</v>
      </c>
      <c r="U19" s="530">
        <v>3.7027000000000214</v>
      </c>
      <c r="V19" s="531">
        <f t="shared" si="5"/>
        <v>9.2095510508643744E-2</v>
      </c>
      <c r="W19" s="532">
        <f t="shared" si="117"/>
        <v>0</v>
      </c>
      <c r="X19" s="530"/>
      <c r="Y19" s="531">
        <f t="shared" si="6"/>
        <v>0</v>
      </c>
      <c r="Z19" s="532">
        <f t="shared" si="118"/>
        <v>0</v>
      </c>
      <c r="AA19" s="530"/>
      <c r="AB19" s="531">
        <f t="shared" si="7"/>
        <v>0</v>
      </c>
      <c r="AC19" s="532">
        <f t="shared" si="119"/>
        <v>0</v>
      </c>
      <c r="AD19" s="530"/>
      <c r="AE19" s="531">
        <f t="shared" si="8"/>
        <v>0</v>
      </c>
      <c r="AF19" s="532">
        <f t="shared" si="120"/>
        <v>0</v>
      </c>
      <c r="AG19" s="530"/>
      <c r="AH19" s="531">
        <f t="shared" si="9"/>
        <v>0</v>
      </c>
      <c r="AI19" s="532">
        <f t="shared" si="121"/>
        <v>0</v>
      </c>
      <c r="AJ19" s="530"/>
      <c r="AK19" s="531">
        <f t="shared" si="10"/>
        <v>0</v>
      </c>
      <c r="AL19" s="532">
        <f t="shared" si="122"/>
        <v>0</v>
      </c>
      <c r="AM19" s="530"/>
      <c r="AN19" s="531">
        <f t="shared" si="11"/>
        <v>0</v>
      </c>
      <c r="AO19" s="532">
        <f t="shared" si="123"/>
        <v>0</v>
      </c>
      <c r="AP19" s="530">
        <v>43.942869620253077</v>
      </c>
      <c r="AQ19" s="531">
        <f t="shared" si="12"/>
        <v>1.0929702678834243</v>
      </c>
      <c r="AR19" s="532">
        <f t="shared" si="124"/>
        <v>0</v>
      </c>
      <c r="AS19" s="530"/>
      <c r="AT19" s="531">
        <f t="shared" si="13"/>
        <v>0</v>
      </c>
      <c r="AU19" s="532">
        <f t="shared" si="125"/>
        <v>0</v>
      </c>
      <c r="AV19" s="530"/>
      <c r="AW19" s="531">
        <f t="shared" si="14"/>
        <v>0</v>
      </c>
      <c r="AX19" s="532">
        <f t="shared" si="126"/>
        <v>0</v>
      </c>
      <c r="AY19" s="530">
        <v>60.742000000000019</v>
      </c>
      <c r="AZ19" s="531">
        <f t="shared" si="15"/>
        <v>1.5108071135430923</v>
      </c>
      <c r="BA19" s="532">
        <f t="shared" si="127"/>
        <v>0</v>
      </c>
      <c r="BB19" s="530"/>
      <c r="BC19" s="531">
        <f t="shared" si="16"/>
        <v>0</v>
      </c>
      <c r="BD19" s="532">
        <f t="shared" si="128"/>
        <v>0</v>
      </c>
      <c r="BE19" s="530"/>
      <c r="BF19" s="531">
        <f t="shared" si="17"/>
        <v>0</v>
      </c>
      <c r="BG19" s="532">
        <f t="shared" si="129"/>
        <v>0</v>
      </c>
      <c r="BH19" s="530"/>
      <c r="BI19" s="531">
        <f t="shared" si="18"/>
        <v>0</v>
      </c>
      <c r="BJ19" s="532">
        <f t="shared" si="130"/>
        <v>0</v>
      </c>
      <c r="BK19" s="530"/>
      <c r="BL19" s="531">
        <f t="shared" si="19"/>
        <v>0</v>
      </c>
      <c r="BM19" s="532">
        <f t="shared" si="131"/>
        <v>0</v>
      </c>
      <c r="BN19" s="530"/>
      <c r="BO19" s="531">
        <f t="shared" si="20"/>
        <v>0</v>
      </c>
      <c r="BP19" s="532">
        <f t="shared" si="132"/>
        <v>0</v>
      </c>
      <c r="BQ19" s="530"/>
      <c r="BR19" s="531">
        <f t="shared" si="21"/>
        <v>0</v>
      </c>
      <c r="BS19" s="532">
        <f t="shared" si="133"/>
        <v>0</v>
      </c>
      <c r="BT19" s="530"/>
      <c r="BU19" s="531">
        <f t="shared" si="22"/>
        <v>0</v>
      </c>
      <c r="BV19" s="532">
        <f t="shared" si="134"/>
        <v>0</v>
      </c>
      <c r="BW19" s="530"/>
      <c r="BX19" s="531">
        <f t="shared" si="23"/>
        <v>0</v>
      </c>
      <c r="BY19" s="532">
        <f t="shared" si="135"/>
        <v>0</v>
      </c>
      <c r="BZ19" s="530"/>
      <c r="CA19" s="531">
        <f t="shared" si="24"/>
        <v>0</v>
      </c>
      <c r="CB19" s="532">
        <f t="shared" si="136"/>
        <v>0</v>
      </c>
      <c r="CC19" s="530"/>
      <c r="CD19" s="531">
        <f t="shared" si="25"/>
        <v>0</v>
      </c>
      <c r="CE19" s="532">
        <f t="shared" si="137"/>
        <v>0</v>
      </c>
      <c r="CF19" s="530">
        <v>1.25</v>
      </c>
      <c r="CG19" s="531">
        <f t="shared" si="26"/>
        <v>3.1090660365626167E-2</v>
      </c>
      <c r="CH19" s="532">
        <f t="shared" si="138"/>
        <v>0</v>
      </c>
      <c r="CI19" s="530"/>
      <c r="CJ19" s="531">
        <f t="shared" si="27"/>
        <v>0</v>
      </c>
      <c r="CK19" s="532">
        <f t="shared" si="139"/>
        <v>0</v>
      </c>
      <c r="CL19" s="530"/>
      <c r="CM19" s="531">
        <f t="shared" si="28"/>
        <v>0</v>
      </c>
      <c r="CN19" s="532">
        <f t="shared" si="140"/>
        <v>0</v>
      </c>
      <c r="CO19" s="530"/>
      <c r="CP19" s="531">
        <f t="shared" si="29"/>
        <v>0</v>
      </c>
      <c r="CQ19" s="532">
        <f t="shared" si="141"/>
        <v>0</v>
      </c>
      <c r="CR19" s="530"/>
      <c r="CS19" s="531">
        <f t="shared" si="30"/>
        <v>0</v>
      </c>
      <c r="CT19" s="532">
        <f t="shared" si="142"/>
        <v>0</v>
      </c>
      <c r="CU19" s="530"/>
      <c r="CV19" s="531">
        <f t="shared" si="31"/>
        <v>0</v>
      </c>
      <c r="CW19" s="532">
        <f t="shared" si="143"/>
        <v>0</v>
      </c>
      <c r="CX19" s="530"/>
      <c r="CY19" s="531">
        <f t="shared" si="32"/>
        <v>0</v>
      </c>
      <c r="CZ19" s="532">
        <f t="shared" si="144"/>
        <v>0</v>
      </c>
      <c r="DA19" s="530"/>
      <c r="DB19" s="531">
        <f t="shared" si="33"/>
        <v>0</v>
      </c>
      <c r="DC19" s="532">
        <f t="shared" si="145"/>
        <v>0</v>
      </c>
      <c r="DD19" s="530"/>
      <c r="DE19" s="531">
        <f t="shared" si="34"/>
        <v>0</v>
      </c>
      <c r="DF19" s="532">
        <f t="shared" si="146"/>
        <v>0</v>
      </c>
      <c r="DG19" s="530"/>
      <c r="DH19" s="531">
        <f t="shared" si="35"/>
        <v>0</v>
      </c>
      <c r="DI19" s="532">
        <f t="shared" si="203"/>
        <v>0</v>
      </c>
      <c r="DJ19" s="530"/>
      <c r="DK19" s="531">
        <f t="shared" si="36"/>
        <v>0</v>
      </c>
      <c r="DL19" s="532">
        <f t="shared" si="147"/>
        <v>0</v>
      </c>
      <c r="DM19" s="530"/>
      <c r="DN19" s="531">
        <f t="shared" si="37"/>
        <v>0</v>
      </c>
      <c r="DO19" s="532">
        <f t="shared" si="148"/>
        <v>0</v>
      </c>
      <c r="DP19" s="530"/>
      <c r="DQ19" s="531">
        <f t="shared" si="38"/>
        <v>0</v>
      </c>
      <c r="DR19" s="532">
        <f t="shared" si="149"/>
        <v>0</v>
      </c>
      <c r="DS19" s="530"/>
      <c r="DT19" s="531">
        <f t="shared" si="39"/>
        <v>0</v>
      </c>
      <c r="DU19" s="532">
        <f t="shared" si="150"/>
        <v>0</v>
      </c>
      <c r="DV19" s="530"/>
      <c r="DW19" s="531">
        <f t="shared" si="40"/>
        <v>0</v>
      </c>
      <c r="DX19" s="532">
        <f t="shared" si="151"/>
        <v>0</v>
      </c>
      <c r="DY19" s="530"/>
      <c r="DZ19" s="531">
        <f t="shared" si="41"/>
        <v>0</v>
      </c>
      <c r="EA19" s="532">
        <f t="shared" si="152"/>
        <v>0</v>
      </c>
      <c r="EB19" s="530"/>
      <c r="EC19" s="531">
        <f t="shared" si="42"/>
        <v>0</v>
      </c>
      <c r="ED19" s="532">
        <f t="shared" si="153"/>
        <v>0</v>
      </c>
      <c r="EE19" s="530"/>
      <c r="EF19" s="531">
        <f t="shared" si="43"/>
        <v>0</v>
      </c>
      <c r="EG19" s="532">
        <f t="shared" si="154"/>
        <v>0</v>
      </c>
      <c r="EH19" s="530"/>
      <c r="EI19" s="531">
        <f t="shared" si="44"/>
        <v>0</v>
      </c>
      <c r="EJ19" s="532">
        <f t="shared" si="155"/>
        <v>0</v>
      </c>
      <c r="EK19" s="530">
        <v>45.281176470588207</v>
      </c>
      <c r="EL19" s="531">
        <f t="shared" si="45"/>
        <v>1.1262573428824327</v>
      </c>
      <c r="EM19" s="532">
        <f t="shared" si="156"/>
        <v>0</v>
      </c>
      <c r="EN19" s="530"/>
      <c r="EO19" s="531">
        <f t="shared" si="46"/>
        <v>0</v>
      </c>
      <c r="EP19" s="532">
        <f t="shared" si="157"/>
        <v>0</v>
      </c>
      <c r="EQ19" s="530"/>
      <c r="ER19" s="531">
        <f t="shared" si="47"/>
        <v>0</v>
      </c>
      <c r="ES19" s="532">
        <f t="shared" si="158"/>
        <v>0</v>
      </c>
      <c r="ET19" s="530"/>
      <c r="EU19" s="531">
        <f t="shared" si="48"/>
        <v>0</v>
      </c>
      <c r="EV19" s="532">
        <f t="shared" si="159"/>
        <v>0</v>
      </c>
      <c r="EW19" s="530"/>
      <c r="EX19" s="531">
        <f t="shared" si="49"/>
        <v>0</v>
      </c>
      <c r="EY19" s="532">
        <f t="shared" si="160"/>
        <v>0</v>
      </c>
      <c r="EZ19" s="530"/>
      <c r="FA19" s="531">
        <f t="shared" si="50"/>
        <v>0</v>
      </c>
      <c r="FB19" s="532">
        <f t="shared" si="161"/>
        <v>0</v>
      </c>
      <c r="FC19" s="530"/>
      <c r="FD19" s="531">
        <f t="shared" si="51"/>
        <v>0</v>
      </c>
      <c r="FE19" s="532">
        <f t="shared" si="162"/>
        <v>0</v>
      </c>
      <c r="FF19" s="530"/>
      <c r="FG19" s="531">
        <f t="shared" si="52"/>
        <v>0</v>
      </c>
      <c r="FH19" s="532">
        <f t="shared" si="163"/>
        <v>0</v>
      </c>
      <c r="FI19" s="530"/>
      <c r="FJ19" s="531">
        <f t="shared" si="53"/>
        <v>0</v>
      </c>
      <c r="FK19" s="532">
        <f t="shared" si="164"/>
        <v>0</v>
      </c>
      <c r="FL19" s="530"/>
      <c r="FM19" s="531">
        <f t="shared" si="54"/>
        <v>0</v>
      </c>
      <c r="FN19" s="532">
        <f t="shared" si="165"/>
        <v>0</v>
      </c>
      <c r="FO19" s="530"/>
      <c r="FP19" s="531">
        <f t="shared" si="55"/>
        <v>0</v>
      </c>
      <c r="FQ19" s="532">
        <f t="shared" si="166"/>
        <v>0</v>
      </c>
      <c r="FR19" s="530"/>
      <c r="FS19" s="531">
        <f t="shared" si="56"/>
        <v>0</v>
      </c>
      <c r="FT19" s="532">
        <f t="shared" si="167"/>
        <v>0</v>
      </c>
      <c r="FU19" s="530"/>
      <c r="FV19" s="531">
        <f t="shared" si="57"/>
        <v>0</v>
      </c>
      <c r="FW19" s="532">
        <f t="shared" si="168"/>
        <v>0</v>
      </c>
      <c r="FX19" s="530"/>
      <c r="FY19" s="531">
        <f t="shared" si="58"/>
        <v>0</v>
      </c>
      <c r="FZ19" s="532">
        <f t="shared" si="169"/>
        <v>0</v>
      </c>
      <c r="GA19" s="530"/>
      <c r="GB19" s="531">
        <f t="shared" si="59"/>
        <v>0</v>
      </c>
      <c r="GC19" s="532">
        <f t="shared" si="170"/>
        <v>0</v>
      </c>
      <c r="GD19" s="530"/>
      <c r="GE19" s="531">
        <f t="shared" si="60"/>
        <v>0</v>
      </c>
      <c r="GF19" s="532">
        <f t="shared" si="171"/>
        <v>0</v>
      </c>
      <c r="GG19" s="530"/>
      <c r="GH19" s="531">
        <f t="shared" si="61"/>
        <v>0</v>
      </c>
      <c r="GI19" s="532">
        <f t="shared" si="172"/>
        <v>0</v>
      </c>
      <c r="GJ19" s="530"/>
      <c r="GK19" s="531">
        <f t="shared" si="62"/>
        <v>0</v>
      </c>
      <c r="GL19" s="532">
        <f t="shared" si="173"/>
        <v>0</v>
      </c>
      <c r="GM19" s="530"/>
      <c r="GN19" s="531">
        <f t="shared" si="63"/>
        <v>0</v>
      </c>
      <c r="GO19" s="532">
        <f t="shared" si="174"/>
        <v>0</v>
      </c>
      <c r="GP19" s="530"/>
      <c r="GQ19" s="531">
        <f t="shared" si="64"/>
        <v>0</v>
      </c>
      <c r="GR19" s="532">
        <f t="shared" si="175"/>
        <v>0</v>
      </c>
      <c r="GS19" s="530"/>
      <c r="GT19" s="531">
        <f t="shared" si="65"/>
        <v>0</v>
      </c>
      <c r="GU19" s="532">
        <f t="shared" si="176"/>
        <v>0</v>
      </c>
      <c r="GV19" s="530"/>
      <c r="GW19" s="531">
        <f t="shared" si="66"/>
        <v>0</v>
      </c>
      <c r="GX19" s="532">
        <f t="shared" si="177"/>
        <v>0</v>
      </c>
      <c r="GY19" s="530"/>
      <c r="GZ19" s="531">
        <f t="shared" si="67"/>
        <v>0</v>
      </c>
      <c r="HA19" s="532">
        <f t="shared" si="178"/>
        <v>0</v>
      </c>
      <c r="HB19" s="530"/>
      <c r="HC19" s="531">
        <f t="shared" si="68"/>
        <v>0</v>
      </c>
      <c r="HD19" s="532">
        <f t="shared" si="179"/>
        <v>0</v>
      </c>
      <c r="HE19" s="530"/>
      <c r="HF19" s="531">
        <f t="shared" si="69"/>
        <v>0</v>
      </c>
      <c r="HG19" s="532">
        <f t="shared" si="180"/>
        <v>0</v>
      </c>
      <c r="HH19" s="530"/>
      <c r="HI19" s="531">
        <f t="shared" si="70"/>
        <v>0</v>
      </c>
      <c r="HJ19" s="532">
        <f t="shared" si="181"/>
        <v>0</v>
      </c>
      <c r="HK19" s="530"/>
      <c r="HL19" s="531">
        <f t="shared" si="71"/>
        <v>0</v>
      </c>
      <c r="HM19" s="532">
        <f t="shared" si="182"/>
        <v>0</v>
      </c>
      <c r="HN19" s="530"/>
      <c r="HO19" s="531">
        <f t="shared" si="72"/>
        <v>0</v>
      </c>
      <c r="HP19" s="532">
        <f t="shared" si="183"/>
        <v>0</v>
      </c>
      <c r="HQ19" s="530"/>
      <c r="HR19" s="531">
        <f t="shared" si="73"/>
        <v>0</v>
      </c>
      <c r="HS19" s="532">
        <f t="shared" si="184"/>
        <v>0</v>
      </c>
      <c r="HT19" s="530"/>
      <c r="HU19" s="531">
        <f t="shared" si="74"/>
        <v>0</v>
      </c>
      <c r="HV19" s="532">
        <f t="shared" si="185"/>
        <v>0</v>
      </c>
      <c r="HW19" s="530"/>
      <c r="HX19" s="531">
        <f t="shared" si="75"/>
        <v>0</v>
      </c>
      <c r="HY19" s="532">
        <f t="shared" si="186"/>
        <v>0</v>
      </c>
      <c r="HZ19" s="530"/>
      <c r="IA19" s="531">
        <f t="shared" si="76"/>
        <v>0</v>
      </c>
      <c r="IB19" s="532">
        <f t="shared" si="187"/>
        <v>0</v>
      </c>
      <c r="IC19" s="530"/>
      <c r="ID19" s="531">
        <f t="shared" si="77"/>
        <v>0</v>
      </c>
      <c r="IE19" s="532">
        <f t="shared" si="188"/>
        <v>0</v>
      </c>
      <c r="IF19" s="530"/>
      <c r="IG19" s="531">
        <f t="shared" si="78"/>
        <v>0</v>
      </c>
      <c r="IH19" s="532">
        <f t="shared" si="189"/>
        <v>0</v>
      </c>
      <c r="II19" s="530"/>
      <c r="IJ19" s="531">
        <f t="shared" si="79"/>
        <v>0</v>
      </c>
      <c r="IK19" s="532">
        <f t="shared" si="190"/>
        <v>0</v>
      </c>
      <c r="IL19" s="530"/>
      <c r="IM19" s="531">
        <f t="shared" si="80"/>
        <v>0</v>
      </c>
      <c r="IN19" s="532">
        <f t="shared" si="191"/>
        <v>0</v>
      </c>
      <c r="IO19" s="530"/>
      <c r="IP19" s="531">
        <f t="shared" si="81"/>
        <v>0</v>
      </c>
      <c r="IQ19" s="532">
        <f t="shared" si="192"/>
        <v>0</v>
      </c>
      <c r="IR19" s="530"/>
      <c r="IS19" s="531">
        <f t="shared" si="82"/>
        <v>0</v>
      </c>
      <c r="IT19" s="532">
        <f t="shared" si="193"/>
        <v>0</v>
      </c>
      <c r="IU19" s="530"/>
      <c r="IV19" s="531">
        <f t="shared" si="83"/>
        <v>0</v>
      </c>
      <c r="IW19" s="532">
        <f t="shared" si="194"/>
        <v>0</v>
      </c>
      <c r="IX19" s="530"/>
      <c r="IY19" s="531">
        <f t="shared" si="84"/>
        <v>0</v>
      </c>
      <c r="IZ19" s="532">
        <f t="shared" si="195"/>
        <v>0</v>
      </c>
      <c r="JA19" s="530"/>
      <c r="JB19" s="531">
        <f t="shared" si="85"/>
        <v>0</v>
      </c>
      <c r="JC19" s="532">
        <f t="shared" si="196"/>
        <v>0</v>
      </c>
      <c r="JD19" s="530"/>
      <c r="JE19" s="531">
        <f t="shared" si="86"/>
        <v>0</v>
      </c>
      <c r="JF19" s="532">
        <f t="shared" si="197"/>
        <v>0</v>
      </c>
      <c r="JG19" s="530"/>
      <c r="JH19" s="531">
        <f t="shared" si="87"/>
        <v>0</v>
      </c>
      <c r="JI19" s="532">
        <f t="shared" si="198"/>
        <v>0</v>
      </c>
      <c r="JJ19" s="530"/>
      <c r="JK19" s="532" t="str">
        <f t="shared" si="88"/>
        <v>0</v>
      </c>
      <c r="JL19" s="532" t="str">
        <f t="shared" si="89"/>
        <v>0</v>
      </c>
      <c r="JM19" s="530"/>
      <c r="JN19" s="532" t="str">
        <f t="shared" si="90"/>
        <v>0</v>
      </c>
      <c r="JO19" s="532" t="str">
        <f t="shared" si="91"/>
        <v>0</v>
      </c>
      <c r="JP19" s="530"/>
      <c r="JQ19" s="532" t="str">
        <f t="shared" si="92"/>
        <v>0</v>
      </c>
      <c r="JR19" s="532" t="str">
        <f t="shared" si="93"/>
        <v>0</v>
      </c>
      <c r="JS19" s="530"/>
      <c r="JT19" s="532" t="str">
        <f t="shared" si="94"/>
        <v>0</v>
      </c>
      <c r="JU19" s="532" t="str">
        <f t="shared" si="95"/>
        <v>0</v>
      </c>
      <c r="JV19" s="530"/>
      <c r="JW19" s="532" t="str">
        <f t="shared" si="96"/>
        <v>0</v>
      </c>
      <c r="JX19" s="532" t="str">
        <f t="shared" si="97"/>
        <v>0</v>
      </c>
      <c r="JY19" s="530"/>
      <c r="JZ19" s="532" t="str">
        <f t="shared" si="98"/>
        <v>0</v>
      </c>
      <c r="KA19" s="532" t="str">
        <f t="shared" si="99"/>
        <v>0</v>
      </c>
      <c r="KB19" s="530"/>
      <c r="KC19" s="532" t="str">
        <f t="shared" si="100"/>
        <v>0</v>
      </c>
      <c r="KD19" s="532" t="str">
        <f t="shared" si="101"/>
        <v>0</v>
      </c>
      <c r="KE19" s="530"/>
      <c r="KF19" s="532" t="str">
        <f t="shared" si="102"/>
        <v>0</v>
      </c>
      <c r="KG19" s="532" t="str">
        <f t="shared" si="103"/>
        <v>0</v>
      </c>
      <c r="KH19" s="530"/>
      <c r="KI19" s="532" t="str">
        <f t="shared" si="104"/>
        <v>0</v>
      </c>
      <c r="KJ19" s="532" t="str">
        <f t="shared" si="105"/>
        <v>0</v>
      </c>
      <c r="KK19" s="530"/>
      <c r="KL19" s="532" t="str">
        <f t="shared" si="106"/>
        <v>0</v>
      </c>
      <c r="KM19" s="532" t="str">
        <f t="shared" si="107"/>
        <v>0</v>
      </c>
      <c r="KN19" s="530"/>
      <c r="KO19" s="532" t="str">
        <f t="shared" si="108"/>
        <v>0</v>
      </c>
      <c r="KP19" s="532" t="str">
        <f t="shared" si="109"/>
        <v>0</v>
      </c>
      <c r="KQ19" s="530"/>
      <c r="KR19" s="532" t="str">
        <f t="shared" si="110"/>
        <v>0</v>
      </c>
      <c r="KS19" s="532" t="str">
        <f t="shared" si="111"/>
        <v>0</v>
      </c>
      <c r="KT19" s="532">
        <f t="shared" si="201"/>
        <v>0</v>
      </c>
      <c r="KU19" s="532">
        <f t="shared" si="202"/>
        <v>0</v>
      </c>
      <c r="KV19" s="268">
        <f t="shared" si="199"/>
        <v>157.80754609084136</v>
      </c>
    </row>
    <row r="20" spans="1:309">
      <c r="A20" s="269">
        <f t="shared" si="200"/>
        <v>45942</v>
      </c>
      <c r="B20" s="270" t="str">
        <f>+Report1!B20</f>
        <v>Toilet</v>
      </c>
      <c r="C20" s="270" t="str">
        <f>+Report1!C20</f>
        <v>12/12,5</v>
      </c>
      <c r="D20" s="271">
        <f>+Report1!P20</f>
        <v>42.546999999999997</v>
      </c>
      <c r="E20" s="570">
        <f>+Report1!R20</f>
        <v>40.722000000000001</v>
      </c>
      <c r="F20" s="530"/>
      <c r="G20" s="531">
        <f t="shared" si="0"/>
        <v>0</v>
      </c>
      <c r="H20" s="532">
        <f t="shared" si="112"/>
        <v>0</v>
      </c>
      <c r="I20" s="530"/>
      <c r="J20" s="531">
        <f t="shared" si="1"/>
        <v>0</v>
      </c>
      <c r="K20" s="532">
        <f t="shared" si="113"/>
        <v>0</v>
      </c>
      <c r="L20" s="530"/>
      <c r="M20" s="531">
        <f t="shared" si="2"/>
        <v>0</v>
      </c>
      <c r="N20" s="532">
        <f t="shared" si="114"/>
        <v>0</v>
      </c>
      <c r="O20" s="530">
        <v>3.1088000000000022</v>
      </c>
      <c r="P20" s="531">
        <f t="shared" si="3"/>
        <v>7.6342026423063758E-2</v>
      </c>
      <c r="Q20" s="532">
        <f t="shared" si="115"/>
        <v>0</v>
      </c>
      <c r="R20" s="530"/>
      <c r="S20" s="531">
        <f t="shared" si="4"/>
        <v>0</v>
      </c>
      <c r="T20" s="532">
        <f t="shared" si="116"/>
        <v>0</v>
      </c>
      <c r="U20" s="530">
        <v>3.9861000000000217</v>
      </c>
      <c r="V20" s="531">
        <f t="shared" si="5"/>
        <v>9.7885663768970621E-2</v>
      </c>
      <c r="W20" s="532">
        <f t="shared" si="117"/>
        <v>0</v>
      </c>
      <c r="X20" s="530"/>
      <c r="Y20" s="531">
        <f t="shared" si="6"/>
        <v>0</v>
      </c>
      <c r="Z20" s="532">
        <f t="shared" si="118"/>
        <v>0</v>
      </c>
      <c r="AA20" s="530"/>
      <c r="AB20" s="531">
        <f t="shared" si="7"/>
        <v>0</v>
      </c>
      <c r="AC20" s="532">
        <f t="shared" si="119"/>
        <v>0</v>
      </c>
      <c r="AD20" s="530"/>
      <c r="AE20" s="531">
        <f t="shared" si="8"/>
        <v>0</v>
      </c>
      <c r="AF20" s="532">
        <f t="shared" si="120"/>
        <v>0</v>
      </c>
      <c r="AG20" s="530"/>
      <c r="AH20" s="531">
        <f t="shared" si="9"/>
        <v>0</v>
      </c>
      <c r="AI20" s="532">
        <f t="shared" si="121"/>
        <v>0</v>
      </c>
      <c r="AJ20" s="530"/>
      <c r="AK20" s="531">
        <f t="shared" si="10"/>
        <v>0</v>
      </c>
      <c r="AL20" s="532">
        <f t="shared" si="122"/>
        <v>0</v>
      </c>
      <c r="AM20" s="530"/>
      <c r="AN20" s="531">
        <f t="shared" si="11"/>
        <v>0</v>
      </c>
      <c r="AO20" s="532">
        <f t="shared" si="123"/>
        <v>0</v>
      </c>
      <c r="AP20" s="530">
        <v>47.197700000000054</v>
      </c>
      <c r="AQ20" s="531">
        <f t="shared" si="12"/>
        <v>1.1590221501890883</v>
      </c>
      <c r="AR20" s="532">
        <f t="shared" si="124"/>
        <v>0</v>
      </c>
      <c r="AS20" s="530"/>
      <c r="AT20" s="531">
        <f t="shared" si="13"/>
        <v>0</v>
      </c>
      <c r="AU20" s="532">
        <f t="shared" si="125"/>
        <v>0</v>
      </c>
      <c r="AV20" s="530"/>
      <c r="AW20" s="531">
        <f t="shared" si="14"/>
        <v>0</v>
      </c>
      <c r="AX20" s="532">
        <f t="shared" si="126"/>
        <v>0</v>
      </c>
      <c r="AY20" s="530">
        <v>65.255599999999987</v>
      </c>
      <c r="AZ20" s="531">
        <f t="shared" si="15"/>
        <v>1.6024654977653354</v>
      </c>
      <c r="BA20" s="532">
        <f t="shared" si="127"/>
        <v>0</v>
      </c>
      <c r="BB20" s="530"/>
      <c r="BC20" s="531">
        <f t="shared" si="16"/>
        <v>0</v>
      </c>
      <c r="BD20" s="532">
        <f t="shared" si="128"/>
        <v>0</v>
      </c>
      <c r="BE20" s="530"/>
      <c r="BF20" s="531">
        <f t="shared" si="17"/>
        <v>0</v>
      </c>
      <c r="BG20" s="532">
        <f t="shared" si="129"/>
        <v>0</v>
      </c>
      <c r="BH20" s="530"/>
      <c r="BI20" s="531">
        <f t="shared" si="18"/>
        <v>0</v>
      </c>
      <c r="BJ20" s="532">
        <f t="shared" si="130"/>
        <v>0</v>
      </c>
      <c r="BK20" s="530"/>
      <c r="BL20" s="531">
        <f t="shared" si="19"/>
        <v>0</v>
      </c>
      <c r="BM20" s="532">
        <f t="shared" si="131"/>
        <v>0</v>
      </c>
      <c r="BN20" s="530"/>
      <c r="BO20" s="531">
        <f t="shared" si="20"/>
        <v>0</v>
      </c>
      <c r="BP20" s="532">
        <f t="shared" si="132"/>
        <v>0</v>
      </c>
      <c r="BQ20" s="530"/>
      <c r="BR20" s="531">
        <f t="shared" si="21"/>
        <v>0</v>
      </c>
      <c r="BS20" s="532">
        <f t="shared" si="133"/>
        <v>0</v>
      </c>
      <c r="BT20" s="530"/>
      <c r="BU20" s="531">
        <f t="shared" si="22"/>
        <v>0</v>
      </c>
      <c r="BV20" s="532">
        <f t="shared" si="134"/>
        <v>0</v>
      </c>
      <c r="BW20" s="530"/>
      <c r="BX20" s="531">
        <f t="shared" si="23"/>
        <v>0</v>
      </c>
      <c r="BY20" s="532">
        <f t="shared" si="135"/>
        <v>0</v>
      </c>
      <c r="BZ20" s="530"/>
      <c r="CA20" s="531">
        <f t="shared" si="24"/>
        <v>0</v>
      </c>
      <c r="CB20" s="532">
        <f t="shared" si="136"/>
        <v>0</v>
      </c>
      <c r="CC20" s="530"/>
      <c r="CD20" s="531">
        <f t="shared" si="25"/>
        <v>0</v>
      </c>
      <c r="CE20" s="532">
        <f t="shared" si="137"/>
        <v>0</v>
      </c>
      <c r="CF20" s="530">
        <v>1.25</v>
      </c>
      <c r="CG20" s="531">
        <f t="shared" si="26"/>
        <v>3.0695938313442365E-2</v>
      </c>
      <c r="CH20" s="532">
        <f t="shared" si="138"/>
        <v>0</v>
      </c>
      <c r="CI20" s="530"/>
      <c r="CJ20" s="531">
        <f t="shared" si="27"/>
        <v>0</v>
      </c>
      <c r="CK20" s="532">
        <f t="shared" si="139"/>
        <v>0</v>
      </c>
      <c r="CL20" s="530"/>
      <c r="CM20" s="531">
        <f t="shared" si="28"/>
        <v>0</v>
      </c>
      <c r="CN20" s="532">
        <f t="shared" si="140"/>
        <v>0</v>
      </c>
      <c r="CO20" s="530"/>
      <c r="CP20" s="531">
        <f t="shared" si="29"/>
        <v>0</v>
      </c>
      <c r="CQ20" s="532">
        <f t="shared" si="141"/>
        <v>0</v>
      </c>
      <c r="CR20" s="530"/>
      <c r="CS20" s="531">
        <f t="shared" si="30"/>
        <v>0</v>
      </c>
      <c r="CT20" s="532">
        <f t="shared" si="142"/>
        <v>0</v>
      </c>
      <c r="CU20" s="530"/>
      <c r="CV20" s="531">
        <f t="shared" si="31"/>
        <v>0</v>
      </c>
      <c r="CW20" s="532">
        <f t="shared" si="143"/>
        <v>0</v>
      </c>
      <c r="CX20" s="530"/>
      <c r="CY20" s="531">
        <f t="shared" si="32"/>
        <v>0</v>
      </c>
      <c r="CZ20" s="532">
        <f t="shared" si="144"/>
        <v>0</v>
      </c>
      <c r="DA20" s="530"/>
      <c r="DB20" s="531">
        <f t="shared" si="33"/>
        <v>0</v>
      </c>
      <c r="DC20" s="532">
        <f t="shared" si="145"/>
        <v>0</v>
      </c>
      <c r="DD20" s="530"/>
      <c r="DE20" s="531">
        <f t="shared" si="34"/>
        <v>0</v>
      </c>
      <c r="DF20" s="532">
        <f t="shared" si="146"/>
        <v>0</v>
      </c>
      <c r="DG20" s="530"/>
      <c r="DH20" s="531">
        <f t="shared" si="35"/>
        <v>0</v>
      </c>
      <c r="DI20" s="532">
        <f t="shared" si="203"/>
        <v>0</v>
      </c>
      <c r="DJ20" s="530"/>
      <c r="DK20" s="531">
        <f t="shared" si="36"/>
        <v>0</v>
      </c>
      <c r="DL20" s="532">
        <f t="shared" si="147"/>
        <v>0</v>
      </c>
      <c r="DM20" s="530"/>
      <c r="DN20" s="531">
        <f t="shared" si="37"/>
        <v>0</v>
      </c>
      <c r="DO20" s="532">
        <f t="shared" si="148"/>
        <v>0</v>
      </c>
      <c r="DP20" s="530"/>
      <c r="DQ20" s="531">
        <f t="shared" si="38"/>
        <v>0</v>
      </c>
      <c r="DR20" s="532">
        <f t="shared" si="149"/>
        <v>0</v>
      </c>
      <c r="DS20" s="530"/>
      <c r="DT20" s="531">
        <f t="shared" si="39"/>
        <v>0</v>
      </c>
      <c r="DU20" s="532">
        <f t="shared" si="150"/>
        <v>0</v>
      </c>
      <c r="DV20" s="530"/>
      <c r="DW20" s="531">
        <f t="shared" si="40"/>
        <v>0</v>
      </c>
      <c r="DX20" s="532">
        <f t="shared" si="151"/>
        <v>0</v>
      </c>
      <c r="DY20" s="530"/>
      <c r="DZ20" s="531">
        <f t="shared" si="41"/>
        <v>0</v>
      </c>
      <c r="EA20" s="532">
        <f t="shared" si="152"/>
        <v>0</v>
      </c>
      <c r="EB20" s="530"/>
      <c r="EC20" s="531">
        <f t="shared" si="42"/>
        <v>0</v>
      </c>
      <c r="ED20" s="532">
        <f t="shared" si="153"/>
        <v>0</v>
      </c>
      <c r="EE20" s="530"/>
      <c r="EF20" s="531">
        <f t="shared" si="43"/>
        <v>0</v>
      </c>
      <c r="EG20" s="532">
        <f t="shared" si="154"/>
        <v>0</v>
      </c>
      <c r="EH20" s="530"/>
      <c r="EI20" s="531">
        <f t="shared" si="44"/>
        <v>0</v>
      </c>
      <c r="EJ20" s="532">
        <f t="shared" si="155"/>
        <v>0</v>
      </c>
      <c r="EK20" s="530">
        <v>48.649999999999977</v>
      </c>
      <c r="EL20" s="531">
        <f t="shared" si="45"/>
        <v>1.1946859191591763</v>
      </c>
      <c r="EM20" s="532">
        <f t="shared" si="156"/>
        <v>0</v>
      </c>
      <c r="EN20" s="530"/>
      <c r="EO20" s="531">
        <f t="shared" si="46"/>
        <v>0</v>
      </c>
      <c r="EP20" s="532">
        <f t="shared" si="157"/>
        <v>0</v>
      </c>
      <c r="EQ20" s="530"/>
      <c r="ER20" s="531">
        <f t="shared" si="47"/>
        <v>0</v>
      </c>
      <c r="ES20" s="532">
        <f t="shared" si="158"/>
        <v>0</v>
      </c>
      <c r="ET20" s="530"/>
      <c r="EU20" s="531">
        <f t="shared" si="48"/>
        <v>0</v>
      </c>
      <c r="EV20" s="532">
        <f t="shared" si="159"/>
        <v>0</v>
      </c>
      <c r="EW20" s="530"/>
      <c r="EX20" s="531">
        <f t="shared" si="49"/>
        <v>0</v>
      </c>
      <c r="EY20" s="532">
        <f t="shared" si="160"/>
        <v>0</v>
      </c>
      <c r="EZ20" s="530"/>
      <c r="FA20" s="531">
        <f t="shared" si="50"/>
        <v>0</v>
      </c>
      <c r="FB20" s="532">
        <f t="shared" si="161"/>
        <v>0</v>
      </c>
      <c r="FC20" s="530"/>
      <c r="FD20" s="531">
        <f t="shared" si="51"/>
        <v>0</v>
      </c>
      <c r="FE20" s="532">
        <f t="shared" si="162"/>
        <v>0</v>
      </c>
      <c r="FF20" s="530"/>
      <c r="FG20" s="531">
        <f t="shared" si="52"/>
        <v>0</v>
      </c>
      <c r="FH20" s="532">
        <f t="shared" si="163"/>
        <v>0</v>
      </c>
      <c r="FI20" s="530"/>
      <c r="FJ20" s="531">
        <f t="shared" si="53"/>
        <v>0</v>
      </c>
      <c r="FK20" s="532">
        <f t="shared" si="164"/>
        <v>0</v>
      </c>
      <c r="FL20" s="530"/>
      <c r="FM20" s="531">
        <f t="shared" si="54"/>
        <v>0</v>
      </c>
      <c r="FN20" s="532">
        <f t="shared" si="165"/>
        <v>0</v>
      </c>
      <c r="FO20" s="530"/>
      <c r="FP20" s="531">
        <f t="shared" si="55"/>
        <v>0</v>
      </c>
      <c r="FQ20" s="532">
        <f t="shared" si="166"/>
        <v>0</v>
      </c>
      <c r="FR20" s="530"/>
      <c r="FS20" s="531">
        <f t="shared" si="56"/>
        <v>0</v>
      </c>
      <c r="FT20" s="532">
        <f t="shared" si="167"/>
        <v>0</v>
      </c>
      <c r="FU20" s="530"/>
      <c r="FV20" s="531">
        <f t="shared" si="57"/>
        <v>0</v>
      </c>
      <c r="FW20" s="532">
        <f t="shared" si="168"/>
        <v>0</v>
      </c>
      <c r="FX20" s="530"/>
      <c r="FY20" s="531">
        <f t="shared" si="58"/>
        <v>0</v>
      </c>
      <c r="FZ20" s="532">
        <f t="shared" si="169"/>
        <v>0</v>
      </c>
      <c r="GA20" s="530"/>
      <c r="GB20" s="531">
        <f t="shared" si="59"/>
        <v>0</v>
      </c>
      <c r="GC20" s="532">
        <f t="shared" si="170"/>
        <v>0</v>
      </c>
      <c r="GD20" s="530"/>
      <c r="GE20" s="531">
        <f t="shared" si="60"/>
        <v>0</v>
      </c>
      <c r="GF20" s="532">
        <f t="shared" si="171"/>
        <v>0</v>
      </c>
      <c r="GG20" s="530"/>
      <c r="GH20" s="531">
        <f t="shared" si="61"/>
        <v>0</v>
      </c>
      <c r="GI20" s="532">
        <f t="shared" si="172"/>
        <v>0</v>
      </c>
      <c r="GJ20" s="530"/>
      <c r="GK20" s="531">
        <f t="shared" si="62"/>
        <v>0</v>
      </c>
      <c r="GL20" s="532">
        <f t="shared" si="173"/>
        <v>0</v>
      </c>
      <c r="GM20" s="530"/>
      <c r="GN20" s="531">
        <f t="shared" si="63"/>
        <v>0</v>
      </c>
      <c r="GO20" s="532">
        <f t="shared" si="174"/>
        <v>0</v>
      </c>
      <c r="GP20" s="530"/>
      <c r="GQ20" s="531">
        <f t="shared" si="64"/>
        <v>0</v>
      </c>
      <c r="GR20" s="532">
        <f t="shared" si="175"/>
        <v>0</v>
      </c>
      <c r="GS20" s="530"/>
      <c r="GT20" s="531">
        <f t="shared" si="65"/>
        <v>0</v>
      </c>
      <c r="GU20" s="532">
        <f t="shared" si="176"/>
        <v>0</v>
      </c>
      <c r="GV20" s="530"/>
      <c r="GW20" s="531">
        <f t="shared" si="66"/>
        <v>0</v>
      </c>
      <c r="GX20" s="532">
        <f t="shared" si="177"/>
        <v>0</v>
      </c>
      <c r="GY20" s="530"/>
      <c r="GZ20" s="531">
        <f t="shared" si="67"/>
        <v>0</v>
      </c>
      <c r="HA20" s="532">
        <f t="shared" si="178"/>
        <v>0</v>
      </c>
      <c r="HB20" s="530"/>
      <c r="HC20" s="531">
        <f t="shared" si="68"/>
        <v>0</v>
      </c>
      <c r="HD20" s="532">
        <f t="shared" si="179"/>
        <v>0</v>
      </c>
      <c r="HE20" s="530"/>
      <c r="HF20" s="531">
        <f t="shared" si="69"/>
        <v>0</v>
      </c>
      <c r="HG20" s="532">
        <f t="shared" si="180"/>
        <v>0</v>
      </c>
      <c r="HH20" s="530"/>
      <c r="HI20" s="531">
        <f t="shared" si="70"/>
        <v>0</v>
      </c>
      <c r="HJ20" s="532">
        <f t="shared" si="181"/>
        <v>0</v>
      </c>
      <c r="HK20" s="530"/>
      <c r="HL20" s="531">
        <f t="shared" si="71"/>
        <v>0</v>
      </c>
      <c r="HM20" s="532">
        <f t="shared" si="182"/>
        <v>0</v>
      </c>
      <c r="HN20" s="530"/>
      <c r="HO20" s="531">
        <f t="shared" si="72"/>
        <v>0</v>
      </c>
      <c r="HP20" s="532">
        <f t="shared" si="183"/>
        <v>0</v>
      </c>
      <c r="HQ20" s="530"/>
      <c r="HR20" s="531">
        <f t="shared" si="73"/>
        <v>0</v>
      </c>
      <c r="HS20" s="532">
        <f t="shared" si="184"/>
        <v>0</v>
      </c>
      <c r="HT20" s="530"/>
      <c r="HU20" s="531">
        <f t="shared" si="74"/>
        <v>0</v>
      </c>
      <c r="HV20" s="532">
        <f t="shared" si="185"/>
        <v>0</v>
      </c>
      <c r="HW20" s="530"/>
      <c r="HX20" s="531">
        <f t="shared" si="75"/>
        <v>0</v>
      </c>
      <c r="HY20" s="532">
        <f t="shared" si="186"/>
        <v>0</v>
      </c>
      <c r="HZ20" s="530"/>
      <c r="IA20" s="531">
        <f t="shared" si="76"/>
        <v>0</v>
      </c>
      <c r="IB20" s="532">
        <f t="shared" si="187"/>
        <v>0</v>
      </c>
      <c r="IC20" s="530"/>
      <c r="ID20" s="531">
        <f t="shared" si="77"/>
        <v>0</v>
      </c>
      <c r="IE20" s="532">
        <f t="shared" si="188"/>
        <v>0</v>
      </c>
      <c r="IF20" s="530"/>
      <c r="IG20" s="531">
        <f t="shared" si="78"/>
        <v>0</v>
      </c>
      <c r="IH20" s="532">
        <f t="shared" si="189"/>
        <v>0</v>
      </c>
      <c r="II20" s="530"/>
      <c r="IJ20" s="531">
        <f t="shared" si="79"/>
        <v>0</v>
      </c>
      <c r="IK20" s="532">
        <f t="shared" si="190"/>
        <v>0</v>
      </c>
      <c r="IL20" s="530"/>
      <c r="IM20" s="531">
        <f t="shared" si="80"/>
        <v>0</v>
      </c>
      <c r="IN20" s="532">
        <f t="shared" si="191"/>
        <v>0</v>
      </c>
      <c r="IO20" s="530"/>
      <c r="IP20" s="531">
        <f t="shared" si="81"/>
        <v>0</v>
      </c>
      <c r="IQ20" s="532">
        <f t="shared" si="192"/>
        <v>0</v>
      </c>
      <c r="IR20" s="530"/>
      <c r="IS20" s="531">
        <f t="shared" si="82"/>
        <v>0</v>
      </c>
      <c r="IT20" s="532">
        <f t="shared" si="193"/>
        <v>0</v>
      </c>
      <c r="IU20" s="530"/>
      <c r="IV20" s="531">
        <f t="shared" si="83"/>
        <v>0</v>
      </c>
      <c r="IW20" s="532">
        <f t="shared" si="194"/>
        <v>0</v>
      </c>
      <c r="IX20" s="530"/>
      <c r="IY20" s="531">
        <f t="shared" si="84"/>
        <v>0</v>
      </c>
      <c r="IZ20" s="532">
        <f t="shared" si="195"/>
        <v>0</v>
      </c>
      <c r="JA20" s="530"/>
      <c r="JB20" s="531">
        <f t="shared" si="85"/>
        <v>0</v>
      </c>
      <c r="JC20" s="532">
        <f t="shared" si="196"/>
        <v>0</v>
      </c>
      <c r="JD20" s="530"/>
      <c r="JE20" s="531">
        <f t="shared" si="86"/>
        <v>0</v>
      </c>
      <c r="JF20" s="532">
        <f t="shared" si="197"/>
        <v>0</v>
      </c>
      <c r="JG20" s="530"/>
      <c r="JH20" s="531">
        <f t="shared" si="87"/>
        <v>0</v>
      </c>
      <c r="JI20" s="532">
        <f t="shared" si="198"/>
        <v>0</v>
      </c>
      <c r="JJ20" s="530"/>
      <c r="JK20" s="532" t="str">
        <f t="shared" si="88"/>
        <v>0</v>
      </c>
      <c r="JL20" s="532" t="str">
        <f t="shared" si="89"/>
        <v>0</v>
      </c>
      <c r="JM20" s="530"/>
      <c r="JN20" s="532" t="str">
        <f t="shared" si="90"/>
        <v>0</v>
      </c>
      <c r="JO20" s="532" t="str">
        <f t="shared" si="91"/>
        <v>0</v>
      </c>
      <c r="JP20" s="530"/>
      <c r="JQ20" s="532" t="str">
        <f t="shared" si="92"/>
        <v>0</v>
      </c>
      <c r="JR20" s="532" t="str">
        <f t="shared" si="93"/>
        <v>0</v>
      </c>
      <c r="JS20" s="530"/>
      <c r="JT20" s="532" t="str">
        <f t="shared" si="94"/>
        <v>0</v>
      </c>
      <c r="JU20" s="532" t="str">
        <f t="shared" si="95"/>
        <v>0</v>
      </c>
      <c r="JV20" s="530"/>
      <c r="JW20" s="532" t="str">
        <f t="shared" si="96"/>
        <v>0</v>
      </c>
      <c r="JX20" s="532" t="str">
        <f t="shared" si="97"/>
        <v>0</v>
      </c>
      <c r="JY20" s="530"/>
      <c r="JZ20" s="532" t="str">
        <f t="shared" si="98"/>
        <v>0</v>
      </c>
      <c r="KA20" s="532" t="str">
        <f t="shared" si="99"/>
        <v>0</v>
      </c>
      <c r="KB20" s="530"/>
      <c r="KC20" s="532" t="str">
        <f t="shared" si="100"/>
        <v>0</v>
      </c>
      <c r="KD20" s="532" t="str">
        <f t="shared" si="101"/>
        <v>0</v>
      </c>
      <c r="KE20" s="530"/>
      <c r="KF20" s="532" t="str">
        <f t="shared" si="102"/>
        <v>0</v>
      </c>
      <c r="KG20" s="532" t="str">
        <f t="shared" si="103"/>
        <v>0</v>
      </c>
      <c r="KH20" s="530"/>
      <c r="KI20" s="532" t="str">
        <f t="shared" si="104"/>
        <v>0</v>
      </c>
      <c r="KJ20" s="532" t="str">
        <f t="shared" si="105"/>
        <v>0</v>
      </c>
      <c r="KK20" s="530"/>
      <c r="KL20" s="532" t="str">
        <f t="shared" si="106"/>
        <v>0</v>
      </c>
      <c r="KM20" s="532" t="str">
        <f t="shared" si="107"/>
        <v>0</v>
      </c>
      <c r="KN20" s="530"/>
      <c r="KO20" s="532" t="str">
        <f t="shared" si="108"/>
        <v>0</v>
      </c>
      <c r="KP20" s="532" t="str">
        <f t="shared" si="109"/>
        <v>0</v>
      </c>
      <c r="KQ20" s="530"/>
      <c r="KR20" s="532" t="str">
        <f t="shared" si="110"/>
        <v>0</v>
      </c>
      <c r="KS20" s="532" t="str">
        <f t="shared" si="111"/>
        <v>0</v>
      </c>
      <c r="KT20" s="532">
        <f t="shared" si="201"/>
        <v>0</v>
      </c>
      <c r="KU20" s="532">
        <f t="shared" si="202"/>
        <v>0</v>
      </c>
      <c r="KV20" s="268">
        <f t="shared" si="199"/>
        <v>169.44820000000004</v>
      </c>
    </row>
    <row r="21" spans="1:309">
      <c r="A21" s="269">
        <f t="shared" si="200"/>
        <v>45943</v>
      </c>
      <c r="B21" s="270" t="str">
        <f>+Report1!B21</f>
        <v>Toilet</v>
      </c>
      <c r="C21" s="270" t="str">
        <f>+Report1!C21</f>
        <v>12,5</v>
      </c>
      <c r="D21" s="271">
        <f>+Report1!P21</f>
        <v>40.814999999999998</v>
      </c>
      <c r="E21" s="570">
        <f>+Report1!R21</f>
        <v>39.529000000000003</v>
      </c>
      <c r="F21" s="530"/>
      <c r="G21" s="531">
        <f t="shared" si="0"/>
        <v>0</v>
      </c>
      <c r="H21" s="532">
        <f t="shared" si="112"/>
        <v>0</v>
      </c>
      <c r="I21" s="530"/>
      <c r="J21" s="531">
        <f t="shared" si="1"/>
        <v>0</v>
      </c>
      <c r="K21" s="532">
        <f t="shared" si="113"/>
        <v>0</v>
      </c>
      <c r="L21" s="530"/>
      <c r="M21" s="531">
        <f t="shared" si="2"/>
        <v>0</v>
      </c>
      <c r="N21" s="532">
        <f t="shared" si="114"/>
        <v>0</v>
      </c>
      <c r="O21" s="530">
        <v>3.002399999999966</v>
      </c>
      <c r="P21" s="531">
        <f t="shared" si="3"/>
        <v>7.5954362619847851E-2</v>
      </c>
      <c r="Q21" s="532">
        <f t="shared" si="115"/>
        <v>0</v>
      </c>
      <c r="R21" s="530"/>
      <c r="S21" s="531">
        <f t="shared" si="4"/>
        <v>0</v>
      </c>
      <c r="T21" s="532">
        <f t="shared" si="116"/>
        <v>0</v>
      </c>
      <c r="U21" s="530">
        <v>5.1236999999999853</v>
      </c>
      <c r="V21" s="531">
        <f t="shared" si="5"/>
        <v>0.12961876090971147</v>
      </c>
      <c r="W21" s="532">
        <f t="shared" si="117"/>
        <v>0</v>
      </c>
      <c r="X21" s="530"/>
      <c r="Y21" s="531">
        <f t="shared" si="6"/>
        <v>0</v>
      </c>
      <c r="Z21" s="532">
        <f t="shared" si="118"/>
        <v>0</v>
      </c>
      <c r="AA21" s="530"/>
      <c r="AB21" s="531">
        <f t="shared" si="7"/>
        <v>0</v>
      </c>
      <c r="AC21" s="532">
        <f t="shared" si="119"/>
        <v>0</v>
      </c>
      <c r="AD21" s="530"/>
      <c r="AE21" s="531">
        <f t="shared" si="8"/>
        <v>0</v>
      </c>
      <c r="AF21" s="532">
        <f t="shared" si="120"/>
        <v>0</v>
      </c>
      <c r="AG21" s="530"/>
      <c r="AH21" s="531">
        <f t="shared" si="9"/>
        <v>0</v>
      </c>
      <c r="AI21" s="532">
        <f t="shared" si="121"/>
        <v>0</v>
      </c>
      <c r="AJ21" s="530"/>
      <c r="AK21" s="531">
        <f t="shared" si="10"/>
        <v>0</v>
      </c>
      <c r="AL21" s="532">
        <f t="shared" si="122"/>
        <v>0</v>
      </c>
      <c r="AM21" s="530"/>
      <c r="AN21" s="531">
        <f t="shared" si="11"/>
        <v>0</v>
      </c>
      <c r="AO21" s="532">
        <f t="shared" si="123"/>
        <v>0</v>
      </c>
      <c r="AP21" s="530">
        <v>39.872088607594947</v>
      </c>
      <c r="AQ21" s="531">
        <f t="shared" si="12"/>
        <v>1.0086794153050911</v>
      </c>
      <c r="AR21" s="532">
        <f t="shared" si="124"/>
        <v>0</v>
      </c>
      <c r="AS21" s="530"/>
      <c r="AT21" s="531">
        <f t="shared" si="13"/>
        <v>0</v>
      </c>
      <c r="AU21" s="532">
        <f t="shared" si="125"/>
        <v>0</v>
      </c>
      <c r="AV21" s="530"/>
      <c r="AW21" s="531">
        <f t="shared" si="14"/>
        <v>0</v>
      </c>
      <c r="AX21" s="532">
        <f t="shared" si="126"/>
        <v>0</v>
      </c>
      <c r="AY21" s="530">
        <v>56.002400000000009</v>
      </c>
      <c r="AZ21" s="531">
        <f t="shared" si="15"/>
        <v>1.4167421386829924</v>
      </c>
      <c r="BA21" s="532">
        <f t="shared" si="127"/>
        <v>0</v>
      </c>
      <c r="BB21" s="530"/>
      <c r="BC21" s="531">
        <f t="shared" si="16"/>
        <v>0</v>
      </c>
      <c r="BD21" s="532">
        <f t="shared" si="128"/>
        <v>0</v>
      </c>
      <c r="BE21" s="530"/>
      <c r="BF21" s="531">
        <f t="shared" si="17"/>
        <v>0</v>
      </c>
      <c r="BG21" s="532">
        <f t="shared" si="129"/>
        <v>0</v>
      </c>
      <c r="BH21" s="530"/>
      <c r="BI21" s="531">
        <f t="shared" si="18"/>
        <v>0</v>
      </c>
      <c r="BJ21" s="532">
        <f t="shared" si="130"/>
        <v>0</v>
      </c>
      <c r="BK21" s="530"/>
      <c r="BL21" s="531">
        <f t="shared" si="19"/>
        <v>0</v>
      </c>
      <c r="BM21" s="532">
        <f t="shared" si="131"/>
        <v>0</v>
      </c>
      <c r="BN21" s="530"/>
      <c r="BO21" s="531">
        <f t="shared" si="20"/>
        <v>0</v>
      </c>
      <c r="BP21" s="532">
        <f t="shared" si="132"/>
        <v>0</v>
      </c>
      <c r="BQ21" s="530"/>
      <c r="BR21" s="531">
        <f t="shared" si="21"/>
        <v>0</v>
      </c>
      <c r="BS21" s="532">
        <f t="shared" si="133"/>
        <v>0</v>
      </c>
      <c r="BT21" s="530"/>
      <c r="BU21" s="531">
        <f t="shared" si="22"/>
        <v>0</v>
      </c>
      <c r="BV21" s="532">
        <f t="shared" si="134"/>
        <v>0</v>
      </c>
      <c r="BW21" s="530"/>
      <c r="BX21" s="531">
        <f t="shared" si="23"/>
        <v>0</v>
      </c>
      <c r="BY21" s="532">
        <f t="shared" si="135"/>
        <v>0</v>
      </c>
      <c r="BZ21" s="530"/>
      <c r="CA21" s="531">
        <f t="shared" si="24"/>
        <v>0</v>
      </c>
      <c r="CB21" s="532">
        <f t="shared" si="136"/>
        <v>0</v>
      </c>
      <c r="CC21" s="530"/>
      <c r="CD21" s="531">
        <f t="shared" si="25"/>
        <v>0</v>
      </c>
      <c r="CE21" s="532">
        <f t="shared" si="137"/>
        <v>0</v>
      </c>
      <c r="CF21" s="530">
        <v>1.1999999999999997</v>
      </c>
      <c r="CG21" s="531">
        <f t="shared" si="26"/>
        <v>3.0357459080674939E-2</v>
      </c>
      <c r="CH21" s="532">
        <f t="shared" si="138"/>
        <v>0</v>
      </c>
      <c r="CI21" s="530"/>
      <c r="CJ21" s="531">
        <f t="shared" si="27"/>
        <v>0</v>
      </c>
      <c r="CK21" s="532">
        <f t="shared" si="139"/>
        <v>0</v>
      </c>
      <c r="CL21" s="530"/>
      <c r="CM21" s="531">
        <f t="shared" si="28"/>
        <v>0</v>
      </c>
      <c r="CN21" s="532">
        <f t="shared" si="140"/>
        <v>0</v>
      </c>
      <c r="CO21" s="530"/>
      <c r="CP21" s="531">
        <f t="shared" si="29"/>
        <v>0</v>
      </c>
      <c r="CQ21" s="532">
        <f t="shared" si="141"/>
        <v>0</v>
      </c>
      <c r="CR21" s="530"/>
      <c r="CS21" s="531">
        <f t="shared" si="30"/>
        <v>0</v>
      </c>
      <c r="CT21" s="532">
        <f t="shared" si="142"/>
        <v>0</v>
      </c>
      <c r="CU21" s="530"/>
      <c r="CV21" s="531">
        <f t="shared" si="31"/>
        <v>0</v>
      </c>
      <c r="CW21" s="532">
        <f t="shared" si="143"/>
        <v>0</v>
      </c>
      <c r="CX21" s="530"/>
      <c r="CY21" s="531">
        <f t="shared" si="32"/>
        <v>0</v>
      </c>
      <c r="CZ21" s="532">
        <f t="shared" si="144"/>
        <v>0</v>
      </c>
      <c r="DA21" s="530"/>
      <c r="DB21" s="531">
        <f t="shared" si="33"/>
        <v>0</v>
      </c>
      <c r="DC21" s="532">
        <f t="shared" si="145"/>
        <v>0</v>
      </c>
      <c r="DD21" s="530"/>
      <c r="DE21" s="531">
        <f t="shared" si="34"/>
        <v>0</v>
      </c>
      <c r="DF21" s="532">
        <f t="shared" si="146"/>
        <v>0</v>
      </c>
      <c r="DG21" s="530"/>
      <c r="DH21" s="531">
        <f t="shared" si="35"/>
        <v>0</v>
      </c>
      <c r="DI21" s="532">
        <f t="shared" si="203"/>
        <v>0</v>
      </c>
      <c r="DJ21" s="530"/>
      <c r="DK21" s="531">
        <f t="shared" si="36"/>
        <v>0</v>
      </c>
      <c r="DL21" s="532">
        <f t="shared" si="147"/>
        <v>0</v>
      </c>
      <c r="DM21" s="530"/>
      <c r="DN21" s="531">
        <f t="shared" si="37"/>
        <v>0</v>
      </c>
      <c r="DO21" s="532">
        <f t="shared" si="148"/>
        <v>0</v>
      </c>
      <c r="DP21" s="530"/>
      <c r="DQ21" s="531">
        <f t="shared" si="38"/>
        <v>0</v>
      </c>
      <c r="DR21" s="532">
        <f t="shared" si="149"/>
        <v>0</v>
      </c>
      <c r="DS21" s="530"/>
      <c r="DT21" s="531">
        <f t="shared" si="39"/>
        <v>0</v>
      </c>
      <c r="DU21" s="532">
        <f t="shared" si="150"/>
        <v>0</v>
      </c>
      <c r="DV21" s="530"/>
      <c r="DW21" s="531">
        <f t="shared" si="40"/>
        <v>0</v>
      </c>
      <c r="DX21" s="532">
        <f t="shared" si="151"/>
        <v>0</v>
      </c>
      <c r="DY21" s="530"/>
      <c r="DZ21" s="531">
        <f t="shared" si="41"/>
        <v>0</v>
      </c>
      <c r="EA21" s="532">
        <f t="shared" si="152"/>
        <v>0</v>
      </c>
      <c r="EB21" s="530"/>
      <c r="EC21" s="531">
        <f t="shared" si="42"/>
        <v>0</v>
      </c>
      <c r="ED21" s="532">
        <f t="shared" si="153"/>
        <v>0</v>
      </c>
      <c r="EE21" s="530"/>
      <c r="EF21" s="531">
        <f t="shared" si="43"/>
        <v>0</v>
      </c>
      <c r="EG21" s="532">
        <f t="shared" si="154"/>
        <v>0</v>
      </c>
      <c r="EH21" s="530"/>
      <c r="EI21" s="531">
        <f t="shared" si="44"/>
        <v>0</v>
      </c>
      <c r="EJ21" s="532">
        <f t="shared" si="155"/>
        <v>0</v>
      </c>
      <c r="EK21" s="530">
        <v>46.962941176470622</v>
      </c>
      <c r="EL21" s="531">
        <f t="shared" si="45"/>
        <v>1.1880629708940429</v>
      </c>
      <c r="EM21" s="532">
        <f t="shared" si="156"/>
        <v>0</v>
      </c>
      <c r="EN21" s="530"/>
      <c r="EO21" s="531">
        <f t="shared" si="46"/>
        <v>0</v>
      </c>
      <c r="EP21" s="532">
        <f t="shared" si="157"/>
        <v>0</v>
      </c>
      <c r="EQ21" s="530"/>
      <c r="ER21" s="531">
        <f t="shared" si="47"/>
        <v>0</v>
      </c>
      <c r="ES21" s="532">
        <f t="shared" si="158"/>
        <v>0</v>
      </c>
      <c r="ET21" s="530"/>
      <c r="EU21" s="531">
        <f t="shared" si="48"/>
        <v>0</v>
      </c>
      <c r="EV21" s="532">
        <f t="shared" si="159"/>
        <v>0</v>
      </c>
      <c r="EW21" s="530"/>
      <c r="EX21" s="531">
        <f t="shared" si="49"/>
        <v>0</v>
      </c>
      <c r="EY21" s="532">
        <f t="shared" si="160"/>
        <v>0</v>
      </c>
      <c r="EZ21" s="530"/>
      <c r="FA21" s="531">
        <f t="shared" si="50"/>
        <v>0</v>
      </c>
      <c r="FB21" s="532">
        <f t="shared" si="161"/>
        <v>0</v>
      </c>
      <c r="FC21" s="530"/>
      <c r="FD21" s="531">
        <f t="shared" si="51"/>
        <v>0</v>
      </c>
      <c r="FE21" s="532">
        <f t="shared" si="162"/>
        <v>0</v>
      </c>
      <c r="FF21" s="530"/>
      <c r="FG21" s="531">
        <f t="shared" si="52"/>
        <v>0</v>
      </c>
      <c r="FH21" s="532">
        <f t="shared" si="163"/>
        <v>0</v>
      </c>
      <c r="FI21" s="530"/>
      <c r="FJ21" s="531">
        <f t="shared" si="53"/>
        <v>0</v>
      </c>
      <c r="FK21" s="532">
        <f t="shared" si="164"/>
        <v>0</v>
      </c>
      <c r="FL21" s="530"/>
      <c r="FM21" s="531">
        <f t="shared" si="54"/>
        <v>0</v>
      </c>
      <c r="FN21" s="532">
        <f t="shared" si="165"/>
        <v>0</v>
      </c>
      <c r="FO21" s="530"/>
      <c r="FP21" s="531">
        <f t="shared" si="55"/>
        <v>0</v>
      </c>
      <c r="FQ21" s="532">
        <f t="shared" si="166"/>
        <v>0</v>
      </c>
      <c r="FR21" s="530"/>
      <c r="FS21" s="531">
        <f t="shared" si="56"/>
        <v>0</v>
      </c>
      <c r="FT21" s="532">
        <f t="shared" si="167"/>
        <v>0</v>
      </c>
      <c r="FU21" s="530"/>
      <c r="FV21" s="531">
        <f t="shared" si="57"/>
        <v>0</v>
      </c>
      <c r="FW21" s="532">
        <f t="shared" si="168"/>
        <v>0</v>
      </c>
      <c r="FX21" s="530"/>
      <c r="FY21" s="531">
        <f t="shared" si="58"/>
        <v>0</v>
      </c>
      <c r="FZ21" s="532">
        <f t="shared" si="169"/>
        <v>0</v>
      </c>
      <c r="GA21" s="530"/>
      <c r="GB21" s="531">
        <f t="shared" si="59"/>
        <v>0</v>
      </c>
      <c r="GC21" s="532">
        <f t="shared" si="170"/>
        <v>0</v>
      </c>
      <c r="GD21" s="530"/>
      <c r="GE21" s="531">
        <f t="shared" si="60"/>
        <v>0</v>
      </c>
      <c r="GF21" s="532">
        <f t="shared" si="171"/>
        <v>0</v>
      </c>
      <c r="GG21" s="530"/>
      <c r="GH21" s="531">
        <f t="shared" si="61"/>
        <v>0</v>
      </c>
      <c r="GI21" s="532">
        <f t="shared" si="172"/>
        <v>0</v>
      </c>
      <c r="GJ21" s="530"/>
      <c r="GK21" s="531">
        <f t="shared" si="62"/>
        <v>0</v>
      </c>
      <c r="GL21" s="532">
        <f t="shared" si="173"/>
        <v>0</v>
      </c>
      <c r="GM21" s="530"/>
      <c r="GN21" s="531">
        <f t="shared" si="63"/>
        <v>0</v>
      </c>
      <c r="GO21" s="532">
        <f t="shared" si="174"/>
        <v>0</v>
      </c>
      <c r="GP21" s="530"/>
      <c r="GQ21" s="531">
        <f t="shared" si="64"/>
        <v>0</v>
      </c>
      <c r="GR21" s="532">
        <f t="shared" si="175"/>
        <v>0</v>
      </c>
      <c r="GS21" s="530"/>
      <c r="GT21" s="531">
        <f t="shared" si="65"/>
        <v>0</v>
      </c>
      <c r="GU21" s="532">
        <f t="shared" si="176"/>
        <v>0</v>
      </c>
      <c r="GV21" s="530"/>
      <c r="GW21" s="531">
        <f t="shared" si="66"/>
        <v>0</v>
      </c>
      <c r="GX21" s="532">
        <f t="shared" si="177"/>
        <v>0</v>
      </c>
      <c r="GY21" s="530"/>
      <c r="GZ21" s="531">
        <f t="shared" si="67"/>
        <v>0</v>
      </c>
      <c r="HA21" s="532">
        <f t="shared" si="178"/>
        <v>0</v>
      </c>
      <c r="HB21" s="530"/>
      <c r="HC21" s="531">
        <f t="shared" si="68"/>
        <v>0</v>
      </c>
      <c r="HD21" s="532">
        <f t="shared" si="179"/>
        <v>0</v>
      </c>
      <c r="HE21" s="530"/>
      <c r="HF21" s="531">
        <f t="shared" si="69"/>
        <v>0</v>
      </c>
      <c r="HG21" s="532">
        <f t="shared" si="180"/>
        <v>0</v>
      </c>
      <c r="HH21" s="530"/>
      <c r="HI21" s="531">
        <f t="shared" si="70"/>
        <v>0</v>
      </c>
      <c r="HJ21" s="532">
        <f t="shared" si="181"/>
        <v>0</v>
      </c>
      <c r="HK21" s="530"/>
      <c r="HL21" s="531">
        <f t="shared" si="71"/>
        <v>0</v>
      </c>
      <c r="HM21" s="532">
        <f t="shared" si="182"/>
        <v>0</v>
      </c>
      <c r="HN21" s="530"/>
      <c r="HO21" s="531">
        <f t="shared" si="72"/>
        <v>0</v>
      </c>
      <c r="HP21" s="532">
        <f t="shared" si="183"/>
        <v>0</v>
      </c>
      <c r="HQ21" s="530"/>
      <c r="HR21" s="531">
        <f t="shared" si="73"/>
        <v>0</v>
      </c>
      <c r="HS21" s="532">
        <f t="shared" si="184"/>
        <v>0</v>
      </c>
      <c r="HT21" s="530"/>
      <c r="HU21" s="531">
        <f t="shared" si="74"/>
        <v>0</v>
      </c>
      <c r="HV21" s="532">
        <f t="shared" si="185"/>
        <v>0</v>
      </c>
      <c r="HW21" s="530"/>
      <c r="HX21" s="531">
        <f t="shared" si="75"/>
        <v>0</v>
      </c>
      <c r="HY21" s="532">
        <f t="shared" si="186"/>
        <v>0</v>
      </c>
      <c r="HZ21" s="530"/>
      <c r="IA21" s="531">
        <f t="shared" si="76"/>
        <v>0</v>
      </c>
      <c r="IB21" s="532">
        <f t="shared" si="187"/>
        <v>0</v>
      </c>
      <c r="IC21" s="530"/>
      <c r="ID21" s="531">
        <f t="shared" si="77"/>
        <v>0</v>
      </c>
      <c r="IE21" s="532">
        <f t="shared" si="188"/>
        <v>0</v>
      </c>
      <c r="IF21" s="530"/>
      <c r="IG21" s="531">
        <f t="shared" si="78"/>
        <v>0</v>
      </c>
      <c r="IH21" s="532">
        <f t="shared" si="189"/>
        <v>0</v>
      </c>
      <c r="II21" s="530"/>
      <c r="IJ21" s="531">
        <f t="shared" si="79"/>
        <v>0</v>
      </c>
      <c r="IK21" s="532">
        <f t="shared" si="190"/>
        <v>0</v>
      </c>
      <c r="IL21" s="530"/>
      <c r="IM21" s="531">
        <f t="shared" si="80"/>
        <v>0</v>
      </c>
      <c r="IN21" s="532">
        <f t="shared" si="191"/>
        <v>0</v>
      </c>
      <c r="IO21" s="530"/>
      <c r="IP21" s="531">
        <f t="shared" si="81"/>
        <v>0</v>
      </c>
      <c r="IQ21" s="532">
        <f t="shared" si="192"/>
        <v>0</v>
      </c>
      <c r="IR21" s="530"/>
      <c r="IS21" s="531">
        <f t="shared" si="82"/>
        <v>0</v>
      </c>
      <c r="IT21" s="532">
        <f t="shared" si="193"/>
        <v>0</v>
      </c>
      <c r="IU21" s="530"/>
      <c r="IV21" s="531">
        <f t="shared" si="83"/>
        <v>0</v>
      </c>
      <c r="IW21" s="532">
        <f t="shared" si="194"/>
        <v>0</v>
      </c>
      <c r="IX21" s="530"/>
      <c r="IY21" s="531">
        <f t="shared" si="84"/>
        <v>0</v>
      </c>
      <c r="IZ21" s="532">
        <f t="shared" si="195"/>
        <v>0</v>
      </c>
      <c r="JA21" s="530"/>
      <c r="JB21" s="531">
        <f t="shared" si="85"/>
        <v>0</v>
      </c>
      <c r="JC21" s="532">
        <f t="shared" si="196"/>
        <v>0</v>
      </c>
      <c r="JD21" s="530"/>
      <c r="JE21" s="531">
        <f t="shared" si="86"/>
        <v>0</v>
      </c>
      <c r="JF21" s="532">
        <f t="shared" si="197"/>
        <v>0</v>
      </c>
      <c r="JG21" s="530"/>
      <c r="JH21" s="531">
        <f t="shared" si="87"/>
        <v>0</v>
      </c>
      <c r="JI21" s="532">
        <f t="shared" si="198"/>
        <v>0</v>
      </c>
      <c r="JJ21" s="530"/>
      <c r="JK21" s="532" t="str">
        <f t="shared" si="88"/>
        <v>0</v>
      </c>
      <c r="JL21" s="532" t="str">
        <f t="shared" si="89"/>
        <v>0</v>
      </c>
      <c r="JM21" s="530"/>
      <c r="JN21" s="532" t="str">
        <f t="shared" si="90"/>
        <v>0</v>
      </c>
      <c r="JO21" s="532" t="str">
        <f t="shared" si="91"/>
        <v>0</v>
      </c>
      <c r="JP21" s="530"/>
      <c r="JQ21" s="532" t="str">
        <f t="shared" si="92"/>
        <v>0</v>
      </c>
      <c r="JR21" s="532" t="str">
        <f t="shared" si="93"/>
        <v>0</v>
      </c>
      <c r="JS21" s="530"/>
      <c r="JT21" s="532" t="str">
        <f t="shared" si="94"/>
        <v>0</v>
      </c>
      <c r="JU21" s="532" t="str">
        <f t="shared" si="95"/>
        <v>0</v>
      </c>
      <c r="JV21" s="530"/>
      <c r="JW21" s="532" t="str">
        <f t="shared" si="96"/>
        <v>0</v>
      </c>
      <c r="JX21" s="532" t="str">
        <f t="shared" si="97"/>
        <v>0</v>
      </c>
      <c r="JY21" s="530"/>
      <c r="JZ21" s="532" t="str">
        <f t="shared" si="98"/>
        <v>0</v>
      </c>
      <c r="KA21" s="532" t="str">
        <f t="shared" si="99"/>
        <v>0</v>
      </c>
      <c r="KB21" s="530"/>
      <c r="KC21" s="532" t="str">
        <f t="shared" si="100"/>
        <v>0</v>
      </c>
      <c r="KD21" s="532" t="str">
        <f t="shared" si="101"/>
        <v>0</v>
      </c>
      <c r="KE21" s="530"/>
      <c r="KF21" s="532" t="str">
        <f t="shared" si="102"/>
        <v>0</v>
      </c>
      <c r="KG21" s="532" t="str">
        <f t="shared" si="103"/>
        <v>0</v>
      </c>
      <c r="KH21" s="530"/>
      <c r="KI21" s="532" t="str">
        <f t="shared" si="104"/>
        <v>0</v>
      </c>
      <c r="KJ21" s="532" t="str">
        <f t="shared" si="105"/>
        <v>0</v>
      </c>
      <c r="KK21" s="530"/>
      <c r="KL21" s="532" t="str">
        <f t="shared" si="106"/>
        <v>0</v>
      </c>
      <c r="KM21" s="532" t="str">
        <f t="shared" si="107"/>
        <v>0</v>
      </c>
      <c r="KN21" s="530"/>
      <c r="KO21" s="532" t="str">
        <f t="shared" si="108"/>
        <v>0</v>
      </c>
      <c r="KP21" s="532" t="str">
        <f t="shared" si="109"/>
        <v>0</v>
      </c>
      <c r="KQ21" s="530"/>
      <c r="KR21" s="532" t="str">
        <f t="shared" si="110"/>
        <v>0</v>
      </c>
      <c r="KS21" s="532" t="str">
        <f t="shared" si="111"/>
        <v>0</v>
      </c>
      <c r="KT21" s="532">
        <f t="shared" si="201"/>
        <v>0</v>
      </c>
      <c r="KU21" s="532">
        <f t="shared" si="202"/>
        <v>0</v>
      </c>
      <c r="KV21" s="268">
        <f t="shared" si="199"/>
        <v>152.16352978406553</v>
      </c>
    </row>
    <row r="22" spans="1:309">
      <c r="A22" s="269">
        <f t="shared" si="200"/>
        <v>45944</v>
      </c>
      <c r="B22" s="270" t="str">
        <f>+Report1!B22</f>
        <v>Toilet</v>
      </c>
      <c r="C22" s="270" t="str">
        <f>+Report1!C22</f>
        <v>12,5</v>
      </c>
      <c r="D22" s="271">
        <f>+Report1!P22</f>
        <v>39.844999999999999</v>
      </c>
      <c r="E22" s="570">
        <f>+Report1!R22</f>
        <v>34.832999999999998</v>
      </c>
      <c r="F22" s="530"/>
      <c r="G22" s="531">
        <f t="shared" si="0"/>
        <v>0</v>
      </c>
      <c r="H22" s="532">
        <f t="shared" si="112"/>
        <v>0</v>
      </c>
      <c r="I22" s="530"/>
      <c r="J22" s="531">
        <f t="shared" si="1"/>
        <v>0</v>
      </c>
      <c r="K22" s="532">
        <f t="shared" si="113"/>
        <v>0</v>
      </c>
      <c r="L22" s="530"/>
      <c r="M22" s="531">
        <f t="shared" si="2"/>
        <v>0</v>
      </c>
      <c r="N22" s="532">
        <f t="shared" si="114"/>
        <v>0</v>
      </c>
      <c r="O22" s="530">
        <v>3.0000000000000284</v>
      </c>
      <c r="P22" s="531">
        <f t="shared" si="3"/>
        <v>8.612522607871928E-2</v>
      </c>
      <c r="Q22" s="532">
        <f t="shared" si="115"/>
        <v>0</v>
      </c>
      <c r="R22" s="530"/>
      <c r="S22" s="531">
        <f t="shared" si="4"/>
        <v>0</v>
      </c>
      <c r="T22" s="532">
        <f t="shared" si="116"/>
        <v>0</v>
      </c>
      <c r="U22" s="530">
        <v>2.5625</v>
      </c>
      <c r="V22" s="531">
        <f t="shared" si="5"/>
        <v>7.3565297275572025E-2</v>
      </c>
      <c r="W22" s="532">
        <f t="shared" si="117"/>
        <v>0</v>
      </c>
      <c r="X22" s="530"/>
      <c r="Y22" s="531">
        <f t="shared" si="6"/>
        <v>0</v>
      </c>
      <c r="Z22" s="532">
        <f t="shared" si="118"/>
        <v>0</v>
      </c>
      <c r="AA22" s="530"/>
      <c r="AB22" s="531">
        <f t="shared" si="7"/>
        <v>0</v>
      </c>
      <c r="AC22" s="532">
        <f t="shared" si="119"/>
        <v>0</v>
      </c>
      <c r="AD22" s="530"/>
      <c r="AE22" s="531">
        <f t="shared" si="8"/>
        <v>0</v>
      </c>
      <c r="AF22" s="532">
        <f t="shared" si="120"/>
        <v>0</v>
      </c>
      <c r="AG22" s="530"/>
      <c r="AH22" s="531">
        <f t="shared" si="9"/>
        <v>0</v>
      </c>
      <c r="AI22" s="532">
        <f t="shared" si="121"/>
        <v>0</v>
      </c>
      <c r="AJ22" s="530">
        <v>32.3125</v>
      </c>
      <c r="AK22" s="531">
        <f t="shared" si="10"/>
        <v>0.92764045588953004</v>
      </c>
      <c r="AL22" s="532">
        <f t="shared" si="122"/>
        <v>0</v>
      </c>
      <c r="AM22" s="530"/>
      <c r="AN22" s="531">
        <f t="shared" si="11"/>
        <v>0</v>
      </c>
      <c r="AO22" s="532">
        <f t="shared" si="123"/>
        <v>0</v>
      </c>
      <c r="AP22" s="530">
        <v>59.810126582278485</v>
      </c>
      <c r="AQ22" s="531">
        <f t="shared" si="12"/>
        <v>1.7170535578985011</v>
      </c>
      <c r="AR22" s="532">
        <f t="shared" si="124"/>
        <v>0</v>
      </c>
      <c r="AS22" s="530"/>
      <c r="AT22" s="531">
        <f t="shared" si="13"/>
        <v>0</v>
      </c>
      <c r="AU22" s="532">
        <f t="shared" si="125"/>
        <v>0</v>
      </c>
      <c r="AV22" s="530"/>
      <c r="AW22" s="531">
        <f t="shared" si="14"/>
        <v>0</v>
      </c>
      <c r="AX22" s="532">
        <f t="shared" si="126"/>
        <v>0</v>
      </c>
      <c r="AY22" s="530">
        <v>44.333333333333371</v>
      </c>
      <c r="AZ22" s="531">
        <f t="shared" si="15"/>
        <v>1.272739452052174</v>
      </c>
      <c r="BA22" s="532">
        <f t="shared" si="127"/>
        <v>0</v>
      </c>
      <c r="BB22" s="530"/>
      <c r="BC22" s="531">
        <f t="shared" si="16"/>
        <v>0</v>
      </c>
      <c r="BD22" s="532">
        <f t="shared" si="128"/>
        <v>0</v>
      </c>
      <c r="BE22" s="530"/>
      <c r="BF22" s="531">
        <f t="shared" si="17"/>
        <v>0</v>
      </c>
      <c r="BG22" s="532">
        <f t="shared" si="129"/>
        <v>0</v>
      </c>
      <c r="BH22" s="530"/>
      <c r="BI22" s="531">
        <f t="shared" si="18"/>
        <v>0</v>
      </c>
      <c r="BJ22" s="532">
        <f t="shared" si="130"/>
        <v>0</v>
      </c>
      <c r="BK22" s="530"/>
      <c r="BL22" s="531">
        <f t="shared" si="19"/>
        <v>0</v>
      </c>
      <c r="BM22" s="532">
        <f t="shared" si="131"/>
        <v>0</v>
      </c>
      <c r="BN22" s="530"/>
      <c r="BO22" s="531">
        <f t="shared" si="20"/>
        <v>0</v>
      </c>
      <c r="BP22" s="532">
        <f t="shared" si="132"/>
        <v>0</v>
      </c>
      <c r="BQ22" s="530"/>
      <c r="BR22" s="531">
        <f t="shared" si="21"/>
        <v>0</v>
      </c>
      <c r="BS22" s="532">
        <f t="shared" si="133"/>
        <v>0</v>
      </c>
      <c r="BT22" s="530"/>
      <c r="BU22" s="531">
        <f t="shared" si="22"/>
        <v>0</v>
      </c>
      <c r="BV22" s="532">
        <f t="shared" si="134"/>
        <v>0</v>
      </c>
      <c r="BW22" s="530"/>
      <c r="BX22" s="531">
        <f t="shared" si="23"/>
        <v>0</v>
      </c>
      <c r="BY22" s="532">
        <f t="shared" si="135"/>
        <v>0</v>
      </c>
      <c r="BZ22" s="530"/>
      <c r="CA22" s="531">
        <f t="shared" si="24"/>
        <v>0</v>
      </c>
      <c r="CB22" s="532">
        <f t="shared" si="136"/>
        <v>0</v>
      </c>
      <c r="CC22" s="530"/>
      <c r="CD22" s="531">
        <f t="shared" si="25"/>
        <v>0</v>
      </c>
      <c r="CE22" s="532">
        <f t="shared" si="137"/>
        <v>0</v>
      </c>
      <c r="CF22" s="530">
        <v>0.5</v>
      </c>
      <c r="CG22" s="531">
        <f t="shared" si="26"/>
        <v>1.4354204346453077E-2</v>
      </c>
      <c r="CH22" s="532">
        <f t="shared" si="138"/>
        <v>0</v>
      </c>
      <c r="CI22" s="530"/>
      <c r="CJ22" s="531">
        <f t="shared" si="27"/>
        <v>0</v>
      </c>
      <c r="CK22" s="532">
        <f t="shared" si="139"/>
        <v>0</v>
      </c>
      <c r="CL22" s="530"/>
      <c r="CM22" s="531">
        <f t="shared" si="28"/>
        <v>0</v>
      </c>
      <c r="CN22" s="532">
        <f t="shared" si="140"/>
        <v>0</v>
      </c>
      <c r="CO22" s="530"/>
      <c r="CP22" s="531">
        <f t="shared" si="29"/>
        <v>0</v>
      </c>
      <c r="CQ22" s="532">
        <f t="shared" si="141"/>
        <v>0</v>
      </c>
      <c r="CR22" s="530"/>
      <c r="CS22" s="531">
        <f t="shared" si="30"/>
        <v>0</v>
      </c>
      <c r="CT22" s="532">
        <f t="shared" si="142"/>
        <v>0</v>
      </c>
      <c r="CU22" s="530"/>
      <c r="CV22" s="531">
        <f t="shared" si="31"/>
        <v>0</v>
      </c>
      <c r="CW22" s="532">
        <f t="shared" si="143"/>
        <v>0</v>
      </c>
      <c r="CX22" s="530"/>
      <c r="CY22" s="531">
        <f t="shared" si="32"/>
        <v>0</v>
      </c>
      <c r="CZ22" s="532">
        <f t="shared" si="144"/>
        <v>0</v>
      </c>
      <c r="DA22" s="530"/>
      <c r="DB22" s="531">
        <f t="shared" si="33"/>
        <v>0</v>
      </c>
      <c r="DC22" s="532">
        <f t="shared" si="145"/>
        <v>0</v>
      </c>
      <c r="DD22" s="530"/>
      <c r="DE22" s="531">
        <f t="shared" si="34"/>
        <v>0</v>
      </c>
      <c r="DF22" s="532">
        <f t="shared" si="146"/>
        <v>0</v>
      </c>
      <c r="DG22" s="530"/>
      <c r="DH22" s="531">
        <f t="shared" si="35"/>
        <v>0</v>
      </c>
      <c r="DI22" s="532">
        <f t="shared" si="203"/>
        <v>0</v>
      </c>
      <c r="DJ22" s="530"/>
      <c r="DK22" s="531">
        <f t="shared" si="36"/>
        <v>0</v>
      </c>
      <c r="DL22" s="532">
        <f t="shared" si="147"/>
        <v>0</v>
      </c>
      <c r="DM22" s="530"/>
      <c r="DN22" s="531">
        <f t="shared" si="37"/>
        <v>0</v>
      </c>
      <c r="DO22" s="532">
        <f t="shared" si="148"/>
        <v>0</v>
      </c>
      <c r="DP22" s="530"/>
      <c r="DQ22" s="531">
        <f t="shared" si="38"/>
        <v>0</v>
      </c>
      <c r="DR22" s="532">
        <f t="shared" si="149"/>
        <v>0</v>
      </c>
      <c r="DS22" s="530"/>
      <c r="DT22" s="531">
        <f t="shared" si="39"/>
        <v>0</v>
      </c>
      <c r="DU22" s="532">
        <f t="shared" si="150"/>
        <v>0</v>
      </c>
      <c r="DV22" s="530"/>
      <c r="DW22" s="531">
        <f t="shared" si="40"/>
        <v>0</v>
      </c>
      <c r="DX22" s="532">
        <f t="shared" si="151"/>
        <v>0</v>
      </c>
      <c r="DY22" s="530"/>
      <c r="DZ22" s="531">
        <f t="shared" si="41"/>
        <v>0</v>
      </c>
      <c r="EA22" s="532">
        <f t="shared" si="152"/>
        <v>0</v>
      </c>
      <c r="EB22" s="530"/>
      <c r="EC22" s="531">
        <f t="shared" si="42"/>
        <v>0</v>
      </c>
      <c r="ED22" s="532">
        <f t="shared" si="153"/>
        <v>0</v>
      </c>
      <c r="EE22" s="530"/>
      <c r="EF22" s="531">
        <f t="shared" si="43"/>
        <v>0</v>
      </c>
      <c r="EG22" s="532">
        <f t="shared" si="154"/>
        <v>0</v>
      </c>
      <c r="EH22" s="530"/>
      <c r="EI22" s="531">
        <f t="shared" si="44"/>
        <v>0</v>
      </c>
      <c r="EJ22" s="532">
        <f t="shared" si="155"/>
        <v>0</v>
      </c>
      <c r="EK22" s="530">
        <v>23.482352941176487</v>
      </c>
      <c r="EL22" s="531">
        <f t="shared" si="45"/>
        <v>0.67414098530636146</v>
      </c>
      <c r="EM22" s="532">
        <f t="shared" si="156"/>
        <v>0</v>
      </c>
      <c r="EN22" s="530"/>
      <c r="EO22" s="531">
        <f t="shared" si="46"/>
        <v>0</v>
      </c>
      <c r="EP22" s="532">
        <f t="shared" si="157"/>
        <v>0</v>
      </c>
      <c r="EQ22" s="530"/>
      <c r="ER22" s="531">
        <f t="shared" si="47"/>
        <v>0</v>
      </c>
      <c r="ES22" s="532">
        <f t="shared" si="158"/>
        <v>0</v>
      </c>
      <c r="ET22" s="530"/>
      <c r="EU22" s="531">
        <f t="shared" si="48"/>
        <v>0</v>
      </c>
      <c r="EV22" s="532">
        <f t="shared" si="159"/>
        <v>0</v>
      </c>
      <c r="EW22" s="530"/>
      <c r="EX22" s="531">
        <f t="shared" si="49"/>
        <v>0</v>
      </c>
      <c r="EY22" s="532">
        <f t="shared" si="160"/>
        <v>0</v>
      </c>
      <c r="EZ22" s="530"/>
      <c r="FA22" s="531">
        <f t="shared" si="50"/>
        <v>0</v>
      </c>
      <c r="FB22" s="532">
        <f t="shared" si="161"/>
        <v>0</v>
      </c>
      <c r="FC22" s="530"/>
      <c r="FD22" s="531">
        <f t="shared" si="51"/>
        <v>0</v>
      </c>
      <c r="FE22" s="532">
        <f t="shared" si="162"/>
        <v>0</v>
      </c>
      <c r="FF22" s="530"/>
      <c r="FG22" s="531">
        <f t="shared" si="52"/>
        <v>0</v>
      </c>
      <c r="FH22" s="532">
        <f t="shared" si="163"/>
        <v>0</v>
      </c>
      <c r="FI22" s="530"/>
      <c r="FJ22" s="531">
        <f t="shared" si="53"/>
        <v>0</v>
      </c>
      <c r="FK22" s="532">
        <f t="shared" si="164"/>
        <v>0</v>
      </c>
      <c r="FL22" s="530"/>
      <c r="FM22" s="531">
        <f t="shared" si="54"/>
        <v>0</v>
      </c>
      <c r="FN22" s="532">
        <f t="shared" si="165"/>
        <v>0</v>
      </c>
      <c r="FO22" s="530"/>
      <c r="FP22" s="531">
        <f t="shared" si="55"/>
        <v>0</v>
      </c>
      <c r="FQ22" s="532">
        <f t="shared" si="166"/>
        <v>0</v>
      </c>
      <c r="FR22" s="530"/>
      <c r="FS22" s="531">
        <f t="shared" si="56"/>
        <v>0</v>
      </c>
      <c r="FT22" s="532">
        <f t="shared" si="167"/>
        <v>0</v>
      </c>
      <c r="FU22" s="530"/>
      <c r="FV22" s="531">
        <f t="shared" si="57"/>
        <v>0</v>
      </c>
      <c r="FW22" s="532">
        <f t="shared" si="168"/>
        <v>0</v>
      </c>
      <c r="FX22" s="530"/>
      <c r="FY22" s="531">
        <f t="shared" si="58"/>
        <v>0</v>
      </c>
      <c r="FZ22" s="532">
        <f t="shared" si="169"/>
        <v>0</v>
      </c>
      <c r="GA22" s="530"/>
      <c r="GB22" s="531">
        <f t="shared" si="59"/>
        <v>0</v>
      </c>
      <c r="GC22" s="532">
        <f t="shared" si="170"/>
        <v>0</v>
      </c>
      <c r="GD22" s="530"/>
      <c r="GE22" s="531">
        <f t="shared" si="60"/>
        <v>0</v>
      </c>
      <c r="GF22" s="532">
        <f t="shared" si="171"/>
        <v>0</v>
      </c>
      <c r="GG22" s="530"/>
      <c r="GH22" s="531">
        <f t="shared" si="61"/>
        <v>0</v>
      </c>
      <c r="GI22" s="532">
        <f t="shared" si="172"/>
        <v>0</v>
      </c>
      <c r="GJ22" s="530"/>
      <c r="GK22" s="531">
        <f t="shared" si="62"/>
        <v>0</v>
      </c>
      <c r="GL22" s="532">
        <f t="shared" si="173"/>
        <v>0</v>
      </c>
      <c r="GM22" s="530"/>
      <c r="GN22" s="531">
        <f t="shared" si="63"/>
        <v>0</v>
      </c>
      <c r="GO22" s="532">
        <f t="shared" si="174"/>
        <v>0</v>
      </c>
      <c r="GP22" s="530"/>
      <c r="GQ22" s="531">
        <f t="shared" si="64"/>
        <v>0</v>
      </c>
      <c r="GR22" s="532">
        <f t="shared" si="175"/>
        <v>0</v>
      </c>
      <c r="GS22" s="530"/>
      <c r="GT22" s="531">
        <f t="shared" si="65"/>
        <v>0</v>
      </c>
      <c r="GU22" s="532">
        <f t="shared" si="176"/>
        <v>0</v>
      </c>
      <c r="GV22" s="530"/>
      <c r="GW22" s="531">
        <f t="shared" si="66"/>
        <v>0</v>
      </c>
      <c r="GX22" s="532">
        <f t="shared" si="177"/>
        <v>0</v>
      </c>
      <c r="GY22" s="530"/>
      <c r="GZ22" s="531">
        <f t="shared" si="67"/>
        <v>0</v>
      </c>
      <c r="HA22" s="532">
        <f t="shared" si="178"/>
        <v>0</v>
      </c>
      <c r="HB22" s="530"/>
      <c r="HC22" s="531">
        <f t="shared" si="68"/>
        <v>0</v>
      </c>
      <c r="HD22" s="532">
        <f t="shared" si="179"/>
        <v>0</v>
      </c>
      <c r="HE22" s="530"/>
      <c r="HF22" s="531">
        <f t="shared" si="69"/>
        <v>0</v>
      </c>
      <c r="HG22" s="532">
        <f t="shared" si="180"/>
        <v>0</v>
      </c>
      <c r="HH22" s="530"/>
      <c r="HI22" s="531">
        <f t="shared" si="70"/>
        <v>0</v>
      </c>
      <c r="HJ22" s="532">
        <f t="shared" si="181"/>
        <v>0</v>
      </c>
      <c r="HK22" s="530"/>
      <c r="HL22" s="531">
        <f t="shared" si="71"/>
        <v>0</v>
      </c>
      <c r="HM22" s="532">
        <f t="shared" si="182"/>
        <v>0</v>
      </c>
      <c r="HN22" s="530"/>
      <c r="HO22" s="531">
        <f t="shared" si="72"/>
        <v>0</v>
      </c>
      <c r="HP22" s="532">
        <f t="shared" si="183"/>
        <v>0</v>
      </c>
      <c r="HQ22" s="530"/>
      <c r="HR22" s="531">
        <f t="shared" si="73"/>
        <v>0</v>
      </c>
      <c r="HS22" s="532">
        <f t="shared" si="184"/>
        <v>0</v>
      </c>
      <c r="HT22" s="530"/>
      <c r="HU22" s="531">
        <f t="shared" si="74"/>
        <v>0</v>
      </c>
      <c r="HV22" s="532">
        <f t="shared" si="185"/>
        <v>0</v>
      </c>
      <c r="HW22" s="530"/>
      <c r="HX22" s="531">
        <f t="shared" si="75"/>
        <v>0</v>
      </c>
      <c r="HY22" s="532">
        <f t="shared" si="186"/>
        <v>0</v>
      </c>
      <c r="HZ22" s="530"/>
      <c r="IA22" s="531">
        <f t="shared" si="76"/>
        <v>0</v>
      </c>
      <c r="IB22" s="532">
        <f t="shared" si="187"/>
        <v>0</v>
      </c>
      <c r="IC22" s="530"/>
      <c r="ID22" s="531">
        <f t="shared" si="77"/>
        <v>0</v>
      </c>
      <c r="IE22" s="532">
        <f t="shared" si="188"/>
        <v>0</v>
      </c>
      <c r="IF22" s="530"/>
      <c r="IG22" s="531">
        <f t="shared" si="78"/>
        <v>0</v>
      </c>
      <c r="IH22" s="532">
        <f t="shared" si="189"/>
        <v>0</v>
      </c>
      <c r="II22" s="530"/>
      <c r="IJ22" s="531">
        <f t="shared" si="79"/>
        <v>0</v>
      </c>
      <c r="IK22" s="532">
        <f t="shared" si="190"/>
        <v>0</v>
      </c>
      <c r="IL22" s="530"/>
      <c r="IM22" s="531">
        <f t="shared" si="80"/>
        <v>0</v>
      </c>
      <c r="IN22" s="532">
        <f t="shared" si="191"/>
        <v>0</v>
      </c>
      <c r="IO22" s="530"/>
      <c r="IP22" s="531">
        <f t="shared" si="81"/>
        <v>0</v>
      </c>
      <c r="IQ22" s="532">
        <f t="shared" si="192"/>
        <v>0</v>
      </c>
      <c r="IR22" s="530"/>
      <c r="IS22" s="531">
        <f t="shared" si="82"/>
        <v>0</v>
      </c>
      <c r="IT22" s="532">
        <f t="shared" si="193"/>
        <v>0</v>
      </c>
      <c r="IU22" s="530"/>
      <c r="IV22" s="531">
        <f t="shared" si="83"/>
        <v>0</v>
      </c>
      <c r="IW22" s="532">
        <f t="shared" si="194"/>
        <v>0</v>
      </c>
      <c r="IX22" s="530"/>
      <c r="IY22" s="531">
        <f t="shared" si="84"/>
        <v>0</v>
      </c>
      <c r="IZ22" s="532">
        <f t="shared" si="195"/>
        <v>0</v>
      </c>
      <c r="JA22" s="530"/>
      <c r="JB22" s="531">
        <f t="shared" si="85"/>
        <v>0</v>
      </c>
      <c r="JC22" s="532">
        <f t="shared" si="196"/>
        <v>0</v>
      </c>
      <c r="JD22" s="530"/>
      <c r="JE22" s="531">
        <f t="shared" si="86"/>
        <v>0</v>
      </c>
      <c r="JF22" s="532">
        <f t="shared" si="197"/>
        <v>0</v>
      </c>
      <c r="JG22" s="530"/>
      <c r="JH22" s="531">
        <f t="shared" si="87"/>
        <v>0</v>
      </c>
      <c r="JI22" s="532">
        <f t="shared" si="198"/>
        <v>0</v>
      </c>
      <c r="JJ22" s="530"/>
      <c r="JK22" s="532" t="str">
        <f t="shared" si="88"/>
        <v>0</v>
      </c>
      <c r="JL22" s="532" t="str">
        <f t="shared" si="89"/>
        <v>0</v>
      </c>
      <c r="JM22" s="530"/>
      <c r="JN22" s="532" t="str">
        <f t="shared" si="90"/>
        <v>0</v>
      </c>
      <c r="JO22" s="532" t="str">
        <f t="shared" si="91"/>
        <v>0</v>
      </c>
      <c r="JP22" s="530"/>
      <c r="JQ22" s="532" t="str">
        <f t="shared" si="92"/>
        <v>0</v>
      </c>
      <c r="JR22" s="532" t="str">
        <f t="shared" si="93"/>
        <v>0</v>
      </c>
      <c r="JS22" s="530"/>
      <c r="JT22" s="532" t="str">
        <f t="shared" si="94"/>
        <v>0</v>
      </c>
      <c r="JU22" s="532" t="str">
        <f t="shared" si="95"/>
        <v>0</v>
      </c>
      <c r="JV22" s="530"/>
      <c r="JW22" s="532" t="str">
        <f t="shared" si="96"/>
        <v>0</v>
      </c>
      <c r="JX22" s="532" t="str">
        <f t="shared" si="97"/>
        <v>0</v>
      </c>
      <c r="JY22" s="530"/>
      <c r="JZ22" s="532" t="str">
        <f t="shared" si="98"/>
        <v>0</v>
      </c>
      <c r="KA22" s="532" t="str">
        <f t="shared" si="99"/>
        <v>0</v>
      </c>
      <c r="KB22" s="530"/>
      <c r="KC22" s="532" t="str">
        <f t="shared" si="100"/>
        <v>0</v>
      </c>
      <c r="KD22" s="532" t="str">
        <f t="shared" si="101"/>
        <v>0</v>
      </c>
      <c r="KE22" s="530"/>
      <c r="KF22" s="532" t="str">
        <f t="shared" si="102"/>
        <v>0</v>
      </c>
      <c r="KG22" s="532" t="str">
        <f t="shared" si="103"/>
        <v>0</v>
      </c>
      <c r="KH22" s="530"/>
      <c r="KI22" s="532" t="str">
        <f t="shared" si="104"/>
        <v>0</v>
      </c>
      <c r="KJ22" s="532" t="str">
        <f t="shared" si="105"/>
        <v>0</v>
      </c>
      <c r="KK22" s="530"/>
      <c r="KL22" s="532" t="str">
        <f t="shared" si="106"/>
        <v>0</v>
      </c>
      <c r="KM22" s="532" t="str">
        <f t="shared" si="107"/>
        <v>0</v>
      </c>
      <c r="KN22" s="530"/>
      <c r="KO22" s="532" t="str">
        <f t="shared" si="108"/>
        <v>0</v>
      </c>
      <c r="KP22" s="532" t="str">
        <f t="shared" si="109"/>
        <v>0</v>
      </c>
      <c r="KQ22" s="530"/>
      <c r="KR22" s="532" t="str">
        <f t="shared" si="110"/>
        <v>0</v>
      </c>
      <c r="KS22" s="532" t="str">
        <f t="shared" si="111"/>
        <v>0</v>
      </c>
      <c r="KT22" s="532">
        <f t="shared" si="201"/>
        <v>0</v>
      </c>
      <c r="KU22" s="532">
        <f t="shared" si="202"/>
        <v>0</v>
      </c>
      <c r="KV22" s="268">
        <f t="shared" si="199"/>
        <v>166.00081285678837</v>
      </c>
    </row>
    <row r="23" spans="1:309">
      <c r="A23" s="269">
        <f t="shared" si="200"/>
        <v>45945</v>
      </c>
      <c r="B23" s="270" t="str">
        <f>+Report1!B23</f>
        <v>Toilet/Facial</v>
      </c>
      <c r="C23" s="270" t="str">
        <f>+Report1!C23</f>
        <v>12,5/12,5</v>
      </c>
      <c r="D23" s="271">
        <f>+Report1!P23</f>
        <v>34.211999999999996</v>
      </c>
      <c r="E23" s="570">
        <f>+Report1!R23</f>
        <v>34.671999999999997</v>
      </c>
      <c r="F23" s="530"/>
      <c r="G23" s="531">
        <f t="shared" si="0"/>
        <v>0</v>
      </c>
      <c r="H23" s="532">
        <f t="shared" si="112"/>
        <v>0</v>
      </c>
      <c r="I23" s="530">
        <v>127.90697674418607</v>
      </c>
      <c r="J23" s="531">
        <f t="shared" si="1"/>
        <v>3.6890567819619888</v>
      </c>
      <c r="K23" s="532">
        <f t="shared" si="113"/>
        <v>0</v>
      </c>
      <c r="L23" s="530"/>
      <c r="M23" s="531">
        <f t="shared" si="2"/>
        <v>0</v>
      </c>
      <c r="N23" s="532">
        <f t="shared" si="114"/>
        <v>0</v>
      </c>
      <c r="O23" s="530">
        <v>2.9999999999999716</v>
      </c>
      <c r="P23" s="531">
        <f t="shared" si="3"/>
        <v>8.6525149976925814E-2</v>
      </c>
      <c r="Q23" s="532">
        <f t="shared" si="115"/>
        <v>0</v>
      </c>
      <c r="R23" s="530"/>
      <c r="S23" s="531">
        <f t="shared" si="4"/>
        <v>0</v>
      </c>
      <c r="T23" s="532">
        <f t="shared" si="116"/>
        <v>0</v>
      </c>
      <c r="U23" s="530">
        <v>2.5624999999999716</v>
      </c>
      <c r="V23" s="531">
        <f t="shared" si="5"/>
        <v>7.390689893862401E-2</v>
      </c>
      <c r="W23" s="532">
        <f t="shared" si="117"/>
        <v>0</v>
      </c>
      <c r="X23" s="530"/>
      <c r="Y23" s="531">
        <f t="shared" si="6"/>
        <v>0</v>
      </c>
      <c r="Z23" s="532">
        <f t="shared" si="118"/>
        <v>0</v>
      </c>
      <c r="AA23" s="530"/>
      <c r="AB23" s="531">
        <f t="shared" si="7"/>
        <v>0</v>
      </c>
      <c r="AC23" s="532">
        <f t="shared" si="119"/>
        <v>0</v>
      </c>
      <c r="AD23" s="530"/>
      <c r="AE23" s="531">
        <f t="shared" si="8"/>
        <v>0</v>
      </c>
      <c r="AF23" s="532">
        <f t="shared" si="120"/>
        <v>0</v>
      </c>
      <c r="AG23" s="530"/>
      <c r="AH23" s="531">
        <f t="shared" si="9"/>
        <v>0</v>
      </c>
      <c r="AI23" s="532">
        <f t="shared" si="121"/>
        <v>0</v>
      </c>
      <c r="AJ23" s="530"/>
      <c r="AK23" s="531">
        <f t="shared" si="10"/>
        <v>0</v>
      </c>
      <c r="AL23" s="532">
        <f t="shared" si="122"/>
        <v>0</v>
      </c>
      <c r="AM23" s="530"/>
      <c r="AN23" s="531">
        <f t="shared" si="11"/>
        <v>0</v>
      </c>
      <c r="AO23" s="532">
        <f t="shared" si="123"/>
        <v>0</v>
      </c>
      <c r="AP23" s="530">
        <v>51.265822784810098</v>
      </c>
      <c r="AQ23" s="531">
        <f t="shared" si="12"/>
        <v>1.4785943350487454</v>
      </c>
      <c r="AR23" s="532">
        <f t="shared" si="124"/>
        <v>0</v>
      </c>
      <c r="AS23" s="530"/>
      <c r="AT23" s="531">
        <f t="shared" si="13"/>
        <v>0</v>
      </c>
      <c r="AU23" s="532">
        <f t="shared" si="125"/>
        <v>0</v>
      </c>
      <c r="AV23" s="530"/>
      <c r="AW23" s="531">
        <f t="shared" si="14"/>
        <v>0</v>
      </c>
      <c r="AX23" s="532">
        <f t="shared" si="126"/>
        <v>0</v>
      </c>
      <c r="AY23" s="530">
        <v>65.333333333333314</v>
      </c>
      <c r="AZ23" s="531">
        <f t="shared" si="15"/>
        <v>1.8843254883864018</v>
      </c>
      <c r="BA23" s="532">
        <f t="shared" si="127"/>
        <v>0</v>
      </c>
      <c r="BB23" s="530"/>
      <c r="BC23" s="531">
        <f t="shared" si="16"/>
        <v>0</v>
      </c>
      <c r="BD23" s="532">
        <f t="shared" si="128"/>
        <v>0</v>
      </c>
      <c r="BE23" s="530"/>
      <c r="BF23" s="531">
        <f t="shared" si="17"/>
        <v>0</v>
      </c>
      <c r="BG23" s="532">
        <f t="shared" si="129"/>
        <v>0</v>
      </c>
      <c r="BH23" s="530"/>
      <c r="BI23" s="531">
        <f t="shared" si="18"/>
        <v>0</v>
      </c>
      <c r="BJ23" s="532">
        <f t="shared" si="130"/>
        <v>0</v>
      </c>
      <c r="BK23" s="530"/>
      <c r="BL23" s="531">
        <f t="shared" si="19"/>
        <v>0</v>
      </c>
      <c r="BM23" s="532">
        <f t="shared" si="131"/>
        <v>0</v>
      </c>
      <c r="BN23" s="530"/>
      <c r="BO23" s="531">
        <f t="shared" si="20"/>
        <v>0</v>
      </c>
      <c r="BP23" s="532">
        <f t="shared" si="132"/>
        <v>0</v>
      </c>
      <c r="BQ23" s="530"/>
      <c r="BR23" s="531">
        <f t="shared" si="21"/>
        <v>0</v>
      </c>
      <c r="BS23" s="532">
        <f t="shared" si="133"/>
        <v>0</v>
      </c>
      <c r="BT23" s="530"/>
      <c r="BU23" s="531">
        <f t="shared" si="22"/>
        <v>0</v>
      </c>
      <c r="BV23" s="532">
        <f t="shared" si="134"/>
        <v>0</v>
      </c>
      <c r="BW23" s="530"/>
      <c r="BX23" s="531">
        <f t="shared" si="23"/>
        <v>0</v>
      </c>
      <c r="BY23" s="532">
        <f t="shared" si="135"/>
        <v>0</v>
      </c>
      <c r="BZ23" s="530"/>
      <c r="CA23" s="531">
        <f t="shared" si="24"/>
        <v>0</v>
      </c>
      <c r="CB23" s="532">
        <f t="shared" si="136"/>
        <v>0</v>
      </c>
      <c r="CC23" s="530"/>
      <c r="CD23" s="531">
        <f t="shared" si="25"/>
        <v>0</v>
      </c>
      <c r="CE23" s="532">
        <f t="shared" si="137"/>
        <v>0</v>
      </c>
      <c r="CF23" s="530">
        <v>0.5</v>
      </c>
      <c r="CG23" s="531">
        <f t="shared" si="26"/>
        <v>1.4420858329487772E-2</v>
      </c>
      <c r="CH23" s="532">
        <f t="shared" si="138"/>
        <v>0</v>
      </c>
      <c r="CI23" s="530"/>
      <c r="CJ23" s="531">
        <f t="shared" si="27"/>
        <v>0</v>
      </c>
      <c r="CK23" s="532">
        <f t="shared" si="139"/>
        <v>0</v>
      </c>
      <c r="CL23" s="530"/>
      <c r="CM23" s="531">
        <f t="shared" si="28"/>
        <v>0</v>
      </c>
      <c r="CN23" s="532">
        <f t="shared" si="140"/>
        <v>0</v>
      </c>
      <c r="CO23" s="530"/>
      <c r="CP23" s="531">
        <f t="shared" si="29"/>
        <v>0</v>
      </c>
      <c r="CQ23" s="532">
        <f t="shared" si="141"/>
        <v>0</v>
      </c>
      <c r="CR23" s="530"/>
      <c r="CS23" s="531">
        <f t="shared" si="30"/>
        <v>0</v>
      </c>
      <c r="CT23" s="532">
        <f t="shared" si="142"/>
        <v>0</v>
      </c>
      <c r="CU23" s="530"/>
      <c r="CV23" s="531">
        <f t="shared" si="31"/>
        <v>0</v>
      </c>
      <c r="CW23" s="532">
        <f t="shared" si="143"/>
        <v>0</v>
      </c>
      <c r="CX23" s="530"/>
      <c r="CY23" s="531">
        <f t="shared" si="32"/>
        <v>0</v>
      </c>
      <c r="CZ23" s="532">
        <f t="shared" si="144"/>
        <v>0</v>
      </c>
      <c r="DA23" s="530"/>
      <c r="DB23" s="531">
        <f t="shared" si="33"/>
        <v>0</v>
      </c>
      <c r="DC23" s="532">
        <f t="shared" si="145"/>
        <v>0</v>
      </c>
      <c r="DD23" s="530"/>
      <c r="DE23" s="531">
        <f t="shared" si="34"/>
        <v>0</v>
      </c>
      <c r="DF23" s="532">
        <f t="shared" si="146"/>
        <v>0</v>
      </c>
      <c r="DG23" s="530"/>
      <c r="DH23" s="531">
        <f t="shared" si="35"/>
        <v>0</v>
      </c>
      <c r="DI23" s="532">
        <f t="shared" si="203"/>
        <v>0</v>
      </c>
      <c r="DJ23" s="530"/>
      <c r="DK23" s="531">
        <f t="shared" si="36"/>
        <v>0</v>
      </c>
      <c r="DL23" s="532">
        <f t="shared" si="147"/>
        <v>0</v>
      </c>
      <c r="DM23" s="530"/>
      <c r="DN23" s="531">
        <f t="shared" si="37"/>
        <v>0</v>
      </c>
      <c r="DO23" s="532">
        <f t="shared" si="148"/>
        <v>0</v>
      </c>
      <c r="DP23" s="530"/>
      <c r="DQ23" s="531">
        <f t="shared" si="38"/>
        <v>0</v>
      </c>
      <c r="DR23" s="532">
        <f t="shared" si="149"/>
        <v>0</v>
      </c>
      <c r="DS23" s="530"/>
      <c r="DT23" s="531">
        <f t="shared" si="39"/>
        <v>0</v>
      </c>
      <c r="DU23" s="532">
        <f t="shared" si="150"/>
        <v>0</v>
      </c>
      <c r="DV23" s="530"/>
      <c r="DW23" s="531">
        <f t="shared" si="40"/>
        <v>0</v>
      </c>
      <c r="DX23" s="532">
        <f t="shared" si="151"/>
        <v>0</v>
      </c>
      <c r="DY23" s="530"/>
      <c r="DZ23" s="531">
        <f t="shared" si="41"/>
        <v>0</v>
      </c>
      <c r="EA23" s="532">
        <f t="shared" si="152"/>
        <v>0</v>
      </c>
      <c r="EB23" s="530"/>
      <c r="EC23" s="531">
        <f t="shared" si="42"/>
        <v>0</v>
      </c>
      <c r="ED23" s="532">
        <f t="shared" si="153"/>
        <v>0</v>
      </c>
      <c r="EE23" s="530"/>
      <c r="EF23" s="531">
        <f t="shared" si="43"/>
        <v>0</v>
      </c>
      <c r="EG23" s="532">
        <f t="shared" si="154"/>
        <v>0</v>
      </c>
      <c r="EH23" s="530"/>
      <c r="EI23" s="531">
        <f t="shared" si="44"/>
        <v>0</v>
      </c>
      <c r="EJ23" s="532">
        <f t="shared" si="155"/>
        <v>0</v>
      </c>
      <c r="EK23" s="530">
        <v>11.741176470588243</v>
      </c>
      <c r="EL23" s="531">
        <f t="shared" si="45"/>
        <v>0.33863568500773661</v>
      </c>
      <c r="EM23" s="532">
        <f t="shared" si="156"/>
        <v>0</v>
      </c>
      <c r="EN23" s="530"/>
      <c r="EO23" s="531">
        <f t="shared" si="46"/>
        <v>0</v>
      </c>
      <c r="EP23" s="532">
        <f t="shared" si="157"/>
        <v>0</v>
      </c>
      <c r="EQ23" s="530"/>
      <c r="ER23" s="531">
        <f t="shared" si="47"/>
        <v>0</v>
      </c>
      <c r="ES23" s="532">
        <f t="shared" si="158"/>
        <v>0</v>
      </c>
      <c r="ET23" s="530"/>
      <c r="EU23" s="531">
        <f t="shared" si="48"/>
        <v>0</v>
      </c>
      <c r="EV23" s="532">
        <f t="shared" si="159"/>
        <v>0</v>
      </c>
      <c r="EW23" s="530"/>
      <c r="EX23" s="531">
        <f t="shared" si="49"/>
        <v>0</v>
      </c>
      <c r="EY23" s="532">
        <f t="shared" si="160"/>
        <v>0</v>
      </c>
      <c r="EZ23" s="530"/>
      <c r="FA23" s="531">
        <f t="shared" si="50"/>
        <v>0</v>
      </c>
      <c r="FB23" s="532">
        <f t="shared" si="161"/>
        <v>0</v>
      </c>
      <c r="FC23" s="530"/>
      <c r="FD23" s="531">
        <f t="shared" si="51"/>
        <v>0</v>
      </c>
      <c r="FE23" s="532">
        <f t="shared" si="162"/>
        <v>0</v>
      </c>
      <c r="FF23" s="530"/>
      <c r="FG23" s="531">
        <f t="shared" si="52"/>
        <v>0</v>
      </c>
      <c r="FH23" s="532">
        <f t="shared" si="163"/>
        <v>0</v>
      </c>
      <c r="FI23" s="530"/>
      <c r="FJ23" s="531">
        <f t="shared" si="53"/>
        <v>0</v>
      </c>
      <c r="FK23" s="532">
        <f t="shared" si="164"/>
        <v>0</v>
      </c>
      <c r="FL23" s="530"/>
      <c r="FM23" s="531">
        <f t="shared" si="54"/>
        <v>0</v>
      </c>
      <c r="FN23" s="532">
        <f t="shared" si="165"/>
        <v>0</v>
      </c>
      <c r="FO23" s="530"/>
      <c r="FP23" s="531">
        <f t="shared" si="55"/>
        <v>0</v>
      </c>
      <c r="FQ23" s="532">
        <f t="shared" si="166"/>
        <v>0</v>
      </c>
      <c r="FR23" s="530"/>
      <c r="FS23" s="531">
        <f t="shared" si="56"/>
        <v>0</v>
      </c>
      <c r="FT23" s="532">
        <f t="shared" si="167"/>
        <v>0</v>
      </c>
      <c r="FU23" s="530"/>
      <c r="FV23" s="531">
        <f t="shared" si="57"/>
        <v>0</v>
      </c>
      <c r="FW23" s="532">
        <f t="shared" si="168"/>
        <v>0</v>
      </c>
      <c r="FX23" s="530"/>
      <c r="FY23" s="531">
        <f t="shared" si="58"/>
        <v>0</v>
      </c>
      <c r="FZ23" s="532">
        <f t="shared" si="169"/>
        <v>0</v>
      </c>
      <c r="GA23" s="530"/>
      <c r="GB23" s="531">
        <f t="shared" si="59"/>
        <v>0</v>
      </c>
      <c r="GC23" s="532">
        <f t="shared" si="170"/>
        <v>0</v>
      </c>
      <c r="GD23" s="530"/>
      <c r="GE23" s="531">
        <f t="shared" si="60"/>
        <v>0</v>
      </c>
      <c r="GF23" s="532">
        <f t="shared" si="171"/>
        <v>0</v>
      </c>
      <c r="GG23" s="530"/>
      <c r="GH23" s="531">
        <f t="shared" si="61"/>
        <v>0</v>
      </c>
      <c r="GI23" s="532">
        <f t="shared" si="172"/>
        <v>0</v>
      </c>
      <c r="GJ23" s="530"/>
      <c r="GK23" s="531">
        <f t="shared" si="62"/>
        <v>0</v>
      </c>
      <c r="GL23" s="532">
        <f t="shared" si="173"/>
        <v>0</v>
      </c>
      <c r="GM23" s="530"/>
      <c r="GN23" s="531">
        <f t="shared" si="63"/>
        <v>0</v>
      </c>
      <c r="GO23" s="532">
        <f t="shared" si="174"/>
        <v>0</v>
      </c>
      <c r="GP23" s="530"/>
      <c r="GQ23" s="531">
        <f t="shared" si="64"/>
        <v>0</v>
      </c>
      <c r="GR23" s="532">
        <f t="shared" si="175"/>
        <v>0</v>
      </c>
      <c r="GS23" s="530"/>
      <c r="GT23" s="531">
        <f t="shared" si="65"/>
        <v>0</v>
      </c>
      <c r="GU23" s="532">
        <f t="shared" si="176"/>
        <v>0</v>
      </c>
      <c r="GV23" s="530"/>
      <c r="GW23" s="531">
        <f t="shared" si="66"/>
        <v>0</v>
      </c>
      <c r="GX23" s="532">
        <f t="shared" si="177"/>
        <v>0</v>
      </c>
      <c r="GY23" s="530"/>
      <c r="GZ23" s="531">
        <f t="shared" si="67"/>
        <v>0</v>
      </c>
      <c r="HA23" s="532">
        <f t="shared" si="178"/>
        <v>0</v>
      </c>
      <c r="HB23" s="530"/>
      <c r="HC23" s="531">
        <f t="shared" si="68"/>
        <v>0</v>
      </c>
      <c r="HD23" s="532">
        <f t="shared" si="179"/>
        <v>0</v>
      </c>
      <c r="HE23" s="530"/>
      <c r="HF23" s="531">
        <f t="shared" si="69"/>
        <v>0</v>
      </c>
      <c r="HG23" s="532">
        <f t="shared" si="180"/>
        <v>0</v>
      </c>
      <c r="HH23" s="530"/>
      <c r="HI23" s="531">
        <f t="shared" si="70"/>
        <v>0</v>
      </c>
      <c r="HJ23" s="532">
        <f t="shared" si="181"/>
        <v>0</v>
      </c>
      <c r="HK23" s="530"/>
      <c r="HL23" s="531">
        <f t="shared" si="71"/>
        <v>0</v>
      </c>
      <c r="HM23" s="532">
        <f t="shared" si="182"/>
        <v>0</v>
      </c>
      <c r="HN23" s="530"/>
      <c r="HO23" s="531">
        <f t="shared" si="72"/>
        <v>0</v>
      </c>
      <c r="HP23" s="532">
        <f t="shared" si="183"/>
        <v>0</v>
      </c>
      <c r="HQ23" s="530"/>
      <c r="HR23" s="531">
        <f t="shared" si="73"/>
        <v>0</v>
      </c>
      <c r="HS23" s="532">
        <f t="shared" si="184"/>
        <v>0</v>
      </c>
      <c r="HT23" s="530"/>
      <c r="HU23" s="531">
        <f t="shared" si="74"/>
        <v>0</v>
      </c>
      <c r="HV23" s="532">
        <f t="shared" si="185"/>
        <v>0</v>
      </c>
      <c r="HW23" s="530"/>
      <c r="HX23" s="531">
        <f t="shared" si="75"/>
        <v>0</v>
      </c>
      <c r="HY23" s="532">
        <f t="shared" si="186"/>
        <v>0</v>
      </c>
      <c r="HZ23" s="530"/>
      <c r="IA23" s="531">
        <f t="shared" si="76"/>
        <v>0</v>
      </c>
      <c r="IB23" s="532">
        <f t="shared" si="187"/>
        <v>0</v>
      </c>
      <c r="IC23" s="530"/>
      <c r="ID23" s="531">
        <f t="shared" si="77"/>
        <v>0</v>
      </c>
      <c r="IE23" s="532">
        <f t="shared" si="188"/>
        <v>0</v>
      </c>
      <c r="IF23" s="530"/>
      <c r="IG23" s="531">
        <f t="shared" si="78"/>
        <v>0</v>
      </c>
      <c r="IH23" s="532">
        <f t="shared" si="189"/>
        <v>0</v>
      </c>
      <c r="II23" s="530"/>
      <c r="IJ23" s="531">
        <f t="shared" si="79"/>
        <v>0</v>
      </c>
      <c r="IK23" s="532">
        <f t="shared" si="190"/>
        <v>0</v>
      </c>
      <c r="IL23" s="530"/>
      <c r="IM23" s="531">
        <f t="shared" si="80"/>
        <v>0</v>
      </c>
      <c r="IN23" s="532">
        <f t="shared" si="191"/>
        <v>0</v>
      </c>
      <c r="IO23" s="530"/>
      <c r="IP23" s="531">
        <f t="shared" si="81"/>
        <v>0</v>
      </c>
      <c r="IQ23" s="532">
        <f t="shared" si="192"/>
        <v>0</v>
      </c>
      <c r="IR23" s="530"/>
      <c r="IS23" s="531">
        <f t="shared" si="82"/>
        <v>0</v>
      </c>
      <c r="IT23" s="532">
        <f t="shared" si="193"/>
        <v>0</v>
      </c>
      <c r="IU23" s="530"/>
      <c r="IV23" s="531">
        <f t="shared" si="83"/>
        <v>0</v>
      </c>
      <c r="IW23" s="532">
        <f t="shared" si="194"/>
        <v>0</v>
      </c>
      <c r="IX23" s="530"/>
      <c r="IY23" s="531">
        <f t="shared" si="84"/>
        <v>0</v>
      </c>
      <c r="IZ23" s="532">
        <f t="shared" si="195"/>
        <v>0</v>
      </c>
      <c r="JA23" s="530"/>
      <c r="JB23" s="531">
        <f t="shared" si="85"/>
        <v>0</v>
      </c>
      <c r="JC23" s="532">
        <f t="shared" si="196"/>
        <v>0</v>
      </c>
      <c r="JD23" s="530"/>
      <c r="JE23" s="531">
        <f t="shared" si="86"/>
        <v>0</v>
      </c>
      <c r="JF23" s="532">
        <f t="shared" si="197"/>
        <v>0</v>
      </c>
      <c r="JG23" s="530"/>
      <c r="JH23" s="531">
        <f t="shared" si="87"/>
        <v>0</v>
      </c>
      <c r="JI23" s="532">
        <f t="shared" si="198"/>
        <v>0</v>
      </c>
      <c r="JJ23" s="530"/>
      <c r="JK23" s="532" t="str">
        <f t="shared" si="88"/>
        <v>0</v>
      </c>
      <c r="JL23" s="532" t="str">
        <f t="shared" si="89"/>
        <v>0</v>
      </c>
      <c r="JM23" s="530"/>
      <c r="JN23" s="532" t="str">
        <f t="shared" si="90"/>
        <v>0</v>
      </c>
      <c r="JO23" s="532" t="str">
        <f t="shared" si="91"/>
        <v>0</v>
      </c>
      <c r="JP23" s="530"/>
      <c r="JQ23" s="532" t="str">
        <f t="shared" si="92"/>
        <v>0</v>
      </c>
      <c r="JR23" s="532" t="str">
        <f t="shared" si="93"/>
        <v>0</v>
      </c>
      <c r="JS23" s="530"/>
      <c r="JT23" s="532" t="str">
        <f t="shared" si="94"/>
        <v>0</v>
      </c>
      <c r="JU23" s="532" t="str">
        <f t="shared" si="95"/>
        <v>0</v>
      </c>
      <c r="JV23" s="530"/>
      <c r="JW23" s="532" t="str">
        <f t="shared" si="96"/>
        <v>0</v>
      </c>
      <c r="JX23" s="532" t="str">
        <f t="shared" si="97"/>
        <v>0</v>
      </c>
      <c r="JY23" s="530"/>
      <c r="JZ23" s="532" t="str">
        <f t="shared" si="98"/>
        <v>0</v>
      </c>
      <c r="KA23" s="532" t="str">
        <f t="shared" si="99"/>
        <v>0</v>
      </c>
      <c r="KB23" s="530"/>
      <c r="KC23" s="532" t="str">
        <f t="shared" si="100"/>
        <v>0</v>
      </c>
      <c r="KD23" s="532" t="str">
        <f t="shared" si="101"/>
        <v>0</v>
      </c>
      <c r="KE23" s="530"/>
      <c r="KF23" s="532" t="str">
        <f t="shared" si="102"/>
        <v>0</v>
      </c>
      <c r="KG23" s="532" t="str">
        <f t="shared" si="103"/>
        <v>0</v>
      </c>
      <c r="KH23" s="530"/>
      <c r="KI23" s="532" t="str">
        <f t="shared" si="104"/>
        <v>0</v>
      </c>
      <c r="KJ23" s="532" t="str">
        <f t="shared" si="105"/>
        <v>0</v>
      </c>
      <c r="KK23" s="530"/>
      <c r="KL23" s="532" t="str">
        <f t="shared" si="106"/>
        <v>0</v>
      </c>
      <c r="KM23" s="532" t="str">
        <f t="shared" si="107"/>
        <v>0</v>
      </c>
      <c r="KN23" s="530"/>
      <c r="KO23" s="532" t="str">
        <f t="shared" si="108"/>
        <v>0</v>
      </c>
      <c r="KP23" s="532" t="str">
        <f t="shared" si="109"/>
        <v>0</v>
      </c>
      <c r="KQ23" s="530"/>
      <c r="KR23" s="532" t="str">
        <f t="shared" si="110"/>
        <v>0</v>
      </c>
      <c r="KS23" s="532" t="str">
        <f t="shared" si="111"/>
        <v>0</v>
      </c>
      <c r="KT23" s="532">
        <f t="shared" si="201"/>
        <v>0</v>
      </c>
      <c r="KU23" s="532">
        <f t="shared" si="202"/>
        <v>0</v>
      </c>
      <c r="KV23" s="268">
        <f t="shared" si="199"/>
        <v>262.30980933291767</v>
      </c>
    </row>
    <row r="24" spans="1:309">
      <c r="A24" s="269">
        <f t="shared" si="200"/>
        <v>45946</v>
      </c>
      <c r="B24" s="270" t="str">
        <f>+Report1!B24</f>
        <v>Facial</v>
      </c>
      <c r="C24" s="270" t="str">
        <f>+Report1!C24</f>
        <v>12,5/13</v>
      </c>
      <c r="D24" s="271">
        <f>+Report1!P24</f>
        <v>40.344999999999999</v>
      </c>
      <c r="E24" s="570">
        <f>+Report1!R24</f>
        <v>38.429000000000002</v>
      </c>
      <c r="F24" s="530"/>
      <c r="G24" s="531">
        <f t="shared" si="0"/>
        <v>0</v>
      </c>
      <c r="H24" s="532">
        <f t="shared" si="112"/>
        <v>0</v>
      </c>
      <c r="I24" s="530">
        <v>267.44186046511635</v>
      </c>
      <c r="J24" s="531">
        <f t="shared" si="1"/>
        <v>6.9593760041925714</v>
      </c>
      <c r="K24" s="532">
        <f t="shared" si="113"/>
        <v>0</v>
      </c>
      <c r="L24" s="530"/>
      <c r="M24" s="531">
        <f t="shared" si="2"/>
        <v>0</v>
      </c>
      <c r="N24" s="532">
        <f t="shared" si="114"/>
        <v>0</v>
      </c>
      <c r="O24" s="530">
        <v>3</v>
      </c>
      <c r="P24" s="531">
        <f t="shared" si="3"/>
        <v>7.806604387311665E-2</v>
      </c>
      <c r="Q24" s="532">
        <f t="shared" si="115"/>
        <v>0</v>
      </c>
      <c r="R24" s="530"/>
      <c r="S24" s="531">
        <f t="shared" si="4"/>
        <v>0</v>
      </c>
      <c r="T24" s="532">
        <f t="shared" si="116"/>
        <v>0</v>
      </c>
      <c r="U24" s="530">
        <v>2.5625000000000284</v>
      </c>
      <c r="V24" s="531">
        <f t="shared" si="5"/>
        <v>6.6681412474954543E-2</v>
      </c>
      <c r="W24" s="532">
        <f t="shared" si="117"/>
        <v>0</v>
      </c>
      <c r="X24" s="530"/>
      <c r="Y24" s="531">
        <f t="shared" si="6"/>
        <v>0</v>
      </c>
      <c r="Z24" s="532">
        <f t="shared" si="118"/>
        <v>0</v>
      </c>
      <c r="AA24" s="530"/>
      <c r="AB24" s="531">
        <f t="shared" si="7"/>
        <v>0</v>
      </c>
      <c r="AC24" s="532">
        <f t="shared" si="119"/>
        <v>0</v>
      </c>
      <c r="AD24" s="530"/>
      <c r="AE24" s="531">
        <f t="shared" si="8"/>
        <v>0</v>
      </c>
      <c r="AF24" s="532">
        <f t="shared" si="120"/>
        <v>0</v>
      </c>
      <c r="AG24" s="530"/>
      <c r="AH24" s="531">
        <f t="shared" si="9"/>
        <v>0</v>
      </c>
      <c r="AI24" s="532">
        <f t="shared" si="121"/>
        <v>0</v>
      </c>
      <c r="AJ24" s="530"/>
      <c r="AK24" s="531">
        <f t="shared" si="10"/>
        <v>0</v>
      </c>
      <c r="AL24" s="532">
        <f t="shared" si="122"/>
        <v>0</v>
      </c>
      <c r="AM24" s="530"/>
      <c r="AN24" s="531">
        <f t="shared" si="11"/>
        <v>0</v>
      </c>
      <c r="AO24" s="532">
        <f t="shared" si="123"/>
        <v>0</v>
      </c>
      <c r="AP24" s="530">
        <v>48.417721518987378</v>
      </c>
      <c r="AQ24" s="531">
        <f t="shared" si="12"/>
        <v>1.259926657445871</v>
      </c>
      <c r="AR24" s="532">
        <f t="shared" si="124"/>
        <v>0</v>
      </c>
      <c r="AS24" s="530"/>
      <c r="AT24" s="531">
        <f t="shared" si="13"/>
        <v>0</v>
      </c>
      <c r="AU24" s="532">
        <f t="shared" si="125"/>
        <v>0</v>
      </c>
      <c r="AV24" s="530"/>
      <c r="AW24" s="531">
        <f t="shared" si="14"/>
        <v>0</v>
      </c>
      <c r="AX24" s="532">
        <f t="shared" si="126"/>
        <v>0</v>
      </c>
      <c r="AY24" s="530">
        <v>49</v>
      </c>
      <c r="AZ24" s="531">
        <f t="shared" si="15"/>
        <v>1.2750787165942385</v>
      </c>
      <c r="BA24" s="532">
        <f t="shared" si="127"/>
        <v>0</v>
      </c>
      <c r="BB24" s="530"/>
      <c r="BC24" s="531">
        <f t="shared" si="16"/>
        <v>0</v>
      </c>
      <c r="BD24" s="532">
        <f t="shared" si="128"/>
        <v>0</v>
      </c>
      <c r="BE24" s="530"/>
      <c r="BF24" s="531">
        <f t="shared" si="17"/>
        <v>0</v>
      </c>
      <c r="BG24" s="532">
        <f t="shared" si="129"/>
        <v>0</v>
      </c>
      <c r="BH24" s="530"/>
      <c r="BI24" s="531">
        <f t="shared" si="18"/>
        <v>0</v>
      </c>
      <c r="BJ24" s="532">
        <f t="shared" si="130"/>
        <v>0</v>
      </c>
      <c r="BK24" s="530"/>
      <c r="BL24" s="531">
        <f t="shared" si="19"/>
        <v>0</v>
      </c>
      <c r="BM24" s="532">
        <f t="shared" si="131"/>
        <v>0</v>
      </c>
      <c r="BN24" s="530"/>
      <c r="BO24" s="531">
        <f t="shared" si="20"/>
        <v>0</v>
      </c>
      <c r="BP24" s="532">
        <f t="shared" si="132"/>
        <v>0</v>
      </c>
      <c r="BQ24" s="530"/>
      <c r="BR24" s="531">
        <f t="shared" si="21"/>
        <v>0</v>
      </c>
      <c r="BS24" s="532">
        <f t="shared" si="133"/>
        <v>0</v>
      </c>
      <c r="BT24" s="530"/>
      <c r="BU24" s="531">
        <f t="shared" si="22"/>
        <v>0</v>
      </c>
      <c r="BV24" s="532">
        <f t="shared" si="134"/>
        <v>0</v>
      </c>
      <c r="BW24" s="530"/>
      <c r="BX24" s="531">
        <f t="shared" si="23"/>
        <v>0</v>
      </c>
      <c r="BY24" s="532">
        <f t="shared" si="135"/>
        <v>0</v>
      </c>
      <c r="BZ24" s="530"/>
      <c r="CA24" s="531">
        <f t="shared" si="24"/>
        <v>0</v>
      </c>
      <c r="CB24" s="532">
        <f t="shared" si="136"/>
        <v>0</v>
      </c>
      <c r="CC24" s="530"/>
      <c r="CD24" s="531">
        <f t="shared" si="25"/>
        <v>0</v>
      </c>
      <c r="CE24" s="532">
        <f t="shared" si="137"/>
        <v>0</v>
      </c>
      <c r="CF24" s="530">
        <v>0.49999999999999956</v>
      </c>
      <c r="CG24" s="531">
        <f t="shared" si="26"/>
        <v>1.3011007312186098E-2</v>
      </c>
      <c r="CH24" s="532">
        <f t="shared" si="138"/>
        <v>0</v>
      </c>
      <c r="CI24" s="530"/>
      <c r="CJ24" s="531">
        <f t="shared" si="27"/>
        <v>0</v>
      </c>
      <c r="CK24" s="532">
        <f t="shared" si="139"/>
        <v>0</v>
      </c>
      <c r="CL24" s="530"/>
      <c r="CM24" s="531">
        <f t="shared" si="28"/>
        <v>0</v>
      </c>
      <c r="CN24" s="532">
        <f t="shared" si="140"/>
        <v>0</v>
      </c>
      <c r="CO24" s="530"/>
      <c r="CP24" s="531">
        <f t="shared" si="29"/>
        <v>0</v>
      </c>
      <c r="CQ24" s="532">
        <f t="shared" si="141"/>
        <v>0</v>
      </c>
      <c r="CR24" s="530"/>
      <c r="CS24" s="531">
        <f t="shared" si="30"/>
        <v>0</v>
      </c>
      <c r="CT24" s="532">
        <f t="shared" si="142"/>
        <v>0</v>
      </c>
      <c r="CU24" s="530"/>
      <c r="CV24" s="531">
        <f t="shared" si="31"/>
        <v>0</v>
      </c>
      <c r="CW24" s="532">
        <f t="shared" si="143"/>
        <v>0</v>
      </c>
      <c r="CX24" s="530"/>
      <c r="CY24" s="531">
        <f t="shared" si="32"/>
        <v>0</v>
      </c>
      <c r="CZ24" s="532">
        <f t="shared" si="144"/>
        <v>0</v>
      </c>
      <c r="DA24" s="530"/>
      <c r="DB24" s="531">
        <f t="shared" si="33"/>
        <v>0</v>
      </c>
      <c r="DC24" s="532">
        <f t="shared" si="145"/>
        <v>0</v>
      </c>
      <c r="DD24" s="530"/>
      <c r="DE24" s="531">
        <f t="shared" si="34"/>
        <v>0</v>
      </c>
      <c r="DF24" s="532">
        <f t="shared" si="146"/>
        <v>0</v>
      </c>
      <c r="DG24" s="530"/>
      <c r="DH24" s="531">
        <f t="shared" si="35"/>
        <v>0</v>
      </c>
      <c r="DI24" s="532">
        <f t="shared" si="203"/>
        <v>0</v>
      </c>
      <c r="DJ24" s="530"/>
      <c r="DK24" s="531">
        <f t="shared" si="36"/>
        <v>0</v>
      </c>
      <c r="DL24" s="532">
        <f t="shared" si="147"/>
        <v>0</v>
      </c>
      <c r="DM24" s="530"/>
      <c r="DN24" s="531">
        <f t="shared" si="37"/>
        <v>0</v>
      </c>
      <c r="DO24" s="532">
        <f t="shared" si="148"/>
        <v>0</v>
      </c>
      <c r="DP24" s="530"/>
      <c r="DQ24" s="531">
        <f t="shared" si="38"/>
        <v>0</v>
      </c>
      <c r="DR24" s="532">
        <f t="shared" si="149"/>
        <v>0</v>
      </c>
      <c r="DS24" s="530"/>
      <c r="DT24" s="531">
        <f t="shared" si="39"/>
        <v>0</v>
      </c>
      <c r="DU24" s="532">
        <f t="shared" si="150"/>
        <v>0</v>
      </c>
      <c r="DV24" s="530"/>
      <c r="DW24" s="531">
        <f t="shared" si="40"/>
        <v>0</v>
      </c>
      <c r="DX24" s="532">
        <f t="shared" si="151"/>
        <v>0</v>
      </c>
      <c r="DY24" s="530"/>
      <c r="DZ24" s="531">
        <f t="shared" si="41"/>
        <v>0</v>
      </c>
      <c r="EA24" s="532">
        <f t="shared" si="152"/>
        <v>0</v>
      </c>
      <c r="EB24" s="530"/>
      <c r="EC24" s="531">
        <f t="shared" si="42"/>
        <v>0</v>
      </c>
      <c r="ED24" s="532">
        <f t="shared" si="153"/>
        <v>0</v>
      </c>
      <c r="EE24" s="530"/>
      <c r="EF24" s="531">
        <f t="shared" si="43"/>
        <v>0</v>
      </c>
      <c r="EG24" s="532">
        <f t="shared" si="154"/>
        <v>0</v>
      </c>
      <c r="EH24" s="530"/>
      <c r="EI24" s="531">
        <f t="shared" si="44"/>
        <v>0</v>
      </c>
      <c r="EJ24" s="532">
        <f t="shared" si="155"/>
        <v>0</v>
      </c>
      <c r="EK24" s="530">
        <v>11.741176470588243</v>
      </c>
      <c r="EL24" s="531">
        <f t="shared" si="45"/>
        <v>0.30552906582498224</v>
      </c>
      <c r="EM24" s="532">
        <f t="shared" si="156"/>
        <v>0</v>
      </c>
      <c r="EN24" s="530"/>
      <c r="EO24" s="531">
        <f t="shared" si="46"/>
        <v>0</v>
      </c>
      <c r="EP24" s="532">
        <f t="shared" si="157"/>
        <v>0</v>
      </c>
      <c r="EQ24" s="530"/>
      <c r="ER24" s="531">
        <f t="shared" si="47"/>
        <v>0</v>
      </c>
      <c r="ES24" s="532">
        <f t="shared" si="158"/>
        <v>0</v>
      </c>
      <c r="ET24" s="530"/>
      <c r="EU24" s="531">
        <f t="shared" si="48"/>
        <v>0</v>
      </c>
      <c r="EV24" s="532">
        <f t="shared" si="159"/>
        <v>0</v>
      </c>
      <c r="EW24" s="530"/>
      <c r="EX24" s="531">
        <f t="shared" si="49"/>
        <v>0</v>
      </c>
      <c r="EY24" s="532">
        <f t="shared" si="160"/>
        <v>0</v>
      </c>
      <c r="EZ24" s="530"/>
      <c r="FA24" s="531">
        <f t="shared" si="50"/>
        <v>0</v>
      </c>
      <c r="FB24" s="532">
        <f t="shared" si="161"/>
        <v>0</v>
      </c>
      <c r="FC24" s="530"/>
      <c r="FD24" s="531">
        <f t="shared" si="51"/>
        <v>0</v>
      </c>
      <c r="FE24" s="532">
        <f t="shared" si="162"/>
        <v>0</v>
      </c>
      <c r="FF24" s="530"/>
      <c r="FG24" s="531">
        <f t="shared" si="52"/>
        <v>0</v>
      </c>
      <c r="FH24" s="532">
        <f t="shared" si="163"/>
        <v>0</v>
      </c>
      <c r="FI24" s="530"/>
      <c r="FJ24" s="531">
        <f t="shared" si="53"/>
        <v>0</v>
      </c>
      <c r="FK24" s="532">
        <f t="shared" si="164"/>
        <v>0</v>
      </c>
      <c r="FL24" s="530"/>
      <c r="FM24" s="531">
        <f t="shared" si="54"/>
        <v>0</v>
      </c>
      <c r="FN24" s="532">
        <f t="shared" si="165"/>
        <v>0</v>
      </c>
      <c r="FO24" s="530"/>
      <c r="FP24" s="531">
        <f t="shared" si="55"/>
        <v>0</v>
      </c>
      <c r="FQ24" s="532">
        <f t="shared" si="166"/>
        <v>0</v>
      </c>
      <c r="FR24" s="530"/>
      <c r="FS24" s="531">
        <f t="shared" si="56"/>
        <v>0</v>
      </c>
      <c r="FT24" s="532">
        <f t="shared" si="167"/>
        <v>0</v>
      </c>
      <c r="FU24" s="530"/>
      <c r="FV24" s="531">
        <f t="shared" si="57"/>
        <v>0</v>
      </c>
      <c r="FW24" s="532">
        <f t="shared" si="168"/>
        <v>0</v>
      </c>
      <c r="FX24" s="530"/>
      <c r="FY24" s="531">
        <f t="shared" si="58"/>
        <v>0</v>
      </c>
      <c r="FZ24" s="532">
        <f t="shared" si="169"/>
        <v>0</v>
      </c>
      <c r="GA24" s="530"/>
      <c r="GB24" s="531">
        <f t="shared" si="59"/>
        <v>0</v>
      </c>
      <c r="GC24" s="532">
        <f t="shared" si="170"/>
        <v>0</v>
      </c>
      <c r="GD24" s="530"/>
      <c r="GE24" s="531">
        <f t="shared" si="60"/>
        <v>0</v>
      </c>
      <c r="GF24" s="532">
        <f t="shared" si="171"/>
        <v>0</v>
      </c>
      <c r="GG24" s="530"/>
      <c r="GH24" s="531">
        <f t="shared" si="61"/>
        <v>0</v>
      </c>
      <c r="GI24" s="532">
        <f t="shared" si="172"/>
        <v>0</v>
      </c>
      <c r="GJ24" s="530"/>
      <c r="GK24" s="531">
        <f t="shared" si="62"/>
        <v>0</v>
      </c>
      <c r="GL24" s="532">
        <f t="shared" si="173"/>
        <v>0</v>
      </c>
      <c r="GM24" s="530"/>
      <c r="GN24" s="531">
        <f t="shared" si="63"/>
        <v>0</v>
      </c>
      <c r="GO24" s="532">
        <f t="shared" si="174"/>
        <v>0</v>
      </c>
      <c r="GP24" s="530"/>
      <c r="GQ24" s="531">
        <f t="shared" si="64"/>
        <v>0</v>
      </c>
      <c r="GR24" s="532">
        <f t="shared" si="175"/>
        <v>0</v>
      </c>
      <c r="GS24" s="530"/>
      <c r="GT24" s="531">
        <f t="shared" si="65"/>
        <v>0</v>
      </c>
      <c r="GU24" s="532">
        <f t="shared" si="176"/>
        <v>0</v>
      </c>
      <c r="GV24" s="530"/>
      <c r="GW24" s="531">
        <f t="shared" si="66"/>
        <v>0</v>
      </c>
      <c r="GX24" s="532">
        <f t="shared" si="177"/>
        <v>0</v>
      </c>
      <c r="GY24" s="530"/>
      <c r="GZ24" s="531">
        <f t="shared" si="67"/>
        <v>0</v>
      </c>
      <c r="HA24" s="532">
        <f t="shared" si="178"/>
        <v>0</v>
      </c>
      <c r="HB24" s="530"/>
      <c r="HC24" s="531">
        <f t="shared" si="68"/>
        <v>0</v>
      </c>
      <c r="HD24" s="532">
        <f t="shared" si="179"/>
        <v>0</v>
      </c>
      <c r="HE24" s="530"/>
      <c r="HF24" s="531">
        <f t="shared" si="69"/>
        <v>0</v>
      </c>
      <c r="HG24" s="532">
        <f t="shared" si="180"/>
        <v>0</v>
      </c>
      <c r="HH24" s="530"/>
      <c r="HI24" s="531">
        <f t="shared" si="70"/>
        <v>0</v>
      </c>
      <c r="HJ24" s="532">
        <f t="shared" si="181"/>
        <v>0</v>
      </c>
      <c r="HK24" s="530"/>
      <c r="HL24" s="531">
        <f t="shared" si="71"/>
        <v>0</v>
      </c>
      <c r="HM24" s="532">
        <f t="shared" si="182"/>
        <v>0</v>
      </c>
      <c r="HN24" s="530"/>
      <c r="HO24" s="531">
        <f t="shared" si="72"/>
        <v>0</v>
      </c>
      <c r="HP24" s="532">
        <f t="shared" si="183"/>
        <v>0</v>
      </c>
      <c r="HQ24" s="530"/>
      <c r="HR24" s="531">
        <f t="shared" si="73"/>
        <v>0</v>
      </c>
      <c r="HS24" s="532">
        <f t="shared" si="184"/>
        <v>0</v>
      </c>
      <c r="HT24" s="530"/>
      <c r="HU24" s="531">
        <f t="shared" si="74"/>
        <v>0</v>
      </c>
      <c r="HV24" s="532">
        <f t="shared" si="185"/>
        <v>0</v>
      </c>
      <c r="HW24" s="530"/>
      <c r="HX24" s="531">
        <f t="shared" si="75"/>
        <v>0</v>
      </c>
      <c r="HY24" s="532">
        <f t="shared" si="186"/>
        <v>0</v>
      </c>
      <c r="HZ24" s="530"/>
      <c r="IA24" s="531">
        <f t="shared" si="76"/>
        <v>0</v>
      </c>
      <c r="IB24" s="532">
        <f t="shared" si="187"/>
        <v>0</v>
      </c>
      <c r="IC24" s="530"/>
      <c r="ID24" s="531">
        <f t="shared" si="77"/>
        <v>0</v>
      </c>
      <c r="IE24" s="532">
        <f t="shared" si="188"/>
        <v>0</v>
      </c>
      <c r="IF24" s="530"/>
      <c r="IG24" s="531">
        <f t="shared" si="78"/>
        <v>0</v>
      </c>
      <c r="IH24" s="532">
        <f t="shared" si="189"/>
        <v>0</v>
      </c>
      <c r="II24" s="530"/>
      <c r="IJ24" s="531">
        <f t="shared" si="79"/>
        <v>0</v>
      </c>
      <c r="IK24" s="532">
        <f t="shared" si="190"/>
        <v>0</v>
      </c>
      <c r="IL24" s="530"/>
      <c r="IM24" s="531">
        <f t="shared" si="80"/>
        <v>0</v>
      </c>
      <c r="IN24" s="532">
        <f t="shared" si="191"/>
        <v>0</v>
      </c>
      <c r="IO24" s="530"/>
      <c r="IP24" s="531">
        <f t="shared" si="81"/>
        <v>0</v>
      </c>
      <c r="IQ24" s="532">
        <f t="shared" si="192"/>
        <v>0</v>
      </c>
      <c r="IR24" s="530"/>
      <c r="IS24" s="531">
        <f t="shared" si="82"/>
        <v>0</v>
      </c>
      <c r="IT24" s="532">
        <f t="shared" si="193"/>
        <v>0</v>
      </c>
      <c r="IU24" s="530"/>
      <c r="IV24" s="531">
        <f t="shared" si="83"/>
        <v>0</v>
      </c>
      <c r="IW24" s="532">
        <f t="shared" si="194"/>
        <v>0</v>
      </c>
      <c r="IX24" s="530"/>
      <c r="IY24" s="531">
        <f t="shared" si="84"/>
        <v>0</v>
      </c>
      <c r="IZ24" s="532">
        <f t="shared" si="195"/>
        <v>0</v>
      </c>
      <c r="JA24" s="530"/>
      <c r="JB24" s="531">
        <f t="shared" si="85"/>
        <v>0</v>
      </c>
      <c r="JC24" s="532">
        <f t="shared" si="196"/>
        <v>0</v>
      </c>
      <c r="JD24" s="530"/>
      <c r="JE24" s="531">
        <f t="shared" si="86"/>
        <v>0</v>
      </c>
      <c r="JF24" s="532">
        <f t="shared" si="197"/>
        <v>0</v>
      </c>
      <c r="JG24" s="530"/>
      <c r="JH24" s="531">
        <f t="shared" si="87"/>
        <v>0</v>
      </c>
      <c r="JI24" s="532">
        <f t="shared" si="198"/>
        <v>0</v>
      </c>
      <c r="JJ24" s="530"/>
      <c r="JK24" s="532" t="str">
        <f t="shared" si="88"/>
        <v>0</v>
      </c>
      <c r="JL24" s="532" t="str">
        <f t="shared" si="89"/>
        <v>0</v>
      </c>
      <c r="JM24" s="530"/>
      <c r="JN24" s="532" t="str">
        <f t="shared" si="90"/>
        <v>0</v>
      </c>
      <c r="JO24" s="532" t="str">
        <f t="shared" si="91"/>
        <v>0</v>
      </c>
      <c r="JP24" s="530"/>
      <c r="JQ24" s="532" t="str">
        <f t="shared" si="92"/>
        <v>0</v>
      </c>
      <c r="JR24" s="532" t="str">
        <f t="shared" si="93"/>
        <v>0</v>
      </c>
      <c r="JS24" s="530"/>
      <c r="JT24" s="532" t="str">
        <f t="shared" si="94"/>
        <v>0</v>
      </c>
      <c r="JU24" s="532" t="str">
        <f t="shared" si="95"/>
        <v>0</v>
      </c>
      <c r="JV24" s="530"/>
      <c r="JW24" s="532" t="str">
        <f t="shared" si="96"/>
        <v>0</v>
      </c>
      <c r="JX24" s="532" t="str">
        <f t="shared" si="97"/>
        <v>0</v>
      </c>
      <c r="JY24" s="530"/>
      <c r="JZ24" s="532" t="str">
        <f t="shared" si="98"/>
        <v>0</v>
      </c>
      <c r="KA24" s="532" t="str">
        <f t="shared" si="99"/>
        <v>0</v>
      </c>
      <c r="KB24" s="530"/>
      <c r="KC24" s="532" t="str">
        <f t="shared" si="100"/>
        <v>0</v>
      </c>
      <c r="KD24" s="532" t="str">
        <f t="shared" si="101"/>
        <v>0</v>
      </c>
      <c r="KE24" s="530"/>
      <c r="KF24" s="532" t="str">
        <f t="shared" si="102"/>
        <v>0</v>
      </c>
      <c r="KG24" s="532" t="str">
        <f t="shared" si="103"/>
        <v>0</v>
      </c>
      <c r="KH24" s="530"/>
      <c r="KI24" s="532" t="str">
        <f t="shared" si="104"/>
        <v>0</v>
      </c>
      <c r="KJ24" s="532" t="str">
        <f t="shared" si="105"/>
        <v>0</v>
      </c>
      <c r="KK24" s="530"/>
      <c r="KL24" s="532" t="str">
        <f t="shared" si="106"/>
        <v>0</v>
      </c>
      <c r="KM24" s="532" t="str">
        <f t="shared" si="107"/>
        <v>0</v>
      </c>
      <c r="KN24" s="530"/>
      <c r="KO24" s="532" t="str">
        <f t="shared" si="108"/>
        <v>0</v>
      </c>
      <c r="KP24" s="532" t="str">
        <f t="shared" si="109"/>
        <v>0</v>
      </c>
      <c r="KQ24" s="530"/>
      <c r="KR24" s="532" t="str">
        <f t="shared" si="110"/>
        <v>0</v>
      </c>
      <c r="KS24" s="532" t="str">
        <f t="shared" si="111"/>
        <v>0</v>
      </c>
      <c r="KT24" s="532">
        <f t="shared" si="201"/>
        <v>0</v>
      </c>
      <c r="KU24" s="532">
        <f t="shared" si="202"/>
        <v>0</v>
      </c>
      <c r="KV24" s="268">
        <f t="shared" si="199"/>
        <v>382.66325845469203</v>
      </c>
    </row>
    <row r="25" spans="1:309">
      <c r="A25" s="269">
        <f t="shared" si="200"/>
        <v>45947</v>
      </c>
      <c r="B25" s="270" t="str">
        <f>+Report1!B25</f>
        <v>Facial</v>
      </c>
      <c r="C25" s="270" t="str">
        <f>+Report1!C25</f>
        <v>13/11/12</v>
      </c>
      <c r="D25" s="271">
        <f>+Report1!P25</f>
        <v>37.143000000000001</v>
      </c>
      <c r="E25" s="570">
        <f>+Report1!R25</f>
        <v>35.892000000000003</v>
      </c>
      <c r="F25" s="530"/>
      <c r="G25" s="531">
        <f t="shared" si="0"/>
        <v>0</v>
      </c>
      <c r="H25" s="532">
        <f t="shared" si="112"/>
        <v>0</v>
      </c>
      <c r="I25" s="530">
        <v>209.30232558139528</v>
      </c>
      <c r="J25" s="531">
        <f t="shared" si="1"/>
        <v>5.8314478318676937</v>
      </c>
      <c r="K25" s="532">
        <f t="shared" si="113"/>
        <v>0</v>
      </c>
      <c r="L25" s="530"/>
      <c r="M25" s="531">
        <f t="shared" si="2"/>
        <v>0</v>
      </c>
      <c r="N25" s="532">
        <f t="shared" si="114"/>
        <v>0</v>
      </c>
      <c r="O25" s="530">
        <v>3.0000000000000284</v>
      </c>
      <c r="P25" s="531">
        <f t="shared" si="3"/>
        <v>8.3584085590104426E-2</v>
      </c>
      <c r="Q25" s="532">
        <f t="shared" si="115"/>
        <v>0</v>
      </c>
      <c r="R25" s="530"/>
      <c r="S25" s="531">
        <f t="shared" si="4"/>
        <v>0</v>
      </c>
      <c r="T25" s="532">
        <f t="shared" si="116"/>
        <v>0</v>
      </c>
      <c r="U25" s="530">
        <v>2.5625</v>
      </c>
      <c r="V25" s="531">
        <f t="shared" si="5"/>
        <v>7.1394739774880187E-2</v>
      </c>
      <c r="W25" s="532">
        <f t="shared" si="117"/>
        <v>0</v>
      </c>
      <c r="X25" s="530"/>
      <c r="Y25" s="531">
        <f t="shared" si="6"/>
        <v>0</v>
      </c>
      <c r="Z25" s="532">
        <f t="shared" si="118"/>
        <v>0</v>
      </c>
      <c r="AA25" s="530"/>
      <c r="AB25" s="531">
        <f t="shared" si="7"/>
        <v>0</v>
      </c>
      <c r="AC25" s="532">
        <f t="shared" si="119"/>
        <v>0</v>
      </c>
      <c r="AD25" s="530"/>
      <c r="AE25" s="531">
        <f t="shared" si="8"/>
        <v>0</v>
      </c>
      <c r="AF25" s="532">
        <f t="shared" si="120"/>
        <v>0</v>
      </c>
      <c r="AG25" s="530"/>
      <c r="AH25" s="531">
        <f t="shared" si="9"/>
        <v>0</v>
      </c>
      <c r="AI25" s="532">
        <f t="shared" si="121"/>
        <v>0</v>
      </c>
      <c r="AJ25" s="530"/>
      <c r="AK25" s="531">
        <f t="shared" si="10"/>
        <v>0</v>
      </c>
      <c r="AL25" s="532">
        <f t="shared" si="122"/>
        <v>0</v>
      </c>
      <c r="AM25" s="530"/>
      <c r="AN25" s="531">
        <f t="shared" si="11"/>
        <v>0</v>
      </c>
      <c r="AO25" s="532">
        <f t="shared" si="123"/>
        <v>0</v>
      </c>
      <c r="AP25" s="530">
        <v>51.265822784810098</v>
      </c>
      <c r="AQ25" s="531">
        <f t="shared" si="12"/>
        <v>1.4283356398308842</v>
      </c>
      <c r="AR25" s="532">
        <f t="shared" si="124"/>
        <v>0</v>
      </c>
      <c r="AS25" s="530"/>
      <c r="AT25" s="531">
        <f t="shared" si="13"/>
        <v>0</v>
      </c>
      <c r="AU25" s="532">
        <f t="shared" si="125"/>
        <v>0</v>
      </c>
      <c r="AV25" s="530"/>
      <c r="AW25" s="531">
        <f t="shared" si="14"/>
        <v>0</v>
      </c>
      <c r="AX25" s="532">
        <f t="shared" si="126"/>
        <v>0</v>
      </c>
      <c r="AY25" s="530">
        <v>58.333333333333329</v>
      </c>
      <c r="AZ25" s="531">
        <f t="shared" si="15"/>
        <v>1.6252461086964596</v>
      </c>
      <c r="BA25" s="532">
        <f t="shared" si="127"/>
        <v>0</v>
      </c>
      <c r="BB25" s="530"/>
      <c r="BC25" s="531">
        <f t="shared" si="16"/>
        <v>0</v>
      </c>
      <c r="BD25" s="532">
        <f t="shared" si="128"/>
        <v>0</v>
      </c>
      <c r="BE25" s="530"/>
      <c r="BF25" s="531">
        <f t="shared" si="17"/>
        <v>0</v>
      </c>
      <c r="BG25" s="532">
        <f t="shared" si="129"/>
        <v>0</v>
      </c>
      <c r="BH25" s="530"/>
      <c r="BI25" s="531">
        <f t="shared" si="18"/>
        <v>0</v>
      </c>
      <c r="BJ25" s="532">
        <f t="shared" si="130"/>
        <v>0</v>
      </c>
      <c r="BK25" s="530"/>
      <c r="BL25" s="531">
        <f t="shared" si="19"/>
        <v>0</v>
      </c>
      <c r="BM25" s="532">
        <f t="shared" si="131"/>
        <v>0</v>
      </c>
      <c r="BN25" s="530"/>
      <c r="BO25" s="531">
        <f t="shared" si="20"/>
        <v>0</v>
      </c>
      <c r="BP25" s="532">
        <f t="shared" si="132"/>
        <v>0</v>
      </c>
      <c r="BQ25" s="530"/>
      <c r="BR25" s="531">
        <f t="shared" si="21"/>
        <v>0</v>
      </c>
      <c r="BS25" s="532">
        <f t="shared" si="133"/>
        <v>0</v>
      </c>
      <c r="BT25" s="530"/>
      <c r="BU25" s="531">
        <f t="shared" si="22"/>
        <v>0</v>
      </c>
      <c r="BV25" s="532">
        <f t="shared" si="134"/>
        <v>0</v>
      </c>
      <c r="BW25" s="530"/>
      <c r="BX25" s="531">
        <f t="shared" si="23"/>
        <v>0</v>
      </c>
      <c r="BY25" s="532">
        <f t="shared" si="135"/>
        <v>0</v>
      </c>
      <c r="BZ25" s="530"/>
      <c r="CA25" s="531">
        <f t="shared" si="24"/>
        <v>0</v>
      </c>
      <c r="CB25" s="532">
        <f t="shared" si="136"/>
        <v>0</v>
      </c>
      <c r="CC25" s="530"/>
      <c r="CD25" s="531">
        <f t="shared" si="25"/>
        <v>0</v>
      </c>
      <c r="CE25" s="532">
        <f t="shared" si="137"/>
        <v>0</v>
      </c>
      <c r="CF25" s="530">
        <v>0.5</v>
      </c>
      <c r="CG25" s="531">
        <f t="shared" si="26"/>
        <v>1.3930680931683939E-2</v>
      </c>
      <c r="CH25" s="532">
        <f t="shared" si="138"/>
        <v>0</v>
      </c>
      <c r="CI25" s="530"/>
      <c r="CJ25" s="531">
        <f t="shared" si="27"/>
        <v>0</v>
      </c>
      <c r="CK25" s="532">
        <f t="shared" si="139"/>
        <v>0</v>
      </c>
      <c r="CL25" s="530"/>
      <c r="CM25" s="531">
        <f t="shared" si="28"/>
        <v>0</v>
      </c>
      <c r="CN25" s="532">
        <f t="shared" si="140"/>
        <v>0</v>
      </c>
      <c r="CO25" s="530"/>
      <c r="CP25" s="531">
        <f t="shared" si="29"/>
        <v>0</v>
      </c>
      <c r="CQ25" s="532">
        <f t="shared" si="141"/>
        <v>0</v>
      </c>
      <c r="CR25" s="530"/>
      <c r="CS25" s="531">
        <f t="shared" si="30"/>
        <v>0</v>
      </c>
      <c r="CT25" s="532">
        <f t="shared" si="142"/>
        <v>0</v>
      </c>
      <c r="CU25" s="530"/>
      <c r="CV25" s="531">
        <f t="shared" si="31"/>
        <v>0</v>
      </c>
      <c r="CW25" s="532">
        <f t="shared" si="143"/>
        <v>0</v>
      </c>
      <c r="CX25" s="530"/>
      <c r="CY25" s="531">
        <f t="shared" si="32"/>
        <v>0</v>
      </c>
      <c r="CZ25" s="532">
        <f t="shared" si="144"/>
        <v>0</v>
      </c>
      <c r="DA25" s="530"/>
      <c r="DB25" s="531">
        <f t="shared" si="33"/>
        <v>0</v>
      </c>
      <c r="DC25" s="532">
        <f t="shared" si="145"/>
        <v>0</v>
      </c>
      <c r="DD25" s="530"/>
      <c r="DE25" s="531">
        <f t="shared" si="34"/>
        <v>0</v>
      </c>
      <c r="DF25" s="532">
        <f t="shared" si="146"/>
        <v>0</v>
      </c>
      <c r="DG25" s="530"/>
      <c r="DH25" s="531">
        <f t="shared" si="35"/>
        <v>0</v>
      </c>
      <c r="DI25" s="532">
        <f t="shared" si="203"/>
        <v>0</v>
      </c>
      <c r="DJ25" s="530"/>
      <c r="DK25" s="531">
        <f t="shared" si="36"/>
        <v>0</v>
      </c>
      <c r="DL25" s="532">
        <f t="shared" si="147"/>
        <v>0</v>
      </c>
      <c r="DM25" s="530"/>
      <c r="DN25" s="531">
        <f t="shared" si="37"/>
        <v>0</v>
      </c>
      <c r="DO25" s="532">
        <f t="shared" si="148"/>
        <v>0</v>
      </c>
      <c r="DP25" s="530"/>
      <c r="DQ25" s="531">
        <f t="shared" si="38"/>
        <v>0</v>
      </c>
      <c r="DR25" s="532">
        <f t="shared" si="149"/>
        <v>0</v>
      </c>
      <c r="DS25" s="530"/>
      <c r="DT25" s="531">
        <f t="shared" si="39"/>
        <v>0</v>
      </c>
      <c r="DU25" s="532">
        <f t="shared" si="150"/>
        <v>0</v>
      </c>
      <c r="DV25" s="530"/>
      <c r="DW25" s="531">
        <f t="shared" si="40"/>
        <v>0</v>
      </c>
      <c r="DX25" s="532">
        <f t="shared" si="151"/>
        <v>0</v>
      </c>
      <c r="DY25" s="530"/>
      <c r="DZ25" s="531">
        <f t="shared" si="41"/>
        <v>0</v>
      </c>
      <c r="EA25" s="532">
        <f t="shared" si="152"/>
        <v>0</v>
      </c>
      <c r="EB25" s="530"/>
      <c r="EC25" s="531">
        <f t="shared" si="42"/>
        <v>0</v>
      </c>
      <c r="ED25" s="532">
        <f t="shared" si="153"/>
        <v>0</v>
      </c>
      <c r="EE25" s="530"/>
      <c r="EF25" s="531">
        <f t="shared" si="43"/>
        <v>0</v>
      </c>
      <c r="EG25" s="532">
        <f t="shared" si="154"/>
        <v>0</v>
      </c>
      <c r="EH25" s="530"/>
      <c r="EI25" s="531">
        <f t="shared" si="44"/>
        <v>0</v>
      </c>
      <c r="EJ25" s="532">
        <f t="shared" si="155"/>
        <v>0</v>
      </c>
      <c r="EK25" s="530">
        <v>11.741176470588243</v>
      </c>
      <c r="EL25" s="531">
        <f t="shared" si="45"/>
        <v>0.32712516634871958</v>
      </c>
      <c r="EM25" s="532">
        <f t="shared" si="156"/>
        <v>0</v>
      </c>
      <c r="EN25" s="530"/>
      <c r="EO25" s="531">
        <f t="shared" si="46"/>
        <v>0</v>
      </c>
      <c r="EP25" s="532">
        <f t="shared" si="157"/>
        <v>0</v>
      </c>
      <c r="EQ25" s="530"/>
      <c r="ER25" s="531">
        <f t="shared" si="47"/>
        <v>0</v>
      </c>
      <c r="ES25" s="532">
        <f t="shared" si="158"/>
        <v>0</v>
      </c>
      <c r="ET25" s="530"/>
      <c r="EU25" s="531">
        <f t="shared" si="48"/>
        <v>0</v>
      </c>
      <c r="EV25" s="532">
        <f t="shared" si="159"/>
        <v>0</v>
      </c>
      <c r="EW25" s="530"/>
      <c r="EX25" s="531">
        <f t="shared" si="49"/>
        <v>0</v>
      </c>
      <c r="EY25" s="532">
        <f t="shared" si="160"/>
        <v>0</v>
      </c>
      <c r="EZ25" s="530"/>
      <c r="FA25" s="531">
        <f t="shared" si="50"/>
        <v>0</v>
      </c>
      <c r="FB25" s="532">
        <f t="shared" si="161"/>
        <v>0</v>
      </c>
      <c r="FC25" s="530"/>
      <c r="FD25" s="531">
        <f t="shared" si="51"/>
        <v>0</v>
      </c>
      <c r="FE25" s="532">
        <f t="shared" si="162"/>
        <v>0</v>
      </c>
      <c r="FF25" s="530"/>
      <c r="FG25" s="531">
        <f t="shared" si="52"/>
        <v>0</v>
      </c>
      <c r="FH25" s="532">
        <f t="shared" si="163"/>
        <v>0</v>
      </c>
      <c r="FI25" s="530"/>
      <c r="FJ25" s="531">
        <f t="shared" si="53"/>
        <v>0</v>
      </c>
      <c r="FK25" s="532">
        <f t="shared" si="164"/>
        <v>0</v>
      </c>
      <c r="FL25" s="530"/>
      <c r="FM25" s="531">
        <f t="shared" si="54"/>
        <v>0</v>
      </c>
      <c r="FN25" s="532">
        <f t="shared" si="165"/>
        <v>0</v>
      </c>
      <c r="FO25" s="530"/>
      <c r="FP25" s="531">
        <f t="shared" si="55"/>
        <v>0</v>
      </c>
      <c r="FQ25" s="532">
        <f t="shared" si="166"/>
        <v>0</v>
      </c>
      <c r="FR25" s="530"/>
      <c r="FS25" s="531">
        <f t="shared" si="56"/>
        <v>0</v>
      </c>
      <c r="FT25" s="532">
        <f t="shared" si="167"/>
        <v>0</v>
      </c>
      <c r="FU25" s="530"/>
      <c r="FV25" s="531">
        <f t="shared" si="57"/>
        <v>0</v>
      </c>
      <c r="FW25" s="532">
        <f t="shared" si="168"/>
        <v>0</v>
      </c>
      <c r="FX25" s="530"/>
      <c r="FY25" s="531">
        <f t="shared" si="58"/>
        <v>0</v>
      </c>
      <c r="FZ25" s="532">
        <f t="shared" si="169"/>
        <v>0</v>
      </c>
      <c r="GA25" s="530"/>
      <c r="GB25" s="531">
        <f t="shared" si="59"/>
        <v>0</v>
      </c>
      <c r="GC25" s="532">
        <f t="shared" si="170"/>
        <v>0</v>
      </c>
      <c r="GD25" s="530"/>
      <c r="GE25" s="531">
        <f t="shared" si="60"/>
        <v>0</v>
      </c>
      <c r="GF25" s="532">
        <f t="shared" si="171"/>
        <v>0</v>
      </c>
      <c r="GG25" s="530"/>
      <c r="GH25" s="531">
        <f t="shared" si="61"/>
        <v>0</v>
      </c>
      <c r="GI25" s="532">
        <f t="shared" si="172"/>
        <v>0</v>
      </c>
      <c r="GJ25" s="530"/>
      <c r="GK25" s="531">
        <f t="shared" si="62"/>
        <v>0</v>
      </c>
      <c r="GL25" s="532">
        <f t="shared" si="173"/>
        <v>0</v>
      </c>
      <c r="GM25" s="530"/>
      <c r="GN25" s="531">
        <f t="shared" si="63"/>
        <v>0</v>
      </c>
      <c r="GO25" s="532">
        <f t="shared" si="174"/>
        <v>0</v>
      </c>
      <c r="GP25" s="530"/>
      <c r="GQ25" s="531">
        <f t="shared" si="64"/>
        <v>0</v>
      </c>
      <c r="GR25" s="532">
        <f t="shared" si="175"/>
        <v>0</v>
      </c>
      <c r="GS25" s="530"/>
      <c r="GT25" s="531">
        <f t="shared" si="65"/>
        <v>0</v>
      </c>
      <c r="GU25" s="532">
        <f t="shared" si="176"/>
        <v>0</v>
      </c>
      <c r="GV25" s="530"/>
      <c r="GW25" s="531">
        <f t="shared" si="66"/>
        <v>0</v>
      </c>
      <c r="GX25" s="532">
        <f t="shared" si="177"/>
        <v>0</v>
      </c>
      <c r="GY25" s="530"/>
      <c r="GZ25" s="531">
        <f t="shared" si="67"/>
        <v>0</v>
      </c>
      <c r="HA25" s="532">
        <f t="shared" si="178"/>
        <v>0</v>
      </c>
      <c r="HB25" s="530"/>
      <c r="HC25" s="531">
        <f t="shared" si="68"/>
        <v>0</v>
      </c>
      <c r="HD25" s="532">
        <f t="shared" si="179"/>
        <v>0</v>
      </c>
      <c r="HE25" s="530"/>
      <c r="HF25" s="531">
        <f t="shared" si="69"/>
        <v>0</v>
      </c>
      <c r="HG25" s="532">
        <f t="shared" si="180"/>
        <v>0</v>
      </c>
      <c r="HH25" s="530"/>
      <c r="HI25" s="531">
        <f t="shared" si="70"/>
        <v>0</v>
      </c>
      <c r="HJ25" s="532">
        <f t="shared" si="181"/>
        <v>0</v>
      </c>
      <c r="HK25" s="530"/>
      <c r="HL25" s="531">
        <f t="shared" si="71"/>
        <v>0</v>
      </c>
      <c r="HM25" s="532">
        <f t="shared" si="182"/>
        <v>0</v>
      </c>
      <c r="HN25" s="530"/>
      <c r="HO25" s="531">
        <f t="shared" si="72"/>
        <v>0</v>
      </c>
      <c r="HP25" s="532">
        <f t="shared" si="183"/>
        <v>0</v>
      </c>
      <c r="HQ25" s="530"/>
      <c r="HR25" s="531">
        <f t="shared" si="73"/>
        <v>0</v>
      </c>
      <c r="HS25" s="532">
        <f t="shared" si="184"/>
        <v>0</v>
      </c>
      <c r="HT25" s="530"/>
      <c r="HU25" s="531">
        <f t="shared" si="74"/>
        <v>0</v>
      </c>
      <c r="HV25" s="532">
        <f t="shared" si="185"/>
        <v>0</v>
      </c>
      <c r="HW25" s="530"/>
      <c r="HX25" s="531">
        <f t="shared" si="75"/>
        <v>0</v>
      </c>
      <c r="HY25" s="532">
        <f t="shared" si="186"/>
        <v>0</v>
      </c>
      <c r="HZ25" s="530"/>
      <c r="IA25" s="531">
        <f t="shared" si="76"/>
        <v>0</v>
      </c>
      <c r="IB25" s="532">
        <f t="shared" si="187"/>
        <v>0</v>
      </c>
      <c r="IC25" s="530"/>
      <c r="ID25" s="531">
        <f t="shared" si="77"/>
        <v>0</v>
      </c>
      <c r="IE25" s="532">
        <f t="shared" si="188"/>
        <v>0</v>
      </c>
      <c r="IF25" s="530"/>
      <c r="IG25" s="531">
        <f t="shared" si="78"/>
        <v>0</v>
      </c>
      <c r="IH25" s="532">
        <f t="shared" si="189"/>
        <v>0</v>
      </c>
      <c r="II25" s="530"/>
      <c r="IJ25" s="531">
        <f t="shared" si="79"/>
        <v>0</v>
      </c>
      <c r="IK25" s="532">
        <f t="shared" si="190"/>
        <v>0</v>
      </c>
      <c r="IL25" s="530"/>
      <c r="IM25" s="531">
        <f t="shared" si="80"/>
        <v>0</v>
      </c>
      <c r="IN25" s="532">
        <f t="shared" si="191"/>
        <v>0</v>
      </c>
      <c r="IO25" s="530"/>
      <c r="IP25" s="531">
        <f t="shared" si="81"/>
        <v>0</v>
      </c>
      <c r="IQ25" s="532">
        <f t="shared" si="192"/>
        <v>0</v>
      </c>
      <c r="IR25" s="530"/>
      <c r="IS25" s="531">
        <f t="shared" si="82"/>
        <v>0</v>
      </c>
      <c r="IT25" s="532">
        <f t="shared" si="193"/>
        <v>0</v>
      </c>
      <c r="IU25" s="530"/>
      <c r="IV25" s="531">
        <f t="shared" si="83"/>
        <v>0</v>
      </c>
      <c r="IW25" s="532">
        <f t="shared" si="194"/>
        <v>0</v>
      </c>
      <c r="IX25" s="530"/>
      <c r="IY25" s="531">
        <f t="shared" si="84"/>
        <v>0</v>
      </c>
      <c r="IZ25" s="532">
        <f t="shared" si="195"/>
        <v>0</v>
      </c>
      <c r="JA25" s="530"/>
      <c r="JB25" s="531">
        <f t="shared" si="85"/>
        <v>0</v>
      </c>
      <c r="JC25" s="532">
        <f t="shared" si="196"/>
        <v>0</v>
      </c>
      <c r="JD25" s="530"/>
      <c r="JE25" s="531">
        <f t="shared" si="86"/>
        <v>0</v>
      </c>
      <c r="JF25" s="532">
        <f t="shared" si="197"/>
        <v>0</v>
      </c>
      <c r="JG25" s="530"/>
      <c r="JH25" s="531">
        <f t="shared" si="87"/>
        <v>0</v>
      </c>
      <c r="JI25" s="532">
        <f t="shared" si="198"/>
        <v>0</v>
      </c>
      <c r="JJ25" s="530"/>
      <c r="JK25" s="532" t="str">
        <f t="shared" si="88"/>
        <v>0</v>
      </c>
      <c r="JL25" s="532" t="str">
        <f t="shared" si="89"/>
        <v>0</v>
      </c>
      <c r="JM25" s="530"/>
      <c r="JN25" s="532" t="str">
        <f t="shared" si="90"/>
        <v>0</v>
      </c>
      <c r="JO25" s="532" t="str">
        <f t="shared" si="91"/>
        <v>0</v>
      </c>
      <c r="JP25" s="530"/>
      <c r="JQ25" s="532" t="str">
        <f t="shared" si="92"/>
        <v>0</v>
      </c>
      <c r="JR25" s="532" t="str">
        <f t="shared" si="93"/>
        <v>0</v>
      </c>
      <c r="JS25" s="530"/>
      <c r="JT25" s="532" t="str">
        <f t="shared" si="94"/>
        <v>0</v>
      </c>
      <c r="JU25" s="532" t="str">
        <f t="shared" si="95"/>
        <v>0</v>
      </c>
      <c r="JV25" s="530"/>
      <c r="JW25" s="532" t="str">
        <f t="shared" si="96"/>
        <v>0</v>
      </c>
      <c r="JX25" s="532" t="str">
        <f t="shared" si="97"/>
        <v>0</v>
      </c>
      <c r="JY25" s="530"/>
      <c r="JZ25" s="532" t="str">
        <f t="shared" si="98"/>
        <v>0</v>
      </c>
      <c r="KA25" s="532" t="str">
        <f t="shared" si="99"/>
        <v>0</v>
      </c>
      <c r="KB25" s="530"/>
      <c r="KC25" s="532" t="str">
        <f t="shared" si="100"/>
        <v>0</v>
      </c>
      <c r="KD25" s="532" t="str">
        <f t="shared" si="101"/>
        <v>0</v>
      </c>
      <c r="KE25" s="530"/>
      <c r="KF25" s="532" t="str">
        <f t="shared" si="102"/>
        <v>0</v>
      </c>
      <c r="KG25" s="532" t="str">
        <f t="shared" si="103"/>
        <v>0</v>
      </c>
      <c r="KH25" s="530"/>
      <c r="KI25" s="532" t="str">
        <f t="shared" si="104"/>
        <v>0</v>
      </c>
      <c r="KJ25" s="532" t="str">
        <f t="shared" si="105"/>
        <v>0</v>
      </c>
      <c r="KK25" s="530"/>
      <c r="KL25" s="532" t="str">
        <f t="shared" si="106"/>
        <v>0</v>
      </c>
      <c r="KM25" s="532" t="str">
        <f t="shared" si="107"/>
        <v>0</v>
      </c>
      <c r="KN25" s="530"/>
      <c r="KO25" s="532" t="str">
        <f t="shared" si="108"/>
        <v>0</v>
      </c>
      <c r="KP25" s="532" t="str">
        <f t="shared" si="109"/>
        <v>0</v>
      </c>
      <c r="KQ25" s="530"/>
      <c r="KR25" s="532" t="str">
        <f t="shared" si="110"/>
        <v>0</v>
      </c>
      <c r="KS25" s="532" t="str">
        <f t="shared" si="111"/>
        <v>0</v>
      </c>
      <c r="KT25" s="532">
        <f t="shared" si="201"/>
        <v>0</v>
      </c>
      <c r="KU25" s="532">
        <f t="shared" si="202"/>
        <v>0</v>
      </c>
      <c r="KV25" s="268">
        <f t="shared" si="199"/>
        <v>336.70515817012694</v>
      </c>
    </row>
    <row r="26" spans="1:309">
      <c r="A26" s="269">
        <f t="shared" si="200"/>
        <v>45948</v>
      </c>
      <c r="B26" s="270" t="str">
        <f>+Report1!B26</f>
        <v>Facial</v>
      </c>
      <c r="C26" s="270" t="str">
        <f>+Report1!C26</f>
        <v>12</v>
      </c>
      <c r="D26" s="271">
        <f>+Report1!P26</f>
        <v>37.339999999999996</v>
      </c>
      <c r="E26" s="570">
        <f>+Report1!R26</f>
        <v>35.277999999999999</v>
      </c>
      <c r="F26" s="530"/>
      <c r="G26" s="531">
        <f t="shared" si="0"/>
        <v>0</v>
      </c>
      <c r="H26" s="532">
        <f t="shared" si="112"/>
        <v>0</v>
      </c>
      <c r="I26" s="530">
        <v>169.62708372093027</v>
      </c>
      <c r="J26" s="531">
        <f t="shared" si="1"/>
        <v>4.8082964941586903</v>
      </c>
      <c r="K26" s="532">
        <f t="shared" si="113"/>
        <v>0</v>
      </c>
      <c r="L26" s="530"/>
      <c r="M26" s="531">
        <f t="shared" si="2"/>
        <v>0</v>
      </c>
      <c r="N26" s="532">
        <f t="shared" si="114"/>
        <v>0</v>
      </c>
      <c r="O26" s="530">
        <v>2.9196000000000026</v>
      </c>
      <c r="P26" s="531">
        <f t="shared" si="3"/>
        <v>8.2759793639095261E-2</v>
      </c>
      <c r="Q26" s="532">
        <f t="shared" si="115"/>
        <v>0</v>
      </c>
      <c r="R26" s="530"/>
      <c r="S26" s="531">
        <f t="shared" si="4"/>
        <v>0</v>
      </c>
      <c r="T26" s="532">
        <f t="shared" si="116"/>
        <v>0</v>
      </c>
      <c r="U26" s="530">
        <v>2.4865000000000066</v>
      </c>
      <c r="V26" s="531">
        <f t="shared" si="5"/>
        <v>7.048302057939812E-2</v>
      </c>
      <c r="W26" s="532">
        <f t="shared" si="117"/>
        <v>0</v>
      </c>
      <c r="X26" s="530"/>
      <c r="Y26" s="531">
        <f t="shared" si="6"/>
        <v>0</v>
      </c>
      <c r="Z26" s="532">
        <f t="shared" si="118"/>
        <v>0</v>
      </c>
      <c r="AA26" s="530"/>
      <c r="AB26" s="531">
        <f t="shared" si="7"/>
        <v>0</v>
      </c>
      <c r="AC26" s="532">
        <f t="shared" si="119"/>
        <v>0</v>
      </c>
      <c r="AD26" s="530"/>
      <c r="AE26" s="531">
        <f t="shared" si="8"/>
        <v>0</v>
      </c>
      <c r="AF26" s="532">
        <f t="shared" si="120"/>
        <v>0</v>
      </c>
      <c r="AG26" s="530"/>
      <c r="AH26" s="531">
        <f t="shared" si="9"/>
        <v>0</v>
      </c>
      <c r="AI26" s="532">
        <f t="shared" si="121"/>
        <v>0</v>
      </c>
      <c r="AJ26" s="530"/>
      <c r="AK26" s="531">
        <f t="shared" si="10"/>
        <v>0</v>
      </c>
      <c r="AL26" s="532">
        <f t="shared" si="122"/>
        <v>0</v>
      </c>
      <c r="AM26" s="530"/>
      <c r="AN26" s="531">
        <f t="shared" si="11"/>
        <v>0</v>
      </c>
      <c r="AO26" s="532">
        <f t="shared" si="123"/>
        <v>0</v>
      </c>
      <c r="AP26" s="530">
        <v>77.548517721518948</v>
      </c>
      <c r="AQ26" s="531">
        <f t="shared" si="12"/>
        <v>2.1982118521888698</v>
      </c>
      <c r="AR26" s="532">
        <f t="shared" si="124"/>
        <v>0</v>
      </c>
      <c r="AS26" s="530"/>
      <c r="AT26" s="531">
        <f t="shared" si="13"/>
        <v>0</v>
      </c>
      <c r="AU26" s="532">
        <f t="shared" si="125"/>
        <v>0</v>
      </c>
      <c r="AV26" s="530"/>
      <c r="AW26" s="531">
        <f t="shared" si="14"/>
        <v>0</v>
      </c>
      <c r="AX26" s="532">
        <f t="shared" si="126"/>
        <v>0</v>
      </c>
      <c r="AY26" s="530">
        <v>54.464400000000012</v>
      </c>
      <c r="AZ26" s="531">
        <f t="shared" si="15"/>
        <v>1.5438630307840584</v>
      </c>
      <c r="BA26" s="532">
        <f t="shared" si="127"/>
        <v>0</v>
      </c>
      <c r="BB26" s="530"/>
      <c r="BC26" s="531">
        <f t="shared" si="16"/>
        <v>0</v>
      </c>
      <c r="BD26" s="532">
        <f t="shared" si="128"/>
        <v>0</v>
      </c>
      <c r="BE26" s="530"/>
      <c r="BF26" s="531">
        <f t="shared" si="17"/>
        <v>0</v>
      </c>
      <c r="BG26" s="532">
        <f t="shared" si="129"/>
        <v>0</v>
      </c>
      <c r="BH26" s="530"/>
      <c r="BI26" s="531">
        <f t="shared" si="18"/>
        <v>0</v>
      </c>
      <c r="BJ26" s="532">
        <f t="shared" si="130"/>
        <v>0</v>
      </c>
      <c r="BK26" s="530"/>
      <c r="BL26" s="531">
        <f t="shared" si="19"/>
        <v>0</v>
      </c>
      <c r="BM26" s="532">
        <f t="shared" si="131"/>
        <v>0</v>
      </c>
      <c r="BN26" s="530"/>
      <c r="BO26" s="531">
        <f t="shared" si="20"/>
        <v>0</v>
      </c>
      <c r="BP26" s="532">
        <f t="shared" si="132"/>
        <v>0</v>
      </c>
      <c r="BQ26" s="530"/>
      <c r="BR26" s="531">
        <f t="shared" si="21"/>
        <v>0</v>
      </c>
      <c r="BS26" s="532">
        <f t="shared" si="133"/>
        <v>0</v>
      </c>
      <c r="BT26" s="530"/>
      <c r="BU26" s="531">
        <f t="shared" si="22"/>
        <v>0</v>
      </c>
      <c r="BV26" s="532">
        <f t="shared" si="134"/>
        <v>0</v>
      </c>
      <c r="BW26" s="530"/>
      <c r="BX26" s="531">
        <f t="shared" si="23"/>
        <v>0</v>
      </c>
      <c r="BY26" s="532">
        <f t="shared" si="135"/>
        <v>0</v>
      </c>
      <c r="BZ26" s="530"/>
      <c r="CA26" s="531">
        <f t="shared" si="24"/>
        <v>0</v>
      </c>
      <c r="CB26" s="532">
        <f t="shared" si="136"/>
        <v>0</v>
      </c>
      <c r="CC26" s="530"/>
      <c r="CD26" s="531">
        <f t="shared" si="25"/>
        <v>0</v>
      </c>
      <c r="CE26" s="532">
        <f t="shared" si="137"/>
        <v>0</v>
      </c>
      <c r="CF26" s="530">
        <v>0.6</v>
      </c>
      <c r="CG26" s="531">
        <f t="shared" si="26"/>
        <v>1.7007766880208629E-2</v>
      </c>
      <c r="CH26" s="532">
        <f t="shared" si="138"/>
        <v>0</v>
      </c>
      <c r="CI26" s="530"/>
      <c r="CJ26" s="531">
        <f t="shared" si="27"/>
        <v>0</v>
      </c>
      <c r="CK26" s="532">
        <f t="shared" si="139"/>
        <v>0</v>
      </c>
      <c r="CL26" s="530"/>
      <c r="CM26" s="531">
        <f t="shared" si="28"/>
        <v>0</v>
      </c>
      <c r="CN26" s="532">
        <f t="shared" si="140"/>
        <v>0</v>
      </c>
      <c r="CO26" s="530"/>
      <c r="CP26" s="531">
        <f t="shared" si="29"/>
        <v>0</v>
      </c>
      <c r="CQ26" s="532">
        <f t="shared" si="141"/>
        <v>0</v>
      </c>
      <c r="CR26" s="530"/>
      <c r="CS26" s="531">
        <f t="shared" si="30"/>
        <v>0</v>
      </c>
      <c r="CT26" s="532">
        <f t="shared" si="142"/>
        <v>0</v>
      </c>
      <c r="CU26" s="530"/>
      <c r="CV26" s="531">
        <f t="shared" si="31"/>
        <v>0</v>
      </c>
      <c r="CW26" s="532">
        <f t="shared" si="143"/>
        <v>0</v>
      </c>
      <c r="CX26" s="530"/>
      <c r="CY26" s="531">
        <f t="shared" si="32"/>
        <v>0</v>
      </c>
      <c r="CZ26" s="532">
        <f t="shared" si="144"/>
        <v>0</v>
      </c>
      <c r="DA26" s="530"/>
      <c r="DB26" s="531">
        <f t="shared" si="33"/>
        <v>0</v>
      </c>
      <c r="DC26" s="532">
        <f t="shared" si="145"/>
        <v>0</v>
      </c>
      <c r="DD26" s="530"/>
      <c r="DE26" s="531">
        <f t="shared" si="34"/>
        <v>0</v>
      </c>
      <c r="DF26" s="532">
        <f t="shared" si="146"/>
        <v>0</v>
      </c>
      <c r="DG26" s="530"/>
      <c r="DH26" s="531">
        <f t="shared" si="35"/>
        <v>0</v>
      </c>
      <c r="DI26" s="532">
        <f t="shared" si="203"/>
        <v>0</v>
      </c>
      <c r="DJ26" s="530"/>
      <c r="DK26" s="531">
        <f t="shared" si="36"/>
        <v>0</v>
      </c>
      <c r="DL26" s="532">
        <f t="shared" si="147"/>
        <v>0</v>
      </c>
      <c r="DM26" s="530"/>
      <c r="DN26" s="531">
        <f t="shared" si="37"/>
        <v>0</v>
      </c>
      <c r="DO26" s="532">
        <f t="shared" si="148"/>
        <v>0</v>
      </c>
      <c r="DP26" s="530"/>
      <c r="DQ26" s="531">
        <f t="shared" si="38"/>
        <v>0</v>
      </c>
      <c r="DR26" s="532">
        <f t="shared" si="149"/>
        <v>0</v>
      </c>
      <c r="DS26" s="530"/>
      <c r="DT26" s="531">
        <f t="shared" si="39"/>
        <v>0</v>
      </c>
      <c r="DU26" s="532">
        <f t="shared" si="150"/>
        <v>0</v>
      </c>
      <c r="DV26" s="530"/>
      <c r="DW26" s="531">
        <f t="shared" si="40"/>
        <v>0</v>
      </c>
      <c r="DX26" s="532">
        <f t="shared" si="151"/>
        <v>0</v>
      </c>
      <c r="DY26" s="530"/>
      <c r="DZ26" s="531">
        <f t="shared" si="41"/>
        <v>0</v>
      </c>
      <c r="EA26" s="532">
        <f t="shared" si="152"/>
        <v>0</v>
      </c>
      <c r="EB26" s="530"/>
      <c r="EC26" s="531">
        <f t="shared" si="42"/>
        <v>0</v>
      </c>
      <c r="ED26" s="532">
        <f t="shared" si="153"/>
        <v>0</v>
      </c>
      <c r="EE26" s="530"/>
      <c r="EF26" s="531">
        <f t="shared" si="43"/>
        <v>0</v>
      </c>
      <c r="EG26" s="532">
        <f t="shared" si="154"/>
        <v>0</v>
      </c>
      <c r="EH26" s="530">
        <v>0.30000000000000071</v>
      </c>
      <c r="EI26" s="531">
        <f t="shared" si="44"/>
        <v>8.5038834401043352E-3</v>
      </c>
      <c r="EJ26" s="532">
        <f t="shared" si="155"/>
        <v>0</v>
      </c>
      <c r="EK26" s="530">
        <v>11.421176470588193</v>
      </c>
      <c r="EL26" s="531">
        <f t="shared" si="45"/>
        <v>0.32374784484914659</v>
      </c>
      <c r="EM26" s="532">
        <f t="shared" si="156"/>
        <v>0</v>
      </c>
      <c r="EN26" s="530"/>
      <c r="EO26" s="531">
        <f t="shared" si="46"/>
        <v>0</v>
      </c>
      <c r="EP26" s="532">
        <f t="shared" si="157"/>
        <v>0</v>
      </c>
      <c r="EQ26" s="530"/>
      <c r="ER26" s="531">
        <f t="shared" si="47"/>
        <v>0</v>
      </c>
      <c r="ES26" s="532">
        <f t="shared" si="158"/>
        <v>0</v>
      </c>
      <c r="ET26" s="530"/>
      <c r="EU26" s="531">
        <f t="shared" si="48"/>
        <v>0</v>
      </c>
      <c r="EV26" s="532">
        <f t="shared" si="159"/>
        <v>0</v>
      </c>
      <c r="EW26" s="530"/>
      <c r="EX26" s="531">
        <f t="shared" si="49"/>
        <v>0</v>
      </c>
      <c r="EY26" s="532">
        <f t="shared" si="160"/>
        <v>0</v>
      </c>
      <c r="EZ26" s="530"/>
      <c r="FA26" s="531">
        <f t="shared" si="50"/>
        <v>0</v>
      </c>
      <c r="FB26" s="532">
        <f t="shared" si="161"/>
        <v>0</v>
      </c>
      <c r="FC26" s="530"/>
      <c r="FD26" s="531">
        <f t="shared" si="51"/>
        <v>0</v>
      </c>
      <c r="FE26" s="532">
        <f t="shared" si="162"/>
        <v>0</v>
      </c>
      <c r="FF26" s="530"/>
      <c r="FG26" s="531">
        <f t="shared" si="52"/>
        <v>0</v>
      </c>
      <c r="FH26" s="532">
        <f t="shared" si="163"/>
        <v>0</v>
      </c>
      <c r="FI26" s="530"/>
      <c r="FJ26" s="531">
        <f t="shared" si="53"/>
        <v>0</v>
      </c>
      <c r="FK26" s="532">
        <f t="shared" si="164"/>
        <v>0</v>
      </c>
      <c r="FL26" s="530"/>
      <c r="FM26" s="531">
        <f t="shared" si="54"/>
        <v>0</v>
      </c>
      <c r="FN26" s="532">
        <f t="shared" si="165"/>
        <v>0</v>
      </c>
      <c r="FO26" s="530"/>
      <c r="FP26" s="531">
        <f t="shared" si="55"/>
        <v>0</v>
      </c>
      <c r="FQ26" s="532">
        <f t="shared" si="166"/>
        <v>0</v>
      </c>
      <c r="FR26" s="530"/>
      <c r="FS26" s="531">
        <f t="shared" si="56"/>
        <v>0</v>
      </c>
      <c r="FT26" s="532">
        <f t="shared" si="167"/>
        <v>0</v>
      </c>
      <c r="FU26" s="530"/>
      <c r="FV26" s="531">
        <f t="shared" si="57"/>
        <v>0</v>
      </c>
      <c r="FW26" s="532">
        <f t="shared" si="168"/>
        <v>0</v>
      </c>
      <c r="FX26" s="530"/>
      <c r="FY26" s="531">
        <f t="shared" si="58"/>
        <v>0</v>
      </c>
      <c r="FZ26" s="532">
        <f t="shared" si="169"/>
        <v>0</v>
      </c>
      <c r="GA26" s="530"/>
      <c r="GB26" s="531">
        <f t="shared" si="59"/>
        <v>0</v>
      </c>
      <c r="GC26" s="532">
        <f t="shared" si="170"/>
        <v>0</v>
      </c>
      <c r="GD26" s="530"/>
      <c r="GE26" s="531">
        <f t="shared" si="60"/>
        <v>0</v>
      </c>
      <c r="GF26" s="532">
        <f t="shared" si="171"/>
        <v>0</v>
      </c>
      <c r="GG26" s="530"/>
      <c r="GH26" s="531">
        <f t="shared" si="61"/>
        <v>0</v>
      </c>
      <c r="GI26" s="532">
        <f t="shared" si="172"/>
        <v>0</v>
      </c>
      <c r="GJ26" s="530"/>
      <c r="GK26" s="531">
        <f t="shared" si="62"/>
        <v>0</v>
      </c>
      <c r="GL26" s="532">
        <f t="shared" si="173"/>
        <v>0</v>
      </c>
      <c r="GM26" s="530"/>
      <c r="GN26" s="531">
        <f t="shared" si="63"/>
        <v>0</v>
      </c>
      <c r="GO26" s="532">
        <f t="shared" si="174"/>
        <v>0</v>
      </c>
      <c r="GP26" s="530"/>
      <c r="GQ26" s="531">
        <f t="shared" si="64"/>
        <v>0</v>
      </c>
      <c r="GR26" s="532">
        <f t="shared" si="175"/>
        <v>0</v>
      </c>
      <c r="GS26" s="530"/>
      <c r="GT26" s="531">
        <f t="shared" si="65"/>
        <v>0</v>
      </c>
      <c r="GU26" s="532">
        <f t="shared" si="176"/>
        <v>0</v>
      </c>
      <c r="GV26" s="530"/>
      <c r="GW26" s="531">
        <f t="shared" si="66"/>
        <v>0</v>
      </c>
      <c r="GX26" s="532">
        <f t="shared" si="177"/>
        <v>0</v>
      </c>
      <c r="GY26" s="530"/>
      <c r="GZ26" s="531">
        <f t="shared" si="67"/>
        <v>0</v>
      </c>
      <c r="HA26" s="532">
        <f t="shared" si="178"/>
        <v>0</v>
      </c>
      <c r="HB26" s="530"/>
      <c r="HC26" s="531">
        <f t="shared" si="68"/>
        <v>0</v>
      </c>
      <c r="HD26" s="532">
        <f t="shared" si="179"/>
        <v>0</v>
      </c>
      <c r="HE26" s="530"/>
      <c r="HF26" s="531">
        <f t="shared" si="69"/>
        <v>0</v>
      </c>
      <c r="HG26" s="532">
        <f t="shared" si="180"/>
        <v>0</v>
      </c>
      <c r="HH26" s="530"/>
      <c r="HI26" s="531">
        <f t="shared" si="70"/>
        <v>0</v>
      </c>
      <c r="HJ26" s="532">
        <f t="shared" si="181"/>
        <v>0</v>
      </c>
      <c r="HK26" s="530"/>
      <c r="HL26" s="531">
        <f t="shared" si="71"/>
        <v>0</v>
      </c>
      <c r="HM26" s="532">
        <f t="shared" si="182"/>
        <v>0</v>
      </c>
      <c r="HN26" s="530"/>
      <c r="HO26" s="531">
        <f t="shared" si="72"/>
        <v>0</v>
      </c>
      <c r="HP26" s="532">
        <f t="shared" si="183"/>
        <v>0</v>
      </c>
      <c r="HQ26" s="530"/>
      <c r="HR26" s="531">
        <f t="shared" si="73"/>
        <v>0</v>
      </c>
      <c r="HS26" s="532">
        <f t="shared" si="184"/>
        <v>0</v>
      </c>
      <c r="HT26" s="530"/>
      <c r="HU26" s="531">
        <f t="shared" si="74"/>
        <v>0</v>
      </c>
      <c r="HV26" s="532">
        <f t="shared" si="185"/>
        <v>0</v>
      </c>
      <c r="HW26" s="530"/>
      <c r="HX26" s="531">
        <f t="shared" si="75"/>
        <v>0</v>
      </c>
      <c r="HY26" s="532">
        <f t="shared" si="186"/>
        <v>0</v>
      </c>
      <c r="HZ26" s="530"/>
      <c r="IA26" s="531">
        <f t="shared" si="76"/>
        <v>0</v>
      </c>
      <c r="IB26" s="532">
        <f t="shared" si="187"/>
        <v>0</v>
      </c>
      <c r="IC26" s="530"/>
      <c r="ID26" s="531">
        <f t="shared" si="77"/>
        <v>0</v>
      </c>
      <c r="IE26" s="532">
        <f t="shared" si="188"/>
        <v>0</v>
      </c>
      <c r="IF26" s="530"/>
      <c r="IG26" s="531">
        <f t="shared" si="78"/>
        <v>0</v>
      </c>
      <c r="IH26" s="532">
        <f t="shared" si="189"/>
        <v>0</v>
      </c>
      <c r="II26" s="530"/>
      <c r="IJ26" s="531">
        <f t="shared" si="79"/>
        <v>0</v>
      </c>
      <c r="IK26" s="532">
        <f t="shared" si="190"/>
        <v>0</v>
      </c>
      <c r="IL26" s="530"/>
      <c r="IM26" s="531">
        <f t="shared" si="80"/>
        <v>0</v>
      </c>
      <c r="IN26" s="532">
        <f t="shared" si="191"/>
        <v>0</v>
      </c>
      <c r="IO26" s="530"/>
      <c r="IP26" s="531">
        <f t="shared" si="81"/>
        <v>0</v>
      </c>
      <c r="IQ26" s="532">
        <f t="shared" si="192"/>
        <v>0</v>
      </c>
      <c r="IR26" s="530"/>
      <c r="IS26" s="531">
        <f t="shared" si="82"/>
        <v>0</v>
      </c>
      <c r="IT26" s="532">
        <f t="shared" si="193"/>
        <v>0</v>
      </c>
      <c r="IU26" s="530"/>
      <c r="IV26" s="531">
        <f t="shared" si="83"/>
        <v>0</v>
      </c>
      <c r="IW26" s="532">
        <f t="shared" si="194"/>
        <v>0</v>
      </c>
      <c r="IX26" s="530"/>
      <c r="IY26" s="531">
        <f t="shared" si="84"/>
        <v>0</v>
      </c>
      <c r="IZ26" s="532">
        <f t="shared" si="195"/>
        <v>0</v>
      </c>
      <c r="JA26" s="530"/>
      <c r="JB26" s="531">
        <f t="shared" si="85"/>
        <v>0</v>
      </c>
      <c r="JC26" s="532">
        <f t="shared" si="196"/>
        <v>0</v>
      </c>
      <c r="JD26" s="530"/>
      <c r="JE26" s="531">
        <f t="shared" si="86"/>
        <v>0</v>
      </c>
      <c r="JF26" s="532">
        <f t="shared" si="197"/>
        <v>0</v>
      </c>
      <c r="JG26" s="530"/>
      <c r="JH26" s="531">
        <f t="shared" si="87"/>
        <v>0</v>
      </c>
      <c r="JI26" s="532">
        <f t="shared" si="198"/>
        <v>0</v>
      </c>
      <c r="JJ26" s="530"/>
      <c r="JK26" s="532" t="str">
        <f t="shared" si="88"/>
        <v>0</v>
      </c>
      <c r="JL26" s="532" t="str">
        <f t="shared" si="89"/>
        <v>0</v>
      </c>
      <c r="JM26" s="530"/>
      <c r="JN26" s="532" t="str">
        <f t="shared" si="90"/>
        <v>0</v>
      </c>
      <c r="JO26" s="532" t="str">
        <f t="shared" si="91"/>
        <v>0</v>
      </c>
      <c r="JP26" s="530"/>
      <c r="JQ26" s="532" t="str">
        <f t="shared" si="92"/>
        <v>0</v>
      </c>
      <c r="JR26" s="532" t="str">
        <f t="shared" si="93"/>
        <v>0</v>
      </c>
      <c r="JS26" s="530"/>
      <c r="JT26" s="532" t="str">
        <f t="shared" si="94"/>
        <v>0</v>
      </c>
      <c r="JU26" s="532" t="str">
        <f t="shared" si="95"/>
        <v>0</v>
      </c>
      <c r="JV26" s="530"/>
      <c r="JW26" s="532" t="str">
        <f t="shared" si="96"/>
        <v>0</v>
      </c>
      <c r="JX26" s="532" t="str">
        <f t="shared" si="97"/>
        <v>0</v>
      </c>
      <c r="JY26" s="530"/>
      <c r="JZ26" s="532" t="str">
        <f t="shared" si="98"/>
        <v>0</v>
      </c>
      <c r="KA26" s="532" t="str">
        <f t="shared" si="99"/>
        <v>0</v>
      </c>
      <c r="KB26" s="530"/>
      <c r="KC26" s="532" t="str">
        <f t="shared" si="100"/>
        <v>0</v>
      </c>
      <c r="KD26" s="532" t="str">
        <f t="shared" si="101"/>
        <v>0</v>
      </c>
      <c r="KE26" s="530"/>
      <c r="KF26" s="532" t="str">
        <f t="shared" si="102"/>
        <v>0</v>
      </c>
      <c r="KG26" s="532" t="str">
        <f t="shared" si="103"/>
        <v>0</v>
      </c>
      <c r="KH26" s="530"/>
      <c r="KI26" s="532" t="str">
        <f t="shared" si="104"/>
        <v>0</v>
      </c>
      <c r="KJ26" s="532" t="str">
        <f t="shared" si="105"/>
        <v>0</v>
      </c>
      <c r="KK26" s="530"/>
      <c r="KL26" s="532" t="str">
        <f t="shared" si="106"/>
        <v>0</v>
      </c>
      <c r="KM26" s="532" t="str">
        <f t="shared" si="107"/>
        <v>0</v>
      </c>
      <c r="KN26" s="530"/>
      <c r="KO26" s="532" t="str">
        <f t="shared" si="108"/>
        <v>0</v>
      </c>
      <c r="KP26" s="532" t="str">
        <f t="shared" si="109"/>
        <v>0</v>
      </c>
      <c r="KQ26" s="530"/>
      <c r="KR26" s="532" t="str">
        <f t="shared" si="110"/>
        <v>0</v>
      </c>
      <c r="KS26" s="532" t="str">
        <f t="shared" si="111"/>
        <v>0</v>
      </c>
      <c r="KT26" s="532">
        <f t="shared" si="201"/>
        <v>0</v>
      </c>
      <c r="KU26" s="532">
        <f t="shared" si="202"/>
        <v>0</v>
      </c>
      <c r="KV26" s="268">
        <f t="shared" si="199"/>
        <v>319.36727791303747</v>
      </c>
    </row>
    <row r="27" spans="1:309">
      <c r="A27" s="269">
        <f t="shared" si="200"/>
        <v>45949</v>
      </c>
      <c r="B27" s="270" t="str">
        <f>+Report1!B27</f>
        <v>Facial</v>
      </c>
      <c r="C27" s="270" t="str">
        <f>+Report1!C27</f>
        <v>12</v>
      </c>
      <c r="D27" s="271">
        <f>+Report1!P27</f>
        <v>1.0549999999999999</v>
      </c>
      <c r="E27" s="570">
        <f>+Report1!R27</f>
        <v>2.8210000000000002</v>
      </c>
      <c r="F27" s="530"/>
      <c r="G27" s="531">
        <f t="shared" si="0"/>
        <v>0</v>
      </c>
      <c r="H27" s="532">
        <f t="shared" si="112"/>
        <v>0</v>
      </c>
      <c r="I27" s="530">
        <v>4.7939999999999827</v>
      </c>
      <c r="J27" s="531">
        <f t="shared" si="1"/>
        <v>1.6993973768167254</v>
      </c>
      <c r="K27" s="532">
        <f t="shared" si="113"/>
        <v>0</v>
      </c>
      <c r="L27" s="530"/>
      <c r="M27" s="531">
        <f t="shared" si="2"/>
        <v>0</v>
      </c>
      <c r="N27" s="532">
        <f t="shared" si="114"/>
        <v>0</v>
      </c>
      <c r="O27" s="530">
        <v>8.1199999999967076E-2</v>
      </c>
      <c r="P27" s="531">
        <f t="shared" si="3"/>
        <v>2.8784119106688079E-2</v>
      </c>
      <c r="Q27" s="532">
        <f t="shared" si="115"/>
        <v>0</v>
      </c>
      <c r="R27" s="530"/>
      <c r="S27" s="531">
        <f t="shared" si="4"/>
        <v>0</v>
      </c>
      <c r="T27" s="532">
        <f t="shared" si="116"/>
        <v>0</v>
      </c>
      <c r="U27" s="530">
        <v>7.2100000000006048E-2</v>
      </c>
      <c r="V27" s="531">
        <f t="shared" si="5"/>
        <v>2.555831265508899E-2</v>
      </c>
      <c r="W27" s="532">
        <f t="shared" si="117"/>
        <v>0</v>
      </c>
      <c r="X27" s="530"/>
      <c r="Y27" s="531">
        <f t="shared" si="6"/>
        <v>0</v>
      </c>
      <c r="Z27" s="532">
        <f t="shared" si="118"/>
        <v>0</v>
      </c>
      <c r="AA27" s="530"/>
      <c r="AB27" s="531">
        <f t="shared" si="7"/>
        <v>0</v>
      </c>
      <c r="AC27" s="532">
        <f t="shared" si="119"/>
        <v>0</v>
      </c>
      <c r="AD27" s="530"/>
      <c r="AE27" s="531">
        <f t="shared" si="8"/>
        <v>0</v>
      </c>
      <c r="AF27" s="532">
        <f t="shared" si="120"/>
        <v>0</v>
      </c>
      <c r="AG27" s="530"/>
      <c r="AH27" s="531">
        <f t="shared" si="9"/>
        <v>0</v>
      </c>
      <c r="AI27" s="532">
        <f t="shared" si="121"/>
        <v>0</v>
      </c>
      <c r="AJ27" s="530"/>
      <c r="AK27" s="531">
        <f t="shared" si="10"/>
        <v>0</v>
      </c>
      <c r="AL27" s="532">
        <f t="shared" si="122"/>
        <v>0</v>
      </c>
      <c r="AM27" s="530"/>
      <c r="AN27" s="531">
        <f t="shared" si="11"/>
        <v>0</v>
      </c>
      <c r="AO27" s="532">
        <f t="shared" si="123"/>
        <v>0</v>
      </c>
      <c r="AP27" s="530">
        <v>2.1935000000000286</v>
      </c>
      <c r="AQ27" s="531">
        <f t="shared" si="12"/>
        <v>0.77756114852890057</v>
      </c>
      <c r="AR27" s="532">
        <f t="shared" si="124"/>
        <v>0</v>
      </c>
      <c r="AS27" s="530"/>
      <c r="AT27" s="531">
        <f t="shared" si="13"/>
        <v>0</v>
      </c>
      <c r="AU27" s="532">
        <f t="shared" si="125"/>
        <v>0</v>
      </c>
      <c r="AV27" s="530"/>
      <c r="AW27" s="531">
        <f t="shared" si="14"/>
        <v>0</v>
      </c>
      <c r="AX27" s="532">
        <f t="shared" si="126"/>
        <v>0</v>
      </c>
      <c r="AY27" s="530">
        <v>1.5363999999999862</v>
      </c>
      <c r="AZ27" s="531">
        <f t="shared" si="15"/>
        <v>0.54462956398439777</v>
      </c>
      <c r="BA27" s="532">
        <f t="shared" si="127"/>
        <v>0</v>
      </c>
      <c r="BB27" s="530"/>
      <c r="BC27" s="531">
        <f t="shared" si="16"/>
        <v>0</v>
      </c>
      <c r="BD27" s="532">
        <f t="shared" si="128"/>
        <v>0</v>
      </c>
      <c r="BE27" s="530"/>
      <c r="BF27" s="531">
        <f t="shared" si="17"/>
        <v>0</v>
      </c>
      <c r="BG27" s="532">
        <f t="shared" si="129"/>
        <v>0</v>
      </c>
      <c r="BH27" s="530"/>
      <c r="BI27" s="531">
        <f t="shared" si="18"/>
        <v>0</v>
      </c>
      <c r="BJ27" s="532">
        <f t="shared" si="130"/>
        <v>0</v>
      </c>
      <c r="BK27" s="530"/>
      <c r="BL27" s="531">
        <f t="shared" si="19"/>
        <v>0</v>
      </c>
      <c r="BM27" s="532">
        <f t="shared" si="131"/>
        <v>0</v>
      </c>
      <c r="BN27" s="530"/>
      <c r="BO27" s="531">
        <f t="shared" si="20"/>
        <v>0</v>
      </c>
      <c r="BP27" s="532">
        <f t="shared" si="132"/>
        <v>0</v>
      </c>
      <c r="BQ27" s="530"/>
      <c r="BR27" s="531">
        <f t="shared" si="21"/>
        <v>0</v>
      </c>
      <c r="BS27" s="532">
        <f t="shared" si="133"/>
        <v>0</v>
      </c>
      <c r="BT27" s="530"/>
      <c r="BU27" s="531">
        <f t="shared" si="22"/>
        <v>0</v>
      </c>
      <c r="BV27" s="532">
        <f t="shared" si="134"/>
        <v>0</v>
      </c>
      <c r="BW27" s="530"/>
      <c r="BX27" s="531">
        <f t="shared" si="23"/>
        <v>0</v>
      </c>
      <c r="BY27" s="532">
        <f t="shared" si="135"/>
        <v>0</v>
      </c>
      <c r="BZ27" s="530"/>
      <c r="CA27" s="531">
        <f t="shared" si="24"/>
        <v>0</v>
      </c>
      <c r="CB27" s="532">
        <f t="shared" si="136"/>
        <v>0</v>
      </c>
      <c r="CC27" s="530"/>
      <c r="CD27" s="531">
        <f t="shared" si="25"/>
        <v>0</v>
      </c>
      <c r="CE27" s="532">
        <f t="shared" si="137"/>
        <v>0</v>
      </c>
      <c r="CF27" s="530">
        <v>0.6</v>
      </c>
      <c r="CG27" s="531">
        <f t="shared" si="26"/>
        <v>0.21269053527118043</v>
      </c>
      <c r="CH27" s="532">
        <f t="shared" si="138"/>
        <v>0</v>
      </c>
      <c r="CI27" s="530"/>
      <c r="CJ27" s="531">
        <f t="shared" si="27"/>
        <v>0</v>
      </c>
      <c r="CK27" s="532">
        <f t="shared" si="139"/>
        <v>0</v>
      </c>
      <c r="CL27" s="530"/>
      <c r="CM27" s="531">
        <f t="shared" si="28"/>
        <v>0</v>
      </c>
      <c r="CN27" s="532">
        <f t="shared" si="140"/>
        <v>0</v>
      </c>
      <c r="CO27" s="530"/>
      <c r="CP27" s="531">
        <f t="shared" si="29"/>
        <v>0</v>
      </c>
      <c r="CQ27" s="532">
        <f t="shared" si="141"/>
        <v>0</v>
      </c>
      <c r="CR27" s="530"/>
      <c r="CS27" s="531">
        <f t="shared" si="30"/>
        <v>0</v>
      </c>
      <c r="CT27" s="532">
        <f t="shared" si="142"/>
        <v>0</v>
      </c>
      <c r="CU27" s="530"/>
      <c r="CV27" s="531">
        <f t="shared" si="31"/>
        <v>0</v>
      </c>
      <c r="CW27" s="532">
        <f t="shared" si="143"/>
        <v>0</v>
      </c>
      <c r="CX27" s="530"/>
      <c r="CY27" s="531">
        <f t="shared" si="32"/>
        <v>0</v>
      </c>
      <c r="CZ27" s="532">
        <f t="shared" si="144"/>
        <v>0</v>
      </c>
      <c r="DA27" s="530"/>
      <c r="DB27" s="531">
        <f t="shared" si="33"/>
        <v>0</v>
      </c>
      <c r="DC27" s="532">
        <f t="shared" si="145"/>
        <v>0</v>
      </c>
      <c r="DD27" s="530"/>
      <c r="DE27" s="531">
        <f t="shared" si="34"/>
        <v>0</v>
      </c>
      <c r="DF27" s="532">
        <f t="shared" si="146"/>
        <v>0</v>
      </c>
      <c r="DG27" s="530"/>
      <c r="DH27" s="531">
        <f t="shared" si="35"/>
        <v>0</v>
      </c>
      <c r="DI27" s="532">
        <f t="shared" si="203"/>
        <v>0</v>
      </c>
      <c r="DJ27" s="530"/>
      <c r="DK27" s="531">
        <f t="shared" si="36"/>
        <v>0</v>
      </c>
      <c r="DL27" s="532">
        <f t="shared" si="147"/>
        <v>0</v>
      </c>
      <c r="DM27" s="530"/>
      <c r="DN27" s="531">
        <f t="shared" si="37"/>
        <v>0</v>
      </c>
      <c r="DO27" s="532">
        <f t="shared" si="148"/>
        <v>0</v>
      </c>
      <c r="DP27" s="530"/>
      <c r="DQ27" s="531">
        <f t="shared" si="38"/>
        <v>0</v>
      </c>
      <c r="DR27" s="532">
        <f t="shared" si="149"/>
        <v>0</v>
      </c>
      <c r="DS27" s="530"/>
      <c r="DT27" s="531">
        <f t="shared" si="39"/>
        <v>0</v>
      </c>
      <c r="DU27" s="532">
        <f t="shared" si="150"/>
        <v>0</v>
      </c>
      <c r="DV27" s="530"/>
      <c r="DW27" s="531">
        <f t="shared" si="40"/>
        <v>0</v>
      </c>
      <c r="DX27" s="532">
        <f t="shared" si="151"/>
        <v>0</v>
      </c>
      <c r="DY27" s="530"/>
      <c r="DZ27" s="531">
        <f t="shared" si="41"/>
        <v>0</v>
      </c>
      <c r="EA27" s="532">
        <f t="shared" si="152"/>
        <v>0</v>
      </c>
      <c r="EB27" s="530"/>
      <c r="EC27" s="531">
        <f t="shared" si="42"/>
        <v>0</v>
      </c>
      <c r="ED27" s="532">
        <f t="shared" si="153"/>
        <v>0</v>
      </c>
      <c r="EE27" s="530"/>
      <c r="EF27" s="531">
        <f t="shared" si="43"/>
        <v>0</v>
      </c>
      <c r="EG27" s="532">
        <f t="shared" si="154"/>
        <v>0</v>
      </c>
      <c r="EH27" s="530">
        <v>0.30000000000000071</v>
      </c>
      <c r="EI27" s="531">
        <f t="shared" si="44"/>
        <v>0.10634526763559046</v>
      </c>
      <c r="EJ27" s="532">
        <f t="shared" si="155"/>
        <v>0</v>
      </c>
      <c r="EK27" s="530">
        <v>0.32000000000005002</v>
      </c>
      <c r="EL27" s="531">
        <f t="shared" si="45"/>
        <v>0.11343495214464729</v>
      </c>
      <c r="EM27" s="532">
        <f t="shared" si="156"/>
        <v>0</v>
      </c>
      <c r="EN27" s="530"/>
      <c r="EO27" s="531">
        <f t="shared" si="46"/>
        <v>0</v>
      </c>
      <c r="EP27" s="532">
        <f t="shared" si="157"/>
        <v>0</v>
      </c>
      <c r="EQ27" s="530"/>
      <c r="ER27" s="531">
        <f t="shared" si="47"/>
        <v>0</v>
      </c>
      <c r="ES27" s="532">
        <f t="shared" si="158"/>
        <v>0</v>
      </c>
      <c r="ET27" s="530"/>
      <c r="EU27" s="531">
        <f t="shared" si="48"/>
        <v>0</v>
      </c>
      <c r="EV27" s="532">
        <f t="shared" si="159"/>
        <v>0</v>
      </c>
      <c r="EW27" s="530"/>
      <c r="EX27" s="531">
        <f t="shared" si="49"/>
        <v>0</v>
      </c>
      <c r="EY27" s="532">
        <f t="shared" si="160"/>
        <v>0</v>
      </c>
      <c r="EZ27" s="530"/>
      <c r="FA27" s="531">
        <f t="shared" si="50"/>
        <v>0</v>
      </c>
      <c r="FB27" s="532">
        <f t="shared" si="161"/>
        <v>0</v>
      </c>
      <c r="FC27" s="530"/>
      <c r="FD27" s="531">
        <f t="shared" si="51"/>
        <v>0</v>
      </c>
      <c r="FE27" s="532">
        <f t="shared" si="162"/>
        <v>0</v>
      </c>
      <c r="FF27" s="530"/>
      <c r="FG27" s="531">
        <f t="shared" si="52"/>
        <v>0</v>
      </c>
      <c r="FH27" s="532">
        <f t="shared" si="163"/>
        <v>0</v>
      </c>
      <c r="FI27" s="530"/>
      <c r="FJ27" s="531">
        <f t="shared" si="53"/>
        <v>0</v>
      </c>
      <c r="FK27" s="532">
        <f t="shared" si="164"/>
        <v>0</v>
      </c>
      <c r="FL27" s="530"/>
      <c r="FM27" s="531">
        <f t="shared" si="54"/>
        <v>0</v>
      </c>
      <c r="FN27" s="532">
        <f t="shared" si="165"/>
        <v>0</v>
      </c>
      <c r="FO27" s="530"/>
      <c r="FP27" s="531">
        <f t="shared" si="55"/>
        <v>0</v>
      </c>
      <c r="FQ27" s="532">
        <f t="shared" si="166"/>
        <v>0</v>
      </c>
      <c r="FR27" s="530"/>
      <c r="FS27" s="531">
        <f t="shared" si="56"/>
        <v>0</v>
      </c>
      <c r="FT27" s="532">
        <f t="shared" si="167"/>
        <v>0</v>
      </c>
      <c r="FU27" s="530"/>
      <c r="FV27" s="531">
        <f t="shared" si="57"/>
        <v>0</v>
      </c>
      <c r="FW27" s="532">
        <f t="shared" si="168"/>
        <v>0</v>
      </c>
      <c r="FX27" s="530"/>
      <c r="FY27" s="531">
        <f t="shared" si="58"/>
        <v>0</v>
      </c>
      <c r="FZ27" s="532">
        <f t="shared" si="169"/>
        <v>0</v>
      </c>
      <c r="GA27" s="530"/>
      <c r="GB27" s="531">
        <f t="shared" si="59"/>
        <v>0</v>
      </c>
      <c r="GC27" s="532">
        <f t="shared" si="170"/>
        <v>0</v>
      </c>
      <c r="GD27" s="530"/>
      <c r="GE27" s="531">
        <f t="shared" si="60"/>
        <v>0</v>
      </c>
      <c r="GF27" s="532">
        <f t="shared" si="171"/>
        <v>0</v>
      </c>
      <c r="GG27" s="530"/>
      <c r="GH27" s="531">
        <f t="shared" si="61"/>
        <v>0</v>
      </c>
      <c r="GI27" s="532">
        <f t="shared" si="172"/>
        <v>0</v>
      </c>
      <c r="GJ27" s="530"/>
      <c r="GK27" s="531">
        <f t="shared" si="62"/>
        <v>0</v>
      </c>
      <c r="GL27" s="532">
        <f t="shared" si="173"/>
        <v>0</v>
      </c>
      <c r="GM27" s="530"/>
      <c r="GN27" s="531">
        <f t="shared" si="63"/>
        <v>0</v>
      </c>
      <c r="GO27" s="532">
        <f t="shared" si="174"/>
        <v>0</v>
      </c>
      <c r="GP27" s="530"/>
      <c r="GQ27" s="531">
        <f t="shared" si="64"/>
        <v>0</v>
      </c>
      <c r="GR27" s="532">
        <f t="shared" si="175"/>
        <v>0</v>
      </c>
      <c r="GS27" s="530"/>
      <c r="GT27" s="531">
        <f t="shared" si="65"/>
        <v>0</v>
      </c>
      <c r="GU27" s="532">
        <f t="shared" si="176"/>
        <v>0</v>
      </c>
      <c r="GV27" s="530"/>
      <c r="GW27" s="531">
        <f t="shared" si="66"/>
        <v>0</v>
      </c>
      <c r="GX27" s="532">
        <f t="shared" si="177"/>
        <v>0</v>
      </c>
      <c r="GY27" s="530"/>
      <c r="GZ27" s="531">
        <f t="shared" si="67"/>
        <v>0</v>
      </c>
      <c r="HA27" s="532">
        <f t="shared" si="178"/>
        <v>0</v>
      </c>
      <c r="HB27" s="530"/>
      <c r="HC27" s="531">
        <f t="shared" si="68"/>
        <v>0</v>
      </c>
      <c r="HD27" s="532">
        <f t="shared" si="179"/>
        <v>0</v>
      </c>
      <c r="HE27" s="530"/>
      <c r="HF27" s="531">
        <f t="shared" si="69"/>
        <v>0</v>
      </c>
      <c r="HG27" s="532">
        <f t="shared" si="180"/>
        <v>0</v>
      </c>
      <c r="HH27" s="530"/>
      <c r="HI27" s="531">
        <f t="shared" si="70"/>
        <v>0</v>
      </c>
      <c r="HJ27" s="532">
        <f t="shared" si="181"/>
        <v>0</v>
      </c>
      <c r="HK27" s="530"/>
      <c r="HL27" s="531">
        <f t="shared" si="71"/>
        <v>0</v>
      </c>
      <c r="HM27" s="532">
        <f t="shared" si="182"/>
        <v>0</v>
      </c>
      <c r="HN27" s="530"/>
      <c r="HO27" s="531">
        <f t="shared" si="72"/>
        <v>0</v>
      </c>
      <c r="HP27" s="532">
        <f t="shared" si="183"/>
        <v>0</v>
      </c>
      <c r="HQ27" s="530"/>
      <c r="HR27" s="531">
        <f t="shared" si="73"/>
        <v>0</v>
      </c>
      <c r="HS27" s="532">
        <f t="shared" si="184"/>
        <v>0</v>
      </c>
      <c r="HT27" s="530"/>
      <c r="HU27" s="531">
        <f t="shared" si="74"/>
        <v>0</v>
      </c>
      <c r="HV27" s="532">
        <f t="shared" si="185"/>
        <v>0</v>
      </c>
      <c r="HW27" s="530"/>
      <c r="HX27" s="531">
        <f t="shared" si="75"/>
        <v>0</v>
      </c>
      <c r="HY27" s="532">
        <f t="shared" si="186"/>
        <v>0</v>
      </c>
      <c r="HZ27" s="530"/>
      <c r="IA27" s="531">
        <f t="shared" si="76"/>
        <v>0</v>
      </c>
      <c r="IB27" s="532">
        <f t="shared" si="187"/>
        <v>0</v>
      </c>
      <c r="IC27" s="530"/>
      <c r="ID27" s="531">
        <f t="shared" si="77"/>
        <v>0</v>
      </c>
      <c r="IE27" s="532">
        <f t="shared" si="188"/>
        <v>0</v>
      </c>
      <c r="IF27" s="530"/>
      <c r="IG27" s="531">
        <f t="shared" si="78"/>
        <v>0</v>
      </c>
      <c r="IH27" s="532">
        <f t="shared" si="189"/>
        <v>0</v>
      </c>
      <c r="II27" s="530"/>
      <c r="IJ27" s="531">
        <f t="shared" si="79"/>
        <v>0</v>
      </c>
      <c r="IK27" s="532">
        <f t="shared" si="190"/>
        <v>0</v>
      </c>
      <c r="IL27" s="530"/>
      <c r="IM27" s="531">
        <f t="shared" si="80"/>
        <v>0</v>
      </c>
      <c r="IN27" s="532">
        <f t="shared" si="191"/>
        <v>0</v>
      </c>
      <c r="IO27" s="530"/>
      <c r="IP27" s="531">
        <f t="shared" si="81"/>
        <v>0</v>
      </c>
      <c r="IQ27" s="532">
        <f t="shared" si="192"/>
        <v>0</v>
      </c>
      <c r="IR27" s="530"/>
      <c r="IS27" s="531">
        <f t="shared" si="82"/>
        <v>0</v>
      </c>
      <c r="IT27" s="532">
        <f t="shared" si="193"/>
        <v>0</v>
      </c>
      <c r="IU27" s="530"/>
      <c r="IV27" s="531">
        <f t="shared" si="83"/>
        <v>0</v>
      </c>
      <c r="IW27" s="532">
        <f t="shared" si="194"/>
        <v>0</v>
      </c>
      <c r="IX27" s="530"/>
      <c r="IY27" s="531">
        <f t="shared" si="84"/>
        <v>0</v>
      </c>
      <c r="IZ27" s="532">
        <f t="shared" si="195"/>
        <v>0</v>
      </c>
      <c r="JA27" s="530"/>
      <c r="JB27" s="531">
        <f t="shared" si="85"/>
        <v>0</v>
      </c>
      <c r="JC27" s="532">
        <f t="shared" si="196"/>
        <v>0</v>
      </c>
      <c r="JD27" s="530"/>
      <c r="JE27" s="531">
        <f t="shared" si="86"/>
        <v>0</v>
      </c>
      <c r="JF27" s="532">
        <f t="shared" si="197"/>
        <v>0</v>
      </c>
      <c r="JG27" s="530"/>
      <c r="JH27" s="531">
        <f t="shared" si="87"/>
        <v>0</v>
      </c>
      <c r="JI27" s="532">
        <f t="shared" si="198"/>
        <v>0</v>
      </c>
      <c r="JJ27" s="530"/>
      <c r="JK27" s="532" t="str">
        <f t="shared" si="88"/>
        <v>0</v>
      </c>
      <c r="JL27" s="532" t="str">
        <f t="shared" si="89"/>
        <v>0</v>
      </c>
      <c r="JM27" s="530"/>
      <c r="JN27" s="532" t="str">
        <f t="shared" si="90"/>
        <v>0</v>
      </c>
      <c r="JO27" s="532" t="str">
        <f t="shared" si="91"/>
        <v>0</v>
      </c>
      <c r="JP27" s="530"/>
      <c r="JQ27" s="532" t="str">
        <f t="shared" si="92"/>
        <v>0</v>
      </c>
      <c r="JR27" s="532" t="str">
        <f t="shared" si="93"/>
        <v>0</v>
      </c>
      <c r="JS27" s="530"/>
      <c r="JT27" s="532" t="str">
        <f t="shared" si="94"/>
        <v>0</v>
      </c>
      <c r="JU27" s="532" t="str">
        <f t="shared" si="95"/>
        <v>0</v>
      </c>
      <c r="JV27" s="530"/>
      <c r="JW27" s="532" t="str">
        <f t="shared" si="96"/>
        <v>0</v>
      </c>
      <c r="JX27" s="532" t="str">
        <f t="shared" si="97"/>
        <v>0</v>
      </c>
      <c r="JY27" s="530"/>
      <c r="JZ27" s="532" t="str">
        <f t="shared" si="98"/>
        <v>0</v>
      </c>
      <c r="KA27" s="532" t="str">
        <f t="shared" si="99"/>
        <v>0</v>
      </c>
      <c r="KB27" s="530"/>
      <c r="KC27" s="532" t="str">
        <f t="shared" si="100"/>
        <v>0</v>
      </c>
      <c r="KD27" s="532" t="str">
        <f t="shared" si="101"/>
        <v>0</v>
      </c>
      <c r="KE27" s="530"/>
      <c r="KF27" s="532" t="str">
        <f t="shared" si="102"/>
        <v>0</v>
      </c>
      <c r="KG27" s="532" t="str">
        <f t="shared" si="103"/>
        <v>0</v>
      </c>
      <c r="KH27" s="530"/>
      <c r="KI27" s="532" t="str">
        <f t="shared" si="104"/>
        <v>0</v>
      </c>
      <c r="KJ27" s="532" t="str">
        <f t="shared" si="105"/>
        <v>0</v>
      </c>
      <c r="KK27" s="530"/>
      <c r="KL27" s="532" t="str">
        <f t="shared" si="106"/>
        <v>0</v>
      </c>
      <c r="KM27" s="532" t="str">
        <f t="shared" si="107"/>
        <v>0</v>
      </c>
      <c r="KN27" s="530"/>
      <c r="KO27" s="532" t="str">
        <f t="shared" si="108"/>
        <v>0</v>
      </c>
      <c r="KP27" s="532" t="str">
        <f t="shared" si="109"/>
        <v>0</v>
      </c>
      <c r="KQ27" s="530"/>
      <c r="KR27" s="532" t="str">
        <f t="shared" si="110"/>
        <v>0</v>
      </c>
      <c r="KS27" s="532" t="str">
        <f t="shared" si="111"/>
        <v>0</v>
      </c>
      <c r="KT27" s="532">
        <f t="shared" si="201"/>
        <v>0</v>
      </c>
      <c r="KU27" s="532">
        <f t="shared" si="202"/>
        <v>0</v>
      </c>
      <c r="KV27" s="268">
        <f t="shared" si="199"/>
        <v>9.8972000000000211</v>
      </c>
    </row>
    <row r="28" spans="1:309">
      <c r="A28" s="269">
        <f t="shared" si="200"/>
        <v>45950</v>
      </c>
      <c r="B28" s="270" t="str">
        <f>+Report1!B28</f>
        <v>Facial</v>
      </c>
      <c r="C28" s="270" t="str">
        <f>+Report1!C28</f>
        <v>12</v>
      </c>
      <c r="D28" s="271">
        <f>+Report1!P28</f>
        <v>0</v>
      </c>
      <c r="E28" s="570">
        <f>+Report1!R28</f>
        <v>0</v>
      </c>
      <c r="F28" s="530"/>
      <c r="G28" s="531" t="e">
        <f t="shared" si="0"/>
        <v>#DIV/0!</v>
      </c>
      <c r="H28" s="532">
        <f t="shared" si="112"/>
        <v>0</v>
      </c>
      <c r="I28" s="530"/>
      <c r="J28" s="531" t="e">
        <f t="shared" si="1"/>
        <v>#DIV/0!</v>
      </c>
      <c r="K28" s="532">
        <f t="shared" si="113"/>
        <v>0</v>
      </c>
      <c r="L28" s="530"/>
      <c r="M28" s="531" t="e">
        <f t="shared" si="2"/>
        <v>#DIV/0!</v>
      </c>
      <c r="N28" s="532">
        <f t="shared" si="114"/>
        <v>0</v>
      </c>
      <c r="O28" s="530"/>
      <c r="P28" s="531" t="e">
        <f t="shared" si="3"/>
        <v>#DIV/0!</v>
      </c>
      <c r="Q28" s="532">
        <f t="shared" si="115"/>
        <v>0</v>
      </c>
      <c r="R28" s="530"/>
      <c r="S28" s="531" t="e">
        <f t="shared" si="4"/>
        <v>#DIV/0!</v>
      </c>
      <c r="T28" s="532">
        <f t="shared" si="116"/>
        <v>0</v>
      </c>
      <c r="U28" s="530"/>
      <c r="V28" s="531" t="e">
        <f t="shared" si="5"/>
        <v>#DIV/0!</v>
      </c>
      <c r="W28" s="532">
        <f t="shared" si="117"/>
        <v>0</v>
      </c>
      <c r="X28" s="530"/>
      <c r="Y28" s="531" t="e">
        <f t="shared" si="6"/>
        <v>#DIV/0!</v>
      </c>
      <c r="Z28" s="532">
        <f t="shared" si="118"/>
        <v>0</v>
      </c>
      <c r="AA28" s="530"/>
      <c r="AB28" s="531" t="e">
        <f t="shared" si="7"/>
        <v>#DIV/0!</v>
      </c>
      <c r="AC28" s="532">
        <f t="shared" si="119"/>
        <v>0</v>
      </c>
      <c r="AD28" s="530"/>
      <c r="AE28" s="531" t="e">
        <f t="shared" si="8"/>
        <v>#DIV/0!</v>
      </c>
      <c r="AF28" s="532">
        <f t="shared" si="120"/>
        <v>0</v>
      </c>
      <c r="AG28" s="530"/>
      <c r="AH28" s="531" t="e">
        <f t="shared" si="9"/>
        <v>#DIV/0!</v>
      </c>
      <c r="AI28" s="532">
        <f t="shared" si="121"/>
        <v>0</v>
      </c>
      <c r="AJ28" s="530"/>
      <c r="AK28" s="531" t="e">
        <f t="shared" si="10"/>
        <v>#DIV/0!</v>
      </c>
      <c r="AL28" s="532">
        <f t="shared" si="122"/>
        <v>0</v>
      </c>
      <c r="AM28" s="530"/>
      <c r="AN28" s="531" t="e">
        <f t="shared" si="11"/>
        <v>#DIV/0!</v>
      </c>
      <c r="AO28" s="532">
        <f t="shared" si="123"/>
        <v>0</v>
      </c>
      <c r="AP28" s="530"/>
      <c r="AQ28" s="531" t="e">
        <f t="shared" si="12"/>
        <v>#DIV/0!</v>
      </c>
      <c r="AR28" s="532">
        <f t="shared" si="124"/>
        <v>0</v>
      </c>
      <c r="AS28" s="530"/>
      <c r="AT28" s="531" t="e">
        <f t="shared" si="13"/>
        <v>#DIV/0!</v>
      </c>
      <c r="AU28" s="532">
        <f t="shared" si="125"/>
        <v>0</v>
      </c>
      <c r="AV28" s="530"/>
      <c r="AW28" s="531" t="e">
        <f t="shared" si="14"/>
        <v>#DIV/0!</v>
      </c>
      <c r="AX28" s="532">
        <f t="shared" si="126"/>
        <v>0</v>
      </c>
      <c r="AY28" s="530"/>
      <c r="AZ28" s="531" t="e">
        <f t="shared" si="15"/>
        <v>#DIV/0!</v>
      </c>
      <c r="BA28" s="532">
        <f t="shared" si="127"/>
        <v>0</v>
      </c>
      <c r="BB28" s="530"/>
      <c r="BC28" s="531" t="e">
        <f t="shared" si="16"/>
        <v>#DIV/0!</v>
      </c>
      <c r="BD28" s="532">
        <f t="shared" si="128"/>
        <v>0</v>
      </c>
      <c r="BE28" s="530"/>
      <c r="BF28" s="531" t="e">
        <f t="shared" si="17"/>
        <v>#DIV/0!</v>
      </c>
      <c r="BG28" s="532">
        <f t="shared" si="129"/>
        <v>0</v>
      </c>
      <c r="BH28" s="530"/>
      <c r="BI28" s="531" t="e">
        <f t="shared" si="18"/>
        <v>#DIV/0!</v>
      </c>
      <c r="BJ28" s="532">
        <f t="shared" si="130"/>
        <v>0</v>
      </c>
      <c r="BK28" s="530"/>
      <c r="BL28" s="531" t="e">
        <f t="shared" si="19"/>
        <v>#DIV/0!</v>
      </c>
      <c r="BM28" s="532">
        <f t="shared" si="131"/>
        <v>0</v>
      </c>
      <c r="BN28" s="530"/>
      <c r="BO28" s="531" t="e">
        <f t="shared" si="20"/>
        <v>#DIV/0!</v>
      </c>
      <c r="BP28" s="532">
        <f t="shared" si="132"/>
        <v>0</v>
      </c>
      <c r="BQ28" s="530"/>
      <c r="BR28" s="531" t="e">
        <f t="shared" si="21"/>
        <v>#DIV/0!</v>
      </c>
      <c r="BS28" s="532">
        <f t="shared" si="133"/>
        <v>0</v>
      </c>
      <c r="BT28" s="530"/>
      <c r="BU28" s="531" t="e">
        <f t="shared" si="22"/>
        <v>#DIV/0!</v>
      </c>
      <c r="BV28" s="532">
        <f t="shared" si="134"/>
        <v>0</v>
      </c>
      <c r="BW28" s="530"/>
      <c r="BX28" s="531" t="e">
        <f t="shared" si="23"/>
        <v>#DIV/0!</v>
      </c>
      <c r="BY28" s="532">
        <f t="shared" si="135"/>
        <v>0</v>
      </c>
      <c r="BZ28" s="530">
        <v>50.930232558139551</v>
      </c>
      <c r="CA28" s="531" t="e">
        <f t="shared" si="24"/>
        <v>#DIV/0!</v>
      </c>
      <c r="CB28" s="532">
        <f t="shared" si="136"/>
        <v>0</v>
      </c>
      <c r="CC28" s="530"/>
      <c r="CD28" s="531" t="e">
        <f t="shared" si="25"/>
        <v>#DIV/0!</v>
      </c>
      <c r="CE28" s="532">
        <f t="shared" si="137"/>
        <v>0</v>
      </c>
      <c r="CF28" s="530"/>
      <c r="CG28" s="531" t="e">
        <f t="shared" si="26"/>
        <v>#DIV/0!</v>
      </c>
      <c r="CH28" s="532">
        <f t="shared" si="138"/>
        <v>0</v>
      </c>
      <c r="CI28" s="530"/>
      <c r="CJ28" s="531" t="e">
        <f t="shared" si="27"/>
        <v>#DIV/0!</v>
      </c>
      <c r="CK28" s="532">
        <f t="shared" si="139"/>
        <v>0</v>
      </c>
      <c r="CL28" s="530"/>
      <c r="CM28" s="531" t="e">
        <f t="shared" si="28"/>
        <v>#DIV/0!</v>
      </c>
      <c r="CN28" s="532">
        <f t="shared" si="140"/>
        <v>0</v>
      </c>
      <c r="CO28" s="530"/>
      <c r="CP28" s="531" t="e">
        <f t="shared" si="29"/>
        <v>#DIV/0!</v>
      </c>
      <c r="CQ28" s="532">
        <f t="shared" si="141"/>
        <v>0</v>
      </c>
      <c r="CR28" s="530"/>
      <c r="CS28" s="531" t="e">
        <f t="shared" si="30"/>
        <v>#DIV/0!</v>
      </c>
      <c r="CT28" s="532">
        <f t="shared" si="142"/>
        <v>0</v>
      </c>
      <c r="CU28" s="530"/>
      <c r="CV28" s="531" t="e">
        <f t="shared" si="31"/>
        <v>#DIV/0!</v>
      </c>
      <c r="CW28" s="532">
        <f t="shared" si="143"/>
        <v>0</v>
      </c>
      <c r="CX28" s="530"/>
      <c r="CY28" s="531" t="e">
        <f t="shared" si="32"/>
        <v>#DIV/0!</v>
      </c>
      <c r="CZ28" s="532">
        <f t="shared" si="144"/>
        <v>0</v>
      </c>
      <c r="DA28" s="530"/>
      <c r="DB28" s="531" t="e">
        <f t="shared" si="33"/>
        <v>#DIV/0!</v>
      </c>
      <c r="DC28" s="532">
        <f t="shared" si="145"/>
        <v>0</v>
      </c>
      <c r="DD28" s="530"/>
      <c r="DE28" s="531" t="e">
        <f t="shared" si="34"/>
        <v>#DIV/0!</v>
      </c>
      <c r="DF28" s="532">
        <f t="shared" si="146"/>
        <v>0</v>
      </c>
      <c r="DG28" s="530"/>
      <c r="DH28" s="531" t="e">
        <f t="shared" si="35"/>
        <v>#DIV/0!</v>
      </c>
      <c r="DI28" s="532">
        <f t="shared" si="203"/>
        <v>0</v>
      </c>
      <c r="DJ28" s="530"/>
      <c r="DK28" s="531" t="e">
        <f t="shared" si="36"/>
        <v>#DIV/0!</v>
      </c>
      <c r="DL28" s="532">
        <f t="shared" si="147"/>
        <v>0</v>
      </c>
      <c r="DM28" s="530"/>
      <c r="DN28" s="531" t="e">
        <f t="shared" si="37"/>
        <v>#DIV/0!</v>
      </c>
      <c r="DO28" s="532">
        <f t="shared" si="148"/>
        <v>0</v>
      </c>
      <c r="DP28" s="530"/>
      <c r="DQ28" s="531" t="e">
        <f t="shared" si="38"/>
        <v>#DIV/0!</v>
      </c>
      <c r="DR28" s="532">
        <f t="shared" si="149"/>
        <v>0</v>
      </c>
      <c r="DS28" s="530"/>
      <c r="DT28" s="531" t="e">
        <f t="shared" si="39"/>
        <v>#DIV/0!</v>
      </c>
      <c r="DU28" s="532">
        <f t="shared" si="150"/>
        <v>0</v>
      </c>
      <c r="DV28" s="530"/>
      <c r="DW28" s="531" t="e">
        <f t="shared" si="40"/>
        <v>#DIV/0!</v>
      </c>
      <c r="DX28" s="532">
        <f t="shared" si="151"/>
        <v>0</v>
      </c>
      <c r="DY28" s="530"/>
      <c r="DZ28" s="531" t="e">
        <f t="shared" si="41"/>
        <v>#DIV/0!</v>
      </c>
      <c r="EA28" s="532">
        <f t="shared" si="152"/>
        <v>0</v>
      </c>
      <c r="EB28" s="530"/>
      <c r="EC28" s="531" t="e">
        <f t="shared" si="42"/>
        <v>#DIV/0!</v>
      </c>
      <c r="ED28" s="532">
        <f t="shared" si="153"/>
        <v>0</v>
      </c>
      <c r="EE28" s="530"/>
      <c r="EF28" s="531" t="e">
        <f t="shared" si="43"/>
        <v>#DIV/0!</v>
      </c>
      <c r="EG28" s="532">
        <f t="shared" si="154"/>
        <v>0</v>
      </c>
      <c r="EH28" s="530"/>
      <c r="EI28" s="531" t="e">
        <f t="shared" si="44"/>
        <v>#DIV/0!</v>
      </c>
      <c r="EJ28" s="532">
        <f t="shared" si="155"/>
        <v>0</v>
      </c>
      <c r="EK28" s="530"/>
      <c r="EL28" s="531" t="e">
        <f t="shared" si="45"/>
        <v>#DIV/0!</v>
      </c>
      <c r="EM28" s="532">
        <f t="shared" si="156"/>
        <v>0</v>
      </c>
      <c r="EN28" s="530"/>
      <c r="EO28" s="531" t="e">
        <f t="shared" si="46"/>
        <v>#DIV/0!</v>
      </c>
      <c r="EP28" s="532">
        <f t="shared" si="157"/>
        <v>0</v>
      </c>
      <c r="EQ28" s="530"/>
      <c r="ER28" s="531" t="e">
        <f t="shared" si="47"/>
        <v>#DIV/0!</v>
      </c>
      <c r="ES28" s="532">
        <f t="shared" si="158"/>
        <v>0</v>
      </c>
      <c r="ET28" s="530"/>
      <c r="EU28" s="531" t="e">
        <f t="shared" si="48"/>
        <v>#DIV/0!</v>
      </c>
      <c r="EV28" s="532">
        <f t="shared" si="159"/>
        <v>0</v>
      </c>
      <c r="EW28" s="530"/>
      <c r="EX28" s="531" t="e">
        <f t="shared" si="49"/>
        <v>#DIV/0!</v>
      </c>
      <c r="EY28" s="532">
        <f t="shared" si="160"/>
        <v>0</v>
      </c>
      <c r="EZ28" s="530"/>
      <c r="FA28" s="531" t="e">
        <f t="shared" si="50"/>
        <v>#DIV/0!</v>
      </c>
      <c r="FB28" s="532">
        <f t="shared" si="161"/>
        <v>0</v>
      </c>
      <c r="FC28" s="530"/>
      <c r="FD28" s="531" t="e">
        <f t="shared" si="51"/>
        <v>#DIV/0!</v>
      </c>
      <c r="FE28" s="532">
        <f t="shared" si="162"/>
        <v>0</v>
      </c>
      <c r="FF28" s="530"/>
      <c r="FG28" s="531" t="e">
        <f t="shared" si="52"/>
        <v>#DIV/0!</v>
      </c>
      <c r="FH28" s="532">
        <f t="shared" si="163"/>
        <v>0</v>
      </c>
      <c r="FI28" s="530"/>
      <c r="FJ28" s="531" t="e">
        <f t="shared" si="53"/>
        <v>#DIV/0!</v>
      </c>
      <c r="FK28" s="532">
        <f t="shared" si="164"/>
        <v>0</v>
      </c>
      <c r="FL28" s="530"/>
      <c r="FM28" s="531" t="e">
        <f t="shared" si="54"/>
        <v>#DIV/0!</v>
      </c>
      <c r="FN28" s="532">
        <f t="shared" si="165"/>
        <v>0</v>
      </c>
      <c r="FO28" s="530"/>
      <c r="FP28" s="531" t="e">
        <f t="shared" si="55"/>
        <v>#DIV/0!</v>
      </c>
      <c r="FQ28" s="532">
        <f t="shared" si="166"/>
        <v>0</v>
      </c>
      <c r="FR28" s="530"/>
      <c r="FS28" s="531" t="e">
        <f t="shared" si="56"/>
        <v>#DIV/0!</v>
      </c>
      <c r="FT28" s="532">
        <f t="shared" si="167"/>
        <v>0</v>
      </c>
      <c r="FU28" s="530"/>
      <c r="FV28" s="531" t="e">
        <f t="shared" si="57"/>
        <v>#DIV/0!</v>
      </c>
      <c r="FW28" s="532">
        <f t="shared" si="168"/>
        <v>0</v>
      </c>
      <c r="FX28" s="530"/>
      <c r="FY28" s="531" t="e">
        <f t="shared" si="58"/>
        <v>#DIV/0!</v>
      </c>
      <c r="FZ28" s="532">
        <f t="shared" si="169"/>
        <v>0</v>
      </c>
      <c r="GA28" s="530"/>
      <c r="GB28" s="531" t="e">
        <f t="shared" si="59"/>
        <v>#DIV/0!</v>
      </c>
      <c r="GC28" s="532">
        <f t="shared" si="170"/>
        <v>0</v>
      </c>
      <c r="GD28" s="530"/>
      <c r="GE28" s="531" t="e">
        <f t="shared" si="60"/>
        <v>#DIV/0!</v>
      </c>
      <c r="GF28" s="532">
        <f t="shared" si="171"/>
        <v>0</v>
      </c>
      <c r="GG28" s="530"/>
      <c r="GH28" s="531" t="e">
        <f t="shared" si="61"/>
        <v>#DIV/0!</v>
      </c>
      <c r="GI28" s="532">
        <f t="shared" si="172"/>
        <v>0</v>
      </c>
      <c r="GJ28" s="530"/>
      <c r="GK28" s="531" t="e">
        <f t="shared" si="62"/>
        <v>#DIV/0!</v>
      </c>
      <c r="GL28" s="532">
        <f t="shared" si="173"/>
        <v>0</v>
      </c>
      <c r="GM28" s="530"/>
      <c r="GN28" s="531" t="e">
        <f t="shared" si="63"/>
        <v>#DIV/0!</v>
      </c>
      <c r="GO28" s="532">
        <f t="shared" si="174"/>
        <v>0</v>
      </c>
      <c r="GP28" s="530"/>
      <c r="GQ28" s="531" t="e">
        <f t="shared" si="64"/>
        <v>#DIV/0!</v>
      </c>
      <c r="GR28" s="532">
        <f t="shared" si="175"/>
        <v>0</v>
      </c>
      <c r="GS28" s="530"/>
      <c r="GT28" s="531" t="e">
        <f t="shared" si="65"/>
        <v>#DIV/0!</v>
      </c>
      <c r="GU28" s="532">
        <f t="shared" si="176"/>
        <v>0</v>
      </c>
      <c r="GV28" s="530"/>
      <c r="GW28" s="531" t="e">
        <f t="shared" si="66"/>
        <v>#DIV/0!</v>
      </c>
      <c r="GX28" s="532">
        <f t="shared" si="177"/>
        <v>0</v>
      </c>
      <c r="GY28" s="530"/>
      <c r="GZ28" s="531" t="e">
        <f t="shared" si="67"/>
        <v>#DIV/0!</v>
      </c>
      <c r="HA28" s="532">
        <f t="shared" si="178"/>
        <v>0</v>
      </c>
      <c r="HB28" s="530"/>
      <c r="HC28" s="531" t="e">
        <f t="shared" si="68"/>
        <v>#DIV/0!</v>
      </c>
      <c r="HD28" s="532">
        <f t="shared" si="179"/>
        <v>0</v>
      </c>
      <c r="HE28" s="530"/>
      <c r="HF28" s="531" t="e">
        <f t="shared" si="69"/>
        <v>#DIV/0!</v>
      </c>
      <c r="HG28" s="532">
        <f t="shared" si="180"/>
        <v>0</v>
      </c>
      <c r="HH28" s="530"/>
      <c r="HI28" s="531" t="e">
        <f t="shared" si="70"/>
        <v>#DIV/0!</v>
      </c>
      <c r="HJ28" s="532">
        <f t="shared" si="181"/>
        <v>0</v>
      </c>
      <c r="HK28" s="530"/>
      <c r="HL28" s="531" t="e">
        <f t="shared" si="71"/>
        <v>#DIV/0!</v>
      </c>
      <c r="HM28" s="532">
        <f t="shared" si="182"/>
        <v>0</v>
      </c>
      <c r="HN28" s="530"/>
      <c r="HO28" s="531" t="e">
        <f t="shared" si="72"/>
        <v>#DIV/0!</v>
      </c>
      <c r="HP28" s="532">
        <f t="shared" si="183"/>
        <v>0</v>
      </c>
      <c r="HQ28" s="530"/>
      <c r="HR28" s="531" t="e">
        <f t="shared" si="73"/>
        <v>#DIV/0!</v>
      </c>
      <c r="HS28" s="532">
        <f t="shared" si="184"/>
        <v>0</v>
      </c>
      <c r="HT28" s="530"/>
      <c r="HU28" s="531" t="e">
        <f t="shared" si="74"/>
        <v>#DIV/0!</v>
      </c>
      <c r="HV28" s="532">
        <f t="shared" si="185"/>
        <v>0</v>
      </c>
      <c r="HW28" s="530"/>
      <c r="HX28" s="531" t="e">
        <f t="shared" si="75"/>
        <v>#DIV/0!</v>
      </c>
      <c r="HY28" s="532">
        <f t="shared" si="186"/>
        <v>0</v>
      </c>
      <c r="HZ28" s="530"/>
      <c r="IA28" s="531" t="e">
        <f t="shared" si="76"/>
        <v>#DIV/0!</v>
      </c>
      <c r="IB28" s="532">
        <f t="shared" si="187"/>
        <v>0</v>
      </c>
      <c r="IC28" s="530"/>
      <c r="ID28" s="531" t="e">
        <f t="shared" si="77"/>
        <v>#DIV/0!</v>
      </c>
      <c r="IE28" s="532">
        <f t="shared" si="188"/>
        <v>0</v>
      </c>
      <c r="IF28" s="530"/>
      <c r="IG28" s="531" t="e">
        <f t="shared" si="78"/>
        <v>#DIV/0!</v>
      </c>
      <c r="IH28" s="532">
        <f t="shared" si="189"/>
        <v>0</v>
      </c>
      <c r="II28" s="530"/>
      <c r="IJ28" s="531" t="e">
        <f t="shared" si="79"/>
        <v>#DIV/0!</v>
      </c>
      <c r="IK28" s="532">
        <f t="shared" si="190"/>
        <v>0</v>
      </c>
      <c r="IL28" s="530"/>
      <c r="IM28" s="531" t="e">
        <f t="shared" si="80"/>
        <v>#DIV/0!</v>
      </c>
      <c r="IN28" s="532">
        <f t="shared" si="191"/>
        <v>0</v>
      </c>
      <c r="IO28" s="530"/>
      <c r="IP28" s="531" t="e">
        <f t="shared" si="81"/>
        <v>#DIV/0!</v>
      </c>
      <c r="IQ28" s="532">
        <f t="shared" si="192"/>
        <v>0</v>
      </c>
      <c r="IR28" s="530"/>
      <c r="IS28" s="531" t="e">
        <f t="shared" si="82"/>
        <v>#DIV/0!</v>
      </c>
      <c r="IT28" s="532">
        <f t="shared" si="193"/>
        <v>0</v>
      </c>
      <c r="IU28" s="530"/>
      <c r="IV28" s="531" t="e">
        <f t="shared" si="83"/>
        <v>#DIV/0!</v>
      </c>
      <c r="IW28" s="532">
        <f t="shared" si="194"/>
        <v>0</v>
      </c>
      <c r="IX28" s="530"/>
      <c r="IY28" s="531" t="e">
        <f t="shared" si="84"/>
        <v>#DIV/0!</v>
      </c>
      <c r="IZ28" s="532">
        <f t="shared" si="195"/>
        <v>0</v>
      </c>
      <c r="JA28" s="530"/>
      <c r="JB28" s="531" t="e">
        <f t="shared" si="85"/>
        <v>#DIV/0!</v>
      </c>
      <c r="JC28" s="532">
        <f t="shared" si="196"/>
        <v>0</v>
      </c>
      <c r="JD28" s="530"/>
      <c r="JE28" s="531" t="e">
        <f t="shared" si="86"/>
        <v>#DIV/0!</v>
      </c>
      <c r="JF28" s="532">
        <f t="shared" si="197"/>
        <v>0</v>
      </c>
      <c r="JG28" s="530"/>
      <c r="JH28" s="531" t="e">
        <f t="shared" si="87"/>
        <v>#DIV/0!</v>
      </c>
      <c r="JI28" s="532">
        <f t="shared" si="198"/>
        <v>0</v>
      </c>
      <c r="JJ28" s="530"/>
      <c r="JK28" s="532" t="str">
        <f t="shared" si="88"/>
        <v>0</v>
      </c>
      <c r="JL28" s="532" t="str">
        <f t="shared" si="89"/>
        <v>0</v>
      </c>
      <c r="JM28" s="530"/>
      <c r="JN28" s="532" t="str">
        <f t="shared" si="90"/>
        <v>0</v>
      </c>
      <c r="JO28" s="532" t="str">
        <f t="shared" si="91"/>
        <v>0</v>
      </c>
      <c r="JP28" s="530"/>
      <c r="JQ28" s="532" t="str">
        <f t="shared" si="92"/>
        <v>0</v>
      </c>
      <c r="JR28" s="532" t="str">
        <f t="shared" si="93"/>
        <v>0</v>
      </c>
      <c r="JS28" s="530"/>
      <c r="JT28" s="532" t="str">
        <f t="shared" si="94"/>
        <v>0</v>
      </c>
      <c r="JU28" s="532" t="str">
        <f t="shared" si="95"/>
        <v>0</v>
      </c>
      <c r="JV28" s="530"/>
      <c r="JW28" s="532" t="str">
        <f t="shared" si="96"/>
        <v>0</v>
      </c>
      <c r="JX28" s="532" t="str">
        <f t="shared" si="97"/>
        <v>0</v>
      </c>
      <c r="JY28" s="530"/>
      <c r="JZ28" s="532" t="str">
        <f t="shared" si="98"/>
        <v>0</v>
      </c>
      <c r="KA28" s="532" t="str">
        <f t="shared" si="99"/>
        <v>0</v>
      </c>
      <c r="KB28" s="530"/>
      <c r="KC28" s="532" t="str">
        <f t="shared" si="100"/>
        <v>0</v>
      </c>
      <c r="KD28" s="532" t="str">
        <f t="shared" si="101"/>
        <v>0</v>
      </c>
      <c r="KE28" s="530"/>
      <c r="KF28" s="532" t="str">
        <f t="shared" si="102"/>
        <v>0</v>
      </c>
      <c r="KG28" s="532" t="str">
        <f t="shared" si="103"/>
        <v>0</v>
      </c>
      <c r="KH28" s="530"/>
      <c r="KI28" s="532" t="str">
        <f t="shared" si="104"/>
        <v>0</v>
      </c>
      <c r="KJ28" s="532" t="str">
        <f t="shared" si="105"/>
        <v>0</v>
      </c>
      <c r="KK28" s="530"/>
      <c r="KL28" s="532" t="str">
        <f t="shared" si="106"/>
        <v>0</v>
      </c>
      <c r="KM28" s="532" t="str">
        <f t="shared" si="107"/>
        <v>0</v>
      </c>
      <c r="KN28" s="530"/>
      <c r="KO28" s="532" t="str">
        <f t="shared" si="108"/>
        <v>0</v>
      </c>
      <c r="KP28" s="532" t="str">
        <f t="shared" si="109"/>
        <v>0</v>
      </c>
      <c r="KQ28" s="530"/>
      <c r="KR28" s="532" t="str">
        <f t="shared" si="110"/>
        <v>0</v>
      </c>
      <c r="KS28" s="532" t="str">
        <f t="shared" si="111"/>
        <v>0</v>
      </c>
      <c r="KT28" s="532">
        <f t="shared" si="201"/>
        <v>0</v>
      </c>
      <c r="KU28" s="532">
        <f t="shared" si="202"/>
        <v>0</v>
      </c>
      <c r="KV28" s="268">
        <f t="shared" si="199"/>
        <v>50.930232558139551</v>
      </c>
    </row>
    <row r="29" spans="1:309">
      <c r="A29" s="269">
        <f t="shared" si="200"/>
        <v>45951</v>
      </c>
      <c r="B29" s="270" t="str">
        <f>+Report1!B29</f>
        <v>Facial</v>
      </c>
      <c r="C29" s="270" t="str">
        <f>+Report1!C29</f>
        <v>12</v>
      </c>
      <c r="D29" s="271">
        <f>+Report1!P29</f>
        <v>0</v>
      </c>
      <c r="E29" s="570">
        <f>+Report1!R29</f>
        <v>0</v>
      </c>
      <c r="F29" s="530"/>
      <c r="G29" s="531" t="e">
        <f t="shared" si="0"/>
        <v>#DIV/0!</v>
      </c>
      <c r="H29" s="532">
        <f t="shared" si="112"/>
        <v>0</v>
      </c>
      <c r="I29" s="530"/>
      <c r="J29" s="531" t="e">
        <f t="shared" si="1"/>
        <v>#DIV/0!</v>
      </c>
      <c r="K29" s="532">
        <f t="shared" si="113"/>
        <v>0</v>
      </c>
      <c r="L29" s="530"/>
      <c r="M29" s="531" t="e">
        <f t="shared" si="2"/>
        <v>#DIV/0!</v>
      </c>
      <c r="N29" s="532">
        <f t="shared" si="114"/>
        <v>0</v>
      </c>
      <c r="O29" s="530"/>
      <c r="P29" s="531" t="e">
        <f t="shared" si="3"/>
        <v>#DIV/0!</v>
      </c>
      <c r="Q29" s="532">
        <f t="shared" si="115"/>
        <v>0</v>
      </c>
      <c r="R29" s="530"/>
      <c r="S29" s="531" t="e">
        <f t="shared" si="4"/>
        <v>#DIV/0!</v>
      </c>
      <c r="T29" s="532">
        <f t="shared" si="116"/>
        <v>0</v>
      </c>
      <c r="U29" s="530"/>
      <c r="V29" s="531" t="e">
        <f t="shared" si="5"/>
        <v>#DIV/0!</v>
      </c>
      <c r="W29" s="532">
        <f t="shared" si="117"/>
        <v>0</v>
      </c>
      <c r="X29" s="530"/>
      <c r="Y29" s="531" t="e">
        <f t="shared" si="6"/>
        <v>#DIV/0!</v>
      </c>
      <c r="Z29" s="532">
        <f t="shared" si="118"/>
        <v>0</v>
      </c>
      <c r="AA29" s="530"/>
      <c r="AB29" s="531" t="e">
        <f t="shared" si="7"/>
        <v>#DIV/0!</v>
      </c>
      <c r="AC29" s="532">
        <f t="shared" si="119"/>
        <v>0</v>
      </c>
      <c r="AD29" s="530"/>
      <c r="AE29" s="531" t="e">
        <f t="shared" si="8"/>
        <v>#DIV/0!</v>
      </c>
      <c r="AF29" s="532">
        <f t="shared" si="120"/>
        <v>0</v>
      </c>
      <c r="AG29" s="530">
        <v>49</v>
      </c>
      <c r="AH29" s="531" t="e">
        <f t="shared" si="9"/>
        <v>#DIV/0!</v>
      </c>
      <c r="AI29" s="532">
        <f t="shared" si="121"/>
        <v>0</v>
      </c>
      <c r="AJ29" s="530"/>
      <c r="AK29" s="531" t="e">
        <f t="shared" si="10"/>
        <v>#DIV/0!</v>
      </c>
      <c r="AL29" s="532">
        <f t="shared" si="122"/>
        <v>0</v>
      </c>
      <c r="AM29" s="530"/>
      <c r="AN29" s="531" t="e">
        <f t="shared" si="11"/>
        <v>#DIV/0!</v>
      </c>
      <c r="AO29" s="532">
        <f t="shared" si="123"/>
        <v>0</v>
      </c>
      <c r="AP29" s="530"/>
      <c r="AQ29" s="531" t="e">
        <f t="shared" si="12"/>
        <v>#DIV/0!</v>
      </c>
      <c r="AR29" s="532">
        <f t="shared" si="124"/>
        <v>0</v>
      </c>
      <c r="AS29" s="530"/>
      <c r="AT29" s="531" t="e">
        <f t="shared" si="13"/>
        <v>#DIV/0!</v>
      </c>
      <c r="AU29" s="532">
        <f t="shared" si="125"/>
        <v>0</v>
      </c>
      <c r="AV29" s="530"/>
      <c r="AW29" s="531" t="e">
        <f t="shared" si="14"/>
        <v>#DIV/0!</v>
      </c>
      <c r="AX29" s="532">
        <f t="shared" si="126"/>
        <v>0</v>
      </c>
      <c r="AY29" s="530"/>
      <c r="AZ29" s="531" t="e">
        <f t="shared" si="15"/>
        <v>#DIV/0!</v>
      </c>
      <c r="BA29" s="532">
        <f t="shared" si="127"/>
        <v>0</v>
      </c>
      <c r="BB29" s="530"/>
      <c r="BC29" s="531" t="e">
        <f t="shared" si="16"/>
        <v>#DIV/0!</v>
      </c>
      <c r="BD29" s="532">
        <f t="shared" si="128"/>
        <v>0</v>
      </c>
      <c r="BE29" s="530"/>
      <c r="BF29" s="531" t="e">
        <f t="shared" si="17"/>
        <v>#DIV/0!</v>
      </c>
      <c r="BG29" s="532">
        <f t="shared" si="129"/>
        <v>0</v>
      </c>
      <c r="BH29" s="530"/>
      <c r="BI29" s="531" t="e">
        <f t="shared" si="18"/>
        <v>#DIV/0!</v>
      </c>
      <c r="BJ29" s="532">
        <f t="shared" si="130"/>
        <v>0</v>
      </c>
      <c r="BK29" s="530"/>
      <c r="BL29" s="531" t="e">
        <f t="shared" si="19"/>
        <v>#DIV/0!</v>
      </c>
      <c r="BM29" s="532">
        <f t="shared" si="131"/>
        <v>0</v>
      </c>
      <c r="BN29" s="530"/>
      <c r="BO29" s="531" t="e">
        <f t="shared" si="20"/>
        <v>#DIV/0!</v>
      </c>
      <c r="BP29" s="532">
        <f t="shared" si="132"/>
        <v>0</v>
      </c>
      <c r="BQ29" s="530"/>
      <c r="BR29" s="531" t="e">
        <f t="shared" si="21"/>
        <v>#DIV/0!</v>
      </c>
      <c r="BS29" s="532">
        <f t="shared" si="133"/>
        <v>0</v>
      </c>
      <c r="BT29" s="530"/>
      <c r="BU29" s="531" t="e">
        <f t="shared" si="22"/>
        <v>#DIV/0!</v>
      </c>
      <c r="BV29" s="532">
        <f t="shared" si="134"/>
        <v>0</v>
      </c>
      <c r="BW29" s="530"/>
      <c r="BX29" s="531" t="e">
        <f t="shared" si="23"/>
        <v>#DIV/0!</v>
      </c>
      <c r="BY29" s="532">
        <f t="shared" si="135"/>
        <v>0</v>
      </c>
      <c r="BZ29" s="530"/>
      <c r="CA29" s="531" t="e">
        <f t="shared" si="24"/>
        <v>#DIV/0!</v>
      </c>
      <c r="CB29" s="532">
        <f t="shared" si="136"/>
        <v>0</v>
      </c>
      <c r="CC29" s="530"/>
      <c r="CD29" s="531" t="e">
        <f t="shared" si="25"/>
        <v>#DIV/0!</v>
      </c>
      <c r="CE29" s="532">
        <f t="shared" si="137"/>
        <v>0</v>
      </c>
      <c r="CF29" s="530"/>
      <c r="CG29" s="531" t="e">
        <f t="shared" si="26"/>
        <v>#DIV/0!</v>
      </c>
      <c r="CH29" s="532">
        <f t="shared" si="138"/>
        <v>0</v>
      </c>
      <c r="CI29" s="530"/>
      <c r="CJ29" s="531" t="e">
        <f t="shared" si="27"/>
        <v>#DIV/0!</v>
      </c>
      <c r="CK29" s="532">
        <f t="shared" si="139"/>
        <v>0</v>
      </c>
      <c r="CL29" s="530"/>
      <c r="CM29" s="531" t="e">
        <f t="shared" si="28"/>
        <v>#DIV/0!</v>
      </c>
      <c r="CN29" s="532">
        <f t="shared" si="140"/>
        <v>0</v>
      </c>
      <c r="CO29" s="530"/>
      <c r="CP29" s="531" t="e">
        <f t="shared" si="29"/>
        <v>#DIV/0!</v>
      </c>
      <c r="CQ29" s="532">
        <f t="shared" si="141"/>
        <v>0</v>
      </c>
      <c r="CR29" s="530"/>
      <c r="CS29" s="531" t="e">
        <f t="shared" si="30"/>
        <v>#DIV/0!</v>
      </c>
      <c r="CT29" s="532">
        <f t="shared" si="142"/>
        <v>0</v>
      </c>
      <c r="CU29" s="530"/>
      <c r="CV29" s="531" t="e">
        <f t="shared" si="31"/>
        <v>#DIV/0!</v>
      </c>
      <c r="CW29" s="532">
        <f t="shared" si="143"/>
        <v>0</v>
      </c>
      <c r="CX29" s="530"/>
      <c r="CY29" s="531" t="e">
        <f t="shared" si="32"/>
        <v>#DIV/0!</v>
      </c>
      <c r="CZ29" s="532">
        <f t="shared" si="144"/>
        <v>0</v>
      </c>
      <c r="DA29" s="530"/>
      <c r="DB29" s="531" t="e">
        <f t="shared" si="33"/>
        <v>#DIV/0!</v>
      </c>
      <c r="DC29" s="532">
        <f t="shared" si="145"/>
        <v>0</v>
      </c>
      <c r="DD29" s="530"/>
      <c r="DE29" s="531" t="e">
        <f t="shared" si="34"/>
        <v>#DIV/0!</v>
      </c>
      <c r="DF29" s="532">
        <f t="shared" si="146"/>
        <v>0</v>
      </c>
      <c r="DG29" s="530"/>
      <c r="DH29" s="531" t="e">
        <f t="shared" si="35"/>
        <v>#DIV/0!</v>
      </c>
      <c r="DI29" s="532">
        <f t="shared" si="203"/>
        <v>0</v>
      </c>
      <c r="DJ29" s="530"/>
      <c r="DK29" s="531" t="e">
        <f t="shared" si="36"/>
        <v>#DIV/0!</v>
      </c>
      <c r="DL29" s="532">
        <f t="shared" si="147"/>
        <v>0</v>
      </c>
      <c r="DM29" s="530"/>
      <c r="DN29" s="531" t="e">
        <f t="shared" si="37"/>
        <v>#DIV/0!</v>
      </c>
      <c r="DO29" s="532">
        <f t="shared" si="148"/>
        <v>0</v>
      </c>
      <c r="DP29" s="530"/>
      <c r="DQ29" s="531" t="e">
        <f t="shared" si="38"/>
        <v>#DIV/0!</v>
      </c>
      <c r="DR29" s="532">
        <f t="shared" si="149"/>
        <v>0</v>
      </c>
      <c r="DS29" s="530"/>
      <c r="DT29" s="531" t="e">
        <f t="shared" si="39"/>
        <v>#DIV/0!</v>
      </c>
      <c r="DU29" s="532">
        <f t="shared" si="150"/>
        <v>0</v>
      </c>
      <c r="DV29" s="530"/>
      <c r="DW29" s="531" t="e">
        <f t="shared" si="40"/>
        <v>#DIV/0!</v>
      </c>
      <c r="DX29" s="532">
        <f t="shared" si="151"/>
        <v>0</v>
      </c>
      <c r="DY29" s="530"/>
      <c r="DZ29" s="531" t="e">
        <f t="shared" si="41"/>
        <v>#DIV/0!</v>
      </c>
      <c r="EA29" s="532">
        <f t="shared" si="152"/>
        <v>0</v>
      </c>
      <c r="EB29" s="530"/>
      <c r="EC29" s="531" t="e">
        <f t="shared" si="42"/>
        <v>#DIV/0!</v>
      </c>
      <c r="ED29" s="532">
        <f t="shared" si="153"/>
        <v>0</v>
      </c>
      <c r="EE29" s="530"/>
      <c r="EF29" s="531" t="e">
        <f t="shared" si="43"/>
        <v>#DIV/0!</v>
      </c>
      <c r="EG29" s="532">
        <f t="shared" si="154"/>
        <v>0</v>
      </c>
      <c r="EH29" s="530"/>
      <c r="EI29" s="531" t="e">
        <f t="shared" si="44"/>
        <v>#DIV/0!</v>
      </c>
      <c r="EJ29" s="532">
        <f t="shared" si="155"/>
        <v>0</v>
      </c>
      <c r="EK29" s="530"/>
      <c r="EL29" s="531" t="e">
        <f t="shared" si="45"/>
        <v>#DIV/0!</v>
      </c>
      <c r="EM29" s="532">
        <f t="shared" si="156"/>
        <v>0</v>
      </c>
      <c r="EN29" s="530"/>
      <c r="EO29" s="531" t="e">
        <f t="shared" si="46"/>
        <v>#DIV/0!</v>
      </c>
      <c r="EP29" s="532">
        <f t="shared" si="157"/>
        <v>0</v>
      </c>
      <c r="EQ29" s="530"/>
      <c r="ER29" s="531" t="e">
        <f t="shared" si="47"/>
        <v>#DIV/0!</v>
      </c>
      <c r="ES29" s="532">
        <f t="shared" si="158"/>
        <v>0</v>
      </c>
      <c r="ET29" s="530"/>
      <c r="EU29" s="531" t="e">
        <f t="shared" si="48"/>
        <v>#DIV/0!</v>
      </c>
      <c r="EV29" s="532">
        <f t="shared" si="159"/>
        <v>0</v>
      </c>
      <c r="EW29" s="530"/>
      <c r="EX29" s="531" t="e">
        <f t="shared" si="49"/>
        <v>#DIV/0!</v>
      </c>
      <c r="EY29" s="532">
        <f t="shared" si="160"/>
        <v>0</v>
      </c>
      <c r="EZ29" s="530"/>
      <c r="FA29" s="531" t="e">
        <f t="shared" si="50"/>
        <v>#DIV/0!</v>
      </c>
      <c r="FB29" s="532">
        <f t="shared" si="161"/>
        <v>0</v>
      </c>
      <c r="FC29" s="530"/>
      <c r="FD29" s="531" t="e">
        <f t="shared" si="51"/>
        <v>#DIV/0!</v>
      </c>
      <c r="FE29" s="532">
        <f t="shared" si="162"/>
        <v>0</v>
      </c>
      <c r="FF29" s="530"/>
      <c r="FG29" s="531" t="e">
        <f t="shared" si="52"/>
        <v>#DIV/0!</v>
      </c>
      <c r="FH29" s="532">
        <f t="shared" si="163"/>
        <v>0</v>
      </c>
      <c r="FI29" s="530"/>
      <c r="FJ29" s="531" t="e">
        <f t="shared" si="53"/>
        <v>#DIV/0!</v>
      </c>
      <c r="FK29" s="532">
        <f t="shared" si="164"/>
        <v>0</v>
      </c>
      <c r="FL29" s="530"/>
      <c r="FM29" s="531" t="e">
        <f t="shared" si="54"/>
        <v>#DIV/0!</v>
      </c>
      <c r="FN29" s="532">
        <f t="shared" si="165"/>
        <v>0</v>
      </c>
      <c r="FO29" s="530"/>
      <c r="FP29" s="531" t="e">
        <f t="shared" si="55"/>
        <v>#DIV/0!</v>
      </c>
      <c r="FQ29" s="532">
        <f t="shared" si="166"/>
        <v>0</v>
      </c>
      <c r="FR29" s="530"/>
      <c r="FS29" s="531" t="e">
        <f t="shared" si="56"/>
        <v>#DIV/0!</v>
      </c>
      <c r="FT29" s="532">
        <f t="shared" si="167"/>
        <v>0</v>
      </c>
      <c r="FU29" s="530"/>
      <c r="FV29" s="531" t="e">
        <f t="shared" si="57"/>
        <v>#DIV/0!</v>
      </c>
      <c r="FW29" s="532">
        <f t="shared" si="168"/>
        <v>0</v>
      </c>
      <c r="FX29" s="530"/>
      <c r="FY29" s="531" t="e">
        <f t="shared" si="58"/>
        <v>#DIV/0!</v>
      </c>
      <c r="FZ29" s="532">
        <f t="shared" si="169"/>
        <v>0</v>
      </c>
      <c r="GA29" s="530"/>
      <c r="GB29" s="531" t="e">
        <f t="shared" si="59"/>
        <v>#DIV/0!</v>
      </c>
      <c r="GC29" s="532">
        <f t="shared" si="170"/>
        <v>0</v>
      </c>
      <c r="GD29" s="530"/>
      <c r="GE29" s="531" t="e">
        <f t="shared" si="60"/>
        <v>#DIV/0!</v>
      </c>
      <c r="GF29" s="532">
        <f t="shared" si="171"/>
        <v>0</v>
      </c>
      <c r="GG29" s="530"/>
      <c r="GH29" s="531" t="e">
        <f t="shared" si="61"/>
        <v>#DIV/0!</v>
      </c>
      <c r="GI29" s="532">
        <f t="shared" si="172"/>
        <v>0</v>
      </c>
      <c r="GJ29" s="530"/>
      <c r="GK29" s="531" t="e">
        <f t="shared" si="62"/>
        <v>#DIV/0!</v>
      </c>
      <c r="GL29" s="532">
        <f t="shared" si="173"/>
        <v>0</v>
      </c>
      <c r="GM29" s="530"/>
      <c r="GN29" s="531" t="e">
        <f t="shared" si="63"/>
        <v>#DIV/0!</v>
      </c>
      <c r="GO29" s="532">
        <f t="shared" si="174"/>
        <v>0</v>
      </c>
      <c r="GP29" s="530"/>
      <c r="GQ29" s="531" t="e">
        <f t="shared" si="64"/>
        <v>#DIV/0!</v>
      </c>
      <c r="GR29" s="532">
        <f t="shared" si="175"/>
        <v>0</v>
      </c>
      <c r="GS29" s="530"/>
      <c r="GT29" s="531" t="e">
        <f t="shared" si="65"/>
        <v>#DIV/0!</v>
      </c>
      <c r="GU29" s="532">
        <f t="shared" si="176"/>
        <v>0</v>
      </c>
      <c r="GV29" s="530"/>
      <c r="GW29" s="531" t="e">
        <f t="shared" si="66"/>
        <v>#DIV/0!</v>
      </c>
      <c r="GX29" s="532">
        <f t="shared" si="177"/>
        <v>0</v>
      </c>
      <c r="GY29" s="530"/>
      <c r="GZ29" s="531" t="e">
        <f t="shared" si="67"/>
        <v>#DIV/0!</v>
      </c>
      <c r="HA29" s="532">
        <f t="shared" si="178"/>
        <v>0</v>
      </c>
      <c r="HB29" s="530"/>
      <c r="HC29" s="531" t="e">
        <f t="shared" si="68"/>
        <v>#DIV/0!</v>
      </c>
      <c r="HD29" s="532">
        <f t="shared" si="179"/>
        <v>0</v>
      </c>
      <c r="HE29" s="530"/>
      <c r="HF29" s="531" t="e">
        <f t="shared" si="69"/>
        <v>#DIV/0!</v>
      </c>
      <c r="HG29" s="532">
        <f t="shared" si="180"/>
        <v>0</v>
      </c>
      <c r="HH29" s="530"/>
      <c r="HI29" s="531" t="e">
        <f t="shared" si="70"/>
        <v>#DIV/0!</v>
      </c>
      <c r="HJ29" s="532">
        <f t="shared" si="181"/>
        <v>0</v>
      </c>
      <c r="HK29" s="530"/>
      <c r="HL29" s="531" t="e">
        <f t="shared" si="71"/>
        <v>#DIV/0!</v>
      </c>
      <c r="HM29" s="532">
        <f t="shared" si="182"/>
        <v>0</v>
      </c>
      <c r="HN29" s="530"/>
      <c r="HO29" s="531" t="e">
        <f t="shared" si="72"/>
        <v>#DIV/0!</v>
      </c>
      <c r="HP29" s="532">
        <f t="shared" si="183"/>
        <v>0</v>
      </c>
      <c r="HQ29" s="530"/>
      <c r="HR29" s="531" t="e">
        <f t="shared" si="73"/>
        <v>#DIV/0!</v>
      </c>
      <c r="HS29" s="532">
        <f t="shared" si="184"/>
        <v>0</v>
      </c>
      <c r="HT29" s="530"/>
      <c r="HU29" s="531" t="e">
        <f t="shared" si="74"/>
        <v>#DIV/0!</v>
      </c>
      <c r="HV29" s="532">
        <f t="shared" si="185"/>
        <v>0</v>
      </c>
      <c r="HW29" s="530"/>
      <c r="HX29" s="531" t="e">
        <f t="shared" si="75"/>
        <v>#DIV/0!</v>
      </c>
      <c r="HY29" s="532">
        <f t="shared" si="186"/>
        <v>0</v>
      </c>
      <c r="HZ29" s="530"/>
      <c r="IA29" s="531" t="e">
        <f t="shared" si="76"/>
        <v>#DIV/0!</v>
      </c>
      <c r="IB29" s="532">
        <f t="shared" si="187"/>
        <v>0</v>
      </c>
      <c r="IC29" s="530"/>
      <c r="ID29" s="531" t="e">
        <f t="shared" si="77"/>
        <v>#DIV/0!</v>
      </c>
      <c r="IE29" s="532">
        <f t="shared" si="188"/>
        <v>0</v>
      </c>
      <c r="IF29" s="530"/>
      <c r="IG29" s="531" t="e">
        <f t="shared" si="78"/>
        <v>#DIV/0!</v>
      </c>
      <c r="IH29" s="532">
        <f t="shared" si="189"/>
        <v>0</v>
      </c>
      <c r="II29" s="530"/>
      <c r="IJ29" s="531" t="e">
        <f t="shared" si="79"/>
        <v>#DIV/0!</v>
      </c>
      <c r="IK29" s="532">
        <f t="shared" si="190"/>
        <v>0</v>
      </c>
      <c r="IL29" s="530"/>
      <c r="IM29" s="531" t="e">
        <f t="shared" si="80"/>
        <v>#DIV/0!</v>
      </c>
      <c r="IN29" s="532">
        <f t="shared" si="191"/>
        <v>0</v>
      </c>
      <c r="IO29" s="530"/>
      <c r="IP29" s="531" t="e">
        <f t="shared" si="81"/>
        <v>#DIV/0!</v>
      </c>
      <c r="IQ29" s="532">
        <f t="shared" si="192"/>
        <v>0</v>
      </c>
      <c r="IR29" s="530"/>
      <c r="IS29" s="531" t="e">
        <f t="shared" si="82"/>
        <v>#DIV/0!</v>
      </c>
      <c r="IT29" s="532">
        <f t="shared" si="193"/>
        <v>0</v>
      </c>
      <c r="IU29" s="530"/>
      <c r="IV29" s="531" t="e">
        <f t="shared" si="83"/>
        <v>#DIV/0!</v>
      </c>
      <c r="IW29" s="532">
        <f t="shared" si="194"/>
        <v>0</v>
      </c>
      <c r="IX29" s="530"/>
      <c r="IY29" s="531" t="e">
        <f t="shared" si="84"/>
        <v>#DIV/0!</v>
      </c>
      <c r="IZ29" s="532">
        <f t="shared" si="195"/>
        <v>0</v>
      </c>
      <c r="JA29" s="530"/>
      <c r="JB29" s="531" t="e">
        <f t="shared" si="85"/>
        <v>#DIV/0!</v>
      </c>
      <c r="JC29" s="532">
        <f t="shared" si="196"/>
        <v>0</v>
      </c>
      <c r="JD29" s="530"/>
      <c r="JE29" s="531" t="e">
        <f t="shared" si="86"/>
        <v>#DIV/0!</v>
      </c>
      <c r="JF29" s="532">
        <f t="shared" si="197"/>
        <v>0</v>
      </c>
      <c r="JG29" s="530"/>
      <c r="JH29" s="531" t="e">
        <f t="shared" si="87"/>
        <v>#DIV/0!</v>
      </c>
      <c r="JI29" s="532">
        <f t="shared" si="198"/>
        <v>0</v>
      </c>
      <c r="JJ29" s="530"/>
      <c r="JK29" s="532" t="str">
        <f t="shared" si="88"/>
        <v>0</v>
      </c>
      <c r="JL29" s="532" t="str">
        <f t="shared" si="89"/>
        <v>0</v>
      </c>
      <c r="JM29" s="530"/>
      <c r="JN29" s="532" t="str">
        <f t="shared" si="90"/>
        <v>0</v>
      </c>
      <c r="JO29" s="532" t="str">
        <f t="shared" si="91"/>
        <v>0</v>
      </c>
      <c r="JP29" s="530"/>
      <c r="JQ29" s="532" t="str">
        <f t="shared" si="92"/>
        <v>0</v>
      </c>
      <c r="JR29" s="532" t="str">
        <f t="shared" si="93"/>
        <v>0</v>
      </c>
      <c r="JS29" s="530"/>
      <c r="JT29" s="532" t="str">
        <f t="shared" si="94"/>
        <v>0</v>
      </c>
      <c r="JU29" s="532" t="str">
        <f t="shared" si="95"/>
        <v>0</v>
      </c>
      <c r="JV29" s="530"/>
      <c r="JW29" s="532" t="str">
        <f t="shared" si="96"/>
        <v>0</v>
      </c>
      <c r="JX29" s="532" t="str">
        <f t="shared" si="97"/>
        <v>0</v>
      </c>
      <c r="JY29" s="530"/>
      <c r="JZ29" s="532" t="str">
        <f t="shared" si="98"/>
        <v>0</v>
      </c>
      <c r="KA29" s="532" t="str">
        <f t="shared" si="99"/>
        <v>0</v>
      </c>
      <c r="KB29" s="530"/>
      <c r="KC29" s="532" t="str">
        <f t="shared" si="100"/>
        <v>0</v>
      </c>
      <c r="KD29" s="532" t="str">
        <f t="shared" si="101"/>
        <v>0</v>
      </c>
      <c r="KE29" s="530"/>
      <c r="KF29" s="532" t="str">
        <f t="shared" si="102"/>
        <v>0</v>
      </c>
      <c r="KG29" s="532" t="str">
        <f t="shared" si="103"/>
        <v>0</v>
      </c>
      <c r="KH29" s="530"/>
      <c r="KI29" s="532" t="str">
        <f t="shared" si="104"/>
        <v>0</v>
      </c>
      <c r="KJ29" s="532" t="str">
        <f t="shared" si="105"/>
        <v>0</v>
      </c>
      <c r="KK29" s="530"/>
      <c r="KL29" s="532" t="str">
        <f t="shared" si="106"/>
        <v>0</v>
      </c>
      <c r="KM29" s="532" t="str">
        <f t="shared" si="107"/>
        <v>0</v>
      </c>
      <c r="KN29" s="530"/>
      <c r="KO29" s="532" t="str">
        <f t="shared" si="108"/>
        <v>0</v>
      </c>
      <c r="KP29" s="532" t="str">
        <f t="shared" si="109"/>
        <v>0</v>
      </c>
      <c r="KQ29" s="530"/>
      <c r="KR29" s="532" t="str">
        <f t="shared" si="110"/>
        <v>0</v>
      </c>
      <c r="KS29" s="532" t="str">
        <f t="shared" si="111"/>
        <v>0</v>
      </c>
      <c r="KT29" s="532">
        <f t="shared" si="201"/>
        <v>0</v>
      </c>
      <c r="KU29" s="532">
        <f t="shared" si="202"/>
        <v>0</v>
      </c>
      <c r="KV29" s="268">
        <f t="shared" si="199"/>
        <v>49</v>
      </c>
    </row>
    <row r="30" spans="1:309">
      <c r="A30" s="269">
        <f t="shared" si="200"/>
        <v>45952</v>
      </c>
      <c r="B30" s="270" t="str">
        <f>+Report1!B30</f>
        <v>Facial</v>
      </c>
      <c r="C30" s="270" t="str">
        <f>+Report1!C30</f>
        <v>12</v>
      </c>
      <c r="D30" s="271">
        <f>+Report1!P30</f>
        <v>0</v>
      </c>
      <c r="E30" s="570">
        <f>+Report1!R30</f>
        <v>0</v>
      </c>
      <c r="F30" s="530"/>
      <c r="G30" s="531" t="e">
        <f t="shared" si="0"/>
        <v>#DIV/0!</v>
      </c>
      <c r="H30" s="532">
        <f t="shared" si="112"/>
        <v>0</v>
      </c>
      <c r="I30" s="530"/>
      <c r="J30" s="531" t="e">
        <f t="shared" si="1"/>
        <v>#DIV/0!</v>
      </c>
      <c r="K30" s="532">
        <f t="shared" si="113"/>
        <v>0</v>
      </c>
      <c r="L30" s="530"/>
      <c r="M30" s="531" t="e">
        <f t="shared" si="2"/>
        <v>#DIV/0!</v>
      </c>
      <c r="N30" s="532">
        <f t="shared" si="114"/>
        <v>0</v>
      </c>
      <c r="O30" s="530"/>
      <c r="P30" s="531" t="e">
        <f t="shared" si="3"/>
        <v>#DIV/0!</v>
      </c>
      <c r="Q30" s="532">
        <f t="shared" si="115"/>
        <v>0</v>
      </c>
      <c r="R30" s="530"/>
      <c r="S30" s="531" t="e">
        <f t="shared" si="4"/>
        <v>#DIV/0!</v>
      </c>
      <c r="T30" s="532">
        <f t="shared" si="116"/>
        <v>0</v>
      </c>
      <c r="U30" s="530"/>
      <c r="V30" s="531" t="e">
        <f t="shared" si="5"/>
        <v>#DIV/0!</v>
      </c>
      <c r="W30" s="532">
        <f t="shared" si="117"/>
        <v>0</v>
      </c>
      <c r="X30" s="530"/>
      <c r="Y30" s="531" t="e">
        <f t="shared" si="6"/>
        <v>#DIV/0!</v>
      </c>
      <c r="Z30" s="532">
        <f t="shared" si="118"/>
        <v>0</v>
      </c>
      <c r="AA30" s="530"/>
      <c r="AB30" s="531" t="e">
        <f t="shared" si="7"/>
        <v>#DIV/0!</v>
      </c>
      <c r="AC30" s="532">
        <f t="shared" si="119"/>
        <v>0</v>
      </c>
      <c r="AD30" s="530"/>
      <c r="AE30" s="531" t="e">
        <f t="shared" si="8"/>
        <v>#DIV/0!</v>
      </c>
      <c r="AF30" s="532">
        <f t="shared" si="120"/>
        <v>0</v>
      </c>
      <c r="AG30" s="530">
        <v>49.000000000000014</v>
      </c>
      <c r="AH30" s="531" t="e">
        <f t="shared" si="9"/>
        <v>#DIV/0!</v>
      </c>
      <c r="AI30" s="532">
        <f t="shared" si="121"/>
        <v>0</v>
      </c>
      <c r="AJ30" s="530"/>
      <c r="AK30" s="531" t="e">
        <f t="shared" si="10"/>
        <v>#DIV/0!</v>
      </c>
      <c r="AL30" s="532">
        <f t="shared" si="122"/>
        <v>0</v>
      </c>
      <c r="AM30" s="530"/>
      <c r="AN30" s="531" t="e">
        <f t="shared" si="11"/>
        <v>#DIV/0!</v>
      </c>
      <c r="AO30" s="532">
        <f t="shared" si="123"/>
        <v>0</v>
      </c>
      <c r="AP30" s="530"/>
      <c r="AQ30" s="531" t="e">
        <f t="shared" si="12"/>
        <v>#DIV/0!</v>
      </c>
      <c r="AR30" s="532">
        <f t="shared" si="124"/>
        <v>0</v>
      </c>
      <c r="AS30" s="530"/>
      <c r="AT30" s="531" t="e">
        <f t="shared" si="13"/>
        <v>#DIV/0!</v>
      </c>
      <c r="AU30" s="532">
        <f t="shared" si="125"/>
        <v>0</v>
      </c>
      <c r="AV30" s="530"/>
      <c r="AW30" s="531" t="e">
        <f t="shared" si="14"/>
        <v>#DIV/0!</v>
      </c>
      <c r="AX30" s="532">
        <f t="shared" si="126"/>
        <v>0</v>
      </c>
      <c r="AY30" s="530"/>
      <c r="AZ30" s="531" t="e">
        <f t="shared" si="15"/>
        <v>#DIV/0!</v>
      </c>
      <c r="BA30" s="532">
        <f t="shared" si="127"/>
        <v>0</v>
      </c>
      <c r="BB30" s="530"/>
      <c r="BC30" s="531" t="e">
        <f t="shared" si="16"/>
        <v>#DIV/0!</v>
      </c>
      <c r="BD30" s="532">
        <f t="shared" si="128"/>
        <v>0</v>
      </c>
      <c r="BE30" s="530"/>
      <c r="BF30" s="531" t="e">
        <f t="shared" si="17"/>
        <v>#DIV/0!</v>
      </c>
      <c r="BG30" s="532">
        <f t="shared" si="129"/>
        <v>0</v>
      </c>
      <c r="BH30" s="530"/>
      <c r="BI30" s="531" t="e">
        <f t="shared" si="18"/>
        <v>#DIV/0!</v>
      </c>
      <c r="BJ30" s="532">
        <f t="shared" si="130"/>
        <v>0</v>
      </c>
      <c r="BK30" s="530"/>
      <c r="BL30" s="531" t="e">
        <f t="shared" si="19"/>
        <v>#DIV/0!</v>
      </c>
      <c r="BM30" s="532">
        <f t="shared" si="131"/>
        <v>0</v>
      </c>
      <c r="BN30" s="530"/>
      <c r="BO30" s="531" t="e">
        <f t="shared" si="20"/>
        <v>#DIV/0!</v>
      </c>
      <c r="BP30" s="532">
        <f t="shared" si="132"/>
        <v>0</v>
      </c>
      <c r="BQ30" s="530"/>
      <c r="BR30" s="531" t="e">
        <f t="shared" si="21"/>
        <v>#DIV/0!</v>
      </c>
      <c r="BS30" s="532">
        <f t="shared" si="133"/>
        <v>0</v>
      </c>
      <c r="BT30" s="530"/>
      <c r="BU30" s="531" t="e">
        <f t="shared" si="22"/>
        <v>#DIV/0!</v>
      </c>
      <c r="BV30" s="532">
        <f t="shared" si="134"/>
        <v>0</v>
      </c>
      <c r="BW30" s="530"/>
      <c r="BX30" s="531" t="e">
        <f t="shared" si="23"/>
        <v>#DIV/0!</v>
      </c>
      <c r="BY30" s="532">
        <f t="shared" si="135"/>
        <v>0</v>
      </c>
      <c r="BZ30" s="530"/>
      <c r="CA30" s="531" t="e">
        <f t="shared" si="24"/>
        <v>#DIV/0!</v>
      </c>
      <c r="CB30" s="532">
        <f t="shared" si="136"/>
        <v>0</v>
      </c>
      <c r="CC30" s="530"/>
      <c r="CD30" s="531" t="e">
        <f t="shared" si="25"/>
        <v>#DIV/0!</v>
      </c>
      <c r="CE30" s="532">
        <f t="shared" si="137"/>
        <v>0</v>
      </c>
      <c r="CF30" s="530"/>
      <c r="CG30" s="531" t="e">
        <f t="shared" si="26"/>
        <v>#DIV/0!</v>
      </c>
      <c r="CH30" s="532">
        <f t="shared" si="138"/>
        <v>0</v>
      </c>
      <c r="CI30" s="530"/>
      <c r="CJ30" s="531" t="e">
        <f t="shared" si="27"/>
        <v>#DIV/0!</v>
      </c>
      <c r="CK30" s="532">
        <f t="shared" si="139"/>
        <v>0</v>
      </c>
      <c r="CL30" s="530"/>
      <c r="CM30" s="531" t="e">
        <f t="shared" si="28"/>
        <v>#DIV/0!</v>
      </c>
      <c r="CN30" s="532">
        <f t="shared" si="140"/>
        <v>0</v>
      </c>
      <c r="CO30" s="530"/>
      <c r="CP30" s="531" t="e">
        <f t="shared" si="29"/>
        <v>#DIV/0!</v>
      </c>
      <c r="CQ30" s="532">
        <f t="shared" si="141"/>
        <v>0</v>
      </c>
      <c r="CR30" s="530"/>
      <c r="CS30" s="531" t="e">
        <f t="shared" si="30"/>
        <v>#DIV/0!</v>
      </c>
      <c r="CT30" s="532">
        <f t="shared" si="142"/>
        <v>0</v>
      </c>
      <c r="CU30" s="530"/>
      <c r="CV30" s="531" t="e">
        <f t="shared" si="31"/>
        <v>#DIV/0!</v>
      </c>
      <c r="CW30" s="532">
        <f t="shared" si="143"/>
        <v>0</v>
      </c>
      <c r="CX30" s="530"/>
      <c r="CY30" s="531" t="e">
        <f t="shared" si="32"/>
        <v>#DIV/0!</v>
      </c>
      <c r="CZ30" s="532">
        <f t="shared" si="144"/>
        <v>0</v>
      </c>
      <c r="DA30" s="530"/>
      <c r="DB30" s="531" t="e">
        <f t="shared" si="33"/>
        <v>#DIV/0!</v>
      </c>
      <c r="DC30" s="532">
        <f t="shared" si="145"/>
        <v>0</v>
      </c>
      <c r="DD30" s="530"/>
      <c r="DE30" s="531" t="e">
        <f t="shared" si="34"/>
        <v>#DIV/0!</v>
      </c>
      <c r="DF30" s="532">
        <f t="shared" si="146"/>
        <v>0</v>
      </c>
      <c r="DG30" s="530"/>
      <c r="DH30" s="531" t="e">
        <f t="shared" si="35"/>
        <v>#DIV/0!</v>
      </c>
      <c r="DI30" s="532">
        <f t="shared" si="203"/>
        <v>0</v>
      </c>
      <c r="DJ30" s="530"/>
      <c r="DK30" s="531" t="e">
        <f t="shared" si="36"/>
        <v>#DIV/0!</v>
      </c>
      <c r="DL30" s="532">
        <f t="shared" si="147"/>
        <v>0</v>
      </c>
      <c r="DM30" s="530"/>
      <c r="DN30" s="531" t="e">
        <f t="shared" si="37"/>
        <v>#DIV/0!</v>
      </c>
      <c r="DO30" s="532">
        <f t="shared" si="148"/>
        <v>0</v>
      </c>
      <c r="DP30" s="530"/>
      <c r="DQ30" s="531" t="e">
        <f t="shared" si="38"/>
        <v>#DIV/0!</v>
      </c>
      <c r="DR30" s="532">
        <f t="shared" si="149"/>
        <v>0</v>
      </c>
      <c r="DS30" s="530"/>
      <c r="DT30" s="531" t="e">
        <f t="shared" si="39"/>
        <v>#DIV/0!</v>
      </c>
      <c r="DU30" s="532">
        <f t="shared" si="150"/>
        <v>0</v>
      </c>
      <c r="DV30" s="530"/>
      <c r="DW30" s="531" t="e">
        <f t="shared" si="40"/>
        <v>#DIV/0!</v>
      </c>
      <c r="DX30" s="532">
        <f t="shared" si="151"/>
        <v>0</v>
      </c>
      <c r="DY30" s="530"/>
      <c r="DZ30" s="531" t="e">
        <f t="shared" si="41"/>
        <v>#DIV/0!</v>
      </c>
      <c r="EA30" s="532">
        <f t="shared" si="152"/>
        <v>0</v>
      </c>
      <c r="EB30" s="530"/>
      <c r="EC30" s="531" t="e">
        <f t="shared" si="42"/>
        <v>#DIV/0!</v>
      </c>
      <c r="ED30" s="532">
        <f t="shared" si="153"/>
        <v>0</v>
      </c>
      <c r="EE30" s="530"/>
      <c r="EF30" s="531" t="e">
        <f t="shared" si="43"/>
        <v>#DIV/0!</v>
      </c>
      <c r="EG30" s="532">
        <f t="shared" si="154"/>
        <v>0</v>
      </c>
      <c r="EH30" s="530"/>
      <c r="EI30" s="531" t="e">
        <f t="shared" si="44"/>
        <v>#DIV/0!</v>
      </c>
      <c r="EJ30" s="532">
        <f t="shared" si="155"/>
        <v>0</v>
      </c>
      <c r="EK30" s="530"/>
      <c r="EL30" s="531" t="e">
        <f t="shared" si="45"/>
        <v>#DIV/0!</v>
      </c>
      <c r="EM30" s="532">
        <f t="shared" si="156"/>
        <v>0</v>
      </c>
      <c r="EN30" s="530"/>
      <c r="EO30" s="531" t="e">
        <f t="shared" si="46"/>
        <v>#DIV/0!</v>
      </c>
      <c r="EP30" s="532">
        <f t="shared" si="157"/>
        <v>0</v>
      </c>
      <c r="EQ30" s="530"/>
      <c r="ER30" s="531" t="e">
        <f t="shared" si="47"/>
        <v>#DIV/0!</v>
      </c>
      <c r="ES30" s="532">
        <f t="shared" si="158"/>
        <v>0</v>
      </c>
      <c r="ET30" s="530"/>
      <c r="EU30" s="531" t="e">
        <f t="shared" si="48"/>
        <v>#DIV/0!</v>
      </c>
      <c r="EV30" s="532">
        <f t="shared" si="159"/>
        <v>0</v>
      </c>
      <c r="EW30" s="530"/>
      <c r="EX30" s="531" t="e">
        <f t="shared" si="49"/>
        <v>#DIV/0!</v>
      </c>
      <c r="EY30" s="532">
        <f t="shared" si="160"/>
        <v>0</v>
      </c>
      <c r="EZ30" s="530"/>
      <c r="FA30" s="531" t="e">
        <f t="shared" si="50"/>
        <v>#DIV/0!</v>
      </c>
      <c r="FB30" s="532">
        <f t="shared" si="161"/>
        <v>0</v>
      </c>
      <c r="FC30" s="530"/>
      <c r="FD30" s="531" t="e">
        <f t="shared" si="51"/>
        <v>#DIV/0!</v>
      </c>
      <c r="FE30" s="532">
        <f t="shared" si="162"/>
        <v>0</v>
      </c>
      <c r="FF30" s="530"/>
      <c r="FG30" s="531" t="e">
        <f t="shared" si="52"/>
        <v>#DIV/0!</v>
      </c>
      <c r="FH30" s="532">
        <f t="shared" si="163"/>
        <v>0</v>
      </c>
      <c r="FI30" s="530"/>
      <c r="FJ30" s="531" t="e">
        <f t="shared" si="53"/>
        <v>#DIV/0!</v>
      </c>
      <c r="FK30" s="532">
        <f t="shared" si="164"/>
        <v>0</v>
      </c>
      <c r="FL30" s="530"/>
      <c r="FM30" s="531" t="e">
        <f t="shared" si="54"/>
        <v>#DIV/0!</v>
      </c>
      <c r="FN30" s="532">
        <f t="shared" si="165"/>
        <v>0</v>
      </c>
      <c r="FO30" s="530"/>
      <c r="FP30" s="531" t="e">
        <f t="shared" si="55"/>
        <v>#DIV/0!</v>
      </c>
      <c r="FQ30" s="532">
        <f t="shared" si="166"/>
        <v>0</v>
      </c>
      <c r="FR30" s="530"/>
      <c r="FS30" s="531" t="e">
        <f t="shared" si="56"/>
        <v>#DIV/0!</v>
      </c>
      <c r="FT30" s="532">
        <f t="shared" si="167"/>
        <v>0</v>
      </c>
      <c r="FU30" s="530"/>
      <c r="FV30" s="531" t="e">
        <f t="shared" si="57"/>
        <v>#DIV/0!</v>
      </c>
      <c r="FW30" s="532">
        <f t="shared" si="168"/>
        <v>0</v>
      </c>
      <c r="FX30" s="530"/>
      <c r="FY30" s="531" t="e">
        <f t="shared" si="58"/>
        <v>#DIV/0!</v>
      </c>
      <c r="FZ30" s="532">
        <f t="shared" si="169"/>
        <v>0</v>
      </c>
      <c r="GA30" s="530"/>
      <c r="GB30" s="531" t="e">
        <f t="shared" si="59"/>
        <v>#DIV/0!</v>
      </c>
      <c r="GC30" s="532">
        <f t="shared" si="170"/>
        <v>0</v>
      </c>
      <c r="GD30" s="530"/>
      <c r="GE30" s="531" t="e">
        <f t="shared" si="60"/>
        <v>#DIV/0!</v>
      </c>
      <c r="GF30" s="532">
        <f t="shared" si="171"/>
        <v>0</v>
      </c>
      <c r="GG30" s="530"/>
      <c r="GH30" s="531" t="e">
        <f t="shared" si="61"/>
        <v>#DIV/0!</v>
      </c>
      <c r="GI30" s="532">
        <f t="shared" si="172"/>
        <v>0</v>
      </c>
      <c r="GJ30" s="530"/>
      <c r="GK30" s="531" t="e">
        <f t="shared" si="62"/>
        <v>#DIV/0!</v>
      </c>
      <c r="GL30" s="532">
        <f t="shared" si="173"/>
        <v>0</v>
      </c>
      <c r="GM30" s="530"/>
      <c r="GN30" s="531" t="e">
        <f t="shared" si="63"/>
        <v>#DIV/0!</v>
      </c>
      <c r="GO30" s="532">
        <f t="shared" si="174"/>
        <v>0</v>
      </c>
      <c r="GP30" s="530"/>
      <c r="GQ30" s="531" t="e">
        <f t="shared" si="64"/>
        <v>#DIV/0!</v>
      </c>
      <c r="GR30" s="532">
        <f t="shared" si="175"/>
        <v>0</v>
      </c>
      <c r="GS30" s="530"/>
      <c r="GT30" s="531" t="e">
        <f t="shared" si="65"/>
        <v>#DIV/0!</v>
      </c>
      <c r="GU30" s="532">
        <f t="shared" si="176"/>
        <v>0</v>
      </c>
      <c r="GV30" s="530"/>
      <c r="GW30" s="531" t="e">
        <f t="shared" si="66"/>
        <v>#DIV/0!</v>
      </c>
      <c r="GX30" s="532">
        <f t="shared" si="177"/>
        <v>0</v>
      </c>
      <c r="GY30" s="530"/>
      <c r="GZ30" s="531" t="e">
        <f t="shared" si="67"/>
        <v>#DIV/0!</v>
      </c>
      <c r="HA30" s="532">
        <f t="shared" si="178"/>
        <v>0</v>
      </c>
      <c r="HB30" s="530"/>
      <c r="HC30" s="531" t="e">
        <f t="shared" si="68"/>
        <v>#DIV/0!</v>
      </c>
      <c r="HD30" s="532">
        <f t="shared" si="179"/>
        <v>0</v>
      </c>
      <c r="HE30" s="530"/>
      <c r="HF30" s="531" t="e">
        <f t="shared" si="69"/>
        <v>#DIV/0!</v>
      </c>
      <c r="HG30" s="532">
        <f t="shared" si="180"/>
        <v>0</v>
      </c>
      <c r="HH30" s="530"/>
      <c r="HI30" s="531" t="e">
        <f t="shared" si="70"/>
        <v>#DIV/0!</v>
      </c>
      <c r="HJ30" s="532">
        <f t="shared" si="181"/>
        <v>0</v>
      </c>
      <c r="HK30" s="530"/>
      <c r="HL30" s="531" t="e">
        <f t="shared" si="71"/>
        <v>#DIV/0!</v>
      </c>
      <c r="HM30" s="532">
        <f t="shared" si="182"/>
        <v>0</v>
      </c>
      <c r="HN30" s="530"/>
      <c r="HO30" s="531" t="e">
        <f t="shared" si="72"/>
        <v>#DIV/0!</v>
      </c>
      <c r="HP30" s="532">
        <f t="shared" si="183"/>
        <v>0</v>
      </c>
      <c r="HQ30" s="530"/>
      <c r="HR30" s="531" t="e">
        <f t="shared" si="73"/>
        <v>#DIV/0!</v>
      </c>
      <c r="HS30" s="532">
        <f t="shared" si="184"/>
        <v>0</v>
      </c>
      <c r="HT30" s="530"/>
      <c r="HU30" s="531" t="e">
        <f t="shared" si="74"/>
        <v>#DIV/0!</v>
      </c>
      <c r="HV30" s="532">
        <f t="shared" si="185"/>
        <v>0</v>
      </c>
      <c r="HW30" s="530"/>
      <c r="HX30" s="531" t="e">
        <f t="shared" si="75"/>
        <v>#DIV/0!</v>
      </c>
      <c r="HY30" s="532">
        <f t="shared" si="186"/>
        <v>0</v>
      </c>
      <c r="HZ30" s="530"/>
      <c r="IA30" s="531" t="e">
        <f t="shared" si="76"/>
        <v>#DIV/0!</v>
      </c>
      <c r="IB30" s="532">
        <f t="shared" si="187"/>
        <v>0</v>
      </c>
      <c r="IC30" s="530"/>
      <c r="ID30" s="531" t="e">
        <f t="shared" si="77"/>
        <v>#DIV/0!</v>
      </c>
      <c r="IE30" s="532">
        <f t="shared" si="188"/>
        <v>0</v>
      </c>
      <c r="IF30" s="530"/>
      <c r="IG30" s="531" t="e">
        <f t="shared" si="78"/>
        <v>#DIV/0!</v>
      </c>
      <c r="IH30" s="532">
        <f t="shared" si="189"/>
        <v>0</v>
      </c>
      <c r="II30" s="530"/>
      <c r="IJ30" s="531" t="e">
        <f t="shared" si="79"/>
        <v>#DIV/0!</v>
      </c>
      <c r="IK30" s="532">
        <f t="shared" si="190"/>
        <v>0</v>
      </c>
      <c r="IL30" s="530"/>
      <c r="IM30" s="531" t="e">
        <f t="shared" si="80"/>
        <v>#DIV/0!</v>
      </c>
      <c r="IN30" s="532">
        <f t="shared" si="191"/>
        <v>0</v>
      </c>
      <c r="IO30" s="530"/>
      <c r="IP30" s="531" t="e">
        <f t="shared" si="81"/>
        <v>#DIV/0!</v>
      </c>
      <c r="IQ30" s="532">
        <f t="shared" si="192"/>
        <v>0</v>
      </c>
      <c r="IR30" s="530"/>
      <c r="IS30" s="531" t="e">
        <f t="shared" si="82"/>
        <v>#DIV/0!</v>
      </c>
      <c r="IT30" s="532">
        <f t="shared" si="193"/>
        <v>0</v>
      </c>
      <c r="IU30" s="530"/>
      <c r="IV30" s="531" t="e">
        <f t="shared" si="83"/>
        <v>#DIV/0!</v>
      </c>
      <c r="IW30" s="532">
        <f t="shared" si="194"/>
        <v>0</v>
      </c>
      <c r="IX30" s="530"/>
      <c r="IY30" s="531" t="e">
        <f t="shared" si="84"/>
        <v>#DIV/0!</v>
      </c>
      <c r="IZ30" s="532">
        <f t="shared" si="195"/>
        <v>0</v>
      </c>
      <c r="JA30" s="530"/>
      <c r="JB30" s="531" t="e">
        <f t="shared" si="85"/>
        <v>#DIV/0!</v>
      </c>
      <c r="JC30" s="532">
        <f t="shared" si="196"/>
        <v>0</v>
      </c>
      <c r="JD30" s="530"/>
      <c r="JE30" s="531" t="e">
        <f t="shared" si="86"/>
        <v>#DIV/0!</v>
      </c>
      <c r="JF30" s="532">
        <f t="shared" si="197"/>
        <v>0</v>
      </c>
      <c r="JG30" s="530"/>
      <c r="JH30" s="531" t="e">
        <f t="shared" si="87"/>
        <v>#DIV/0!</v>
      </c>
      <c r="JI30" s="532">
        <f t="shared" si="198"/>
        <v>0</v>
      </c>
      <c r="JJ30" s="530"/>
      <c r="JK30" s="532" t="str">
        <f t="shared" si="88"/>
        <v>0</v>
      </c>
      <c r="JL30" s="532" t="str">
        <f t="shared" si="89"/>
        <v>0</v>
      </c>
      <c r="JM30" s="530"/>
      <c r="JN30" s="532" t="str">
        <f t="shared" si="90"/>
        <v>0</v>
      </c>
      <c r="JO30" s="532" t="str">
        <f t="shared" si="91"/>
        <v>0</v>
      </c>
      <c r="JP30" s="530"/>
      <c r="JQ30" s="532" t="str">
        <f t="shared" si="92"/>
        <v>0</v>
      </c>
      <c r="JR30" s="532" t="str">
        <f t="shared" si="93"/>
        <v>0</v>
      </c>
      <c r="JS30" s="530"/>
      <c r="JT30" s="532" t="str">
        <f t="shared" si="94"/>
        <v>0</v>
      </c>
      <c r="JU30" s="532" t="str">
        <f t="shared" si="95"/>
        <v>0</v>
      </c>
      <c r="JV30" s="530"/>
      <c r="JW30" s="532" t="str">
        <f t="shared" si="96"/>
        <v>0</v>
      </c>
      <c r="JX30" s="532" t="str">
        <f t="shared" si="97"/>
        <v>0</v>
      </c>
      <c r="JY30" s="530"/>
      <c r="JZ30" s="532" t="str">
        <f t="shared" si="98"/>
        <v>0</v>
      </c>
      <c r="KA30" s="532" t="str">
        <f t="shared" si="99"/>
        <v>0</v>
      </c>
      <c r="KB30" s="530"/>
      <c r="KC30" s="532" t="str">
        <f t="shared" si="100"/>
        <v>0</v>
      </c>
      <c r="KD30" s="532" t="str">
        <f t="shared" si="101"/>
        <v>0</v>
      </c>
      <c r="KE30" s="530"/>
      <c r="KF30" s="532" t="str">
        <f t="shared" si="102"/>
        <v>0</v>
      </c>
      <c r="KG30" s="532" t="str">
        <f t="shared" si="103"/>
        <v>0</v>
      </c>
      <c r="KH30" s="530"/>
      <c r="KI30" s="532" t="str">
        <f t="shared" si="104"/>
        <v>0</v>
      </c>
      <c r="KJ30" s="532" t="str">
        <f t="shared" si="105"/>
        <v>0</v>
      </c>
      <c r="KK30" s="530"/>
      <c r="KL30" s="532" t="str">
        <f t="shared" si="106"/>
        <v>0</v>
      </c>
      <c r="KM30" s="532" t="str">
        <f t="shared" si="107"/>
        <v>0</v>
      </c>
      <c r="KN30" s="530"/>
      <c r="KO30" s="532" t="str">
        <f t="shared" si="108"/>
        <v>0</v>
      </c>
      <c r="KP30" s="532" t="str">
        <f t="shared" si="109"/>
        <v>0</v>
      </c>
      <c r="KQ30" s="530"/>
      <c r="KR30" s="532" t="str">
        <f t="shared" si="110"/>
        <v>0</v>
      </c>
      <c r="KS30" s="532" t="str">
        <f t="shared" si="111"/>
        <v>0</v>
      </c>
      <c r="KT30" s="532">
        <f t="shared" si="201"/>
        <v>0</v>
      </c>
      <c r="KU30" s="532">
        <f t="shared" si="202"/>
        <v>0</v>
      </c>
      <c r="KV30" s="268">
        <f t="shared" si="199"/>
        <v>49.000000000000014</v>
      </c>
    </row>
    <row r="31" spans="1:309">
      <c r="A31" s="269">
        <f t="shared" si="200"/>
        <v>45953</v>
      </c>
      <c r="B31" s="270" t="str">
        <f>+Report1!B31</f>
        <v>Facial</v>
      </c>
      <c r="C31" s="270" t="str">
        <f>+Report1!C31</f>
        <v>12</v>
      </c>
      <c r="D31" s="271">
        <f>+Report1!P31</f>
        <v>0</v>
      </c>
      <c r="E31" s="570">
        <f>+Report1!R31</f>
        <v>0</v>
      </c>
      <c r="F31" s="530"/>
      <c r="G31" s="531" t="e">
        <f t="shared" si="0"/>
        <v>#DIV/0!</v>
      </c>
      <c r="H31" s="532">
        <f t="shared" si="112"/>
        <v>0</v>
      </c>
      <c r="I31" s="530"/>
      <c r="J31" s="531" t="e">
        <f t="shared" si="1"/>
        <v>#DIV/0!</v>
      </c>
      <c r="K31" s="532">
        <f t="shared" si="113"/>
        <v>0</v>
      </c>
      <c r="L31" s="530"/>
      <c r="M31" s="531" t="e">
        <f t="shared" si="2"/>
        <v>#DIV/0!</v>
      </c>
      <c r="N31" s="532">
        <f t="shared" si="114"/>
        <v>0</v>
      </c>
      <c r="O31" s="530"/>
      <c r="P31" s="531" t="e">
        <f t="shared" si="3"/>
        <v>#DIV/0!</v>
      </c>
      <c r="Q31" s="532">
        <f t="shared" si="115"/>
        <v>0</v>
      </c>
      <c r="R31" s="530"/>
      <c r="S31" s="531" t="e">
        <f t="shared" si="4"/>
        <v>#DIV/0!</v>
      </c>
      <c r="T31" s="532">
        <f t="shared" si="116"/>
        <v>0</v>
      </c>
      <c r="U31" s="530"/>
      <c r="V31" s="531" t="e">
        <f t="shared" si="5"/>
        <v>#DIV/0!</v>
      </c>
      <c r="W31" s="532">
        <f t="shared" si="117"/>
        <v>0</v>
      </c>
      <c r="X31" s="530"/>
      <c r="Y31" s="531" t="e">
        <f t="shared" si="6"/>
        <v>#DIV/0!</v>
      </c>
      <c r="Z31" s="532">
        <f t="shared" si="118"/>
        <v>0</v>
      </c>
      <c r="AA31" s="530"/>
      <c r="AB31" s="531" t="e">
        <f t="shared" si="7"/>
        <v>#DIV/0!</v>
      </c>
      <c r="AC31" s="532">
        <f t="shared" si="119"/>
        <v>0</v>
      </c>
      <c r="AD31" s="530"/>
      <c r="AE31" s="531" t="e">
        <f t="shared" si="8"/>
        <v>#DIV/0!</v>
      </c>
      <c r="AF31" s="532">
        <f t="shared" si="120"/>
        <v>0</v>
      </c>
      <c r="AG31" s="530">
        <v>53.900000000000006</v>
      </c>
      <c r="AH31" s="531" t="e">
        <f t="shared" si="9"/>
        <v>#DIV/0!</v>
      </c>
      <c r="AI31" s="532">
        <f t="shared" si="121"/>
        <v>0</v>
      </c>
      <c r="AJ31" s="530"/>
      <c r="AK31" s="531" t="e">
        <f t="shared" si="10"/>
        <v>#DIV/0!</v>
      </c>
      <c r="AL31" s="532">
        <f t="shared" si="122"/>
        <v>0</v>
      </c>
      <c r="AM31" s="530"/>
      <c r="AN31" s="531" t="e">
        <f t="shared" si="11"/>
        <v>#DIV/0!</v>
      </c>
      <c r="AO31" s="532">
        <f t="shared" si="123"/>
        <v>0</v>
      </c>
      <c r="AP31" s="530"/>
      <c r="AQ31" s="531" t="e">
        <f t="shared" si="12"/>
        <v>#DIV/0!</v>
      </c>
      <c r="AR31" s="532">
        <f t="shared" si="124"/>
        <v>0</v>
      </c>
      <c r="AS31" s="530"/>
      <c r="AT31" s="531" t="e">
        <f t="shared" si="13"/>
        <v>#DIV/0!</v>
      </c>
      <c r="AU31" s="532">
        <f t="shared" si="125"/>
        <v>0</v>
      </c>
      <c r="AV31" s="530"/>
      <c r="AW31" s="531" t="e">
        <f t="shared" si="14"/>
        <v>#DIV/0!</v>
      </c>
      <c r="AX31" s="532">
        <f t="shared" si="126"/>
        <v>0</v>
      </c>
      <c r="AY31" s="530"/>
      <c r="AZ31" s="531" t="e">
        <f t="shared" si="15"/>
        <v>#DIV/0!</v>
      </c>
      <c r="BA31" s="532">
        <f t="shared" si="127"/>
        <v>0</v>
      </c>
      <c r="BB31" s="530"/>
      <c r="BC31" s="531" t="e">
        <f t="shared" si="16"/>
        <v>#DIV/0!</v>
      </c>
      <c r="BD31" s="532">
        <f t="shared" si="128"/>
        <v>0</v>
      </c>
      <c r="BE31" s="530"/>
      <c r="BF31" s="531" t="e">
        <f t="shared" si="17"/>
        <v>#DIV/0!</v>
      </c>
      <c r="BG31" s="532">
        <f t="shared" si="129"/>
        <v>0</v>
      </c>
      <c r="BH31" s="530"/>
      <c r="BI31" s="531" t="e">
        <f t="shared" si="18"/>
        <v>#DIV/0!</v>
      </c>
      <c r="BJ31" s="532">
        <f t="shared" si="130"/>
        <v>0</v>
      </c>
      <c r="BK31" s="530"/>
      <c r="BL31" s="531" t="e">
        <f t="shared" si="19"/>
        <v>#DIV/0!</v>
      </c>
      <c r="BM31" s="532">
        <f t="shared" si="131"/>
        <v>0</v>
      </c>
      <c r="BN31" s="530"/>
      <c r="BO31" s="531" t="e">
        <f t="shared" si="20"/>
        <v>#DIV/0!</v>
      </c>
      <c r="BP31" s="532">
        <f t="shared" si="132"/>
        <v>0</v>
      </c>
      <c r="BQ31" s="530"/>
      <c r="BR31" s="531" t="e">
        <f t="shared" si="21"/>
        <v>#DIV/0!</v>
      </c>
      <c r="BS31" s="532">
        <f t="shared" si="133"/>
        <v>0</v>
      </c>
      <c r="BT31" s="530"/>
      <c r="BU31" s="531" t="e">
        <f t="shared" si="22"/>
        <v>#DIV/0!</v>
      </c>
      <c r="BV31" s="532">
        <f t="shared" si="134"/>
        <v>0</v>
      </c>
      <c r="BW31" s="530"/>
      <c r="BX31" s="531" t="e">
        <f t="shared" si="23"/>
        <v>#DIV/0!</v>
      </c>
      <c r="BY31" s="532">
        <f t="shared" si="135"/>
        <v>0</v>
      </c>
      <c r="BZ31" s="530"/>
      <c r="CA31" s="531" t="e">
        <f t="shared" si="24"/>
        <v>#DIV/0!</v>
      </c>
      <c r="CB31" s="532">
        <f t="shared" si="136"/>
        <v>0</v>
      </c>
      <c r="CC31" s="530"/>
      <c r="CD31" s="531" t="e">
        <f t="shared" si="25"/>
        <v>#DIV/0!</v>
      </c>
      <c r="CE31" s="532">
        <f t="shared" si="137"/>
        <v>0</v>
      </c>
      <c r="CF31" s="530"/>
      <c r="CG31" s="531" t="e">
        <f t="shared" si="26"/>
        <v>#DIV/0!</v>
      </c>
      <c r="CH31" s="532">
        <f t="shared" si="138"/>
        <v>0</v>
      </c>
      <c r="CI31" s="530"/>
      <c r="CJ31" s="531" t="e">
        <f t="shared" si="27"/>
        <v>#DIV/0!</v>
      </c>
      <c r="CK31" s="532">
        <f t="shared" si="139"/>
        <v>0</v>
      </c>
      <c r="CL31" s="530"/>
      <c r="CM31" s="531" t="e">
        <f t="shared" si="28"/>
        <v>#DIV/0!</v>
      </c>
      <c r="CN31" s="532">
        <f t="shared" si="140"/>
        <v>0</v>
      </c>
      <c r="CO31" s="530"/>
      <c r="CP31" s="531" t="e">
        <f t="shared" si="29"/>
        <v>#DIV/0!</v>
      </c>
      <c r="CQ31" s="532">
        <f t="shared" si="141"/>
        <v>0</v>
      </c>
      <c r="CR31" s="530"/>
      <c r="CS31" s="531" t="e">
        <f t="shared" si="30"/>
        <v>#DIV/0!</v>
      </c>
      <c r="CT31" s="532">
        <f t="shared" si="142"/>
        <v>0</v>
      </c>
      <c r="CU31" s="530"/>
      <c r="CV31" s="531" t="e">
        <f t="shared" si="31"/>
        <v>#DIV/0!</v>
      </c>
      <c r="CW31" s="532">
        <f t="shared" si="143"/>
        <v>0</v>
      </c>
      <c r="CX31" s="530"/>
      <c r="CY31" s="531" t="e">
        <f t="shared" si="32"/>
        <v>#DIV/0!</v>
      </c>
      <c r="CZ31" s="532">
        <f t="shared" si="144"/>
        <v>0</v>
      </c>
      <c r="DA31" s="530"/>
      <c r="DB31" s="531" t="e">
        <f t="shared" si="33"/>
        <v>#DIV/0!</v>
      </c>
      <c r="DC31" s="532">
        <f t="shared" si="145"/>
        <v>0</v>
      </c>
      <c r="DD31" s="530"/>
      <c r="DE31" s="531" t="e">
        <f t="shared" si="34"/>
        <v>#DIV/0!</v>
      </c>
      <c r="DF31" s="532">
        <f t="shared" si="146"/>
        <v>0</v>
      </c>
      <c r="DG31" s="530"/>
      <c r="DH31" s="531" t="e">
        <f t="shared" si="35"/>
        <v>#DIV/0!</v>
      </c>
      <c r="DI31" s="532">
        <f t="shared" si="203"/>
        <v>0</v>
      </c>
      <c r="DJ31" s="530"/>
      <c r="DK31" s="531" t="e">
        <f t="shared" si="36"/>
        <v>#DIV/0!</v>
      </c>
      <c r="DL31" s="532">
        <f t="shared" si="147"/>
        <v>0</v>
      </c>
      <c r="DM31" s="530"/>
      <c r="DN31" s="531" t="e">
        <f t="shared" si="37"/>
        <v>#DIV/0!</v>
      </c>
      <c r="DO31" s="532">
        <f t="shared" si="148"/>
        <v>0</v>
      </c>
      <c r="DP31" s="530"/>
      <c r="DQ31" s="531" t="e">
        <f t="shared" si="38"/>
        <v>#DIV/0!</v>
      </c>
      <c r="DR31" s="532">
        <f t="shared" si="149"/>
        <v>0</v>
      </c>
      <c r="DS31" s="530"/>
      <c r="DT31" s="531" t="e">
        <f t="shared" si="39"/>
        <v>#DIV/0!</v>
      </c>
      <c r="DU31" s="532">
        <f t="shared" si="150"/>
        <v>0</v>
      </c>
      <c r="DV31" s="530"/>
      <c r="DW31" s="531" t="e">
        <f t="shared" si="40"/>
        <v>#DIV/0!</v>
      </c>
      <c r="DX31" s="532">
        <f t="shared" si="151"/>
        <v>0</v>
      </c>
      <c r="DY31" s="530"/>
      <c r="DZ31" s="531" t="e">
        <f t="shared" si="41"/>
        <v>#DIV/0!</v>
      </c>
      <c r="EA31" s="532">
        <f t="shared" si="152"/>
        <v>0</v>
      </c>
      <c r="EB31" s="530"/>
      <c r="EC31" s="531" t="e">
        <f t="shared" si="42"/>
        <v>#DIV/0!</v>
      </c>
      <c r="ED31" s="532">
        <f t="shared" si="153"/>
        <v>0</v>
      </c>
      <c r="EE31" s="530"/>
      <c r="EF31" s="531" t="e">
        <f t="shared" si="43"/>
        <v>#DIV/0!</v>
      </c>
      <c r="EG31" s="532">
        <f t="shared" si="154"/>
        <v>0</v>
      </c>
      <c r="EH31" s="530"/>
      <c r="EI31" s="531" t="e">
        <f t="shared" si="44"/>
        <v>#DIV/0!</v>
      </c>
      <c r="EJ31" s="532">
        <f t="shared" si="155"/>
        <v>0</v>
      </c>
      <c r="EK31" s="530"/>
      <c r="EL31" s="531" t="e">
        <f t="shared" si="45"/>
        <v>#DIV/0!</v>
      </c>
      <c r="EM31" s="532">
        <f t="shared" si="156"/>
        <v>0</v>
      </c>
      <c r="EN31" s="530"/>
      <c r="EO31" s="531" t="e">
        <f t="shared" si="46"/>
        <v>#DIV/0!</v>
      </c>
      <c r="EP31" s="532">
        <f t="shared" si="157"/>
        <v>0</v>
      </c>
      <c r="EQ31" s="530"/>
      <c r="ER31" s="531" t="e">
        <f t="shared" si="47"/>
        <v>#DIV/0!</v>
      </c>
      <c r="ES31" s="532">
        <f t="shared" si="158"/>
        <v>0</v>
      </c>
      <c r="ET31" s="530"/>
      <c r="EU31" s="531" t="e">
        <f t="shared" si="48"/>
        <v>#DIV/0!</v>
      </c>
      <c r="EV31" s="532">
        <f t="shared" si="159"/>
        <v>0</v>
      </c>
      <c r="EW31" s="530"/>
      <c r="EX31" s="531" t="e">
        <f t="shared" si="49"/>
        <v>#DIV/0!</v>
      </c>
      <c r="EY31" s="532">
        <f t="shared" si="160"/>
        <v>0</v>
      </c>
      <c r="EZ31" s="530"/>
      <c r="FA31" s="531" t="e">
        <f t="shared" si="50"/>
        <v>#DIV/0!</v>
      </c>
      <c r="FB31" s="532">
        <f t="shared" si="161"/>
        <v>0</v>
      </c>
      <c r="FC31" s="530"/>
      <c r="FD31" s="531" t="e">
        <f t="shared" si="51"/>
        <v>#DIV/0!</v>
      </c>
      <c r="FE31" s="532">
        <f t="shared" si="162"/>
        <v>0</v>
      </c>
      <c r="FF31" s="530"/>
      <c r="FG31" s="531" t="e">
        <f t="shared" si="52"/>
        <v>#DIV/0!</v>
      </c>
      <c r="FH31" s="532">
        <f t="shared" si="163"/>
        <v>0</v>
      </c>
      <c r="FI31" s="530"/>
      <c r="FJ31" s="531" t="e">
        <f t="shared" si="53"/>
        <v>#DIV/0!</v>
      </c>
      <c r="FK31" s="532">
        <f t="shared" si="164"/>
        <v>0</v>
      </c>
      <c r="FL31" s="530"/>
      <c r="FM31" s="531" t="e">
        <f t="shared" si="54"/>
        <v>#DIV/0!</v>
      </c>
      <c r="FN31" s="532">
        <f t="shared" si="165"/>
        <v>0</v>
      </c>
      <c r="FO31" s="530"/>
      <c r="FP31" s="531" t="e">
        <f t="shared" si="55"/>
        <v>#DIV/0!</v>
      </c>
      <c r="FQ31" s="532">
        <f t="shared" si="166"/>
        <v>0</v>
      </c>
      <c r="FR31" s="530"/>
      <c r="FS31" s="531" t="e">
        <f t="shared" si="56"/>
        <v>#DIV/0!</v>
      </c>
      <c r="FT31" s="532">
        <f t="shared" si="167"/>
        <v>0</v>
      </c>
      <c r="FU31" s="530"/>
      <c r="FV31" s="531" t="e">
        <f t="shared" si="57"/>
        <v>#DIV/0!</v>
      </c>
      <c r="FW31" s="532">
        <f t="shared" si="168"/>
        <v>0</v>
      </c>
      <c r="FX31" s="530"/>
      <c r="FY31" s="531" t="e">
        <f t="shared" si="58"/>
        <v>#DIV/0!</v>
      </c>
      <c r="FZ31" s="532">
        <f t="shared" si="169"/>
        <v>0</v>
      </c>
      <c r="GA31" s="530"/>
      <c r="GB31" s="531" t="e">
        <f t="shared" si="59"/>
        <v>#DIV/0!</v>
      </c>
      <c r="GC31" s="532">
        <f t="shared" si="170"/>
        <v>0</v>
      </c>
      <c r="GD31" s="530"/>
      <c r="GE31" s="531" t="e">
        <f t="shared" si="60"/>
        <v>#DIV/0!</v>
      </c>
      <c r="GF31" s="532">
        <f t="shared" si="171"/>
        <v>0</v>
      </c>
      <c r="GG31" s="530"/>
      <c r="GH31" s="531" t="e">
        <f t="shared" si="61"/>
        <v>#DIV/0!</v>
      </c>
      <c r="GI31" s="532">
        <f t="shared" si="172"/>
        <v>0</v>
      </c>
      <c r="GJ31" s="530"/>
      <c r="GK31" s="531" t="e">
        <f t="shared" si="62"/>
        <v>#DIV/0!</v>
      </c>
      <c r="GL31" s="532">
        <f t="shared" si="173"/>
        <v>0</v>
      </c>
      <c r="GM31" s="530"/>
      <c r="GN31" s="531" t="e">
        <f t="shared" si="63"/>
        <v>#DIV/0!</v>
      </c>
      <c r="GO31" s="532">
        <f t="shared" si="174"/>
        <v>0</v>
      </c>
      <c r="GP31" s="530"/>
      <c r="GQ31" s="531" t="e">
        <f t="shared" si="64"/>
        <v>#DIV/0!</v>
      </c>
      <c r="GR31" s="532">
        <f t="shared" si="175"/>
        <v>0</v>
      </c>
      <c r="GS31" s="530"/>
      <c r="GT31" s="531" t="e">
        <f t="shared" si="65"/>
        <v>#DIV/0!</v>
      </c>
      <c r="GU31" s="532">
        <f t="shared" si="176"/>
        <v>0</v>
      </c>
      <c r="GV31" s="530"/>
      <c r="GW31" s="531" t="e">
        <f t="shared" si="66"/>
        <v>#DIV/0!</v>
      </c>
      <c r="GX31" s="532">
        <f t="shared" si="177"/>
        <v>0</v>
      </c>
      <c r="GY31" s="530"/>
      <c r="GZ31" s="531" t="e">
        <f t="shared" si="67"/>
        <v>#DIV/0!</v>
      </c>
      <c r="HA31" s="532">
        <f t="shared" si="178"/>
        <v>0</v>
      </c>
      <c r="HB31" s="530"/>
      <c r="HC31" s="531" t="e">
        <f t="shared" si="68"/>
        <v>#DIV/0!</v>
      </c>
      <c r="HD31" s="532">
        <f t="shared" si="179"/>
        <v>0</v>
      </c>
      <c r="HE31" s="530"/>
      <c r="HF31" s="531" t="e">
        <f t="shared" si="69"/>
        <v>#DIV/0!</v>
      </c>
      <c r="HG31" s="532">
        <f t="shared" si="180"/>
        <v>0</v>
      </c>
      <c r="HH31" s="530"/>
      <c r="HI31" s="531" t="e">
        <f t="shared" si="70"/>
        <v>#DIV/0!</v>
      </c>
      <c r="HJ31" s="532">
        <f t="shared" si="181"/>
        <v>0</v>
      </c>
      <c r="HK31" s="530"/>
      <c r="HL31" s="531" t="e">
        <f t="shared" si="71"/>
        <v>#DIV/0!</v>
      </c>
      <c r="HM31" s="532">
        <f t="shared" si="182"/>
        <v>0</v>
      </c>
      <c r="HN31" s="530"/>
      <c r="HO31" s="531" t="e">
        <f t="shared" si="72"/>
        <v>#DIV/0!</v>
      </c>
      <c r="HP31" s="532">
        <f t="shared" si="183"/>
        <v>0</v>
      </c>
      <c r="HQ31" s="530"/>
      <c r="HR31" s="531" t="e">
        <f t="shared" si="73"/>
        <v>#DIV/0!</v>
      </c>
      <c r="HS31" s="532">
        <f t="shared" si="184"/>
        <v>0</v>
      </c>
      <c r="HT31" s="530"/>
      <c r="HU31" s="531" t="e">
        <f t="shared" si="74"/>
        <v>#DIV/0!</v>
      </c>
      <c r="HV31" s="532">
        <f t="shared" si="185"/>
        <v>0</v>
      </c>
      <c r="HW31" s="530"/>
      <c r="HX31" s="531" t="e">
        <f t="shared" si="75"/>
        <v>#DIV/0!</v>
      </c>
      <c r="HY31" s="532">
        <f t="shared" si="186"/>
        <v>0</v>
      </c>
      <c r="HZ31" s="530"/>
      <c r="IA31" s="531" t="e">
        <f t="shared" si="76"/>
        <v>#DIV/0!</v>
      </c>
      <c r="IB31" s="532">
        <f t="shared" si="187"/>
        <v>0</v>
      </c>
      <c r="IC31" s="530"/>
      <c r="ID31" s="531" t="e">
        <f t="shared" si="77"/>
        <v>#DIV/0!</v>
      </c>
      <c r="IE31" s="532">
        <f t="shared" si="188"/>
        <v>0</v>
      </c>
      <c r="IF31" s="530"/>
      <c r="IG31" s="531" t="e">
        <f t="shared" si="78"/>
        <v>#DIV/0!</v>
      </c>
      <c r="IH31" s="532">
        <f t="shared" si="189"/>
        <v>0</v>
      </c>
      <c r="II31" s="530"/>
      <c r="IJ31" s="531" t="e">
        <f t="shared" si="79"/>
        <v>#DIV/0!</v>
      </c>
      <c r="IK31" s="532">
        <f t="shared" si="190"/>
        <v>0</v>
      </c>
      <c r="IL31" s="530"/>
      <c r="IM31" s="531" t="e">
        <f t="shared" si="80"/>
        <v>#DIV/0!</v>
      </c>
      <c r="IN31" s="532">
        <f t="shared" si="191"/>
        <v>0</v>
      </c>
      <c r="IO31" s="530"/>
      <c r="IP31" s="531" t="e">
        <f t="shared" si="81"/>
        <v>#DIV/0!</v>
      </c>
      <c r="IQ31" s="532">
        <f t="shared" si="192"/>
        <v>0</v>
      </c>
      <c r="IR31" s="530"/>
      <c r="IS31" s="531" t="e">
        <f t="shared" si="82"/>
        <v>#DIV/0!</v>
      </c>
      <c r="IT31" s="532">
        <f t="shared" si="193"/>
        <v>0</v>
      </c>
      <c r="IU31" s="530"/>
      <c r="IV31" s="531" t="e">
        <f t="shared" si="83"/>
        <v>#DIV/0!</v>
      </c>
      <c r="IW31" s="532">
        <f t="shared" si="194"/>
        <v>0</v>
      </c>
      <c r="IX31" s="530"/>
      <c r="IY31" s="531" t="e">
        <f t="shared" si="84"/>
        <v>#DIV/0!</v>
      </c>
      <c r="IZ31" s="532">
        <f t="shared" si="195"/>
        <v>0</v>
      </c>
      <c r="JA31" s="530"/>
      <c r="JB31" s="531" t="e">
        <f t="shared" si="85"/>
        <v>#DIV/0!</v>
      </c>
      <c r="JC31" s="532">
        <f t="shared" si="196"/>
        <v>0</v>
      </c>
      <c r="JD31" s="530"/>
      <c r="JE31" s="531" t="e">
        <f t="shared" si="86"/>
        <v>#DIV/0!</v>
      </c>
      <c r="JF31" s="532">
        <f t="shared" si="197"/>
        <v>0</v>
      </c>
      <c r="JG31" s="530"/>
      <c r="JH31" s="531" t="e">
        <f t="shared" si="87"/>
        <v>#DIV/0!</v>
      </c>
      <c r="JI31" s="532">
        <f t="shared" si="198"/>
        <v>0</v>
      </c>
      <c r="JJ31" s="530"/>
      <c r="JK31" s="532" t="str">
        <f t="shared" si="88"/>
        <v>0</v>
      </c>
      <c r="JL31" s="532" t="str">
        <f t="shared" si="89"/>
        <v>0</v>
      </c>
      <c r="JM31" s="530"/>
      <c r="JN31" s="532" t="str">
        <f t="shared" si="90"/>
        <v>0</v>
      </c>
      <c r="JO31" s="532" t="str">
        <f t="shared" si="91"/>
        <v>0</v>
      </c>
      <c r="JP31" s="530"/>
      <c r="JQ31" s="532" t="str">
        <f t="shared" si="92"/>
        <v>0</v>
      </c>
      <c r="JR31" s="532" t="str">
        <f t="shared" si="93"/>
        <v>0</v>
      </c>
      <c r="JS31" s="530"/>
      <c r="JT31" s="532" t="str">
        <f t="shared" si="94"/>
        <v>0</v>
      </c>
      <c r="JU31" s="532" t="str">
        <f t="shared" si="95"/>
        <v>0</v>
      </c>
      <c r="JV31" s="530"/>
      <c r="JW31" s="532" t="str">
        <f t="shared" si="96"/>
        <v>0</v>
      </c>
      <c r="JX31" s="532" t="str">
        <f t="shared" si="97"/>
        <v>0</v>
      </c>
      <c r="JY31" s="530"/>
      <c r="JZ31" s="532" t="str">
        <f t="shared" si="98"/>
        <v>0</v>
      </c>
      <c r="KA31" s="532" t="str">
        <f t="shared" si="99"/>
        <v>0</v>
      </c>
      <c r="KB31" s="530"/>
      <c r="KC31" s="532" t="str">
        <f t="shared" si="100"/>
        <v>0</v>
      </c>
      <c r="KD31" s="532" t="str">
        <f t="shared" si="101"/>
        <v>0</v>
      </c>
      <c r="KE31" s="530"/>
      <c r="KF31" s="532" t="str">
        <f t="shared" si="102"/>
        <v>0</v>
      </c>
      <c r="KG31" s="532" t="str">
        <f t="shared" si="103"/>
        <v>0</v>
      </c>
      <c r="KH31" s="530"/>
      <c r="KI31" s="532" t="str">
        <f t="shared" si="104"/>
        <v>0</v>
      </c>
      <c r="KJ31" s="532" t="str">
        <f t="shared" si="105"/>
        <v>0</v>
      </c>
      <c r="KK31" s="530"/>
      <c r="KL31" s="532" t="str">
        <f t="shared" si="106"/>
        <v>0</v>
      </c>
      <c r="KM31" s="532" t="str">
        <f t="shared" si="107"/>
        <v>0</v>
      </c>
      <c r="KN31" s="530"/>
      <c r="KO31" s="532" t="str">
        <f t="shared" si="108"/>
        <v>0</v>
      </c>
      <c r="KP31" s="532" t="str">
        <f t="shared" si="109"/>
        <v>0</v>
      </c>
      <c r="KQ31" s="530"/>
      <c r="KR31" s="532" t="str">
        <f t="shared" si="110"/>
        <v>0</v>
      </c>
      <c r="KS31" s="532" t="str">
        <f t="shared" si="111"/>
        <v>0</v>
      </c>
      <c r="KT31" s="532">
        <f t="shared" si="201"/>
        <v>0</v>
      </c>
      <c r="KU31" s="532">
        <f t="shared" si="202"/>
        <v>0</v>
      </c>
      <c r="KV31" s="268">
        <f t="shared" si="199"/>
        <v>53.900000000000006</v>
      </c>
    </row>
    <row r="32" spans="1:309">
      <c r="A32" s="269">
        <f t="shared" si="200"/>
        <v>45954</v>
      </c>
      <c r="B32" s="270" t="str">
        <f>+Report1!B32</f>
        <v>Facial</v>
      </c>
      <c r="C32" s="270" t="str">
        <f>+Report1!C32</f>
        <v>12</v>
      </c>
      <c r="D32" s="271">
        <f>+Report1!P32</f>
        <v>0</v>
      </c>
      <c r="E32" s="570">
        <f>+Report1!R32</f>
        <v>0</v>
      </c>
      <c r="F32" s="530"/>
      <c r="G32" s="531" t="e">
        <f t="shared" si="0"/>
        <v>#DIV/0!</v>
      </c>
      <c r="H32" s="532">
        <f t="shared" si="112"/>
        <v>0</v>
      </c>
      <c r="I32" s="530"/>
      <c r="J32" s="531" t="e">
        <f t="shared" si="1"/>
        <v>#DIV/0!</v>
      </c>
      <c r="K32" s="532">
        <f t="shared" si="113"/>
        <v>0</v>
      </c>
      <c r="L32" s="530"/>
      <c r="M32" s="531" t="e">
        <f t="shared" si="2"/>
        <v>#DIV/0!</v>
      </c>
      <c r="N32" s="532">
        <f t="shared" si="114"/>
        <v>0</v>
      </c>
      <c r="O32" s="530"/>
      <c r="P32" s="531" t="e">
        <f t="shared" si="3"/>
        <v>#DIV/0!</v>
      </c>
      <c r="Q32" s="532">
        <f t="shared" si="115"/>
        <v>0</v>
      </c>
      <c r="R32" s="530"/>
      <c r="S32" s="531" t="e">
        <f t="shared" si="4"/>
        <v>#DIV/0!</v>
      </c>
      <c r="T32" s="532">
        <f t="shared" si="116"/>
        <v>0</v>
      </c>
      <c r="U32" s="530"/>
      <c r="V32" s="531" t="e">
        <f t="shared" si="5"/>
        <v>#DIV/0!</v>
      </c>
      <c r="W32" s="532">
        <f t="shared" si="117"/>
        <v>0</v>
      </c>
      <c r="X32" s="530"/>
      <c r="Y32" s="531" t="e">
        <f t="shared" si="6"/>
        <v>#DIV/0!</v>
      </c>
      <c r="Z32" s="532">
        <f t="shared" si="118"/>
        <v>0</v>
      </c>
      <c r="AA32" s="530"/>
      <c r="AB32" s="531" t="e">
        <f t="shared" si="7"/>
        <v>#DIV/0!</v>
      </c>
      <c r="AC32" s="532">
        <f t="shared" si="119"/>
        <v>0</v>
      </c>
      <c r="AD32" s="530"/>
      <c r="AE32" s="531" t="e">
        <f t="shared" si="8"/>
        <v>#DIV/0!</v>
      </c>
      <c r="AF32" s="532">
        <f t="shared" si="120"/>
        <v>0</v>
      </c>
      <c r="AG32" s="530">
        <v>24.5</v>
      </c>
      <c r="AH32" s="531" t="e">
        <f t="shared" si="9"/>
        <v>#DIV/0!</v>
      </c>
      <c r="AI32" s="532">
        <f t="shared" si="121"/>
        <v>0</v>
      </c>
      <c r="AJ32" s="530"/>
      <c r="AK32" s="531" t="e">
        <f t="shared" si="10"/>
        <v>#DIV/0!</v>
      </c>
      <c r="AL32" s="532">
        <f t="shared" si="122"/>
        <v>0</v>
      </c>
      <c r="AM32" s="530"/>
      <c r="AN32" s="531" t="e">
        <f t="shared" si="11"/>
        <v>#DIV/0!</v>
      </c>
      <c r="AO32" s="532">
        <f t="shared" si="123"/>
        <v>0</v>
      </c>
      <c r="AP32" s="530"/>
      <c r="AQ32" s="531" t="e">
        <f t="shared" si="12"/>
        <v>#DIV/0!</v>
      </c>
      <c r="AR32" s="532">
        <f t="shared" si="124"/>
        <v>0</v>
      </c>
      <c r="AS32" s="530"/>
      <c r="AT32" s="531" t="e">
        <f t="shared" si="13"/>
        <v>#DIV/0!</v>
      </c>
      <c r="AU32" s="532">
        <f t="shared" si="125"/>
        <v>0</v>
      </c>
      <c r="AV32" s="530"/>
      <c r="AW32" s="531" t="e">
        <f t="shared" si="14"/>
        <v>#DIV/0!</v>
      </c>
      <c r="AX32" s="532">
        <f t="shared" si="126"/>
        <v>0</v>
      </c>
      <c r="AY32" s="530"/>
      <c r="AZ32" s="531" t="e">
        <f t="shared" si="15"/>
        <v>#DIV/0!</v>
      </c>
      <c r="BA32" s="532">
        <f t="shared" si="127"/>
        <v>0</v>
      </c>
      <c r="BB32" s="530"/>
      <c r="BC32" s="531" t="e">
        <f t="shared" si="16"/>
        <v>#DIV/0!</v>
      </c>
      <c r="BD32" s="532">
        <f t="shared" si="128"/>
        <v>0</v>
      </c>
      <c r="BE32" s="530"/>
      <c r="BF32" s="531" t="e">
        <f t="shared" si="17"/>
        <v>#DIV/0!</v>
      </c>
      <c r="BG32" s="532">
        <f t="shared" si="129"/>
        <v>0</v>
      </c>
      <c r="BH32" s="530"/>
      <c r="BI32" s="531" t="e">
        <f t="shared" si="18"/>
        <v>#DIV/0!</v>
      </c>
      <c r="BJ32" s="532">
        <f t="shared" si="130"/>
        <v>0</v>
      </c>
      <c r="BK32" s="530"/>
      <c r="BL32" s="531" t="e">
        <f t="shared" si="19"/>
        <v>#DIV/0!</v>
      </c>
      <c r="BM32" s="532">
        <f t="shared" si="131"/>
        <v>0</v>
      </c>
      <c r="BN32" s="530"/>
      <c r="BO32" s="531" t="e">
        <f t="shared" si="20"/>
        <v>#DIV/0!</v>
      </c>
      <c r="BP32" s="532">
        <f t="shared" si="132"/>
        <v>0</v>
      </c>
      <c r="BQ32" s="530"/>
      <c r="BR32" s="531" t="e">
        <f t="shared" si="21"/>
        <v>#DIV/0!</v>
      </c>
      <c r="BS32" s="532">
        <f t="shared" si="133"/>
        <v>0</v>
      </c>
      <c r="BT32" s="530"/>
      <c r="BU32" s="531" t="e">
        <f t="shared" si="22"/>
        <v>#DIV/0!</v>
      </c>
      <c r="BV32" s="532">
        <f t="shared" si="134"/>
        <v>0</v>
      </c>
      <c r="BW32" s="530"/>
      <c r="BX32" s="531" t="e">
        <f t="shared" si="23"/>
        <v>#DIV/0!</v>
      </c>
      <c r="BY32" s="532">
        <f t="shared" si="135"/>
        <v>0</v>
      </c>
      <c r="BZ32" s="530"/>
      <c r="CA32" s="531" t="e">
        <f t="shared" si="24"/>
        <v>#DIV/0!</v>
      </c>
      <c r="CB32" s="532">
        <f t="shared" si="136"/>
        <v>0</v>
      </c>
      <c r="CC32" s="530"/>
      <c r="CD32" s="531" t="e">
        <f t="shared" si="25"/>
        <v>#DIV/0!</v>
      </c>
      <c r="CE32" s="532">
        <f t="shared" si="137"/>
        <v>0</v>
      </c>
      <c r="CF32" s="530"/>
      <c r="CG32" s="531" t="e">
        <f t="shared" si="26"/>
        <v>#DIV/0!</v>
      </c>
      <c r="CH32" s="532">
        <f t="shared" si="138"/>
        <v>0</v>
      </c>
      <c r="CI32" s="530"/>
      <c r="CJ32" s="531" t="e">
        <f t="shared" si="27"/>
        <v>#DIV/0!</v>
      </c>
      <c r="CK32" s="532">
        <f t="shared" si="139"/>
        <v>0</v>
      </c>
      <c r="CL32" s="530"/>
      <c r="CM32" s="531" t="e">
        <f t="shared" si="28"/>
        <v>#DIV/0!</v>
      </c>
      <c r="CN32" s="532">
        <f t="shared" si="140"/>
        <v>0</v>
      </c>
      <c r="CO32" s="530"/>
      <c r="CP32" s="531" t="e">
        <f t="shared" si="29"/>
        <v>#DIV/0!</v>
      </c>
      <c r="CQ32" s="532">
        <f t="shared" si="141"/>
        <v>0</v>
      </c>
      <c r="CR32" s="530"/>
      <c r="CS32" s="531" t="e">
        <f t="shared" si="30"/>
        <v>#DIV/0!</v>
      </c>
      <c r="CT32" s="532">
        <f t="shared" si="142"/>
        <v>0</v>
      </c>
      <c r="CU32" s="530"/>
      <c r="CV32" s="531" t="e">
        <f t="shared" si="31"/>
        <v>#DIV/0!</v>
      </c>
      <c r="CW32" s="532">
        <f t="shared" si="143"/>
        <v>0</v>
      </c>
      <c r="CX32" s="530"/>
      <c r="CY32" s="531" t="e">
        <f t="shared" si="32"/>
        <v>#DIV/0!</v>
      </c>
      <c r="CZ32" s="532">
        <f t="shared" si="144"/>
        <v>0</v>
      </c>
      <c r="DA32" s="530"/>
      <c r="DB32" s="531" t="e">
        <f t="shared" si="33"/>
        <v>#DIV/0!</v>
      </c>
      <c r="DC32" s="532">
        <f t="shared" si="145"/>
        <v>0</v>
      </c>
      <c r="DD32" s="530"/>
      <c r="DE32" s="531" t="e">
        <f t="shared" si="34"/>
        <v>#DIV/0!</v>
      </c>
      <c r="DF32" s="532">
        <f t="shared" si="146"/>
        <v>0</v>
      </c>
      <c r="DG32" s="530"/>
      <c r="DH32" s="531" t="e">
        <f t="shared" si="35"/>
        <v>#DIV/0!</v>
      </c>
      <c r="DI32" s="532">
        <f t="shared" si="203"/>
        <v>0</v>
      </c>
      <c r="DJ32" s="530"/>
      <c r="DK32" s="531" t="e">
        <f t="shared" si="36"/>
        <v>#DIV/0!</v>
      </c>
      <c r="DL32" s="532">
        <f t="shared" si="147"/>
        <v>0</v>
      </c>
      <c r="DM32" s="530"/>
      <c r="DN32" s="531" t="e">
        <f t="shared" si="37"/>
        <v>#DIV/0!</v>
      </c>
      <c r="DO32" s="532">
        <f t="shared" si="148"/>
        <v>0</v>
      </c>
      <c r="DP32" s="530"/>
      <c r="DQ32" s="531" t="e">
        <f t="shared" si="38"/>
        <v>#DIV/0!</v>
      </c>
      <c r="DR32" s="532">
        <f t="shared" si="149"/>
        <v>0</v>
      </c>
      <c r="DS32" s="530"/>
      <c r="DT32" s="531" t="e">
        <f t="shared" si="39"/>
        <v>#DIV/0!</v>
      </c>
      <c r="DU32" s="532">
        <f t="shared" si="150"/>
        <v>0</v>
      </c>
      <c r="DV32" s="530"/>
      <c r="DW32" s="531" t="e">
        <f t="shared" si="40"/>
        <v>#DIV/0!</v>
      </c>
      <c r="DX32" s="532">
        <f t="shared" si="151"/>
        <v>0</v>
      </c>
      <c r="DY32" s="530"/>
      <c r="DZ32" s="531" t="e">
        <f t="shared" si="41"/>
        <v>#DIV/0!</v>
      </c>
      <c r="EA32" s="532">
        <f t="shared" si="152"/>
        <v>0</v>
      </c>
      <c r="EB32" s="530"/>
      <c r="EC32" s="531" t="e">
        <f t="shared" si="42"/>
        <v>#DIV/0!</v>
      </c>
      <c r="ED32" s="532">
        <f t="shared" si="153"/>
        <v>0</v>
      </c>
      <c r="EE32" s="530"/>
      <c r="EF32" s="531" t="e">
        <f t="shared" si="43"/>
        <v>#DIV/0!</v>
      </c>
      <c r="EG32" s="532">
        <f t="shared" si="154"/>
        <v>0</v>
      </c>
      <c r="EH32" s="530"/>
      <c r="EI32" s="531" t="e">
        <f t="shared" si="44"/>
        <v>#DIV/0!</v>
      </c>
      <c r="EJ32" s="532">
        <f t="shared" si="155"/>
        <v>0</v>
      </c>
      <c r="EK32" s="530"/>
      <c r="EL32" s="531" t="e">
        <f t="shared" si="45"/>
        <v>#DIV/0!</v>
      </c>
      <c r="EM32" s="532">
        <f t="shared" si="156"/>
        <v>0</v>
      </c>
      <c r="EN32" s="530"/>
      <c r="EO32" s="531" t="e">
        <f t="shared" si="46"/>
        <v>#DIV/0!</v>
      </c>
      <c r="EP32" s="532">
        <f t="shared" si="157"/>
        <v>0</v>
      </c>
      <c r="EQ32" s="530"/>
      <c r="ER32" s="531" t="e">
        <f t="shared" si="47"/>
        <v>#DIV/0!</v>
      </c>
      <c r="ES32" s="532">
        <f t="shared" si="158"/>
        <v>0</v>
      </c>
      <c r="ET32" s="530"/>
      <c r="EU32" s="531" t="e">
        <f t="shared" si="48"/>
        <v>#DIV/0!</v>
      </c>
      <c r="EV32" s="532">
        <f t="shared" si="159"/>
        <v>0</v>
      </c>
      <c r="EW32" s="530"/>
      <c r="EX32" s="531" t="e">
        <f t="shared" si="49"/>
        <v>#DIV/0!</v>
      </c>
      <c r="EY32" s="532">
        <f t="shared" si="160"/>
        <v>0</v>
      </c>
      <c r="EZ32" s="530"/>
      <c r="FA32" s="531" t="e">
        <f t="shared" si="50"/>
        <v>#DIV/0!</v>
      </c>
      <c r="FB32" s="532">
        <f t="shared" si="161"/>
        <v>0</v>
      </c>
      <c r="FC32" s="530"/>
      <c r="FD32" s="531" t="e">
        <f t="shared" si="51"/>
        <v>#DIV/0!</v>
      </c>
      <c r="FE32" s="532">
        <f t="shared" si="162"/>
        <v>0</v>
      </c>
      <c r="FF32" s="530"/>
      <c r="FG32" s="531" t="e">
        <f t="shared" si="52"/>
        <v>#DIV/0!</v>
      </c>
      <c r="FH32" s="532">
        <f t="shared" si="163"/>
        <v>0</v>
      </c>
      <c r="FI32" s="530"/>
      <c r="FJ32" s="531" t="e">
        <f t="shared" si="53"/>
        <v>#DIV/0!</v>
      </c>
      <c r="FK32" s="532">
        <f t="shared" si="164"/>
        <v>0</v>
      </c>
      <c r="FL32" s="530"/>
      <c r="FM32" s="531" t="e">
        <f t="shared" si="54"/>
        <v>#DIV/0!</v>
      </c>
      <c r="FN32" s="532">
        <f t="shared" si="165"/>
        <v>0</v>
      </c>
      <c r="FO32" s="530"/>
      <c r="FP32" s="531" t="e">
        <f t="shared" si="55"/>
        <v>#DIV/0!</v>
      </c>
      <c r="FQ32" s="532">
        <f t="shared" si="166"/>
        <v>0</v>
      </c>
      <c r="FR32" s="530"/>
      <c r="FS32" s="531" t="e">
        <f t="shared" si="56"/>
        <v>#DIV/0!</v>
      </c>
      <c r="FT32" s="532">
        <f t="shared" si="167"/>
        <v>0</v>
      </c>
      <c r="FU32" s="530"/>
      <c r="FV32" s="531" t="e">
        <f t="shared" si="57"/>
        <v>#DIV/0!</v>
      </c>
      <c r="FW32" s="532">
        <f t="shared" si="168"/>
        <v>0</v>
      </c>
      <c r="FX32" s="530"/>
      <c r="FY32" s="531" t="e">
        <f t="shared" si="58"/>
        <v>#DIV/0!</v>
      </c>
      <c r="FZ32" s="532">
        <f t="shared" si="169"/>
        <v>0</v>
      </c>
      <c r="GA32" s="530"/>
      <c r="GB32" s="531" t="e">
        <f t="shared" si="59"/>
        <v>#DIV/0!</v>
      </c>
      <c r="GC32" s="532">
        <f t="shared" si="170"/>
        <v>0</v>
      </c>
      <c r="GD32" s="530"/>
      <c r="GE32" s="531" t="e">
        <f t="shared" si="60"/>
        <v>#DIV/0!</v>
      </c>
      <c r="GF32" s="532">
        <f t="shared" si="171"/>
        <v>0</v>
      </c>
      <c r="GG32" s="530"/>
      <c r="GH32" s="531" t="e">
        <f t="shared" si="61"/>
        <v>#DIV/0!</v>
      </c>
      <c r="GI32" s="532">
        <f t="shared" si="172"/>
        <v>0</v>
      </c>
      <c r="GJ32" s="530"/>
      <c r="GK32" s="531" t="e">
        <f t="shared" si="62"/>
        <v>#DIV/0!</v>
      </c>
      <c r="GL32" s="532">
        <f t="shared" si="173"/>
        <v>0</v>
      </c>
      <c r="GM32" s="530"/>
      <c r="GN32" s="531" t="e">
        <f t="shared" si="63"/>
        <v>#DIV/0!</v>
      </c>
      <c r="GO32" s="532">
        <f t="shared" si="174"/>
        <v>0</v>
      </c>
      <c r="GP32" s="530"/>
      <c r="GQ32" s="531" t="e">
        <f t="shared" si="64"/>
        <v>#DIV/0!</v>
      </c>
      <c r="GR32" s="532">
        <f t="shared" si="175"/>
        <v>0</v>
      </c>
      <c r="GS32" s="530"/>
      <c r="GT32" s="531" t="e">
        <f t="shared" si="65"/>
        <v>#DIV/0!</v>
      </c>
      <c r="GU32" s="532">
        <f t="shared" si="176"/>
        <v>0</v>
      </c>
      <c r="GV32" s="530"/>
      <c r="GW32" s="531" t="e">
        <f t="shared" si="66"/>
        <v>#DIV/0!</v>
      </c>
      <c r="GX32" s="532">
        <f t="shared" si="177"/>
        <v>0</v>
      </c>
      <c r="GY32" s="530"/>
      <c r="GZ32" s="531" t="e">
        <f t="shared" si="67"/>
        <v>#DIV/0!</v>
      </c>
      <c r="HA32" s="532">
        <f t="shared" si="178"/>
        <v>0</v>
      </c>
      <c r="HB32" s="530"/>
      <c r="HC32" s="531" t="e">
        <f t="shared" si="68"/>
        <v>#DIV/0!</v>
      </c>
      <c r="HD32" s="532">
        <f t="shared" si="179"/>
        <v>0</v>
      </c>
      <c r="HE32" s="530"/>
      <c r="HF32" s="531" t="e">
        <f t="shared" si="69"/>
        <v>#DIV/0!</v>
      </c>
      <c r="HG32" s="532">
        <f t="shared" si="180"/>
        <v>0</v>
      </c>
      <c r="HH32" s="530"/>
      <c r="HI32" s="531" t="e">
        <f t="shared" si="70"/>
        <v>#DIV/0!</v>
      </c>
      <c r="HJ32" s="532">
        <f t="shared" si="181"/>
        <v>0</v>
      </c>
      <c r="HK32" s="530"/>
      <c r="HL32" s="531" t="e">
        <f t="shared" si="71"/>
        <v>#DIV/0!</v>
      </c>
      <c r="HM32" s="532">
        <f t="shared" si="182"/>
        <v>0</v>
      </c>
      <c r="HN32" s="530"/>
      <c r="HO32" s="531" t="e">
        <f t="shared" si="72"/>
        <v>#DIV/0!</v>
      </c>
      <c r="HP32" s="532">
        <f t="shared" si="183"/>
        <v>0</v>
      </c>
      <c r="HQ32" s="530"/>
      <c r="HR32" s="531" t="e">
        <f t="shared" si="73"/>
        <v>#DIV/0!</v>
      </c>
      <c r="HS32" s="532">
        <f t="shared" si="184"/>
        <v>0</v>
      </c>
      <c r="HT32" s="530"/>
      <c r="HU32" s="531" t="e">
        <f t="shared" si="74"/>
        <v>#DIV/0!</v>
      </c>
      <c r="HV32" s="532">
        <f t="shared" si="185"/>
        <v>0</v>
      </c>
      <c r="HW32" s="530"/>
      <c r="HX32" s="531" t="e">
        <f t="shared" si="75"/>
        <v>#DIV/0!</v>
      </c>
      <c r="HY32" s="532">
        <f t="shared" si="186"/>
        <v>0</v>
      </c>
      <c r="HZ32" s="530"/>
      <c r="IA32" s="531" t="e">
        <f t="shared" si="76"/>
        <v>#DIV/0!</v>
      </c>
      <c r="IB32" s="532">
        <f t="shared" si="187"/>
        <v>0</v>
      </c>
      <c r="IC32" s="530"/>
      <c r="ID32" s="531" t="e">
        <f t="shared" si="77"/>
        <v>#DIV/0!</v>
      </c>
      <c r="IE32" s="532">
        <f t="shared" si="188"/>
        <v>0</v>
      </c>
      <c r="IF32" s="530"/>
      <c r="IG32" s="531" t="e">
        <f t="shared" si="78"/>
        <v>#DIV/0!</v>
      </c>
      <c r="IH32" s="532">
        <f t="shared" si="189"/>
        <v>0</v>
      </c>
      <c r="II32" s="530"/>
      <c r="IJ32" s="531" t="e">
        <f t="shared" si="79"/>
        <v>#DIV/0!</v>
      </c>
      <c r="IK32" s="532">
        <f t="shared" si="190"/>
        <v>0</v>
      </c>
      <c r="IL32" s="530"/>
      <c r="IM32" s="531" t="e">
        <f t="shared" si="80"/>
        <v>#DIV/0!</v>
      </c>
      <c r="IN32" s="532">
        <f t="shared" si="191"/>
        <v>0</v>
      </c>
      <c r="IO32" s="530"/>
      <c r="IP32" s="531" t="e">
        <f t="shared" si="81"/>
        <v>#DIV/0!</v>
      </c>
      <c r="IQ32" s="532">
        <f t="shared" si="192"/>
        <v>0</v>
      </c>
      <c r="IR32" s="530"/>
      <c r="IS32" s="531" t="e">
        <f t="shared" si="82"/>
        <v>#DIV/0!</v>
      </c>
      <c r="IT32" s="532">
        <f t="shared" si="193"/>
        <v>0</v>
      </c>
      <c r="IU32" s="530"/>
      <c r="IV32" s="531" t="e">
        <f t="shared" si="83"/>
        <v>#DIV/0!</v>
      </c>
      <c r="IW32" s="532">
        <f t="shared" si="194"/>
        <v>0</v>
      </c>
      <c r="IX32" s="530"/>
      <c r="IY32" s="531" t="e">
        <f t="shared" si="84"/>
        <v>#DIV/0!</v>
      </c>
      <c r="IZ32" s="532">
        <f t="shared" si="195"/>
        <v>0</v>
      </c>
      <c r="JA32" s="530"/>
      <c r="JB32" s="531" t="e">
        <f t="shared" si="85"/>
        <v>#DIV/0!</v>
      </c>
      <c r="JC32" s="532">
        <f t="shared" si="196"/>
        <v>0</v>
      </c>
      <c r="JD32" s="530"/>
      <c r="JE32" s="531" t="e">
        <f t="shared" si="86"/>
        <v>#DIV/0!</v>
      </c>
      <c r="JF32" s="532">
        <f t="shared" si="197"/>
        <v>0</v>
      </c>
      <c r="JG32" s="530"/>
      <c r="JH32" s="531" t="e">
        <f t="shared" si="87"/>
        <v>#DIV/0!</v>
      </c>
      <c r="JI32" s="532">
        <f t="shared" si="198"/>
        <v>0</v>
      </c>
      <c r="JJ32" s="530"/>
      <c r="JK32" s="532" t="str">
        <f t="shared" si="88"/>
        <v>0</v>
      </c>
      <c r="JL32" s="532" t="str">
        <f t="shared" si="89"/>
        <v>0</v>
      </c>
      <c r="JM32" s="530"/>
      <c r="JN32" s="532" t="str">
        <f t="shared" si="90"/>
        <v>0</v>
      </c>
      <c r="JO32" s="532" t="str">
        <f t="shared" si="91"/>
        <v>0</v>
      </c>
      <c r="JP32" s="530"/>
      <c r="JQ32" s="532" t="str">
        <f t="shared" si="92"/>
        <v>0</v>
      </c>
      <c r="JR32" s="532" t="str">
        <f t="shared" si="93"/>
        <v>0</v>
      </c>
      <c r="JS32" s="530"/>
      <c r="JT32" s="532" t="str">
        <f t="shared" si="94"/>
        <v>0</v>
      </c>
      <c r="JU32" s="532" t="str">
        <f t="shared" si="95"/>
        <v>0</v>
      </c>
      <c r="JV32" s="530"/>
      <c r="JW32" s="532" t="str">
        <f t="shared" si="96"/>
        <v>0</v>
      </c>
      <c r="JX32" s="532" t="str">
        <f t="shared" si="97"/>
        <v>0</v>
      </c>
      <c r="JY32" s="530"/>
      <c r="JZ32" s="532" t="str">
        <f t="shared" si="98"/>
        <v>0</v>
      </c>
      <c r="KA32" s="532" t="str">
        <f t="shared" si="99"/>
        <v>0</v>
      </c>
      <c r="KB32" s="530"/>
      <c r="KC32" s="532" t="str">
        <f t="shared" si="100"/>
        <v>0</v>
      </c>
      <c r="KD32" s="532" t="str">
        <f t="shared" si="101"/>
        <v>0</v>
      </c>
      <c r="KE32" s="530"/>
      <c r="KF32" s="532" t="str">
        <f t="shared" si="102"/>
        <v>0</v>
      </c>
      <c r="KG32" s="532" t="str">
        <f t="shared" si="103"/>
        <v>0</v>
      </c>
      <c r="KH32" s="530"/>
      <c r="KI32" s="532" t="str">
        <f t="shared" si="104"/>
        <v>0</v>
      </c>
      <c r="KJ32" s="532" t="str">
        <f t="shared" si="105"/>
        <v>0</v>
      </c>
      <c r="KK32" s="530"/>
      <c r="KL32" s="532" t="str">
        <f t="shared" si="106"/>
        <v>0</v>
      </c>
      <c r="KM32" s="532" t="str">
        <f t="shared" si="107"/>
        <v>0</v>
      </c>
      <c r="KN32" s="530"/>
      <c r="KO32" s="532" t="str">
        <f t="shared" si="108"/>
        <v>0</v>
      </c>
      <c r="KP32" s="532" t="str">
        <f t="shared" si="109"/>
        <v>0</v>
      </c>
      <c r="KQ32" s="530"/>
      <c r="KR32" s="532" t="str">
        <f t="shared" si="110"/>
        <v>0</v>
      </c>
      <c r="KS32" s="532" t="str">
        <f t="shared" si="111"/>
        <v>0</v>
      </c>
      <c r="KT32" s="532">
        <f t="shared" si="201"/>
        <v>0</v>
      </c>
      <c r="KU32" s="532">
        <f t="shared" si="202"/>
        <v>0</v>
      </c>
      <c r="KV32" s="268">
        <f t="shared" si="199"/>
        <v>24.5</v>
      </c>
    </row>
    <row r="33" spans="1:308" ht="15" customHeight="1">
      <c r="A33" s="269">
        <f t="shared" si="200"/>
        <v>45955</v>
      </c>
      <c r="B33" s="270" t="str">
        <f>+Report1!B33</f>
        <v>Facial</v>
      </c>
      <c r="C33" s="270" t="str">
        <f>+Report1!C33</f>
        <v>12</v>
      </c>
      <c r="D33" s="271">
        <f>+Report1!P33</f>
        <v>0</v>
      </c>
      <c r="E33" s="570">
        <f>+Report1!R33</f>
        <v>0</v>
      </c>
      <c r="F33" s="530"/>
      <c r="G33" s="531" t="e">
        <f t="shared" si="0"/>
        <v>#DIV/0!</v>
      </c>
      <c r="H33" s="532">
        <f t="shared" si="112"/>
        <v>0</v>
      </c>
      <c r="I33" s="530"/>
      <c r="J33" s="531" t="e">
        <f t="shared" si="1"/>
        <v>#DIV/0!</v>
      </c>
      <c r="K33" s="532">
        <f t="shared" si="113"/>
        <v>0</v>
      </c>
      <c r="L33" s="530"/>
      <c r="M33" s="531" t="e">
        <f t="shared" si="2"/>
        <v>#DIV/0!</v>
      </c>
      <c r="N33" s="532">
        <f t="shared" si="114"/>
        <v>0</v>
      </c>
      <c r="O33" s="530"/>
      <c r="P33" s="531" t="e">
        <f t="shared" si="3"/>
        <v>#DIV/0!</v>
      </c>
      <c r="Q33" s="532">
        <f t="shared" si="115"/>
        <v>0</v>
      </c>
      <c r="R33" s="530"/>
      <c r="S33" s="531" t="e">
        <f t="shared" si="4"/>
        <v>#DIV/0!</v>
      </c>
      <c r="T33" s="532">
        <f t="shared" si="116"/>
        <v>0</v>
      </c>
      <c r="U33" s="530"/>
      <c r="V33" s="531" t="e">
        <f t="shared" si="5"/>
        <v>#DIV/0!</v>
      </c>
      <c r="W33" s="532">
        <f t="shared" si="117"/>
        <v>0</v>
      </c>
      <c r="X33" s="530"/>
      <c r="Y33" s="531" t="e">
        <f t="shared" si="6"/>
        <v>#DIV/0!</v>
      </c>
      <c r="Z33" s="532">
        <f t="shared" si="118"/>
        <v>0</v>
      </c>
      <c r="AA33" s="530"/>
      <c r="AB33" s="531" t="e">
        <f t="shared" si="7"/>
        <v>#DIV/0!</v>
      </c>
      <c r="AC33" s="532">
        <f t="shared" si="119"/>
        <v>0</v>
      </c>
      <c r="AD33" s="530"/>
      <c r="AE33" s="531" t="e">
        <f t="shared" si="8"/>
        <v>#DIV/0!</v>
      </c>
      <c r="AF33" s="532">
        <f t="shared" si="120"/>
        <v>0</v>
      </c>
      <c r="AG33" s="530"/>
      <c r="AH33" s="531" t="e">
        <f t="shared" si="9"/>
        <v>#DIV/0!</v>
      </c>
      <c r="AI33" s="532">
        <f t="shared" si="121"/>
        <v>0</v>
      </c>
      <c r="AJ33" s="530"/>
      <c r="AK33" s="531" t="e">
        <f t="shared" si="10"/>
        <v>#DIV/0!</v>
      </c>
      <c r="AL33" s="532">
        <f t="shared" si="122"/>
        <v>0</v>
      </c>
      <c r="AM33" s="530"/>
      <c r="AN33" s="531" t="e">
        <f t="shared" si="11"/>
        <v>#DIV/0!</v>
      </c>
      <c r="AO33" s="532">
        <f t="shared" si="123"/>
        <v>0</v>
      </c>
      <c r="AP33" s="530"/>
      <c r="AQ33" s="531" t="e">
        <f t="shared" si="12"/>
        <v>#DIV/0!</v>
      </c>
      <c r="AR33" s="532">
        <f t="shared" si="124"/>
        <v>0</v>
      </c>
      <c r="AS33" s="530"/>
      <c r="AT33" s="531" t="e">
        <f t="shared" si="13"/>
        <v>#DIV/0!</v>
      </c>
      <c r="AU33" s="532">
        <f t="shared" si="125"/>
        <v>0</v>
      </c>
      <c r="AV33" s="530"/>
      <c r="AW33" s="531" t="e">
        <f t="shared" si="14"/>
        <v>#DIV/0!</v>
      </c>
      <c r="AX33" s="532">
        <f t="shared" si="126"/>
        <v>0</v>
      </c>
      <c r="AY33" s="530"/>
      <c r="AZ33" s="531" t="e">
        <f t="shared" si="15"/>
        <v>#DIV/0!</v>
      </c>
      <c r="BA33" s="532">
        <f t="shared" si="127"/>
        <v>0</v>
      </c>
      <c r="BB33" s="530"/>
      <c r="BC33" s="531" t="e">
        <f t="shared" si="16"/>
        <v>#DIV/0!</v>
      </c>
      <c r="BD33" s="532">
        <f t="shared" si="128"/>
        <v>0</v>
      </c>
      <c r="BE33" s="530"/>
      <c r="BF33" s="531" t="e">
        <f t="shared" si="17"/>
        <v>#DIV/0!</v>
      </c>
      <c r="BG33" s="532">
        <f t="shared" si="129"/>
        <v>0</v>
      </c>
      <c r="BH33" s="530"/>
      <c r="BI33" s="531" t="e">
        <f t="shared" si="18"/>
        <v>#DIV/0!</v>
      </c>
      <c r="BJ33" s="532">
        <f t="shared" si="130"/>
        <v>0</v>
      </c>
      <c r="BK33" s="530"/>
      <c r="BL33" s="531" t="e">
        <f t="shared" si="19"/>
        <v>#DIV/0!</v>
      </c>
      <c r="BM33" s="532">
        <f t="shared" si="131"/>
        <v>0</v>
      </c>
      <c r="BN33" s="530"/>
      <c r="BO33" s="531" t="e">
        <f t="shared" si="20"/>
        <v>#DIV/0!</v>
      </c>
      <c r="BP33" s="532">
        <f t="shared" si="132"/>
        <v>0</v>
      </c>
      <c r="BQ33" s="530"/>
      <c r="BR33" s="531" t="e">
        <f t="shared" si="21"/>
        <v>#DIV/0!</v>
      </c>
      <c r="BS33" s="532">
        <f t="shared" si="133"/>
        <v>0</v>
      </c>
      <c r="BT33" s="530"/>
      <c r="BU33" s="531" t="e">
        <f t="shared" si="22"/>
        <v>#DIV/0!</v>
      </c>
      <c r="BV33" s="532">
        <f t="shared" si="134"/>
        <v>0</v>
      </c>
      <c r="BW33" s="530"/>
      <c r="BX33" s="531" t="e">
        <f t="shared" si="23"/>
        <v>#DIV/0!</v>
      </c>
      <c r="BY33" s="532">
        <f t="shared" si="135"/>
        <v>0</v>
      </c>
      <c r="BZ33" s="530"/>
      <c r="CA33" s="531" t="e">
        <f t="shared" si="24"/>
        <v>#DIV/0!</v>
      </c>
      <c r="CB33" s="532">
        <f t="shared" si="136"/>
        <v>0</v>
      </c>
      <c r="CC33" s="530"/>
      <c r="CD33" s="531" t="e">
        <f t="shared" si="25"/>
        <v>#DIV/0!</v>
      </c>
      <c r="CE33" s="532">
        <f t="shared" si="137"/>
        <v>0</v>
      </c>
      <c r="CF33" s="530"/>
      <c r="CG33" s="531" t="e">
        <f t="shared" si="26"/>
        <v>#DIV/0!</v>
      </c>
      <c r="CH33" s="532">
        <f t="shared" si="138"/>
        <v>0</v>
      </c>
      <c r="CI33" s="530"/>
      <c r="CJ33" s="531" t="e">
        <f t="shared" si="27"/>
        <v>#DIV/0!</v>
      </c>
      <c r="CK33" s="532">
        <f t="shared" si="139"/>
        <v>0</v>
      </c>
      <c r="CL33" s="530"/>
      <c r="CM33" s="531" t="e">
        <f t="shared" si="28"/>
        <v>#DIV/0!</v>
      </c>
      <c r="CN33" s="532">
        <f t="shared" si="140"/>
        <v>0</v>
      </c>
      <c r="CO33" s="530"/>
      <c r="CP33" s="531" t="e">
        <f t="shared" si="29"/>
        <v>#DIV/0!</v>
      </c>
      <c r="CQ33" s="532">
        <f t="shared" si="141"/>
        <v>0</v>
      </c>
      <c r="CR33" s="530"/>
      <c r="CS33" s="531" t="e">
        <f t="shared" si="30"/>
        <v>#DIV/0!</v>
      </c>
      <c r="CT33" s="532">
        <f t="shared" si="142"/>
        <v>0</v>
      </c>
      <c r="CU33" s="530"/>
      <c r="CV33" s="531" t="e">
        <f t="shared" si="31"/>
        <v>#DIV/0!</v>
      </c>
      <c r="CW33" s="532">
        <f t="shared" si="143"/>
        <v>0</v>
      </c>
      <c r="CX33" s="530"/>
      <c r="CY33" s="531" t="e">
        <f t="shared" si="32"/>
        <v>#DIV/0!</v>
      </c>
      <c r="CZ33" s="532">
        <f t="shared" si="144"/>
        <v>0</v>
      </c>
      <c r="DA33" s="530"/>
      <c r="DB33" s="531" t="e">
        <f t="shared" si="33"/>
        <v>#DIV/0!</v>
      </c>
      <c r="DC33" s="532">
        <f t="shared" si="145"/>
        <v>0</v>
      </c>
      <c r="DD33" s="530"/>
      <c r="DE33" s="531" t="e">
        <f t="shared" si="34"/>
        <v>#DIV/0!</v>
      </c>
      <c r="DF33" s="532">
        <f t="shared" si="146"/>
        <v>0</v>
      </c>
      <c r="DG33" s="530"/>
      <c r="DH33" s="531" t="e">
        <f t="shared" si="35"/>
        <v>#DIV/0!</v>
      </c>
      <c r="DI33" s="532">
        <f t="shared" si="203"/>
        <v>0</v>
      </c>
      <c r="DJ33" s="530"/>
      <c r="DK33" s="531" t="e">
        <f t="shared" si="36"/>
        <v>#DIV/0!</v>
      </c>
      <c r="DL33" s="532">
        <f t="shared" si="147"/>
        <v>0</v>
      </c>
      <c r="DM33" s="530"/>
      <c r="DN33" s="531" t="e">
        <f t="shared" si="37"/>
        <v>#DIV/0!</v>
      </c>
      <c r="DO33" s="532">
        <f t="shared" si="148"/>
        <v>0</v>
      </c>
      <c r="DP33" s="530"/>
      <c r="DQ33" s="531" t="e">
        <f t="shared" si="38"/>
        <v>#DIV/0!</v>
      </c>
      <c r="DR33" s="532">
        <f t="shared" si="149"/>
        <v>0</v>
      </c>
      <c r="DS33" s="530"/>
      <c r="DT33" s="531" t="e">
        <f t="shared" si="39"/>
        <v>#DIV/0!</v>
      </c>
      <c r="DU33" s="532">
        <f t="shared" si="150"/>
        <v>0</v>
      </c>
      <c r="DV33" s="530"/>
      <c r="DW33" s="531" t="e">
        <f t="shared" si="40"/>
        <v>#DIV/0!</v>
      </c>
      <c r="DX33" s="532">
        <f t="shared" si="151"/>
        <v>0</v>
      </c>
      <c r="DY33" s="530"/>
      <c r="DZ33" s="531" t="e">
        <f t="shared" si="41"/>
        <v>#DIV/0!</v>
      </c>
      <c r="EA33" s="532">
        <f t="shared" si="152"/>
        <v>0</v>
      </c>
      <c r="EB33" s="530"/>
      <c r="EC33" s="531" t="e">
        <f t="shared" si="42"/>
        <v>#DIV/0!</v>
      </c>
      <c r="ED33" s="532">
        <f t="shared" si="153"/>
        <v>0</v>
      </c>
      <c r="EE33" s="530"/>
      <c r="EF33" s="531" t="e">
        <f t="shared" si="43"/>
        <v>#DIV/0!</v>
      </c>
      <c r="EG33" s="532">
        <f t="shared" si="154"/>
        <v>0</v>
      </c>
      <c r="EH33" s="530"/>
      <c r="EI33" s="531" t="e">
        <f t="shared" si="44"/>
        <v>#DIV/0!</v>
      </c>
      <c r="EJ33" s="532">
        <f t="shared" si="155"/>
        <v>0</v>
      </c>
      <c r="EK33" s="530"/>
      <c r="EL33" s="531" t="e">
        <f t="shared" si="45"/>
        <v>#DIV/0!</v>
      </c>
      <c r="EM33" s="532">
        <f t="shared" si="156"/>
        <v>0</v>
      </c>
      <c r="EN33" s="530"/>
      <c r="EO33" s="531" t="e">
        <f t="shared" si="46"/>
        <v>#DIV/0!</v>
      </c>
      <c r="EP33" s="532">
        <f t="shared" si="157"/>
        <v>0</v>
      </c>
      <c r="EQ33" s="530"/>
      <c r="ER33" s="531" t="e">
        <f t="shared" si="47"/>
        <v>#DIV/0!</v>
      </c>
      <c r="ES33" s="532">
        <f t="shared" si="158"/>
        <v>0</v>
      </c>
      <c r="ET33" s="530"/>
      <c r="EU33" s="531" t="e">
        <f t="shared" si="48"/>
        <v>#DIV/0!</v>
      </c>
      <c r="EV33" s="532">
        <f t="shared" si="159"/>
        <v>0</v>
      </c>
      <c r="EW33" s="530"/>
      <c r="EX33" s="531" t="e">
        <f t="shared" si="49"/>
        <v>#DIV/0!</v>
      </c>
      <c r="EY33" s="532">
        <f t="shared" si="160"/>
        <v>0</v>
      </c>
      <c r="EZ33" s="530"/>
      <c r="FA33" s="531" t="e">
        <f t="shared" si="50"/>
        <v>#DIV/0!</v>
      </c>
      <c r="FB33" s="532">
        <f t="shared" si="161"/>
        <v>0</v>
      </c>
      <c r="FC33" s="530"/>
      <c r="FD33" s="531" t="e">
        <f t="shared" si="51"/>
        <v>#DIV/0!</v>
      </c>
      <c r="FE33" s="532">
        <f t="shared" si="162"/>
        <v>0</v>
      </c>
      <c r="FF33" s="530"/>
      <c r="FG33" s="531" t="e">
        <f t="shared" si="52"/>
        <v>#DIV/0!</v>
      </c>
      <c r="FH33" s="532">
        <f t="shared" si="163"/>
        <v>0</v>
      </c>
      <c r="FI33" s="530"/>
      <c r="FJ33" s="531" t="e">
        <f t="shared" si="53"/>
        <v>#DIV/0!</v>
      </c>
      <c r="FK33" s="532">
        <f t="shared" si="164"/>
        <v>0</v>
      </c>
      <c r="FL33" s="530"/>
      <c r="FM33" s="531" t="e">
        <f t="shared" si="54"/>
        <v>#DIV/0!</v>
      </c>
      <c r="FN33" s="532">
        <f t="shared" si="165"/>
        <v>0</v>
      </c>
      <c r="FO33" s="530"/>
      <c r="FP33" s="531" t="e">
        <f t="shared" si="55"/>
        <v>#DIV/0!</v>
      </c>
      <c r="FQ33" s="532">
        <f t="shared" si="166"/>
        <v>0</v>
      </c>
      <c r="FR33" s="530"/>
      <c r="FS33" s="531" t="e">
        <f t="shared" si="56"/>
        <v>#DIV/0!</v>
      </c>
      <c r="FT33" s="532">
        <f t="shared" si="167"/>
        <v>0</v>
      </c>
      <c r="FU33" s="530"/>
      <c r="FV33" s="531" t="e">
        <f t="shared" si="57"/>
        <v>#DIV/0!</v>
      </c>
      <c r="FW33" s="532">
        <f t="shared" si="168"/>
        <v>0</v>
      </c>
      <c r="FX33" s="530"/>
      <c r="FY33" s="531" t="e">
        <f t="shared" si="58"/>
        <v>#DIV/0!</v>
      </c>
      <c r="FZ33" s="532">
        <f t="shared" si="169"/>
        <v>0</v>
      </c>
      <c r="GA33" s="530"/>
      <c r="GB33" s="531" t="e">
        <f t="shared" si="59"/>
        <v>#DIV/0!</v>
      </c>
      <c r="GC33" s="532">
        <f t="shared" si="170"/>
        <v>0</v>
      </c>
      <c r="GD33" s="530"/>
      <c r="GE33" s="531" t="e">
        <f t="shared" si="60"/>
        <v>#DIV/0!</v>
      </c>
      <c r="GF33" s="532">
        <f t="shared" si="171"/>
        <v>0</v>
      </c>
      <c r="GG33" s="530"/>
      <c r="GH33" s="531" t="e">
        <f t="shared" si="61"/>
        <v>#DIV/0!</v>
      </c>
      <c r="GI33" s="532">
        <f t="shared" si="172"/>
        <v>0</v>
      </c>
      <c r="GJ33" s="530"/>
      <c r="GK33" s="531" t="e">
        <f t="shared" si="62"/>
        <v>#DIV/0!</v>
      </c>
      <c r="GL33" s="532">
        <f t="shared" si="173"/>
        <v>0</v>
      </c>
      <c r="GM33" s="530"/>
      <c r="GN33" s="531" t="e">
        <f t="shared" si="63"/>
        <v>#DIV/0!</v>
      </c>
      <c r="GO33" s="532">
        <f t="shared" si="174"/>
        <v>0</v>
      </c>
      <c r="GP33" s="530"/>
      <c r="GQ33" s="531" t="e">
        <f t="shared" si="64"/>
        <v>#DIV/0!</v>
      </c>
      <c r="GR33" s="532">
        <f t="shared" si="175"/>
        <v>0</v>
      </c>
      <c r="GS33" s="530"/>
      <c r="GT33" s="531" t="e">
        <f t="shared" si="65"/>
        <v>#DIV/0!</v>
      </c>
      <c r="GU33" s="532">
        <f t="shared" si="176"/>
        <v>0</v>
      </c>
      <c r="GV33" s="530"/>
      <c r="GW33" s="531" t="e">
        <f t="shared" si="66"/>
        <v>#DIV/0!</v>
      </c>
      <c r="GX33" s="532">
        <f t="shared" si="177"/>
        <v>0</v>
      </c>
      <c r="GY33" s="530"/>
      <c r="GZ33" s="531" t="e">
        <f t="shared" si="67"/>
        <v>#DIV/0!</v>
      </c>
      <c r="HA33" s="532">
        <f t="shared" si="178"/>
        <v>0</v>
      </c>
      <c r="HB33" s="530"/>
      <c r="HC33" s="531" t="e">
        <f t="shared" si="68"/>
        <v>#DIV/0!</v>
      </c>
      <c r="HD33" s="532">
        <f t="shared" si="179"/>
        <v>0</v>
      </c>
      <c r="HE33" s="530"/>
      <c r="HF33" s="531" t="e">
        <f t="shared" si="69"/>
        <v>#DIV/0!</v>
      </c>
      <c r="HG33" s="532">
        <f t="shared" si="180"/>
        <v>0</v>
      </c>
      <c r="HH33" s="530"/>
      <c r="HI33" s="531" t="e">
        <f t="shared" si="70"/>
        <v>#DIV/0!</v>
      </c>
      <c r="HJ33" s="532">
        <f t="shared" si="181"/>
        <v>0</v>
      </c>
      <c r="HK33" s="530"/>
      <c r="HL33" s="531" t="e">
        <f t="shared" si="71"/>
        <v>#DIV/0!</v>
      </c>
      <c r="HM33" s="532">
        <f t="shared" si="182"/>
        <v>0</v>
      </c>
      <c r="HN33" s="530"/>
      <c r="HO33" s="531" t="e">
        <f t="shared" si="72"/>
        <v>#DIV/0!</v>
      </c>
      <c r="HP33" s="532">
        <f t="shared" si="183"/>
        <v>0</v>
      </c>
      <c r="HQ33" s="530"/>
      <c r="HR33" s="531" t="e">
        <f t="shared" si="73"/>
        <v>#DIV/0!</v>
      </c>
      <c r="HS33" s="532">
        <f t="shared" si="184"/>
        <v>0</v>
      </c>
      <c r="HT33" s="530"/>
      <c r="HU33" s="531" t="e">
        <f t="shared" si="74"/>
        <v>#DIV/0!</v>
      </c>
      <c r="HV33" s="532">
        <f t="shared" si="185"/>
        <v>0</v>
      </c>
      <c r="HW33" s="530"/>
      <c r="HX33" s="531" t="e">
        <f t="shared" si="75"/>
        <v>#DIV/0!</v>
      </c>
      <c r="HY33" s="532">
        <f t="shared" si="186"/>
        <v>0</v>
      </c>
      <c r="HZ33" s="530"/>
      <c r="IA33" s="531" t="e">
        <f t="shared" si="76"/>
        <v>#DIV/0!</v>
      </c>
      <c r="IB33" s="532">
        <f t="shared" si="187"/>
        <v>0</v>
      </c>
      <c r="IC33" s="530"/>
      <c r="ID33" s="531" t="e">
        <f t="shared" si="77"/>
        <v>#DIV/0!</v>
      </c>
      <c r="IE33" s="532">
        <f t="shared" si="188"/>
        <v>0</v>
      </c>
      <c r="IF33" s="530"/>
      <c r="IG33" s="531" t="e">
        <f t="shared" si="78"/>
        <v>#DIV/0!</v>
      </c>
      <c r="IH33" s="532">
        <f t="shared" si="189"/>
        <v>0</v>
      </c>
      <c r="II33" s="530"/>
      <c r="IJ33" s="531" t="e">
        <f t="shared" si="79"/>
        <v>#DIV/0!</v>
      </c>
      <c r="IK33" s="532">
        <f t="shared" si="190"/>
        <v>0</v>
      </c>
      <c r="IL33" s="530"/>
      <c r="IM33" s="531" t="e">
        <f t="shared" si="80"/>
        <v>#DIV/0!</v>
      </c>
      <c r="IN33" s="532">
        <f t="shared" si="191"/>
        <v>0</v>
      </c>
      <c r="IO33" s="530"/>
      <c r="IP33" s="531" t="e">
        <f t="shared" si="81"/>
        <v>#DIV/0!</v>
      </c>
      <c r="IQ33" s="532">
        <f t="shared" si="192"/>
        <v>0</v>
      </c>
      <c r="IR33" s="530"/>
      <c r="IS33" s="531" t="e">
        <f t="shared" si="82"/>
        <v>#DIV/0!</v>
      </c>
      <c r="IT33" s="532">
        <f t="shared" si="193"/>
        <v>0</v>
      </c>
      <c r="IU33" s="530"/>
      <c r="IV33" s="531" t="e">
        <f t="shared" si="83"/>
        <v>#DIV/0!</v>
      </c>
      <c r="IW33" s="532">
        <f t="shared" si="194"/>
        <v>0</v>
      </c>
      <c r="IX33" s="530"/>
      <c r="IY33" s="531" t="e">
        <f t="shared" si="84"/>
        <v>#DIV/0!</v>
      </c>
      <c r="IZ33" s="532">
        <f t="shared" si="195"/>
        <v>0</v>
      </c>
      <c r="JA33" s="530"/>
      <c r="JB33" s="531" t="e">
        <f t="shared" si="85"/>
        <v>#DIV/0!</v>
      </c>
      <c r="JC33" s="532">
        <f t="shared" si="196"/>
        <v>0</v>
      </c>
      <c r="JD33" s="530"/>
      <c r="JE33" s="531" t="e">
        <f t="shared" si="86"/>
        <v>#DIV/0!</v>
      </c>
      <c r="JF33" s="532">
        <f t="shared" si="197"/>
        <v>0</v>
      </c>
      <c r="JG33" s="530"/>
      <c r="JH33" s="531" t="e">
        <f t="shared" si="87"/>
        <v>#DIV/0!</v>
      </c>
      <c r="JI33" s="532">
        <f t="shared" si="198"/>
        <v>0</v>
      </c>
      <c r="JJ33" s="530"/>
      <c r="JK33" s="532" t="str">
        <f t="shared" si="88"/>
        <v>0</v>
      </c>
      <c r="JL33" s="532" t="str">
        <f t="shared" si="89"/>
        <v>0</v>
      </c>
      <c r="JM33" s="530"/>
      <c r="JN33" s="532" t="str">
        <f t="shared" si="90"/>
        <v>0</v>
      </c>
      <c r="JO33" s="532" t="str">
        <f t="shared" si="91"/>
        <v>0</v>
      </c>
      <c r="JP33" s="530"/>
      <c r="JQ33" s="532" t="str">
        <f t="shared" si="92"/>
        <v>0</v>
      </c>
      <c r="JR33" s="532" t="str">
        <f t="shared" si="93"/>
        <v>0</v>
      </c>
      <c r="JS33" s="530"/>
      <c r="JT33" s="532" t="str">
        <f t="shared" si="94"/>
        <v>0</v>
      </c>
      <c r="JU33" s="532" t="str">
        <f t="shared" si="95"/>
        <v>0</v>
      </c>
      <c r="JV33" s="530"/>
      <c r="JW33" s="532" t="str">
        <f t="shared" si="96"/>
        <v>0</v>
      </c>
      <c r="JX33" s="532" t="str">
        <f t="shared" si="97"/>
        <v>0</v>
      </c>
      <c r="JY33" s="530"/>
      <c r="JZ33" s="532" t="str">
        <f t="shared" si="98"/>
        <v>0</v>
      </c>
      <c r="KA33" s="532" t="str">
        <f t="shared" si="99"/>
        <v>0</v>
      </c>
      <c r="KB33" s="530"/>
      <c r="KC33" s="532" t="str">
        <f t="shared" si="100"/>
        <v>0</v>
      </c>
      <c r="KD33" s="532" t="str">
        <f t="shared" si="101"/>
        <v>0</v>
      </c>
      <c r="KE33" s="530"/>
      <c r="KF33" s="532" t="str">
        <f t="shared" si="102"/>
        <v>0</v>
      </c>
      <c r="KG33" s="532" t="str">
        <f t="shared" si="103"/>
        <v>0</v>
      </c>
      <c r="KH33" s="530"/>
      <c r="KI33" s="532" t="str">
        <f t="shared" si="104"/>
        <v>0</v>
      </c>
      <c r="KJ33" s="532" t="str">
        <f t="shared" si="105"/>
        <v>0</v>
      </c>
      <c r="KK33" s="530"/>
      <c r="KL33" s="532" t="str">
        <f t="shared" si="106"/>
        <v>0</v>
      </c>
      <c r="KM33" s="532" t="str">
        <f t="shared" si="107"/>
        <v>0</v>
      </c>
      <c r="KN33" s="530"/>
      <c r="KO33" s="532" t="str">
        <f t="shared" si="108"/>
        <v>0</v>
      </c>
      <c r="KP33" s="532" t="str">
        <f t="shared" si="109"/>
        <v>0</v>
      </c>
      <c r="KQ33" s="530"/>
      <c r="KR33" s="532" t="str">
        <f t="shared" si="110"/>
        <v>0</v>
      </c>
      <c r="KS33" s="532" t="str">
        <f t="shared" si="111"/>
        <v>0</v>
      </c>
      <c r="KT33" s="532">
        <f t="shared" si="201"/>
        <v>0</v>
      </c>
      <c r="KU33" s="532">
        <f t="shared" si="202"/>
        <v>0</v>
      </c>
      <c r="KV33" s="268">
        <f t="shared" si="199"/>
        <v>0</v>
      </c>
    </row>
    <row r="34" spans="1:308" ht="15" customHeight="1">
      <c r="A34" s="269">
        <f t="shared" si="200"/>
        <v>45956</v>
      </c>
      <c r="B34" s="270" t="str">
        <f>+Report1!B34</f>
        <v>Facial</v>
      </c>
      <c r="C34" s="270" t="str">
        <f>+Report1!C34</f>
        <v>12</v>
      </c>
      <c r="D34" s="271">
        <f>+Report1!P34</f>
        <v>0</v>
      </c>
      <c r="E34" s="570">
        <f>+Report1!R34</f>
        <v>0</v>
      </c>
      <c r="F34" s="530"/>
      <c r="G34" s="531" t="e">
        <f t="shared" si="0"/>
        <v>#DIV/0!</v>
      </c>
      <c r="H34" s="532">
        <f t="shared" si="112"/>
        <v>0</v>
      </c>
      <c r="I34" s="530"/>
      <c r="J34" s="531" t="e">
        <f t="shared" si="1"/>
        <v>#DIV/0!</v>
      </c>
      <c r="K34" s="532">
        <f t="shared" si="113"/>
        <v>0</v>
      </c>
      <c r="L34" s="530"/>
      <c r="M34" s="531" t="e">
        <f t="shared" si="2"/>
        <v>#DIV/0!</v>
      </c>
      <c r="N34" s="532">
        <f t="shared" si="114"/>
        <v>0</v>
      </c>
      <c r="O34" s="530"/>
      <c r="P34" s="531" t="e">
        <f t="shared" si="3"/>
        <v>#DIV/0!</v>
      </c>
      <c r="Q34" s="532">
        <f t="shared" si="115"/>
        <v>0</v>
      </c>
      <c r="R34" s="530"/>
      <c r="S34" s="531" t="e">
        <f t="shared" si="4"/>
        <v>#DIV/0!</v>
      </c>
      <c r="T34" s="532">
        <f t="shared" si="116"/>
        <v>0</v>
      </c>
      <c r="U34" s="530"/>
      <c r="V34" s="531" t="e">
        <f t="shared" si="5"/>
        <v>#DIV/0!</v>
      </c>
      <c r="W34" s="532">
        <f t="shared" si="117"/>
        <v>0</v>
      </c>
      <c r="X34" s="530"/>
      <c r="Y34" s="531" t="e">
        <f t="shared" si="6"/>
        <v>#DIV/0!</v>
      </c>
      <c r="Z34" s="532">
        <f t="shared" si="118"/>
        <v>0</v>
      </c>
      <c r="AA34" s="530"/>
      <c r="AB34" s="531" t="e">
        <f t="shared" si="7"/>
        <v>#DIV/0!</v>
      </c>
      <c r="AC34" s="532">
        <f t="shared" si="119"/>
        <v>0</v>
      </c>
      <c r="AD34" s="530"/>
      <c r="AE34" s="531" t="e">
        <f t="shared" si="8"/>
        <v>#DIV/0!</v>
      </c>
      <c r="AF34" s="532">
        <f t="shared" si="120"/>
        <v>0</v>
      </c>
      <c r="AG34" s="530"/>
      <c r="AH34" s="531" t="e">
        <f t="shared" si="9"/>
        <v>#DIV/0!</v>
      </c>
      <c r="AI34" s="532">
        <f t="shared" si="121"/>
        <v>0</v>
      </c>
      <c r="AJ34" s="530"/>
      <c r="AK34" s="531" t="e">
        <f t="shared" si="10"/>
        <v>#DIV/0!</v>
      </c>
      <c r="AL34" s="532">
        <f t="shared" si="122"/>
        <v>0</v>
      </c>
      <c r="AM34" s="530"/>
      <c r="AN34" s="531" t="e">
        <f t="shared" si="11"/>
        <v>#DIV/0!</v>
      </c>
      <c r="AO34" s="532">
        <f t="shared" si="123"/>
        <v>0</v>
      </c>
      <c r="AP34" s="530"/>
      <c r="AQ34" s="531" t="e">
        <f t="shared" si="12"/>
        <v>#DIV/0!</v>
      </c>
      <c r="AR34" s="532">
        <f t="shared" si="124"/>
        <v>0</v>
      </c>
      <c r="AS34" s="530"/>
      <c r="AT34" s="531" t="e">
        <f t="shared" si="13"/>
        <v>#DIV/0!</v>
      </c>
      <c r="AU34" s="532">
        <f t="shared" si="125"/>
        <v>0</v>
      </c>
      <c r="AV34" s="530"/>
      <c r="AW34" s="531" t="e">
        <f t="shared" si="14"/>
        <v>#DIV/0!</v>
      </c>
      <c r="AX34" s="532">
        <f t="shared" si="126"/>
        <v>0</v>
      </c>
      <c r="AY34" s="530"/>
      <c r="AZ34" s="531" t="e">
        <f t="shared" si="15"/>
        <v>#DIV/0!</v>
      </c>
      <c r="BA34" s="532">
        <f t="shared" si="127"/>
        <v>0</v>
      </c>
      <c r="BB34" s="530"/>
      <c r="BC34" s="531" t="e">
        <f t="shared" si="16"/>
        <v>#DIV/0!</v>
      </c>
      <c r="BD34" s="532">
        <f t="shared" si="128"/>
        <v>0</v>
      </c>
      <c r="BE34" s="530"/>
      <c r="BF34" s="531" t="e">
        <f t="shared" si="17"/>
        <v>#DIV/0!</v>
      </c>
      <c r="BG34" s="532">
        <f t="shared" si="129"/>
        <v>0</v>
      </c>
      <c r="BH34" s="530"/>
      <c r="BI34" s="531" t="e">
        <f t="shared" si="18"/>
        <v>#DIV/0!</v>
      </c>
      <c r="BJ34" s="532">
        <f t="shared" si="130"/>
        <v>0</v>
      </c>
      <c r="BK34" s="530"/>
      <c r="BL34" s="531" t="e">
        <f t="shared" si="19"/>
        <v>#DIV/0!</v>
      </c>
      <c r="BM34" s="532">
        <f t="shared" si="131"/>
        <v>0</v>
      </c>
      <c r="BN34" s="530"/>
      <c r="BO34" s="531" t="e">
        <f t="shared" si="20"/>
        <v>#DIV/0!</v>
      </c>
      <c r="BP34" s="532">
        <f t="shared" si="132"/>
        <v>0</v>
      </c>
      <c r="BQ34" s="530"/>
      <c r="BR34" s="531" t="e">
        <f t="shared" si="21"/>
        <v>#DIV/0!</v>
      </c>
      <c r="BS34" s="532">
        <f t="shared" si="133"/>
        <v>0</v>
      </c>
      <c r="BT34" s="530"/>
      <c r="BU34" s="531" t="e">
        <f t="shared" si="22"/>
        <v>#DIV/0!</v>
      </c>
      <c r="BV34" s="532">
        <f t="shared" si="134"/>
        <v>0</v>
      </c>
      <c r="BW34" s="530"/>
      <c r="BX34" s="531" t="e">
        <f t="shared" si="23"/>
        <v>#DIV/0!</v>
      </c>
      <c r="BY34" s="532">
        <f t="shared" si="135"/>
        <v>0</v>
      </c>
      <c r="BZ34" s="530"/>
      <c r="CA34" s="531" t="e">
        <f t="shared" si="24"/>
        <v>#DIV/0!</v>
      </c>
      <c r="CB34" s="532">
        <f t="shared" si="136"/>
        <v>0</v>
      </c>
      <c r="CC34" s="530"/>
      <c r="CD34" s="531" t="e">
        <f t="shared" si="25"/>
        <v>#DIV/0!</v>
      </c>
      <c r="CE34" s="532">
        <f t="shared" si="137"/>
        <v>0</v>
      </c>
      <c r="CF34" s="530"/>
      <c r="CG34" s="531" t="e">
        <f t="shared" si="26"/>
        <v>#DIV/0!</v>
      </c>
      <c r="CH34" s="532">
        <f t="shared" si="138"/>
        <v>0</v>
      </c>
      <c r="CI34" s="530"/>
      <c r="CJ34" s="531" t="e">
        <f t="shared" si="27"/>
        <v>#DIV/0!</v>
      </c>
      <c r="CK34" s="532">
        <f t="shared" si="139"/>
        <v>0</v>
      </c>
      <c r="CL34" s="530"/>
      <c r="CM34" s="531" t="e">
        <f t="shared" si="28"/>
        <v>#DIV/0!</v>
      </c>
      <c r="CN34" s="532">
        <f t="shared" si="140"/>
        <v>0</v>
      </c>
      <c r="CO34" s="530"/>
      <c r="CP34" s="531" t="e">
        <f t="shared" si="29"/>
        <v>#DIV/0!</v>
      </c>
      <c r="CQ34" s="532">
        <f t="shared" si="141"/>
        <v>0</v>
      </c>
      <c r="CR34" s="530"/>
      <c r="CS34" s="531" t="e">
        <f t="shared" si="30"/>
        <v>#DIV/0!</v>
      </c>
      <c r="CT34" s="532">
        <f t="shared" si="142"/>
        <v>0</v>
      </c>
      <c r="CU34" s="530"/>
      <c r="CV34" s="531" t="e">
        <f t="shared" si="31"/>
        <v>#DIV/0!</v>
      </c>
      <c r="CW34" s="532">
        <f t="shared" si="143"/>
        <v>0</v>
      </c>
      <c r="CX34" s="530"/>
      <c r="CY34" s="531" t="e">
        <f t="shared" si="32"/>
        <v>#DIV/0!</v>
      </c>
      <c r="CZ34" s="532">
        <f t="shared" si="144"/>
        <v>0</v>
      </c>
      <c r="DA34" s="530"/>
      <c r="DB34" s="531" t="e">
        <f t="shared" si="33"/>
        <v>#DIV/0!</v>
      </c>
      <c r="DC34" s="532">
        <f t="shared" si="145"/>
        <v>0</v>
      </c>
      <c r="DD34" s="530"/>
      <c r="DE34" s="531" t="e">
        <f t="shared" si="34"/>
        <v>#DIV/0!</v>
      </c>
      <c r="DF34" s="532">
        <f t="shared" si="146"/>
        <v>0</v>
      </c>
      <c r="DG34" s="530"/>
      <c r="DH34" s="531" t="e">
        <f t="shared" si="35"/>
        <v>#DIV/0!</v>
      </c>
      <c r="DI34" s="532">
        <f t="shared" si="203"/>
        <v>0</v>
      </c>
      <c r="DJ34" s="530"/>
      <c r="DK34" s="531" t="e">
        <f t="shared" si="36"/>
        <v>#DIV/0!</v>
      </c>
      <c r="DL34" s="532">
        <f t="shared" si="147"/>
        <v>0</v>
      </c>
      <c r="DM34" s="530"/>
      <c r="DN34" s="531" t="e">
        <f t="shared" si="37"/>
        <v>#DIV/0!</v>
      </c>
      <c r="DO34" s="532">
        <f t="shared" si="148"/>
        <v>0</v>
      </c>
      <c r="DP34" s="530"/>
      <c r="DQ34" s="531" t="e">
        <f t="shared" si="38"/>
        <v>#DIV/0!</v>
      </c>
      <c r="DR34" s="532">
        <f t="shared" si="149"/>
        <v>0</v>
      </c>
      <c r="DS34" s="530"/>
      <c r="DT34" s="531" t="e">
        <f t="shared" si="39"/>
        <v>#DIV/0!</v>
      </c>
      <c r="DU34" s="532">
        <f t="shared" si="150"/>
        <v>0</v>
      </c>
      <c r="DV34" s="530"/>
      <c r="DW34" s="531" t="e">
        <f t="shared" si="40"/>
        <v>#DIV/0!</v>
      </c>
      <c r="DX34" s="532">
        <f t="shared" si="151"/>
        <v>0</v>
      </c>
      <c r="DY34" s="530"/>
      <c r="DZ34" s="531" t="e">
        <f t="shared" si="41"/>
        <v>#DIV/0!</v>
      </c>
      <c r="EA34" s="532">
        <f t="shared" si="152"/>
        <v>0</v>
      </c>
      <c r="EB34" s="530"/>
      <c r="EC34" s="531" t="e">
        <f t="shared" si="42"/>
        <v>#DIV/0!</v>
      </c>
      <c r="ED34" s="532">
        <f t="shared" si="153"/>
        <v>0</v>
      </c>
      <c r="EE34" s="530"/>
      <c r="EF34" s="531" t="e">
        <f t="shared" si="43"/>
        <v>#DIV/0!</v>
      </c>
      <c r="EG34" s="532">
        <f t="shared" si="154"/>
        <v>0</v>
      </c>
      <c r="EH34" s="530"/>
      <c r="EI34" s="531" t="e">
        <f t="shared" si="44"/>
        <v>#DIV/0!</v>
      </c>
      <c r="EJ34" s="532">
        <f t="shared" si="155"/>
        <v>0</v>
      </c>
      <c r="EK34" s="530"/>
      <c r="EL34" s="531" t="e">
        <f t="shared" si="45"/>
        <v>#DIV/0!</v>
      </c>
      <c r="EM34" s="532">
        <f t="shared" si="156"/>
        <v>0</v>
      </c>
      <c r="EN34" s="530"/>
      <c r="EO34" s="531" t="e">
        <f t="shared" si="46"/>
        <v>#DIV/0!</v>
      </c>
      <c r="EP34" s="532">
        <f t="shared" si="157"/>
        <v>0</v>
      </c>
      <c r="EQ34" s="530"/>
      <c r="ER34" s="531" t="e">
        <f t="shared" si="47"/>
        <v>#DIV/0!</v>
      </c>
      <c r="ES34" s="532">
        <f t="shared" si="158"/>
        <v>0</v>
      </c>
      <c r="ET34" s="530"/>
      <c r="EU34" s="531" t="e">
        <f t="shared" si="48"/>
        <v>#DIV/0!</v>
      </c>
      <c r="EV34" s="532">
        <f t="shared" si="159"/>
        <v>0</v>
      </c>
      <c r="EW34" s="530"/>
      <c r="EX34" s="531" t="e">
        <f t="shared" si="49"/>
        <v>#DIV/0!</v>
      </c>
      <c r="EY34" s="532">
        <f t="shared" si="160"/>
        <v>0</v>
      </c>
      <c r="EZ34" s="530"/>
      <c r="FA34" s="531" t="e">
        <f t="shared" si="50"/>
        <v>#DIV/0!</v>
      </c>
      <c r="FB34" s="532">
        <f t="shared" si="161"/>
        <v>0</v>
      </c>
      <c r="FC34" s="530"/>
      <c r="FD34" s="531" t="e">
        <f t="shared" si="51"/>
        <v>#DIV/0!</v>
      </c>
      <c r="FE34" s="532">
        <f t="shared" si="162"/>
        <v>0</v>
      </c>
      <c r="FF34" s="530"/>
      <c r="FG34" s="531" t="e">
        <f t="shared" si="52"/>
        <v>#DIV/0!</v>
      </c>
      <c r="FH34" s="532">
        <f t="shared" si="163"/>
        <v>0</v>
      </c>
      <c r="FI34" s="530"/>
      <c r="FJ34" s="531" t="e">
        <f t="shared" si="53"/>
        <v>#DIV/0!</v>
      </c>
      <c r="FK34" s="532">
        <f t="shared" si="164"/>
        <v>0</v>
      </c>
      <c r="FL34" s="530"/>
      <c r="FM34" s="531" t="e">
        <f t="shared" si="54"/>
        <v>#DIV/0!</v>
      </c>
      <c r="FN34" s="532">
        <f t="shared" si="165"/>
        <v>0</v>
      </c>
      <c r="FO34" s="530"/>
      <c r="FP34" s="531" t="e">
        <f t="shared" si="55"/>
        <v>#DIV/0!</v>
      </c>
      <c r="FQ34" s="532">
        <f t="shared" si="166"/>
        <v>0</v>
      </c>
      <c r="FR34" s="530"/>
      <c r="FS34" s="531" t="e">
        <f t="shared" si="56"/>
        <v>#DIV/0!</v>
      </c>
      <c r="FT34" s="532">
        <f t="shared" si="167"/>
        <v>0</v>
      </c>
      <c r="FU34" s="530"/>
      <c r="FV34" s="531" t="e">
        <f t="shared" si="57"/>
        <v>#DIV/0!</v>
      </c>
      <c r="FW34" s="532">
        <f t="shared" si="168"/>
        <v>0</v>
      </c>
      <c r="FX34" s="530"/>
      <c r="FY34" s="531" t="e">
        <f t="shared" si="58"/>
        <v>#DIV/0!</v>
      </c>
      <c r="FZ34" s="532">
        <f t="shared" si="169"/>
        <v>0</v>
      </c>
      <c r="GA34" s="530"/>
      <c r="GB34" s="531" t="e">
        <f t="shared" si="59"/>
        <v>#DIV/0!</v>
      </c>
      <c r="GC34" s="532">
        <f t="shared" si="170"/>
        <v>0</v>
      </c>
      <c r="GD34" s="530"/>
      <c r="GE34" s="531" t="e">
        <f t="shared" si="60"/>
        <v>#DIV/0!</v>
      </c>
      <c r="GF34" s="532">
        <f t="shared" si="171"/>
        <v>0</v>
      </c>
      <c r="GG34" s="530"/>
      <c r="GH34" s="531" t="e">
        <f t="shared" si="61"/>
        <v>#DIV/0!</v>
      </c>
      <c r="GI34" s="532">
        <f t="shared" si="172"/>
        <v>0</v>
      </c>
      <c r="GJ34" s="530"/>
      <c r="GK34" s="531" t="e">
        <f t="shared" si="62"/>
        <v>#DIV/0!</v>
      </c>
      <c r="GL34" s="532">
        <f t="shared" si="173"/>
        <v>0</v>
      </c>
      <c r="GM34" s="530"/>
      <c r="GN34" s="531" t="e">
        <f t="shared" si="63"/>
        <v>#DIV/0!</v>
      </c>
      <c r="GO34" s="532">
        <f t="shared" si="174"/>
        <v>0</v>
      </c>
      <c r="GP34" s="530"/>
      <c r="GQ34" s="531" t="e">
        <f t="shared" si="64"/>
        <v>#DIV/0!</v>
      </c>
      <c r="GR34" s="532">
        <f t="shared" si="175"/>
        <v>0</v>
      </c>
      <c r="GS34" s="530"/>
      <c r="GT34" s="531" t="e">
        <f t="shared" si="65"/>
        <v>#DIV/0!</v>
      </c>
      <c r="GU34" s="532">
        <f t="shared" si="176"/>
        <v>0</v>
      </c>
      <c r="GV34" s="530"/>
      <c r="GW34" s="531" t="e">
        <f t="shared" si="66"/>
        <v>#DIV/0!</v>
      </c>
      <c r="GX34" s="532">
        <f t="shared" si="177"/>
        <v>0</v>
      </c>
      <c r="GY34" s="530"/>
      <c r="GZ34" s="531" t="e">
        <f t="shared" si="67"/>
        <v>#DIV/0!</v>
      </c>
      <c r="HA34" s="532">
        <f t="shared" si="178"/>
        <v>0</v>
      </c>
      <c r="HB34" s="530"/>
      <c r="HC34" s="531" t="e">
        <f t="shared" si="68"/>
        <v>#DIV/0!</v>
      </c>
      <c r="HD34" s="532">
        <f t="shared" si="179"/>
        <v>0</v>
      </c>
      <c r="HE34" s="530"/>
      <c r="HF34" s="531" t="e">
        <f t="shared" si="69"/>
        <v>#DIV/0!</v>
      </c>
      <c r="HG34" s="532">
        <f t="shared" si="180"/>
        <v>0</v>
      </c>
      <c r="HH34" s="530"/>
      <c r="HI34" s="531" t="e">
        <f t="shared" si="70"/>
        <v>#DIV/0!</v>
      </c>
      <c r="HJ34" s="532">
        <f t="shared" si="181"/>
        <v>0</v>
      </c>
      <c r="HK34" s="530"/>
      <c r="HL34" s="531" t="e">
        <f t="shared" si="71"/>
        <v>#DIV/0!</v>
      </c>
      <c r="HM34" s="532">
        <f t="shared" si="182"/>
        <v>0</v>
      </c>
      <c r="HN34" s="530"/>
      <c r="HO34" s="531" t="e">
        <f t="shared" si="72"/>
        <v>#DIV/0!</v>
      </c>
      <c r="HP34" s="532">
        <f t="shared" si="183"/>
        <v>0</v>
      </c>
      <c r="HQ34" s="530"/>
      <c r="HR34" s="531" t="e">
        <f t="shared" si="73"/>
        <v>#DIV/0!</v>
      </c>
      <c r="HS34" s="532">
        <f t="shared" si="184"/>
        <v>0</v>
      </c>
      <c r="HT34" s="530"/>
      <c r="HU34" s="531" t="e">
        <f t="shared" si="74"/>
        <v>#DIV/0!</v>
      </c>
      <c r="HV34" s="532">
        <f t="shared" si="185"/>
        <v>0</v>
      </c>
      <c r="HW34" s="530"/>
      <c r="HX34" s="531" t="e">
        <f t="shared" si="75"/>
        <v>#DIV/0!</v>
      </c>
      <c r="HY34" s="532">
        <f t="shared" si="186"/>
        <v>0</v>
      </c>
      <c r="HZ34" s="530"/>
      <c r="IA34" s="531" t="e">
        <f t="shared" si="76"/>
        <v>#DIV/0!</v>
      </c>
      <c r="IB34" s="532">
        <f t="shared" si="187"/>
        <v>0</v>
      </c>
      <c r="IC34" s="530"/>
      <c r="ID34" s="531" t="e">
        <f t="shared" si="77"/>
        <v>#DIV/0!</v>
      </c>
      <c r="IE34" s="532">
        <f t="shared" si="188"/>
        <v>0</v>
      </c>
      <c r="IF34" s="530"/>
      <c r="IG34" s="531" t="e">
        <f t="shared" si="78"/>
        <v>#DIV/0!</v>
      </c>
      <c r="IH34" s="532">
        <f t="shared" si="189"/>
        <v>0</v>
      </c>
      <c r="II34" s="530"/>
      <c r="IJ34" s="531" t="e">
        <f t="shared" si="79"/>
        <v>#DIV/0!</v>
      </c>
      <c r="IK34" s="532">
        <f t="shared" si="190"/>
        <v>0</v>
      </c>
      <c r="IL34" s="530"/>
      <c r="IM34" s="531" t="e">
        <f t="shared" si="80"/>
        <v>#DIV/0!</v>
      </c>
      <c r="IN34" s="532">
        <f t="shared" si="191"/>
        <v>0</v>
      </c>
      <c r="IO34" s="530"/>
      <c r="IP34" s="531" t="e">
        <f t="shared" si="81"/>
        <v>#DIV/0!</v>
      </c>
      <c r="IQ34" s="532">
        <f t="shared" si="192"/>
        <v>0</v>
      </c>
      <c r="IR34" s="530"/>
      <c r="IS34" s="531" t="e">
        <f t="shared" si="82"/>
        <v>#DIV/0!</v>
      </c>
      <c r="IT34" s="532">
        <f t="shared" si="193"/>
        <v>0</v>
      </c>
      <c r="IU34" s="530"/>
      <c r="IV34" s="531" t="e">
        <f t="shared" si="83"/>
        <v>#DIV/0!</v>
      </c>
      <c r="IW34" s="532">
        <f t="shared" si="194"/>
        <v>0</v>
      </c>
      <c r="IX34" s="530"/>
      <c r="IY34" s="531" t="e">
        <f t="shared" si="84"/>
        <v>#DIV/0!</v>
      </c>
      <c r="IZ34" s="532">
        <f t="shared" si="195"/>
        <v>0</v>
      </c>
      <c r="JA34" s="530"/>
      <c r="JB34" s="531" t="e">
        <f t="shared" si="85"/>
        <v>#DIV/0!</v>
      </c>
      <c r="JC34" s="532">
        <f t="shared" si="196"/>
        <v>0</v>
      </c>
      <c r="JD34" s="530"/>
      <c r="JE34" s="531" t="e">
        <f t="shared" si="86"/>
        <v>#DIV/0!</v>
      </c>
      <c r="JF34" s="532">
        <f t="shared" si="197"/>
        <v>0</v>
      </c>
      <c r="JG34" s="530"/>
      <c r="JH34" s="531" t="e">
        <f t="shared" si="87"/>
        <v>#DIV/0!</v>
      </c>
      <c r="JI34" s="532">
        <f t="shared" si="198"/>
        <v>0</v>
      </c>
      <c r="JJ34" s="530"/>
      <c r="JK34" s="532" t="str">
        <f t="shared" si="88"/>
        <v>0</v>
      </c>
      <c r="JL34" s="532" t="str">
        <f t="shared" si="89"/>
        <v>0</v>
      </c>
      <c r="JM34" s="530"/>
      <c r="JN34" s="532" t="str">
        <f t="shared" si="90"/>
        <v>0</v>
      </c>
      <c r="JO34" s="532" t="str">
        <f t="shared" si="91"/>
        <v>0</v>
      </c>
      <c r="JP34" s="530"/>
      <c r="JQ34" s="532" t="str">
        <f t="shared" si="92"/>
        <v>0</v>
      </c>
      <c r="JR34" s="532" t="str">
        <f t="shared" si="93"/>
        <v>0</v>
      </c>
      <c r="JS34" s="530"/>
      <c r="JT34" s="532" t="str">
        <f t="shared" si="94"/>
        <v>0</v>
      </c>
      <c r="JU34" s="532" t="str">
        <f t="shared" si="95"/>
        <v>0</v>
      </c>
      <c r="JV34" s="530"/>
      <c r="JW34" s="532" t="str">
        <f t="shared" si="96"/>
        <v>0</v>
      </c>
      <c r="JX34" s="532" t="str">
        <f t="shared" si="97"/>
        <v>0</v>
      </c>
      <c r="JY34" s="530"/>
      <c r="JZ34" s="532" t="str">
        <f t="shared" si="98"/>
        <v>0</v>
      </c>
      <c r="KA34" s="532" t="str">
        <f t="shared" si="99"/>
        <v>0</v>
      </c>
      <c r="KB34" s="530"/>
      <c r="KC34" s="532" t="str">
        <f t="shared" si="100"/>
        <v>0</v>
      </c>
      <c r="KD34" s="532" t="str">
        <f t="shared" si="101"/>
        <v>0</v>
      </c>
      <c r="KE34" s="530"/>
      <c r="KF34" s="532" t="str">
        <f t="shared" si="102"/>
        <v>0</v>
      </c>
      <c r="KG34" s="532" t="str">
        <f t="shared" si="103"/>
        <v>0</v>
      </c>
      <c r="KH34" s="530"/>
      <c r="KI34" s="532" t="str">
        <f t="shared" si="104"/>
        <v>0</v>
      </c>
      <c r="KJ34" s="532" t="str">
        <f t="shared" si="105"/>
        <v>0</v>
      </c>
      <c r="KK34" s="530"/>
      <c r="KL34" s="532" t="str">
        <f t="shared" si="106"/>
        <v>0</v>
      </c>
      <c r="KM34" s="532" t="str">
        <f t="shared" si="107"/>
        <v>0</v>
      </c>
      <c r="KN34" s="530"/>
      <c r="KO34" s="532" t="str">
        <f t="shared" si="108"/>
        <v>0</v>
      </c>
      <c r="KP34" s="532" t="str">
        <f t="shared" si="109"/>
        <v>0</v>
      </c>
      <c r="KQ34" s="530"/>
      <c r="KR34" s="532" t="str">
        <f t="shared" si="110"/>
        <v>0</v>
      </c>
      <c r="KS34" s="532" t="str">
        <f t="shared" si="111"/>
        <v>0</v>
      </c>
      <c r="KT34" s="532">
        <f t="shared" si="201"/>
        <v>0</v>
      </c>
      <c r="KU34" s="532">
        <f t="shared" si="202"/>
        <v>0</v>
      </c>
      <c r="KV34" s="268">
        <f t="shared" si="199"/>
        <v>0</v>
      </c>
    </row>
    <row r="35" spans="1:308" ht="15" customHeight="1">
      <c r="A35" s="269">
        <f t="shared" si="200"/>
        <v>45957</v>
      </c>
      <c r="B35" s="270" t="str">
        <f>+Report1!B35</f>
        <v>Facial</v>
      </c>
      <c r="C35" s="270" t="str">
        <f>+Report1!C35</f>
        <v>14</v>
      </c>
      <c r="D35" s="271">
        <f>+Report1!P35</f>
        <v>20.222000000000001</v>
      </c>
      <c r="E35" s="570">
        <f>+Report1!R35</f>
        <v>14.464</v>
      </c>
      <c r="F35" s="530"/>
      <c r="G35" s="531">
        <f t="shared" si="0"/>
        <v>0</v>
      </c>
      <c r="H35" s="532">
        <f t="shared" si="112"/>
        <v>0</v>
      </c>
      <c r="I35" s="530">
        <v>162.78821860465121</v>
      </c>
      <c r="J35" s="531">
        <f t="shared" si="1"/>
        <v>11.254716441140156</v>
      </c>
      <c r="K35" s="532">
        <f t="shared" si="113"/>
        <v>0</v>
      </c>
      <c r="L35" s="530"/>
      <c r="M35" s="531">
        <f t="shared" si="2"/>
        <v>0</v>
      </c>
      <c r="N35" s="532">
        <f t="shared" si="114"/>
        <v>0</v>
      </c>
      <c r="O35" s="530">
        <v>2.9992000000000019</v>
      </c>
      <c r="P35" s="531">
        <f t="shared" si="3"/>
        <v>0.20735619469026562</v>
      </c>
      <c r="Q35" s="532">
        <f t="shared" si="115"/>
        <v>0</v>
      </c>
      <c r="R35" s="530"/>
      <c r="S35" s="531">
        <f t="shared" si="4"/>
        <v>0</v>
      </c>
      <c r="T35" s="532">
        <f t="shared" si="116"/>
        <v>0</v>
      </c>
      <c r="U35" s="530">
        <v>2.5663999999999589</v>
      </c>
      <c r="V35" s="531">
        <f t="shared" si="5"/>
        <v>0.17743362831858123</v>
      </c>
      <c r="W35" s="532">
        <f t="shared" si="117"/>
        <v>0</v>
      </c>
      <c r="X35" s="530"/>
      <c r="Y35" s="531">
        <f t="shared" si="6"/>
        <v>0</v>
      </c>
      <c r="Z35" s="532">
        <f t="shared" si="118"/>
        <v>0</v>
      </c>
      <c r="AA35" s="530"/>
      <c r="AB35" s="531">
        <f t="shared" si="7"/>
        <v>0</v>
      </c>
      <c r="AC35" s="532">
        <f t="shared" si="119"/>
        <v>0</v>
      </c>
      <c r="AD35" s="530"/>
      <c r="AE35" s="531">
        <f t="shared" si="8"/>
        <v>0</v>
      </c>
      <c r="AF35" s="532">
        <f t="shared" si="120"/>
        <v>0</v>
      </c>
      <c r="AG35" s="530"/>
      <c r="AH35" s="531">
        <f t="shared" si="9"/>
        <v>0</v>
      </c>
      <c r="AI35" s="532">
        <f t="shared" si="121"/>
        <v>0</v>
      </c>
      <c r="AJ35" s="530"/>
      <c r="AK35" s="531">
        <f t="shared" si="10"/>
        <v>0</v>
      </c>
      <c r="AL35" s="532">
        <f t="shared" si="122"/>
        <v>0</v>
      </c>
      <c r="AM35" s="530"/>
      <c r="AN35" s="531">
        <f t="shared" si="11"/>
        <v>0</v>
      </c>
      <c r="AO35" s="532">
        <f t="shared" si="123"/>
        <v>0</v>
      </c>
      <c r="AP35" s="530">
        <v>25.637729113924053</v>
      </c>
      <c r="AQ35" s="531">
        <f t="shared" si="12"/>
        <v>1.7725199885179792</v>
      </c>
      <c r="AR35" s="532">
        <f t="shared" si="124"/>
        <v>0</v>
      </c>
      <c r="AS35" s="530"/>
      <c r="AT35" s="531">
        <f t="shared" si="13"/>
        <v>0</v>
      </c>
      <c r="AU35" s="532">
        <f t="shared" si="125"/>
        <v>0</v>
      </c>
      <c r="AV35" s="530"/>
      <c r="AW35" s="531">
        <f t="shared" si="14"/>
        <v>0</v>
      </c>
      <c r="AX35" s="532">
        <f t="shared" si="126"/>
        <v>0</v>
      </c>
      <c r="AY35" s="530">
        <v>30.332533333333345</v>
      </c>
      <c r="AZ35" s="531">
        <f t="shared" si="15"/>
        <v>2.0971054572271393</v>
      </c>
      <c r="BA35" s="532">
        <f t="shared" si="127"/>
        <v>0</v>
      </c>
      <c r="BB35" s="530"/>
      <c r="BC35" s="531">
        <f t="shared" si="16"/>
        <v>0</v>
      </c>
      <c r="BD35" s="532">
        <f t="shared" si="128"/>
        <v>0</v>
      </c>
      <c r="BE35" s="530"/>
      <c r="BF35" s="531">
        <f t="shared" si="17"/>
        <v>0</v>
      </c>
      <c r="BG35" s="532">
        <f t="shared" si="129"/>
        <v>0</v>
      </c>
      <c r="BH35" s="530"/>
      <c r="BI35" s="531">
        <f t="shared" si="18"/>
        <v>0</v>
      </c>
      <c r="BJ35" s="532">
        <f t="shared" si="130"/>
        <v>0</v>
      </c>
      <c r="BK35" s="530"/>
      <c r="BL35" s="531">
        <f t="shared" si="19"/>
        <v>0</v>
      </c>
      <c r="BM35" s="532">
        <f t="shared" si="131"/>
        <v>0</v>
      </c>
      <c r="BN35" s="530"/>
      <c r="BO35" s="531">
        <f t="shared" si="20"/>
        <v>0</v>
      </c>
      <c r="BP35" s="532">
        <f t="shared" si="132"/>
        <v>0</v>
      </c>
      <c r="BQ35" s="530"/>
      <c r="BR35" s="531">
        <f t="shared" si="21"/>
        <v>0</v>
      </c>
      <c r="BS35" s="532">
        <f t="shared" si="133"/>
        <v>0</v>
      </c>
      <c r="BT35" s="530"/>
      <c r="BU35" s="531">
        <f t="shared" si="22"/>
        <v>0</v>
      </c>
      <c r="BV35" s="532">
        <f t="shared" si="134"/>
        <v>0</v>
      </c>
      <c r="BW35" s="530"/>
      <c r="BX35" s="531">
        <f t="shared" si="23"/>
        <v>0</v>
      </c>
      <c r="BY35" s="532">
        <f t="shared" si="135"/>
        <v>0</v>
      </c>
      <c r="BZ35" s="530"/>
      <c r="CA35" s="531">
        <f t="shared" si="24"/>
        <v>0</v>
      </c>
      <c r="CB35" s="532">
        <f t="shared" si="136"/>
        <v>0</v>
      </c>
      <c r="CC35" s="530"/>
      <c r="CD35" s="531">
        <f t="shared" si="25"/>
        <v>0</v>
      </c>
      <c r="CE35" s="532">
        <f t="shared" si="137"/>
        <v>0</v>
      </c>
      <c r="CF35" s="530">
        <v>0.60000000000000142</v>
      </c>
      <c r="CG35" s="531">
        <f t="shared" si="26"/>
        <v>4.1482300884955851E-2</v>
      </c>
      <c r="CH35" s="532">
        <f t="shared" si="138"/>
        <v>0</v>
      </c>
      <c r="CI35" s="530"/>
      <c r="CJ35" s="531">
        <f t="shared" si="27"/>
        <v>0</v>
      </c>
      <c r="CK35" s="532">
        <f t="shared" si="139"/>
        <v>0</v>
      </c>
      <c r="CL35" s="530"/>
      <c r="CM35" s="531">
        <f t="shared" si="28"/>
        <v>0</v>
      </c>
      <c r="CN35" s="532">
        <f t="shared" si="140"/>
        <v>0</v>
      </c>
      <c r="CO35" s="530"/>
      <c r="CP35" s="531">
        <f t="shared" si="29"/>
        <v>0</v>
      </c>
      <c r="CQ35" s="532">
        <f t="shared" si="141"/>
        <v>0</v>
      </c>
      <c r="CR35" s="530"/>
      <c r="CS35" s="531">
        <f t="shared" si="30"/>
        <v>0</v>
      </c>
      <c r="CT35" s="532">
        <f t="shared" si="142"/>
        <v>0</v>
      </c>
      <c r="CU35" s="530"/>
      <c r="CV35" s="531">
        <f t="shared" si="31"/>
        <v>0</v>
      </c>
      <c r="CW35" s="532">
        <f t="shared" si="143"/>
        <v>0</v>
      </c>
      <c r="CX35" s="530"/>
      <c r="CY35" s="531">
        <f t="shared" si="32"/>
        <v>0</v>
      </c>
      <c r="CZ35" s="532">
        <f t="shared" si="144"/>
        <v>0</v>
      </c>
      <c r="DA35" s="530"/>
      <c r="DB35" s="531">
        <f t="shared" si="33"/>
        <v>0</v>
      </c>
      <c r="DC35" s="532">
        <f t="shared" si="145"/>
        <v>0</v>
      </c>
      <c r="DD35" s="530"/>
      <c r="DE35" s="531">
        <f t="shared" si="34"/>
        <v>0</v>
      </c>
      <c r="DF35" s="532">
        <f t="shared" si="146"/>
        <v>0</v>
      </c>
      <c r="DG35" s="530"/>
      <c r="DH35" s="531">
        <f t="shared" si="35"/>
        <v>0</v>
      </c>
      <c r="DI35" s="532">
        <f t="shared" si="203"/>
        <v>0</v>
      </c>
      <c r="DJ35" s="530"/>
      <c r="DK35" s="531">
        <f t="shared" si="36"/>
        <v>0</v>
      </c>
      <c r="DL35" s="532">
        <f t="shared" si="147"/>
        <v>0</v>
      </c>
      <c r="DM35" s="530"/>
      <c r="DN35" s="531">
        <f t="shared" si="37"/>
        <v>0</v>
      </c>
      <c r="DO35" s="532">
        <f t="shared" si="148"/>
        <v>0</v>
      </c>
      <c r="DP35" s="530"/>
      <c r="DQ35" s="531">
        <f t="shared" si="38"/>
        <v>0</v>
      </c>
      <c r="DR35" s="532">
        <f t="shared" si="149"/>
        <v>0</v>
      </c>
      <c r="DS35" s="530"/>
      <c r="DT35" s="531">
        <f t="shared" si="39"/>
        <v>0</v>
      </c>
      <c r="DU35" s="532">
        <f t="shared" si="150"/>
        <v>0</v>
      </c>
      <c r="DV35" s="530"/>
      <c r="DW35" s="531">
        <f t="shared" si="40"/>
        <v>0</v>
      </c>
      <c r="DX35" s="532">
        <f t="shared" si="151"/>
        <v>0</v>
      </c>
      <c r="DY35" s="530"/>
      <c r="DZ35" s="531">
        <f t="shared" si="41"/>
        <v>0</v>
      </c>
      <c r="EA35" s="532">
        <f t="shared" si="152"/>
        <v>0</v>
      </c>
      <c r="EB35" s="530"/>
      <c r="EC35" s="531">
        <f t="shared" si="42"/>
        <v>0</v>
      </c>
      <c r="ED35" s="532">
        <f t="shared" si="153"/>
        <v>0</v>
      </c>
      <c r="EE35" s="530"/>
      <c r="EF35" s="531">
        <f t="shared" si="43"/>
        <v>0</v>
      </c>
      <c r="EG35" s="532">
        <f t="shared" si="154"/>
        <v>0</v>
      </c>
      <c r="EH35" s="530"/>
      <c r="EI35" s="531">
        <f t="shared" si="44"/>
        <v>0</v>
      </c>
      <c r="EJ35" s="532">
        <f t="shared" si="155"/>
        <v>0</v>
      </c>
      <c r="EK35" s="530">
        <v>11.741176470588243</v>
      </c>
      <c r="EL35" s="531">
        <f t="shared" si="45"/>
        <v>0.81175169182717388</v>
      </c>
      <c r="EM35" s="532">
        <f t="shared" si="156"/>
        <v>0</v>
      </c>
      <c r="EN35" s="530"/>
      <c r="EO35" s="531">
        <f t="shared" si="46"/>
        <v>0</v>
      </c>
      <c r="EP35" s="532">
        <f t="shared" si="157"/>
        <v>0</v>
      </c>
      <c r="EQ35" s="530"/>
      <c r="ER35" s="531">
        <f t="shared" si="47"/>
        <v>0</v>
      </c>
      <c r="ES35" s="532">
        <f t="shared" si="158"/>
        <v>0</v>
      </c>
      <c r="ET35" s="530"/>
      <c r="EU35" s="531">
        <f t="shared" si="48"/>
        <v>0</v>
      </c>
      <c r="EV35" s="532">
        <f t="shared" si="159"/>
        <v>0</v>
      </c>
      <c r="EW35" s="530"/>
      <c r="EX35" s="531">
        <f t="shared" si="49"/>
        <v>0</v>
      </c>
      <c r="EY35" s="532">
        <f t="shared" si="160"/>
        <v>0</v>
      </c>
      <c r="EZ35" s="530"/>
      <c r="FA35" s="531">
        <f t="shared" si="50"/>
        <v>0</v>
      </c>
      <c r="FB35" s="532">
        <f t="shared" si="161"/>
        <v>0</v>
      </c>
      <c r="FC35" s="530"/>
      <c r="FD35" s="531">
        <f t="shared" si="51"/>
        <v>0</v>
      </c>
      <c r="FE35" s="532">
        <f t="shared" si="162"/>
        <v>0</v>
      </c>
      <c r="FF35" s="530"/>
      <c r="FG35" s="531">
        <f t="shared" si="52"/>
        <v>0</v>
      </c>
      <c r="FH35" s="532">
        <f t="shared" si="163"/>
        <v>0</v>
      </c>
      <c r="FI35" s="530"/>
      <c r="FJ35" s="531">
        <f t="shared" si="53"/>
        <v>0</v>
      </c>
      <c r="FK35" s="532">
        <f t="shared" si="164"/>
        <v>0</v>
      </c>
      <c r="FL35" s="530"/>
      <c r="FM35" s="531">
        <f t="shared" si="54"/>
        <v>0</v>
      </c>
      <c r="FN35" s="532">
        <f t="shared" si="165"/>
        <v>0</v>
      </c>
      <c r="FO35" s="530"/>
      <c r="FP35" s="531">
        <f t="shared" si="55"/>
        <v>0</v>
      </c>
      <c r="FQ35" s="532">
        <f t="shared" si="166"/>
        <v>0</v>
      </c>
      <c r="FR35" s="530"/>
      <c r="FS35" s="531">
        <f t="shared" si="56"/>
        <v>0</v>
      </c>
      <c r="FT35" s="532">
        <f t="shared" si="167"/>
        <v>0</v>
      </c>
      <c r="FU35" s="530"/>
      <c r="FV35" s="531">
        <f t="shared" si="57"/>
        <v>0</v>
      </c>
      <c r="FW35" s="532">
        <f t="shared" si="168"/>
        <v>0</v>
      </c>
      <c r="FX35" s="530"/>
      <c r="FY35" s="531">
        <f t="shared" si="58"/>
        <v>0</v>
      </c>
      <c r="FZ35" s="532">
        <f t="shared" si="169"/>
        <v>0</v>
      </c>
      <c r="GA35" s="530"/>
      <c r="GB35" s="531">
        <f t="shared" si="59"/>
        <v>0</v>
      </c>
      <c r="GC35" s="532">
        <f t="shared" si="170"/>
        <v>0</v>
      </c>
      <c r="GD35" s="530"/>
      <c r="GE35" s="531">
        <f t="shared" si="60"/>
        <v>0</v>
      </c>
      <c r="GF35" s="532">
        <f t="shared" si="171"/>
        <v>0</v>
      </c>
      <c r="GG35" s="530"/>
      <c r="GH35" s="531">
        <f t="shared" si="61"/>
        <v>0</v>
      </c>
      <c r="GI35" s="532">
        <f t="shared" si="172"/>
        <v>0</v>
      </c>
      <c r="GJ35" s="530"/>
      <c r="GK35" s="531">
        <f t="shared" si="62"/>
        <v>0</v>
      </c>
      <c r="GL35" s="532">
        <f t="shared" si="173"/>
        <v>0</v>
      </c>
      <c r="GM35" s="530"/>
      <c r="GN35" s="531">
        <f t="shared" si="63"/>
        <v>0</v>
      </c>
      <c r="GO35" s="532">
        <f t="shared" si="174"/>
        <v>0</v>
      </c>
      <c r="GP35" s="530"/>
      <c r="GQ35" s="531">
        <f t="shared" si="64"/>
        <v>0</v>
      </c>
      <c r="GR35" s="532">
        <f t="shared" si="175"/>
        <v>0</v>
      </c>
      <c r="GS35" s="530"/>
      <c r="GT35" s="531">
        <f t="shared" si="65"/>
        <v>0</v>
      </c>
      <c r="GU35" s="532">
        <f t="shared" si="176"/>
        <v>0</v>
      </c>
      <c r="GV35" s="530"/>
      <c r="GW35" s="531">
        <f t="shared" si="66"/>
        <v>0</v>
      </c>
      <c r="GX35" s="532">
        <f t="shared" si="177"/>
        <v>0</v>
      </c>
      <c r="GY35" s="530"/>
      <c r="GZ35" s="531">
        <f t="shared" si="67"/>
        <v>0</v>
      </c>
      <c r="HA35" s="532">
        <f t="shared" si="178"/>
        <v>0</v>
      </c>
      <c r="HB35" s="530"/>
      <c r="HC35" s="531">
        <f t="shared" si="68"/>
        <v>0</v>
      </c>
      <c r="HD35" s="532">
        <f t="shared" si="179"/>
        <v>0</v>
      </c>
      <c r="HE35" s="530"/>
      <c r="HF35" s="531">
        <f t="shared" si="69"/>
        <v>0</v>
      </c>
      <c r="HG35" s="532">
        <f t="shared" si="180"/>
        <v>0</v>
      </c>
      <c r="HH35" s="530"/>
      <c r="HI35" s="531">
        <f t="shared" si="70"/>
        <v>0</v>
      </c>
      <c r="HJ35" s="532">
        <f t="shared" si="181"/>
        <v>0</v>
      </c>
      <c r="HK35" s="530"/>
      <c r="HL35" s="531">
        <f t="shared" si="71"/>
        <v>0</v>
      </c>
      <c r="HM35" s="532">
        <f t="shared" si="182"/>
        <v>0</v>
      </c>
      <c r="HN35" s="530"/>
      <c r="HO35" s="531">
        <f t="shared" si="72"/>
        <v>0</v>
      </c>
      <c r="HP35" s="532">
        <f t="shared" si="183"/>
        <v>0</v>
      </c>
      <c r="HQ35" s="530"/>
      <c r="HR35" s="531">
        <f t="shared" si="73"/>
        <v>0</v>
      </c>
      <c r="HS35" s="532">
        <f t="shared" si="184"/>
        <v>0</v>
      </c>
      <c r="HT35" s="530"/>
      <c r="HU35" s="531">
        <f t="shared" si="74"/>
        <v>0</v>
      </c>
      <c r="HV35" s="532">
        <f t="shared" si="185"/>
        <v>0</v>
      </c>
      <c r="HW35" s="530"/>
      <c r="HX35" s="531">
        <f t="shared" si="75"/>
        <v>0</v>
      </c>
      <c r="HY35" s="532">
        <f t="shared" si="186"/>
        <v>0</v>
      </c>
      <c r="HZ35" s="530"/>
      <c r="IA35" s="531">
        <f t="shared" si="76"/>
        <v>0</v>
      </c>
      <c r="IB35" s="532">
        <f t="shared" si="187"/>
        <v>0</v>
      </c>
      <c r="IC35" s="530"/>
      <c r="ID35" s="531">
        <f t="shared" si="77"/>
        <v>0</v>
      </c>
      <c r="IE35" s="532">
        <f t="shared" si="188"/>
        <v>0</v>
      </c>
      <c r="IF35" s="530"/>
      <c r="IG35" s="531">
        <f t="shared" si="78"/>
        <v>0</v>
      </c>
      <c r="IH35" s="532">
        <f t="shared" si="189"/>
        <v>0</v>
      </c>
      <c r="II35" s="530"/>
      <c r="IJ35" s="531">
        <f t="shared" si="79"/>
        <v>0</v>
      </c>
      <c r="IK35" s="532">
        <f t="shared" si="190"/>
        <v>0</v>
      </c>
      <c r="IL35" s="530"/>
      <c r="IM35" s="531">
        <f t="shared" si="80"/>
        <v>0</v>
      </c>
      <c r="IN35" s="532">
        <f t="shared" si="191"/>
        <v>0</v>
      </c>
      <c r="IO35" s="530"/>
      <c r="IP35" s="531">
        <f t="shared" si="81"/>
        <v>0</v>
      </c>
      <c r="IQ35" s="532">
        <f t="shared" si="192"/>
        <v>0</v>
      </c>
      <c r="IR35" s="530"/>
      <c r="IS35" s="531">
        <f t="shared" si="82"/>
        <v>0</v>
      </c>
      <c r="IT35" s="532">
        <f t="shared" si="193"/>
        <v>0</v>
      </c>
      <c r="IU35" s="530"/>
      <c r="IV35" s="531">
        <f t="shared" si="83"/>
        <v>0</v>
      </c>
      <c r="IW35" s="532">
        <f t="shared" si="194"/>
        <v>0</v>
      </c>
      <c r="IX35" s="530"/>
      <c r="IY35" s="531">
        <f t="shared" si="84"/>
        <v>0</v>
      </c>
      <c r="IZ35" s="532">
        <f t="shared" si="195"/>
        <v>0</v>
      </c>
      <c r="JA35" s="530"/>
      <c r="JB35" s="531">
        <f t="shared" si="85"/>
        <v>0</v>
      </c>
      <c r="JC35" s="532">
        <f t="shared" si="196"/>
        <v>0</v>
      </c>
      <c r="JD35" s="530"/>
      <c r="JE35" s="531">
        <f t="shared" si="86"/>
        <v>0</v>
      </c>
      <c r="JF35" s="532">
        <f t="shared" si="197"/>
        <v>0</v>
      </c>
      <c r="JG35" s="530"/>
      <c r="JH35" s="531">
        <f t="shared" si="87"/>
        <v>0</v>
      </c>
      <c r="JI35" s="532">
        <f t="shared" si="198"/>
        <v>0</v>
      </c>
      <c r="JJ35" s="530"/>
      <c r="JK35" s="532" t="str">
        <f t="shared" si="88"/>
        <v>0</v>
      </c>
      <c r="JL35" s="532" t="str">
        <f t="shared" si="89"/>
        <v>0</v>
      </c>
      <c r="JM35" s="530"/>
      <c r="JN35" s="532" t="str">
        <f t="shared" si="90"/>
        <v>0</v>
      </c>
      <c r="JO35" s="532" t="str">
        <f t="shared" si="91"/>
        <v>0</v>
      </c>
      <c r="JP35" s="530"/>
      <c r="JQ35" s="532" t="str">
        <f t="shared" si="92"/>
        <v>0</v>
      </c>
      <c r="JR35" s="532" t="str">
        <f t="shared" si="93"/>
        <v>0</v>
      </c>
      <c r="JS35" s="530"/>
      <c r="JT35" s="532" t="str">
        <f t="shared" si="94"/>
        <v>0</v>
      </c>
      <c r="JU35" s="532" t="str">
        <f t="shared" si="95"/>
        <v>0</v>
      </c>
      <c r="JV35" s="530"/>
      <c r="JW35" s="532" t="str">
        <f t="shared" si="96"/>
        <v>0</v>
      </c>
      <c r="JX35" s="532" t="str">
        <f t="shared" si="97"/>
        <v>0</v>
      </c>
      <c r="JY35" s="530"/>
      <c r="JZ35" s="532" t="str">
        <f t="shared" si="98"/>
        <v>0</v>
      </c>
      <c r="KA35" s="532" t="str">
        <f t="shared" si="99"/>
        <v>0</v>
      </c>
      <c r="KB35" s="530"/>
      <c r="KC35" s="532" t="str">
        <f t="shared" si="100"/>
        <v>0</v>
      </c>
      <c r="KD35" s="532" t="str">
        <f t="shared" si="101"/>
        <v>0</v>
      </c>
      <c r="KE35" s="530"/>
      <c r="KF35" s="532" t="str">
        <f t="shared" si="102"/>
        <v>0</v>
      </c>
      <c r="KG35" s="532" t="str">
        <f t="shared" si="103"/>
        <v>0</v>
      </c>
      <c r="KH35" s="530"/>
      <c r="KI35" s="532" t="str">
        <f t="shared" si="104"/>
        <v>0</v>
      </c>
      <c r="KJ35" s="532" t="str">
        <f t="shared" si="105"/>
        <v>0</v>
      </c>
      <c r="KK35" s="530"/>
      <c r="KL35" s="532" t="str">
        <f t="shared" si="106"/>
        <v>0</v>
      </c>
      <c r="KM35" s="532" t="str">
        <f t="shared" si="107"/>
        <v>0</v>
      </c>
      <c r="KN35" s="530"/>
      <c r="KO35" s="532" t="str">
        <f t="shared" si="108"/>
        <v>0</v>
      </c>
      <c r="KP35" s="532" t="str">
        <f t="shared" si="109"/>
        <v>0</v>
      </c>
      <c r="KQ35" s="530"/>
      <c r="KR35" s="532" t="str">
        <f t="shared" si="110"/>
        <v>0</v>
      </c>
      <c r="KS35" s="532" t="str">
        <f t="shared" si="111"/>
        <v>0</v>
      </c>
      <c r="KT35" s="532">
        <f t="shared" si="201"/>
        <v>0</v>
      </c>
      <c r="KU35" s="532">
        <f t="shared" si="202"/>
        <v>0</v>
      </c>
      <c r="KV35" s="268">
        <f t="shared" si="199"/>
        <v>236.6652575224968</v>
      </c>
    </row>
    <row r="36" spans="1:308" ht="15" customHeight="1">
      <c r="A36" s="269">
        <f t="shared" si="200"/>
        <v>45958</v>
      </c>
      <c r="B36" s="270" t="str">
        <f>+Report1!B36</f>
        <v>Facial</v>
      </c>
      <c r="C36" s="270" t="str">
        <f>+Report1!C36</f>
        <v>14/12</v>
      </c>
      <c r="D36" s="271">
        <f>+Report1!P36</f>
        <v>16.829999999999998</v>
      </c>
      <c r="E36" s="570">
        <f>+Report1!R36</f>
        <v>10.173</v>
      </c>
      <c r="F36" s="530"/>
      <c r="G36" s="531">
        <f t="shared" si="0"/>
        <v>0</v>
      </c>
      <c r="H36" s="532">
        <f t="shared" si="112"/>
        <v>0</v>
      </c>
      <c r="I36" s="530">
        <v>151.16279069767438</v>
      </c>
      <c r="J36" s="531">
        <f t="shared" si="1"/>
        <v>14.85921465621492</v>
      </c>
      <c r="K36" s="532">
        <f t="shared" si="113"/>
        <v>0</v>
      </c>
      <c r="L36" s="530"/>
      <c r="M36" s="531">
        <f t="shared" si="2"/>
        <v>0</v>
      </c>
      <c r="N36" s="532">
        <f t="shared" si="114"/>
        <v>0</v>
      </c>
      <c r="O36" s="530">
        <v>3</v>
      </c>
      <c r="P36" s="531">
        <f t="shared" si="3"/>
        <v>0.29489826010026543</v>
      </c>
      <c r="Q36" s="532">
        <f t="shared" si="115"/>
        <v>0</v>
      </c>
      <c r="R36" s="530"/>
      <c r="S36" s="531">
        <f t="shared" si="4"/>
        <v>0</v>
      </c>
      <c r="T36" s="532">
        <f t="shared" si="116"/>
        <v>0</v>
      </c>
      <c r="U36" s="530">
        <v>2.5625000000000284</v>
      </c>
      <c r="V36" s="531">
        <f t="shared" si="5"/>
        <v>0.25189226383564617</v>
      </c>
      <c r="W36" s="532">
        <f t="shared" si="117"/>
        <v>0</v>
      </c>
      <c r="X36" s="530"/>
      <c r="Y36" s="531">
        <f t="shared" si="6"/>
        <v>0</v>
      </c>
      <c r="Z36" s="532">
        <f t="shared" si="118"/>
        <v>0</v>
      </c>
      <c r="AA36" s="530"/>
      <c r="AB36" s="531">
        <f t="shared" si="7"/>
        <v>0</v>
      </c>
      <c r="AC36" s="532">
        <f t="shared" si="119"/>
        <v>0</v>
      </c>
      <c r="AD36" s="530"/>
      <c r="AE36" s="531">
        <f t="shared" si="8"/>
        <v>0</v>
      </c>
      <c r="AF36" s="532">
        <f t="shared" si="120"/>
        <v>0</v>
      </c>
      <c r="AG36" s="530"/>
      <c r="AH36" s="531">
        <f t="shared" si="9"/>
        <v>0</v>
      </c>
      <c r="AI36" s="532">
        <f t="shared" si="121"/>
        <v>0</v>
      </c>
      <c r="AJ36" s="530"/>
      <c r="AK36" s="531">
        <f t="shared" si="10"/>
        <v>0</v>
      </c>
      <c r="AL36" s="532">
        <f t="shared" si="122"/>
        <v>0</v>
      </c>
      <c r="AM36" s="530"/>
      <c r="AN36" s="531">
        <f t="shared" si="11"/>
        <v>0</v>
      </c>
      <c r="AO36" s="532">
        <f t="shared" si="123"/>
        <v>0</v>
      </c>
      <c r="AP36" s="530">
        <v>28.481012658227854</v>
      </c>
      <c r="AQ36" s="531">
        <f t="shared" si="12"/>
        <v>2.799667026268343</v>
      </c>
      <c r="AR36" s="532">
        <f t="shared" si="124"/>
        <v>0</v>
      </c>
      <c r="AS36" s="530"/>
      <c r="AT36" s="531">
        <f t="shared" si="13"/>
        <v>0</v>
      </c>
      <c r="AU36" s="532">
        <f t="shared" si="125"/>
        <v>0</v>
      </c>
      <c r="AV36" s="530"/>
      <c r="AW36" s="531">
        <f t="shared" si="14"/>
        <v>0</v>
      </c>
      <c r="AX36" s="532">
        <f t="shared" si="126"/>
        <v>0</v>
      </c>
      <c r="AY36" s="530">
        <v>44.333333333333314</v>
      </c>
      <c r="AZ36" s="531">
        <f t="shared" si="15"/>
        <v>4.3579409548150316</v>
      </c>
      <c r="BA36" s="532">
        <f t="shared" si="127"/>
        <v>0</v>
      </c>
      <c r="BB36" s="530"/>
      <c r="BC36" s="531">
        <f t="shared" si="16"/>
        <v>0</v>
      </c>
      <c r="BD36" s="532">
        <f t="shared" si="128"/>
        <v>0</v>
      </c>
      <c r="BE36" s="530"/>
      <c r="BF36" s="531">
        <f t="shared" si="17"/>
        <v>0</v>
      </c>
      <c r="BG36" s="532">
        <f t="shared" si="129"/>
        <v>0</v>
      </c>
      <c r="BH36" s="530"/>
      <c r="BI36" s="531">
        <f t="shared" si="18"/>
        <v>0</v>
      </c>
      <c r="BJ36" s="532">
        <f t="shared" si="130"/>
        <v>0</v>
      </c>
      <c r="BK36" s="530"/>
      <c r="BL36" s="531">
        <f t="shared" si="19"/>
        <v>0</v>
      </c>
      <c r="BM36" s="532">
        <f t="shared" si="131"/>
        <v>0</v>
      </c>
      <c r="BN36" s="530"/>
      <c r="BO36" s="531">
        <f t="shared" si="20"/>
        <v>0</v>
      </c>
      <c r="BP36" s="532">
        <f t="shared" si="132"/>
        <v>0</v>
      </c>
      <c r="BQ36" s="530"/>
      <c r="BR36" s="531">
        <f t="shared" si="21"/>
        <v>0</v>
      </c>
      <c r="BS36" s="532">
        <f t="shared" si="133"/>
        <v>0</v>
      </c>
      <c r="BT36" s="530"/>
      <c r="BU36" s="531">
        <f t="shared" si="22"/>
        <v>0</v>
      </c>
      <c r="BV36" s="532">
        <f t="shared" si="134"/>
        <v>0</v>
      </c>
      <c r="BW36" s="530"/>
      <c r="BX36" s="531">
        <f t="shared" si="23"/>
        <v>0</v>
      </c>
      <c r="BY36" s="532">
        <f t="shared" si="135"/>
        <v>0</v>
      </c>
      <c r="BZ36" s="530"/>
      <c r="CA36" s="531">
        <f t="shared" si="24"/>
        <v>0</v>
      </c>
      <c r="CB36" s="532">
        <f t="shared" si="136"/>
        <v>0</v>
      </c>
      <c r="CC36" s="530"/>
      <c r="CD36" s="531">
        <f t="shared" si="25"/>
        <v>0</v>
      </c>
      <c r="CE36" s="532">
        <f t="shared" si="137"/>
        <v>0</v>
      </c>
      <c r="CF36" s="530">
        <v>0.60000000000000142</v>
      </c>
      <c r="CG36" s="531">
        <f t="shared" si="26"/>
        <v>5.8979652020053223E-2</v>
      </c>
      <c r="CH36" s="532">
        <f t="shared" si="138"/>
        <v>0</v>
      </c>
      <c r="CI36" s="530"/>
      <c r="CJ36" s="531">
        <f t="shared" si="27"/>
        <v>0</v>
      </c>
      <c r="CK36" s="532">
        <f t="shared" si="139"/>
        <v>0</v>
      </c>
      <c r="CL36" s="530"/>
      <c r="CM36" s="531">
        <f t="shared" si="28"/>
        <v>0</v>
      </c>
      <c r="CN36" s="532">
        <f t="shared" si="140"/>
        <v>0</v>
      </c>
      <c r="CO36" s="530"/>
      <c r="CP36" s="531">
        <f t="shared" si="29"/>
        <v>0</v>
      </c>
      <c r="CQ36" s="532">
        <f t="shared" si="141"/>
        <v>0</v>
      </c>
      <c r="CR36" s="530"/>
      <c r="CS36" s="531">
        <f t="shared" si="30"/>
        <v>0</v>
      </c>
      <c r="CT36" s="532">
        <f t="shared" si="142"/>
        <v>0</v>
      </c>
      <c r="CU36" s="530"/>
      <c r="CV36" s="531">
        <f t="shared" si="31"/>
        <v>0</v>
      </c>
      <c r="CW36" s="532">
        <f t="shared" si="143"/>
        <v>0</v>
      </c>
      <c r="CX36" s="530"/>
      <c r="CY36" s="531">
        <f t="shared" si="32"/>
        <v>0</v>
      </c>
      <c r="CZ36" s="532">
        <f t="shared" si="144"/>
        <v>0</v>
      </c>
      <c r="DA36" s="530"/>
      <c r="DB36" s="531">
        <f t="shared" si="33"/>
        <v>0</v>
      </c>
      <c r="DC36" s="532">
        <f t="shared" si="145"/>
        <v>0</v>
      </c>
      <c r="DD36" s="530"/>
      <c r="DE36" s="531">
        <f t="shared" si="34"/>
        <v>0</v>
      </c>
      <c r="DF36" s="532">
        <f t="shared" si="146"/>
        <v>0</v>
      </c>
      <c r="DG36" s="530"/>
      <c r="DH36" s="531">
        <f t="shared" si="35"/>
        <v>0</v>
      </c>
      <c r="DI36" s="532">
        <f t="shared" si="203"/>
        <v>0</v>
      </c>
      <c r="DJ36" s="530"/>
      <c r="DK36" s="531">
        <f t="shared" si="36"/>
        <v>0</v>
      </c>
      <c r="DL36" s="532">
        <f t="shared" si="147"/>
        <v>0</v>
      </c>
      <c r="DM36" s="530"/>
      <c r="DN36" s="531">
        <f t="shared" si="37"/>
        <v>0</v>
      </c>
      <c r="DO36" s="532">
        <f t="shared" si="148"/>
        <v>0</v>
      </c>
      <c r="DP36" s="530"/>
      <c r="DQ36" s="531">
        <f t="shared" si="38"/>
        <v>0</v>
      </c>
      <c r="DR36" s="532">
        <f t="shared" si="149"/>
        <v>0</v>
      </c>
      <c r="DS36" s="530"/>
      <c r="DT36" s="531">
        <f t="shared" si="39"/>
        <v>0</v>
      </c>
      <c r="DU36" s="532">
        <f t="shared" si="150"/>
        <v>0</v>
      </c>
      <c r="DV36" s="530"/>
      <c r="DW36" s="531">
        <f t="shared" si="40"/>
        <v>0</v>
      </c>
      <c r="DX36" s="532">
        <f t="shared" si="151"/>
        <v>0</v>
      </c>
      <c r="DY36" s="530"/>
      <c r="DZ36" s="531">
        <f t="shared" si="41"/>
        <v>0</v>
      </c>
      <c r="EA36" s="532">
        <f t="shared" si="152"/>
        <v>0</v>
      </c>
      <c r="EB36" s="530"/>
      <c r="EC36" s="531">
        <f t="shared" si="42"/>
        <v>0</v>
      </c>
      <c r="ED36" s="532">
        <f t="shared" si="153"/>
        <v>0</v>
      </c>
      <c r="EE36" s="530"/>
      <c r="EF36" s="531">
        <f t="shared" si="43"/>
        <v>0</v>
      </c>
      <c r="EG36" s="532">
        <f t="shared" si="154"/>
        <v>0</v>
      </c>
      <c r="EH36" s="530">
        <v>1</v>
      </c>
      <c r="EI36" s="531">
        <f t="shared" si="44"/>
        <v>9.8299420033421805E-2</v>
      </c>
      <c r="EJ36" s="532">
        <f t="shared" si="155"/>
        <v>0</v>
      </c>
      <c r="EK36" s="530">
        <v>23.482352941176487</v>
      </c>
      <c r="EL36" s="531">
        <f t="shared" si="45"/>
        <v>2.3083016751377654</v>
      </c>
      <c r="EM36" s="532">
        <f t="shared" si="156"/>
        <v>0</v>
      </c>
      <c r="EN36" s="530"/>
      <c r="EO36" s="531">
        <f t="shared" si="46"/>
        <v>0</v>
      </c>
      <c r="EP36" s="532">
        <f t="shared" si="157"/>
        <v>0</v>
      </c>
      <c r="EQ36" s="530"/>
      <c r="ER36" s="531">
        <f t="shared" si="47"/>
        <v>0</v>
      </c>
      <c r="ES36" s="532">
        <f t="shared" si="158"/>
        <v>0</v>
      </c>
      <c r="ET36" s="530"/>
      <c r="EU36" s="531">
        <f t="shared" si="48"/>
        <v>0</v>
      </c>
      <c r="EV36" s="532">
        <f t="shared" si="159"/>
        <v>0</v>
      </c>
      <c r="EW36" s="530"/>
      <c r="EX36" s="531">
        <f t="shared" si="49"/>
        <v>0</v>
      </c>
      <c r="EY36" s="532">
        <f t="shared" si="160"/>
        <v>0</v>
      </c>
      <c r="EZ36" s="530"/>
      <c r="FA36" s="531">
        <f t="shared" si="50"/>
        <v>0</v>
      </c>
      <c r="FB36" s="532">
        <f t="shared" si="161"/>
        <v>0</v>
      </c>
      <c r="FC36" s="530"/>
      <c r="FD36" s="531">
        <f t="shared" si="51"/>
        <v>0</v>
      </c>
      <c r="FE36" s="532">
        <f t="shared" si="162"/>
        <v>0</v>
      </c>
      <c r="FF36" s="530"/>
      <c r="FG36" s="531">
        <f t="shared" si="52"/>
        <v>0</v>
      </c>
      <c r="FH36" s="532">
        <f t="shared" si="163"/>
        <v>0</v>
      </c>
      <c r="FI36" s="530"/>
      <c r="FJ36" s="531">
        <f t="shared" si="53"/>
        <v>0</v>
      </c>
      <c r="FK36" s="532">
        <f t="shared" si="164"/>
        <v>0</v>
      </c>
      <c r="FL36" s="530"/>
      <c r="FM36" s="531">
        <f t="shared" si="54"/>
        <v>0</v>
      </c>
      <c r="FN36" s="532">
        <f t="shared" si="165"/>
        <v>0</v>
      </c>
      <c r="FO36" s="530"/>
      <c r="FP36" s="531">
        <f t="shared" si="55"/>
        <v>0</v>
      </c>
      <c r="FQ36" s="532">
        <f t="shared" si="166"/>
        <v>0</v>
      </c>
      <c r="FR36" s="530"/>
      <c r="FS36" s="531">
        <f t="shared" si="56"/>
        <v>0</v>
      </c>
      <c r="FT36" s="532">
        <f t="shared" si="167"/>
        <v>0</v>
      </c>
      <c r="FU36" s="530"/>
      <c r="FV36" s="531">
        <f t="shared" si="57"/>
        <v>0</v>
      </c>
      <c r="FW36" s="532">
        <f t="shared" si="168"/>
        <v>0</v>
      </c>
      <c r="FX36" s="530"/>
      <c r="FY36" s="531">
        <f t="shared" si="58"/>
        <v>0</v>
      </c>
      <c r="FZ36" s="532">
        <f t="shared" si="169"/>
        <v>0</v>
      </c>
      <c r="GA36" s="530"/>
      <c r="GB36" s="531">
        <f t="shared" si="59"/>
        <v>0</v>
      </c>
      <c r="GC36" s="532">
        <f t="shared" si="170"/>
        <v>0</v>
      </c>
      <c r="GD36" s="530"/>
      <c r="GE36" s="531">
        <f t="shared" si="60"/>
        <v>0</v>
      </c>
      <c r="GF36" s="532">
        <f t="shared" si="171"/>
        <v>0</v>
      </c>
      <c r="GG36" s="530"/>
      <c r="GH36" s="531">
        <f t="shared" si="61"/>
        <v>0</v>
      </c>
      <c r="GI36" s="532">
        <f t="shared" si="172"/>
        <v>0</v>
      </c>
      <c r="GJ36" s="530"/>
      <c r="GK36" s="531">
        <f t="shared" si="62"/>
        <v>0</v>
      </c>
      <c r="GL36" s="532">
        <f t="shared" si="173"/>
        <v>0</v>
      </c>
      <c r="GM36" s="530"/>
      <c r="GN36" s="531">
        <f t="shared" si="63"/>
        <v>0</v>
      </c>
      <c r="GO36" s="532">
        <f t="shared" si="174"/>
        <v>0</v>
      </c>
      <c r="GP36" s="530"/>
      <c r="GQ36" s="531">
        <f t="shared" si="64"/>
        <v>0</v>
      </c>
      <c r="GR36" s="532">
        <f t="shared" si="175"/>
        <v>0</v>
      </c>
      <c r="GS36" s="530"/>
      <c r="GT36" s="531">
        <f t="shared" si="65"/>
        <v>0</v>
      </c>
      <c r="GU36" s="532">
        <f t="shared" si="176"/>
        <v>0</v>
      </c>
      <c r="GV36" s="530"/>
      <c r="GW36" s="531">
        <f t="shared" si="66"/>
        <v>0</v>
      </c>
      <c r="GX36" s="532">
        <f t="shared" si="177"/>
        <v>0</v>
      </c>
      <c r="GY36" s="530"/>
      <c r="GZ36" s="531">
        <f t="shared" si="67"/>
        <v>0</v>
      </c>
      <c r="HA36" s="532">
        <f t="shared" si="178"/>
        <v>0</v>
      </c>
      <c r="HB36" s="530"/>
      <c r="HC36" s="531">
        <f t="shared" si="68"/>
        <v>0</v>
      </c>
      <c r="HD36" s="532">
        <f t="shared" si="179"/>
        <v>0</v>
      </c>
      <c r="HE36" s="530"/>
      <c r="HF36" s="531">
        <f t="shared" si="69"/>
        <v>0</v>
      </c>
      <c r="HG36" s="532">
        <f t="shared" si="180"/>
        <v>0</v>
      </c>
      <c r="HH36" s="530"/>
      <c r="HI36" s="531">
        <f t="shared" si="70"/>
        <v>0</v>
      </c>
      <c r="HJ36" s="532">
        <f t="shared" si="181"/>
        <v>0</v>
      </c>
      <c r="HK36" s="530"/>
      <c r="HL36" s="531">
        <f t="shared" si="71"/>
        <v>0</v>
      </c>
      <c r="HM36" s="532">
        <f t="shared" si="182"/>
        <v>0</v>
      </c>
      <c r="HN36" s="530"/>
      <c r="HO36" s="531">
        <f t="shared" si="72"/>
        <v>0</v>
      </c>
      <c r="HP36" s="532">
        <f t="shared" si="183"/>
        <v>0</v>
      </c>
      <c r="HQ36" s="530"/>
      <c r="HR36" s="531">
        <f t="shared" si="73"/>
        <v>0</v>
      </c>
      <c r="HS36" s="532">
        <f t="shared" si="184"/>
        <v>0</v>
      </c>
      <c r="HT36" s="530"/>
      <c r="HU36" s="531">
        <f t="shared" si="74"/>
        <v>0</v>
      </c>
      <c r="HV36" s="532">
        <f t="shared" si="185"/>
        <v>0</v>
      </c>
      <c r="HW36" s="530"/>
      <c r="HX36" s="531">
        <f t="shared" si="75"/>
        <v>0</v>
      </c>
      <c r="HY36" s="532">
        <f t="shared" si="186"/>
        <v>0</v>
      </c>
      <c r="HZ36" s="530"/>
      <c r="IA36" s="531">
        <f t="shared" si="76"/>
        <v>0</v>
      </c>
      <c r="IB36" s="532">
        <f t="shared" si="187"/>
        <v>0</v>
      </c>
      <c r="IC36" s="530"/>
      <c r="ID36" s="531">
        <f t="shared" si="77"/>
        <v>0</v>
      </c>
      <c r="IE36" s="532">
        <f t="shared" si="188"/>
        <v>0</v>
      </c>
      <c r="IF36" s="530"/>
      <c r="IG36" s="531">
        <f t="shared" si="78"/>
        <v>0</v>
      </c>
      <c r="IH36" s="532">
        <f t="shared" si="189"/>
        <v>0</v>
      </c>
      <c r="II36" s="530"/>
      <c r="IJ36" s="531">
        <f t="shared" si="79"/>
        <v>0</v>
      </c>
      <c r="IK36" s="532">
        <f t="shared" si="190"/>
        <v>0</v>
      </c>
      <c r="IL36" s="530"/>
      <c r="IM36" s="531">
        <f t="shared" si="80"/>
        <v>0</v>
      </c>
      <c r="IN36" s="532">
        <f t="shared" si="191"/>
        <v>0</v>
      </c>
      <c r="IO36" s="530"/>
      <c r="IP36" s="531">
        <f t="shared" si="81"/>
        <v>0</v>
      </c>
      <c r="IQ36" s="532">
        <f t="shared" si="192"/>
        <v>0</v>
      </c>
      <c r="IR36" s="530"/>
      <c r="IS36" s="531">
        <f t="shared" si="82"/>
        <v>0</v>
      </c>
      <c r="IT36" s="532">
        <f t="shared" si="193"/>
        <v>0</v>
      </c>
      <c r="IU36" s="530"/>
      <c r="IV36" s="531">
        <f t="shared" si="83"/>
        <v>0</v>
      </c>
      <c r="IW36" s="532">
        <f t="shared" si="194"/>
        <v>0</v>
      </c>
      <c r="IX36" s="530"/>
      <c r="IY36" s="531">
        <f t="shared" si="84"/>
        <v>0</v>
      </c>
      <c r="IZ36" s="532">
        <f t="shared" si="195"/>
        <v>0</v>
      </c>
      <c r="JA36" s="530"/>
      <c r="JB36" s="531">
        <f t="shared" si="85"/>
        <v>0</v>
      </c>
      <c r="JC36" s="532">
        <f t="shared" si="196"/>
        <v>0</v>
      </c>
      <c r="JD36" s="530"/>
      <c r="JE36" s="531">
        <f t="shared" si="86"/>
        <v>0</v>
      </c>
      <c r="JF36" s="532">
        <f t="shared" si="197"/>
        <v>0</v>
      </c>
      <c r="JG36" s="530"/>
      <c r="JH36" s="531">
        <f t="shared" si="87"/>
        <v>0</v>
      </c>
      <c r="JI36" s="532">
        <f t="shared" si="198"/>
        <v>0</v>
      </c>
      <c r="JJ36" s="530"/>
      <c r="JK36" s="532" t="str">
        <f t="shared" si="88"/>
        <v>0</v>
      </c>
      <c r="JL36" s="532" t="str">
        <f t="shared" si="89"/>
        <v>0</v>
      </c>
      <c r="JM36" s="530"/>
      <c r="JN36" s="532" t="str">
        <f t="shared" si="90"/>
        <v>0</v>
      </c>
      <c r="JO36" s="532" t="str">
        <f t="shared" si="91"/>
        <v>0</v>
      </c>
      <c r="JP36" s="530"/>
      <c r="JQ36" s="532" t="str">
        <f t="shared" si="92"/>
        <v>0</v>
      </c>
      <c r="JR36" s="532" t="str">
        <f t="shared" si="93"/>
        <v>0</v>
      </c>
      <c r="JS36" s="530"/>
      <c r="JT36" s="532" t="str">
        <f t="shared" si="94"/>
        <v>0</v>
      </c>
      <c r="JU36" s="532" t="str">
        <f t="shared" si="95"/>
        <v>0</v>
      </c>
      <c r="JV36" s="530"/>
      <c r="JW36" s="532" t="str">
        <f t="shared" si="96"/>
        <v>0</v>
      </c>
      <c r="JX36" s="532" t="str">
        <f t="shared" si="97"/>
        <v>0</v>
      </c>
      <c r="JY36" s="530"/>
      <c r="JZ36" s="532" t="str">
        <f t="shared" si="98"/>
        <v>0</v>
      </c>
      <c r="KA36" s="532" t="str">
        <f t="shared" si="99"/>
        <v>0</v>
      </c>
      <c r="KB36" s="530"/>
      <c r="KC36" s="532" t="str">
        <f t="shared" si="100"/>
        <v>0</v>
      </c>
      <c r="KD36" s="532" t="str">
        <f t="shared" si="101"/>
        <v>0</v>
      </c>
      <c r="KE36" s="530"/>
      <c r="KF36" s="532" t="str">
        <f t="shared" si="102"/>
        <v>0</v>
      </c>
      <c r="KG36" s="532" t="str">
        <f t="shared" si="103"/>
        <v>0</v>
      </c>
      <c r="KH36" s="530"/>
      <c r="KI36" s="532" t="str">
        <f t="shared" si="104"/>
        <v>0</v>
      </c>
      <c r="KJ36" s="532" t="str">
        <f t="shared" si="105"/>
        <v>0</v>
      </c>
      <c r="KK36" s="530"/>
      <c r="KL36" s="532" t="str">
        <f t="shared" si="106"/>
        <v>0</v>
      </c>
      <c r="KM36" s="532" t="str">
        <f t="shared" si="107"/>
        <v>0</v>
      </c>
      <c r="KN36" s="530"/>
      <c r="KO36" s="532" t="str">
        <f t="shared" si="108"/>
        <v>0</v>
      </c>
      <c r="KP36" s="532" t="str">
        <f t="shared" si="109"/>
        <v>0</v>
      </c>
      <c r="KQ36" s="530"/>
      <c r="KR36" s="532" t="str">
        <f t="shared" si="110"/>
        <v>0</v>
      </c>
      <c r="KS36" s="532" t="str">
        <f t="shared" si="111"/>
        <v>0</v>
      </c>
      <c r="KT36" s="532">
        <f t="shared" si="201"/>
        <v>0</v>
      </c>
      <c r="KU36" s="532">
        <f t="shared" si="202"/>
        <v>0</v>
      </c>
      <c r="KV36" s="268">
        <f t="shared" si="199"/>
        <v>254.62198963041206</v>
      </c>
    </row>
    <row r="37" spans="1:308" ht="15" customHeight="1">
      <c r="A37" s="269">
        <f t="shared" si="200"/>
        <v>45959</v>
      </c>
      <c r="B37" s="270" t="str">
        <f>+Report1!B37</f>
        <v>Facial</v>
      </c>
      <c r="C37" s="270" t="str">
        <f>+Report1!C37</f>
        <v>12</v>
      </c>
      <c r="D37" s="271">
        <f>+Report1!P37</f>
        <v>7.3259999999999996</v>
      </c>
      <c r="E37" s="570">
        <f>+Report1!R37</f>
        <v>10.403</v>
      </c>
      <c r="F37" s="530"/>
      <c r="G37" s="531">
        <f t="shared" si="0"/>
        <v>0</v>
      </c>
      <c r="H37" s="532">
        <f t="shared" si="112"/>
        <v>0</v>
      </c>
      <c r="I37" s="530"/>
      <c r="J37" s="531">
        <f t="shared" si="1"/>
        <v>0</v>
      </c>
      <c r="K37" s="532">
        <f t="shared" si="113"/>
        <v>0</v>
      </c>
      <c r="L37" s="530"/>
      <c r="M37" s="531">
        <f t="shared" si="2"/>
        <v>0</v>
      </c>
      <c r="N37" s="532">
        <f t="shared" si="114"/>
        <v>0</v>
      </c>
      <c r="O37" s="530">
        <v>3.0000000000000284</v>
      </c>
      <c r="P37" s="531">
        <f t="shared" si="3"/>
        <v>0.28837835239834936</v>
      </c>
      <c r="Q37" s="532">
        <f t="shared" si="115"/>
        <v>0</v>
      </c>
      <c r="R37" s="530"/>
      <c r="S37" s="531">
        <f t="shared" si="4"/>
        <v>0</v>
      </c>
      <c r="T37" s="532">
        <f t="shared" si="116"/>
        <v>0</v>
      </c>
      <c r="U37" s="530">
        <v>2.5624999999999716</v>
      </c>
      <c r="V37" s="531">
        <f t="shared" si="5"/>
        <v>0.24632317600691833</v>
      </c>
      <c r="W37" s="532">
        <f t="shared" si="117"/>
        <v>0</v>
      </c>
      <c r="X37" s="530"/>
      <c r="Y37" s="531">
        <f t="shared" si="6"/>
        <v>0</v>
      </c>
      <c r="Z37" s="532">
        <f t="shared" si="118"/>
        <v>0</v>
      </c>
      <c r="AA37" s="530"/>
      <c r="AB37" s="531">
        <f t="shared" si="7"/>
        <v>0</v>
      </c>
      <c r="AC37" s="532">
        <f t="shared" si="119"/>
        <v>0</v>
      </c>
      <c r="AD37" s="530"/>
      <c r="AE37" s="531">
        <f t="shared" si="8"/>
        <v>0</v>
      </c>
      <c r="AF37" s="532">
        <f t="shared" si="120"/>
        <v>0</v>
      </c>
      <c r="AG37" s="530"/>
      <c r="AH37" s="531">
        <f t="shared" si="9"/>
        <v>0</v>
      </c>
      <c r="AI37" s="532">
        <f t="shared" si="121"/>
        <v>0</v>
      </c>
      <c r="AJ37" s="530"/>
      <c r="AK37" s="531">
        <f t="shared" si="10"/>
        <v>0</v>
      </c>
      <c r="AL37" s="532">
        <f t="shared" si="122"/>
        <v>0</v>
      </c>
      <c r="AM37" s="530">
        <v>10.51282051282044</v>
      </c>
      <c r="AN37" s="531">
        <f t="shared" si="11"/>
        <v>1.0105566195155666</v>
      </c>
      <c r="AO37" s="532">
        <f t="shared" si="123"/>
        <v>0</v>
      </c>
      <c r="AP37" s="530">
        <v>5.6962025316455822</v>
      </c>
      <c r="AQ37" s="531">
        <f t="shared" si="12"/>
        <v>0.5475538336677479</v>
      </c>
      <c r="AR37" s="532">
        <f t="shared" si="124"/>
        <v>0</v>
      </c>
      <c r="AS37" s="530"/>
      <c r="AT37" s="531">
        <f t="shared" si="13"/>
        <v>0</v>
      </c>
      <c r="AU37" s="532">
        <f t="shared" si="125"/>
        <v>0</v>
      </c>
      <c r="AV37" s="530"/>
      <c r="AW37" s="531">
        <f t="shared" si="14"/>
        <v>0</v>
      </c>
      <c r="AX37" s="532">
        <f t="shared" si="126"/>
        <v>0</v>
      </c>
      <c r="AY37" s="530">
        <v>4.6666666666666856</v>
      </c>
      <c r="AZ37" s="531">
        <f t="shared" si="15"/>
        <v>0.44858854817520766</v>
      </c>
      <c r="BA37" s="532">
        <f t="shared" si="127"/>
        <v>0</v>
      </c>
      <c r="BB37" s="530"/>
      <c r="BC37" s="531">
        <f t="shared" si="16"/>
        <v>0</v>
      </c>
      <c r="BD37" s="532">
        <f t="shared" si="128"/>
        <v>0</v>
      </c>
      <c r="BE37" s="530"/>
      <c r="BF37" s="531">
        <f t="shared" si="17"/>
        <v>0</v>
      </c>
      <c r="BG37" s="532">
        <f t="shared" si="129"/>
        <v>0</v>
      </c>
      <c r="BH37" s="530"/>
      <c r="BI37" s="531">
        <f t="shared" si="18"/>
        <v>0</v>
      </c>
      <c r="BJ37" s="532">
        <f t="shared" si="130"/>
        <v>0</v>
      </c>
      <c r="BK37" s="530"/>
      <c r="BL37" s="531">
        <f t="shared" si="19"/>
        <v>0</v>
      </c>
      <c r="BM37" s="532">
        <f t="shared" si="131"/>
        <v>0</v>
      </c>
      <c r="BN37" s="530"/>
      <c r="BO37" s="531">
        <f t="shared" si="20"/>
        <v>0</v>
      </c>
      <c r="BP37" s="532">
        <f t="shared" si="132"/>
        <v>0</v>
      </c>
      <c r="BQ37" s="530"/>
      <c r="BR37" s="531">
        <f t="shared" si="21"/>
        <v>0</v>
      </c>
      <c r="BS37" s="532">
        <f t="shared" si="133"/>
        <v>0</v>
      </c>
      <c r="BT37" s="530"/>
      <c r="BU37" s="531">
        <f t="shared" si="22"/>
        <v>0</v>
      </c>
      <c r="BV37" s="532">
        <f t="shared" si="134"/>
        <v>0</v>
      </c>
      <c r="BW37" s="530"/>
      <c r="BX37" s="531">
        <f t="shared" si="23"/>
        <v>0</v>
      </c>
      <c r="BY37" s="532">
        <f t="shared" si="135"/>
        <v>0</v>
      </c>
      <c r="BZ37" s="530"/>
      <c r="CA37" s="531">
        <f t="shared" si="24"/>
        <v>0</v>
      </c>
      <c r="CB37" s="532">
        <f t="shared" si="136"/>
        <v>0</v>
      </c>
      <c r="CC37" s="530"/>
      <c r="CD37" s="531">
        <f t="shared" si="25"/>
        <v>0</v>
      </c>
      <c r="CE37" s="532">
        <f t="shared" si="137"/>
        <v>0</v>
      </c>
      <c r="CF37" s="530">
        <v>0.19999999999999929</v>
      </c>
      <c r="CG37" s="531">
        <f t="shared" si="26"/>
        <v>1.9225223493223038E-2</v>
      </c>
      <c r="CH37" s="532">
        <f t="shared" si="138"/>
        <v>0</v>
      </c>
      <c r="CI37" s="530"/>
      <c r="CJ37" s="531">
        <f t="shared" si="27"/>
        <v>0</v>
      </c>
      <c r="CK37" s="532">
        <f t="shared" si="139"/>
        <v>0</v>
      </c>
      <c r="CL37" s="530"/>
      <c r="CM37" s="531">
        <f t="shared" si="28"/>
        <v>0</v>
      </c>
      <c r="CN37" s="532">
        <f t="shared" si="140"/>
        <v>0</v>
      </c>
      <c r="CO37" s="530"/>
      <c r="CP37" s="531">
        <f t="shared" si="29"/>
        <v>0</v>
      </c>
      <c r="CQ37" s="532">
        <f t="shared" si="141"/>
        <v>0</v>
      </c>
      <c r="CR37" s="530"/>
      <c r="CS37" s="531">
        <f t="shared" si="30"/>
        <v>0</v>
      </c>
      <c r="CT37" s="532">
        <f t="shared" si="142"/>
        <v>0</v>
      </c>
      <c r="CU37" s="530"/>
      <c r="CV37" s="531">
        <f t="shared" si="31"/>
        <v>0</v>
      </c>
      <c r="CW37" s="532">
        <f t="shared" si="143"/>
        <v>0</v>
      </c>
      <c r="CX37" s="530"/>
      <c r="CY37" s="531">
        <f t="shared" si="32"/>
        <v>0</v>
      </c>
      <c r="CZ37" s="532">
        <f t="shared" si="144"/>
        <v>0</v>
      </c>
      <c r="DA37" s="530"/>
      <c r="DB37" s="531">
        <f t="shared" si="33"/>
        <v>0</v>
      </c>
      <c r="DC37" s="532">
        <f t="shared" si="145"/>
        <v>0</v>
      </c>
      <c r="DD37" s="530"/>
      <c r="DE37" s="531">
        <f t="shared" si="34"/>
        <v>0</v>
      </c>
      <c r="DF37" s="532">
        <f t="shared" si="146"/>
        <v>0</v>
      </c>
      <c r="DG37" s="530"/>
      <c r="DH37" s="531">
        <f t="shared" si="35"/>
        <v>0</v>
      </c>
      <c r="DI37" s="532">
        <f t="shared" si="203"/>
        <v>0</v>
      </c>
      <c r="DJ37" s="530"/>
      <c r="DK37" s="531">
        <f t="shared" si="36"/>
        <v>0</v>
      </c>
      <c r="DL37" s="532">
        <f t="shared" si="147"/>
        <v>0</v>
      </c>
      <c r="DM37" s="530"/>
      <c r="DN37" s="531">
        <f t="shared" si="37"/>
        <v>0</v>
      </c>
      <c r="DO37" s="532">
        <f t="shared" si="148"/>
        <v>0</v>
      </c>
      <c r="DP37" s="530"/>
      <c r="DQ37" s="531">
        <f t="shared" si="38"/>
        <v>0</v>
      </c>
      <c r="DR37" s="532">
        <f t="shared" si="149"/>
        <v>0</v>
      </c>
      <c r="DS37" s="530"/>
      <c r="DT37" s="531">
        <f t="shared" si="39"/>
        <v>0</v>
      </c>
      <c r="DU37" s="532">
        <f t="shared" si="150"/>
        <v>0</v>
      </c>
      <c r="DV37" s="530"/>
      <c r="DW37" s="531">
        <f t="shared" si="40"/>
        <v>0</v>
      </c>
      <c r="DX37" s="532">
        <f t="shared" si="151"/>
        <v>0</v>
      </c>
      <c r="DY37" s="530"/>
      <c r="DZ37" s="531">
        <f t="shared" si="41"/>
        <v>0</v>
      </c>
      <c r="EA37" s="532">
        <f t="shared" si="152"/>
        <v>0</v>
      </c>
      <c r="EB37" s="530"/>
      <c r="EC37" s="531">
        <f t="shared" si="42"/>
        <v>0</v>
      </c>
      <c r="ED37" s="532">
        <f t="shared" si="153"/>
        <v>0</v>
      </c>
      <c r="EE37" s="530"/>
      <c r="EF37" s="531">
        <f t="shared" si="43"/>
        <v>0</v>
      </c>
      <c r="EG37" s="532">
        <f t="shared" si="154"/>
        <v>0</v>
      </c>
      <c r="EH37" s="530"/>
      <c r="EI37" s="531">
        <f t="shared" si="44"/>
        <v>0</v>
      </c>
      <c r="EJ37" s="532">
        <f t="shared" si="155"/>
        <v>0</v>
      </c>
      <c r="EK37" s="530">
        <v>11.741176470588243</v>
      </c>
      <c r="EL37" s="531">
        <f t="shared" si="45"/>
        <v>1.1286337086021574</v>
      </c>
      <c r="EM37" s="532">
        <f t="shared" si="156"/>
        <v>0</v>
      </c>
      <c r="EN37" s="530"/>
      <c r="EO37" s="531">
        <f t="shared" si="46"/>
        <v>0</v>
      </c>
      <c r="EP37" s="532">
        <f t="shared" si="157"/>
        <v>0</v>
      </c>
      <c r="EQ37" s="530"/>
      <c r="ER37" s="531">
        <f t="shared" si="47"/>
        <v>0</v>
      </c>
      <c r="ES37" s="532">
        <f t="shared" si="158"/>
        <v>0</v>
      </c>
      <c r="ET37" s="530"/>
      <c r="EU37" s="531">
        <f t="shared" si="48"/>
        <v>0</v>
      </c>
      <c r="EV37" s="532">
        <f t="shared" si="159"/>
        <v>0</v>
      </c>
      <c r="EW37" s="530"/>
      <c r="EX37" s="531">
        <f t="shared" si="49"/>
        <v>0</v>
      </c>
      <c r="EY37" s="532">
        <f t="shared" si="160"/>
        <v>0</v>
      </c>
      <c r="EZ37" s="530"/>
      <c r="FA37" s="531">
        <f t="shared" si="50"/>
        <v>0</v>
      </c>
      <c r="FB37" s="532">
        <f t="shared" si="161"/>
        <v>0</v>
      </c>
      <c r="FC37" s="530"/>
      <c r="FD37" s="531">
        <f t="shared" si="51"/>
        <v>0</v>
      </c>
      <c r="FE37" s="532">
        <f t="shared" si="162"/>
        <v>0</v>
      </c>
      <c r="FF37" s="530"/>
      <c r="FG37" s="531">
        <f t="shared" si="52"/>
        <v>0</v>
      </c>
      <c r="FH37" s="532">
        <f t="shared" si="163"/>
        <v>0</v>
      </c>
      <c r="FI37" s="530"/>
      <c r="FJ37" s="531">
        <f t="shared" si="53"/>
        <v>0</v>
      </c>
      <c r="FK37" s="532">
        <f t="shared" si="164"/>
        <v>0</v>
      </c>
      <c r="FL37" s="530"/>
      <c r="FM37" s="531">
        <f t="shared" si="54"/>
        <v>0</v>
      </c>
      <c r="FN37" s="532">
        <f t="shared" si="165"/>
        <v>0</v>
      </c>
      <c r="FO37" s="530"/>
      <c r="FP37" s="531">
        <f t="shared" si="55"/>
        <v>0</v>
      </c>
      <c r="FQ37" s="532">
        <f t="shared" si="166"/>
        <v>0</v>
      </c>
      <c r="FR37" s="530"/>
      <c r="FS37" s="531">
        <f t="shared" si="56"/>
        <v>0</v>
      </c>
      <c r="FT37" s="532">
        <f t="shared" si="167"/>
        <v>0</v>
      </c>
      <c r="FU37" s="530"/>
      <c r="FV37" s="531">
        <f t="shared" si="57"/>
        <v>0</v>
      </c>
      <c r="FW37" s="532">
        <f t="shared" si="168"/>
        <v>0</v>
      </c>
      <c r="FX37" s="530"/>
      <c r="FY37" s="531">
        <f t="shared" si="58"/>
        <v>0</v>
      </c>
      <c r="FZ37" s="532">
        <f t="shared" si="169"/>
        <v>0</v>
      </c>
      <c r="GA37" s="530"/>
      <c r="GB37" s="531">
        <f t="shared" si="59"/>
        <v>0</v>
      </c>
      <c r="GC37" s="532">
        <f t="shared" si="170"/>
        <v>0</v>
      </c>
      <c r="GD37" s="530"/>
      <c r="GE37" s="531">
        <f t="shared" si="60"/>
        <v>0</v>
      </c>
      <c r="GF37" s="532">
        <f t="shared" si="171"/>
        <v>0</v>
      </c>
      <c r="GG37" s="530"/>
      <c r="GH37" s="531">
        <f t="shared" si="61"/>
        <v>0</v>
      </c>
      <c r="GI37" s="532">
        <f t="shared" si="172"/>
        <v>0</v>
      </c>
      <c r="GJ37" s="530"/>
      <c r="GK37" s="531">
        <f t="shared" si="62"/>
        <v>0</v>
      </c>
      <c r="GL37" s="532">
        <f t="shared" si="173"/>
        <v>0</v>
      </c>
      <c r="GM37" s="530"/>
      <c r="GN37" s="531">
        <f t="shared" si="63"/>
        <v>0</v>
      </c>
      <c r="GO37" s="532">
        <f t="shared" si="174"/>
        <v>0</v>
      </c>
      <c r="GP37" s="530"/>
      <c r="GQ37" s="531">
        <f t="shared" si="64"/>
        <v>0</v>
      </c>
      <c r="GR37" s="532">
        <f t="shared" si="175"/>
        <v>0</v>
      </c>
      <c r="GS37" s="530"/>
      <c r="GT37" s="531">
        <f t="shared" si="65"/>
        <v>0</v>
      </c>
      <c r="GU37" s="532">
        <f t="shared" si="176"/>
        <v>0</v>
      </c>
      <c r="GV37" s="530"/>
      <c r="GW37" s="531">
        <f t="shared" si="66"/>
        <v>0</v>
      </c>
      <c r="GX37" s="532">
        <f t="shared" si="177"/>
        <v>0</v>
      </c>
      <c r="GY37" s="530"/>
      <c r="GZ37" s="531">
        <f t="shared" si="67"/>
        <v>0</v>
      </c>
      <c r="HA37" s="532">
        <f t="shared" si="178"/>
        <v>0</v>
      </c>
      <c r="HB37" s="530"/>
      <c r="HC37" s="531">
        <f t="shared" si="68"/>
        <v>0</v>
      </c>
      <c r="HD37" s="532">
        <f t="shared" si="179"/>
        <v>0</v>
      </c>
      <c r="HE37" s="530"/>
      <c r="HF37" s="531">
        <f t="shared" si="69"/>
        <v>0</v>
      </c>
      <c r="HG37" s="532">
        <f t="shared" si="180"/>
        <v>0</v>
      </c>
      <c r="HH37" s="530"/>
      <c r="HI37" s="531">
        <f t="shared" si="70"/>
        <v>0</v>
      </c>
      <c r="HJ37" s="532">
        <f t="shared" si="181"/>
        <v>0</v>
      </c>
      <c r="HK37" s="530"/>
      <c r="HL37" s="531">
        <f t="shared" si="71"/>
        <v>0</v>
      </c>
      <c r="HM37" s="532">
        <f t="shared" si="182"/>
        <v>0</v>
      </c>
      <c r="HN37" s="530"/>
      <c r="HO37" s="531">
        <f t="shared" si="72"/>
        <v>0</v>
      </c>
      <c r="HP37" s="532">
        <f t="shared" si="183"/>
        <v>0</v>
      </c>
      <c r="HQ37" s="530"/>
      <c r="HR37" s="531">
        <f t="shared" si="73"/>
        <v>0</v>
      </c>
      <c r="HS37" s="532">
        <f t="shared" si="184"/>
        <v>0</v>
      </c>
      <c r="HT37" s="530"/>
      <c r="HU37" s="531">
        <f t="shared" si="74"/>
        <v>0</v>
      </c>
      <c r="HV37" s="532">
        <f t="shared" si="185"/>
        <v>0</v>
      </c>
      <c r="HW37" s="530"/>
      <c r="HX37" s="531">
        <f t="shared" si="75"/>
        <v>0</v>
      </c>
      <c r="HY37" s="532">
        <f t="shared" si="186"/>
        <v>0</v>
      </c>
      <c r="HZ37" s="530"/>
      <c r="IA37" s="531">
        <f t="shared" si="76"/>
        <v>0</v>
      </c>
      <c r="IB37" s="532">
        <f t="shared" si="187"/>
        <v>0</v>
      </c>
      <c r="IC37" s="530"/>
      <c r="ID37" s="531">
        <f t="shared" si="77"/>
        <v>0</v>
      </c>
      <c r="IE37" s="532">
        <f t="shared" si="188"/>
        <v>0</v>
      </c>
      <c r="IF37" s="530"/>
      <c r="IG37" s="531">
        <f t="shared" si="78"/>
        <v>0</v>
      </c>
      <c r="IH37" s="532">
        <f t="shared" si="189"/>
        <v>0</v>
      </c>
      <c r="II37" s="530"/>
      <c r="IJ37" s="531">
        <f t="shared" si="79"/>
        <v>0</v>
      </c>
      <c r="IK37" s="532">
        <f t="shared" si="190"/>
        <v>0</v>
      </c>
      <c r="IL37" s="530"/>
      <c r="IM37" s="531">
        <f t="shared" si="80"/>
        <v>0</v>
      </c>
      <c r="IN37" s="532">
        <f t="shared" si="191"/>
        <v>0</v>
      </c>
      <c r="IO37" s="530"/>
      <c r="IP37" s="531">
        <f t="shared" si="81"/>
        <v>0</v>
      </c>
      <c r="IQ37" s="532">
        <f t="shared" si="192"/>
        <v>0</v>
      </c>
      <c r="IR37" s="530"/>
      <c r="IS37" s="531">
        <f t="shared" si="82"/>
        <v>0</v>
      </c>
      <c r="IT37" s="532">
        <f t="shared" si="193"/>
        <v>0</v>
      </c>
      <c r="IU37" s="530"/>
      <c r="IV37" s="531">
        <f t="shared" si="83"/>
        <v>0</v>
      </c>
      <c r="IW37" s="532">
        <f t="shared" si="194"/>
        <v>0</v>
      </c>
      <c r="IX37" s="530"/>
      <c r="IY37" s="531">
        <f t="shared" si="84"/>
        <v>0</v>
      </c>
      <c r="IZ37" s="532">
        <f t="shared" si="195"/>
        <v>0</v>
      </c>
      <c r="JA37" s="530"/>
      <c r="JB37" s="531">
        <f t="shared" si="85"/>
        <v>0</v>
      </c>
      <c r="JC37" s="532">
        <f t="shared" si="196"/>
        <v>0</v>
      </c>
      <c r="JD37" s="530"/>
      <c r="JE37" s="531">
        <f t="shared" si="86"/>
        <v>0</v>
      </c>
      <c r="JF37" s="532">
        <f t="shared" si="197"/>
        <v>0</v>
      </c>
      <c r="JG37" s="530"/>
      <c r="JH37" s="531">
        <f t="shared" si="87"/>
        <v>0</v>
      </c>
      <c r="JI37" s="532">
        <f t="shared" si="198"/>
        <v>0</v>
      </c>
      <c r="JJ37" s="530"/>
      <c r="JK37" s="532" t="str">
        <f t="shared" si="88"/>
        <v>0</v>
      </c>
      <c r="JL37" s="532" t="str">
        <f t="shared" si="89"/>
        <v>0</v>
      </c>
      <c r="JM37" s="530"/>
      <c r="JN37" s="532" t="str">
        <f t="shared" si="90"/>
        <v>0</v>
      </c>
      <c r="JO37" s="532" t="str">
        <f t="shared" si="91"/>
        <v>0</v>
      </c>
      <c r="JP37" s="530"/>
      <c r="JQ37" s="532" t="str">
        <f t="shared" si="92"/>
        <v>0</v>
      </c>
      <c r="JR37" s="532" t="str">
        <f t="shared" si="93"/>
        <v>0</v>
      </c>
      <c r="JS37" s="530"/>
      <c r="JT37" s="532" t="str">
        <f t="shared" si="94"/>
        <v>0</v>
      </c>
      <c r="JU37" s="532" t="str">
        <f t="shared" si="95"/>
        <v>0</v>
      </c>
      <c r="JV37" s="530"/>
      <c r="JW37" s="532" t="str">
        <f t="shared" si="96"/>
        <v>0</v>
      </c>
      <c r="JX37" s="532" t="str">
        <f t="shared" si="97"/>
        <v>0</v>
      </c>
      <c r="JY37" s="530"/>
      <c r="JZ37" s="532" t="str">
        <f t="shared" si="98"/>
        <v>0</v>
      </c>
      <c r="KA37" s="532" t="str">
        <f t="shared" si="99"/>
        <v>0</v>
      </c>
      <c r="KB37" s="530"/>
      <c r="KC37" s="532" t="str">
        <f t="shared" si="100"/>
        <v>0</v>
      </c>
      <c r="KD37" s="532" t="str">
        <f t="shared" si="101"/>
        <v>0</v>
      </c>
      <c r="KE37" s="530"/>
      <c r="KF37" s="532" t="str">
        <f t="shared" si="102"/>
        <v>0</v>
      </c>
      <c r="KG37" s="532" t="str">
        <f t="shared" si="103"/>
        <v>0</v>
      </c>
      <c r="KH37" s="530"/>
      <c r="KI37" s="532" t="str">
        <f t="shared" si="104"/>
        <v>0</v>
      </c>
      <c r="KJ37" s="532" t="str">
        <f t="shared" si="105"/>
        <v>0</v>
      </c>
      <c r="KK37" s="530"/>
      <c r="KL37" s="532" t="str">
        <f t="shared" si="106"/>
        <v>0</v>
      </c>
      <c r="KM37" s="532" t="str">
        <f t="shared" si="107"/>
        <v>0</v>
      </c>
      <c r="KN37" s="530"/>
      <c r="KO37" s="532" t="str">
        <f t="shared" si="108"/>
        <v>0</v>
      </c>
      <c r="KP37" s="532" t="str">
        <f t="shared" si="109"/>
        <v>0</v>
      </c>
      <c r="KQ37" s="530"/>
      <c r="KR37" s="532" t="str">
        <f t="shared" si="110"/>
        <v>0</v>
      </c>
      <c r="KS37" s="532" t="str">
        <f t="shared" si="111"/>
        <v>0</v>
      </c>
      <c r="KT37" s="532">
        <f t="shared" si="201"/>
        <v>0</v>
      </c>
      <c r="KU37" s="532">
        <f t="shared" si="202"/>
        <v>0</v>
      </c>
      <c r="KV37" s="268">
        <f t="shared" si="199"/>
        <v>38.379366181720954</v>
      </c>
    </row>
    <row r="38" spans="1:308" ht="15" customHeight="1">
      <c r="A38" s="269">
        <f t="shared" si="200"/>
        <v>45960</v>
      </c>
      <c r="B38" s="270" t="str">
        <f>+Report1!B38</f>
        <v>Facial</v>
      </c>
      <c r="C38" s="270" t="str">
        <f>+Report1!C38</f>
        <v>12</v>
      </c>
      <c r="D38" s="271">
        <f>+Report1!P38</f>
        <v>0</v>
      </c>
      <c r="E38" s="570">
        <f>+Report1!R38</f>
        <v>0</v>
      </c>
      <c r="F38" s="530"/>
      <c r="G38" s="531" t="e">
        <f t="shared" si="0"/>
        <v>#DIV/0!</v>
      </c>
      <c r="H38" s="532">
        <f t="shared" si="112"/>
        <v>0</v>
      </c>
      <c r="I38" s="530"/>
      <c r="J38" s="531" t="e">
        <f t="shared" si="1"/>
        <v>#DIV/0!</v>
      </c>
      <c r="K38" s="532">
        <f t="shared" si="113"/>
        <v>0</v>
      </c>
      <c r="L38" s="530"/>
      <c r="M38" s="531" t="e">
        <f t="shared" si="2"/>
        <v>#DIV/0!</v>
      </c>
      <c r="N38" s="532">
        <f t="shared" si="114"/>
        <v>0</v>
      </c>
      <c r="O38" s="530"/>
      <c r="P38" s="531" t="e">
        <f t="shared" si="3"/>
        <v>#DIV/0!</v>
      </c>
      <c r="Q38" s="532">
        <f t="shared" si="115"/>
        <v>0</v>
      </c>
      <c r="R38" s="530"/>
      <c r="S38" s="531" t="e">
        <f t="shared" si="4"/>
        <v>#DIV/0!</v>
      </c>
      <c r="T38" s="532">
        <f t="shared" si="116"/>
        <v>0</v>
      </c>
      <c r="U38" s="530"/>
      <c r="V38" s="531" t="e">
        <f t="shared" si="5"/>
        <v>#DIV/0!</v>
      </c>
      <c r="W38" s="532">
        <f t="shared" si="117"/>
        <v>0</v>
      </c>
      <c r="X38" s="530"/>
      <c r="Y38" s="531" t="e">
        <f t="shared" si="6"/>
        <v>#DIV/0!</v>
      </c>
      <c r="Z38" s="532">
        <f t="shared" si="118"/>
        <v>0</v>
      </c>
      <c r="AA38" s="530"/>
      <c r="AB38" s="531" t="e">
        <f t="shared" si="7"/>
        <v>#DIV/0!</v>
      </c>
      <c r="AC38" s="532">
        <f t="shared" si="119"/>
        <v>0</v>
      </c>
      <c r="AD38" s="530"/>
      <c r="AE38" s="531" t="e">
        <f t="shared" si="8"/>
        <v>#DIV/0!</v>
      </c>
      <c r="AF38" s="532">
        <f t="shared" si="120"/>
        <v>0</v>
      </c>
      <c r="AG38" s="530"/>
      <c r="AH38" s="531" t="e">
        <f t="shared" si="9"/>
        <v>#DIV/0!</v>
      </c>
      <c r="AI38" s="532">
        <f t="shared" si="121"/>
        <v>0</v>
      </c>
      <c r="AJ38" s="530"/>
      <c r="AK38" s="531" t="e">
        <f t="shared" si="10"/>
        <v>#DIV/0!</v>
      </c>
      <c r="AL38" s="532">
        <f t="shared" si="122"/>
        <v>0</v>
      </c>
      <c r="AM38" s="530"/>
      <c r="AN38" s="531" t="e">
        <f t="shared" si="11"/>
        <v>#DIV/0!</v>
      </c>
      <c r="AO38" s="532">
        <f t="shared" si="123"/>
        <v>0</v>
      </c>
      <c r="AP38" s="530"/>
      <c r="AQ38" s="531" t="e">
        <f t="shared" si="12"/>
        <v>#DIV/0!</v>
      </c>
      <c r="AR38" s="532">
        <f t="shared" si="124"/>
        <v>0</v>
      </c>
      <c r="AS38" s="530"/>
      <c r="AT38" s="531" t="e">
        <f t="shared" si="13"/>
        <v>#DIV/0!</v>
      </c>
      <c r="AU38" s="532">
        <f t="shared" si="125"/>
        <v>0</v>
      </c>
      <c r="AV38" s="530"/>
      <c r="AW38" s="531" t="e">
        <f t="shared" si="14"/>
        <v>#DIV/0!</v>
      </c>
      <c r="AX38" s="532">
        <f t="shared" si="126"/>
        <v>0</v>
      </c>
      <c r="AY38" s="530"/>
      <c r="AZ38" s="531" t="e">
        <f t="shared" si="15"/>
        <v>#DIV/0!</v>
      </c>
      <c r="BA38" s="532">
        <f t="shared" si="127"/>
        <v>0</v>
      </c>
      <c r="BB38" s="530"/>
      <c r="BC38" s="531" t="e">
        <f t="shared" si="16"/>
        <v>#DIV/0!</v>
      </c>
      <c r="BD38" s="532">
        <f t="shared" si="128"/>
        <v>0</v>
      </c>
      <c r="BE38" s="530"/>
      <c r="BF38" s="531" t="e">
        <f t="shared" si="17"/>
        <v>#DIV/0!</v>
      </c>
      <c r="BG38" s="532">
        <f t="shared" si="129"/>
        <v>0</v>
      </c>
      <c r="BH38" s="530"/>
      <c r="BI38" s="531" t="e">
        <f t="shared" si="18"/>
        <v>#DIV/0!</v>
      </c>
      <c r="BJ38" s="532">
        <f t="shared" si="130"/>
        <v>0</v>
      </c>
      <c r="BK38" s="530"/>
      <c r="BL38" s="531" t="e">
        <f t="shared" si="19"/>
        <v>#DIV/0!</v>
      </c>
      <c r="BM38" s="532">
        <f t="shared" si="131"/>
        <v>0</v>
      </c>
      <c r="BN38" s="530"/>
      <c r="BO38" s="531" t="e">
        <f t="shared" si="20"/>
        <v>#DIV/0!</v>
      </c>
      <c r="BP38" s="532">
        <f t="shared" si="132"/>
        <v>0</v>
      </c>
      <c r="BQ38" s="530"/>
      <c r="BR38" s="531" t="e">
        <f t="shared" si="21"/>
        <v>#DIV/0!</v>
      </c>
      <c r="BS38" s="532">
        <f t="shared" si="133"/>
        <v>0</v>
      </c>
      <c r="BT38" s="530"/>
      <c r="BU38" s="531" t="e">
        <f t="shared" si="22"/>
        <v>#DIV/0!</v>
      </c>
      <c r="BV38" s="532">
        <f t="shared" si="134"/>
        <v>0</v>
      </c>
      <c r="BW38" s="530"/>
      <c r="BX38" s="531" t="e">
        <f t="shared" si="23"/>
        <v>#DIV/0!</v>
      </c>
      <c r="BY38" s="532">
        <f t="shared" si="135"/>
        <v>0</v>
      </c>
      <c r="BZ38" s="530"/>
      <c r="CA38" s="531" t="e">
        <f t="shared" si="24"/>
        <v>#DIV/0!</v>
      </c>
      <c r="CB38" s="532">
        <f t="shared" si="136"/>
        <v>0</v>
      </c>
      <c r="CC38" s="530"/>
      <c r="CD38" s="531" t="e">
        <f t="shared" si="25"/>
        <v>#DIV/0!</v>
      </c>
      <c r="CE38" s="532">
        <f t="shared" si="137"/>
        <v>0</v>
      </c>
      <c r="CF38" s="530"/>
      <c r="CG38" s="531" t="e">
        <f t="shared" si="26"/>
        <v>#DIV/0!</v>
      </c>
      <c r="CH38" s="532">
        <f t="shared" si="138"/>
        <v>0</v>
      </c>
      <c r="CI38" s="530"/>
      <c r="CJ38" s="531" t="e">
        <f t="shared" si="27"/>
        <v>#DIV/0!</v>
      </c>
      <c r="CK38" s="532">
        <f t="shared" si="139"/>
        <v>0</v>
      </c>
      <c r="CL38" s="530"/>
      <c r="CM38" s="531" t="e">
        <f t="shared" si="28"/>
        <v>#DIV/0!</v>
      </c>
      <c r="CN38" s="532">
        <f t="shared" si="140"/>
        <v>0</v>
      </c>
      <c r="CO38" s="530"/>
      <c r="CP38" s="531" t="e">
        <f t="shared" si="29"/>
        <v>#DIV/0!</v>
      </c>
      <c r="CQ38" s="532">
        <f t="shared" si="141"/>
        <v>0</v>
      </c>
      <c r="CR38" s="530"/>
      <c r="CS38" s="531" t="e">
        <f t="shared" si="30"/>
        <v>#DIV/0!</v>
      </c>
      <c r="CT38" s="532">
        <f t="shared" si="142"/>
        <v>0</v>
      </c>
      <c r="CU38" s="530"/>
      <c r="CV38" s="531" t="e">
        <f t="shared" si="31"/>
        <v>#DIV/0!</v>
      </c>
      <c r="CW38" s="532">
        <f t="shared" si="143"/>
        <v>0</v>
      </c>
      <c r="CX38" s="530"/>
      <c r="CY38" s="531" t="e">
        <f t="shared" si="32"/>
        <v>#DIV/0!</v>
      </c>
      <c r="CZ38" s="532">
        <f t="shared" si="144"/>
        <v>0</v>
      </c>
      <c r="DA38" s="530"/>
      <c r="DB38" s="531" t="e">
        <f t="shared" si="33"/>
        <v>#DIV/0!</v>
      </c>
      <c r="DC38" s="532">
        <f t="shared" si="145"/>
        <v>0</v>
      </c>
      <c r="DD38" s="530"/>
      <c r="DE38" s="531" t="e">
        <f t="shared" si="34"/>
        <v>#DIV/0!</v>
      </c>
      <c r="DF38" s="532">
        <f t="shared" si="146"/>
        <v>0</v>
      </c>
      <c r="DG38" s="530"/>
      <c r="DH38" s="531" t="e">
        <f t="shared" si="35"/>
        <v>#DIV/0!</v>
      </c>
      <c r="DI38" s="532">
        <f t="shared" si="203"/>
        <v>0</v>
      </c>
      <c r="DJ38" s="530"/>
      <c r="DK38" s="531" t="e">
        <f t="shared" si="36"/>
        <v>#DIV/0!</v>
      </c>
      <c r="DL38" s="532">
        <f t="shared" si="147"/>
        <v>0</v>
      </c>
      <c r="DM38" s="530"/>
      <c r="DN38" s="531" t="e">
        <f t="shared" si="37"/>
        <v>#DIV/0!</v>
      </c>
      <c r="DO38" s="532">
        <f t="shared" si="148"/>
        <v>0</v>
      </c>
      <c r="DP38" s="530"/>
      <c r="DQ38" s="531" t="e">
        <f t="shared" si="38"/>
        <v>#DIV/0!</v>
      </c>
      <c r="DR38" s="532">
        <f t="shared" si="149"/>
        <v>0</v>
      </c>
      <c r="DS38" s="530"/>
      <c r="DT38" s="531" t="e">
        <f t="shared" si="39"/>
        <v>#DIV/0!</v>
      </c>
      <c r="DU38" s="532">
        <f t="shared" si="150"/>
        <v>0</v>
      </c>
      <c r="DV38" s="530"/>
      <c r="DW38" s="531" t="e">
        <f t="shared" si="40"/>
        <v>#DIV/0!</v>
      </c>
      <c r="DX38" s="532">
        <f t="shared" si="151"/>
        <v>0</v>
      </c>
      <c r="DY38" s="530"/>
      <c r="DZ38" s="531" t="e">
        <f t="shared" si="41"/>
        <v>#DIV/0!</v>
      </c>
      <c r="EA38" s="532">
        <f t="shared" si="152"/>
        <v>0</v>
      </c>
      <c r="EB38" s="530"/>
      <c r="EC38" s="531" t="e">
        <f t="shared" si="42"/>
        <v>#DIV/0!</v>
      </c>
      <c r="ED38" s="532">
        <f t="shared" si="153"/>
        <v>0</v>
      </c>
      <c r="EE38" s="530"/>
      <c r="EF38" s="531" t="e">
        <f t="shared" si="43"/>
        <v>#DIV/0!</v>
      </c>
      <c r="EG38" s="532">
        <f t="shared" si="154"/>
        <v>0</v>
      </c>
      <c r="EH38" s="530"/>
      <c r="EI38" s="531" t="e">
        <f t="shared" si="44"/>
        <v>#DIV/0!</v>
      </c>
      <c r="EJ38" s="532">
        <f t="shared" si="155"/>
        <v>0</v>
      </c>
      <c r="EK38" s="530"/>
      <c r="EL38" s="531" t="e">
        <f t="shared" si="45"/>
        <v>#DIV/0!</v>
      </c>
      <c r="EM38" s="532">
        <f t="shared" si="156"/>
        <v>0</v>
      </c>
      <c r="EN38" s="530"/>
      <c r="EO38" s="531" t="e">
        <f t="shared" si="46"/>
        <v>#DIV/0!</v>
      </c>
      <c r="EP38" s="532">
        <f t="shared" si="157"/>
        <v>0</v>
      </c>
      <c r="EQ38" s="530"/>
      <c r="ER38" s="531" t="e">
        <f t="shared" si="47"/>
        <v>#DIV/0!</v>
      </c>
      <c r="ES38" s="532">
        <f t="shared" si="158"/>
        <v>0</v>
      </c>
      <c r="ET38" s="530"/>
      <c r="EU38" s="531" t="e">
        <f t="shared" si="48"/>
        <v>#DIV/0!</v>
      </c>
      <c r="EV38" s="532">
        <f t="shared" si="159"/>
        <v>0</v>
      </c>
      <c r="EW38" s="530"/>
      <c r="EX38" s="531" t="e">
        <f t="shared" si="49"/>
        <v>#DIV/0!</v>
      </c>
      <c r="EY38" s="532">
        <f t="shared" si="160"/>
        <v>0</v>
      </c>
      <c r="EZ38" s="530"/>
      <c r="FA38" s="531" t="e">
        <f t="shared" si="50"/>
        <v>#DIV/0!</v>
      </c>
      <c r="FB38" s="532">
        <f t="shared" si="161"/>
        <v>0</v>
      </c>
      <c r="FC38" s="530"/>
      <c r="FD38" s="531" t="e">
        <f t="shared" si="51"/>
        <v>#DIV/0!</v>
      </c>
      <c r="FE38" s="532">
        <f t="shared" si="162"/>
        <v>0</v>
      </c>
      <c r="FF38" s="530"/>
      <c r="FG38" s="531" t="e">
        <f t="shared" si="52"/>
        <v>#DIV/0!</v>
      </c>
      <c r="FH38" s="532">
        <f t="shared" si="163"/>
        <v>0</v>
      </c>
      <c r="FI38" s="530"/>
      <c r="FJ38" s="531" t="e">
        <f t="shared" si="53"/>
        <v>#DIV/0!</v>
      </c>
      <c r="FK38" s="532">
        <f t="shared" si="164"/>
        <v>0</v>
      </c>
      <c r="FL38" s="530"/>
      <c r="FM38" s="531" t="e">
        <f t="shared" si="54"/>
        <v>#DIV/0!</v>
      </c>
      <c r="FN38" s="532">
        <f t="shared" si="165"/>
        <v>0</v>
      </c>
      <c r="FO38" s="530"/>
      <c r="FP38" s="531" t="e">
        <f t="shared" si="55"/>
        <v>#DIV/0!</v>
      </c>
      <c r="FQ38" s="532">
        <f t="shared" si="166"/>
        <v>0</v>
      </c>
      <c r="FR38" s="530"/>
      <c r="FS38" s="531" t="e">
        <f t="shared" si="56"/>
        <v>#DIV/0!</v>
      </c>
      <c r="FT38" s="532">
        <f t="shared" si="167"/>
        <v>0</v>
      </c>
      <c r="FU38" s="530"/>
      <c r="FV38" s="531" t="e">
        <f t="shared" si="57"/>
        <v>#DIV/0!</v>
      </c>
      <c r="FW38" s="532">
        <f t="shared" si="168"/>
        <v>0</v>
      </c>
      <c r="FX38" s="530"/>
      <c r="FY38" s="531" t="e">
        <f t="shared" si="58"/>
        <v>#DIV/0!</v>
      </c>
      <c r="FZ38" s="532">
        <f t="shared" si="169"/>
        <v>0</v>
      </c>
      <c r="GA38" s="530"/>
      <c r="GB38" s="531" t="e">
        <f t="shared" si="59"/>
        <v>#DIV/0!</v>
      </c>
      <c r="GC38" s="532">
        <f t="shared" si="170"/>
        <v>0</v>
      </c>
      <c r="GD38" s="530"/>
      <c r="GE38" s="531" t="e">
        <f t="shared" si="60"/>
        <v>#DIV/0!</v>
      </c>
      <c r="GF38" s="532">
        <f t="shared" si="171"/>
        <v>0</v>
      </c>
      <c r="GG38" s="530"/>
      <c r="GH38" s="531" t="e">
        <f t="shared" si="61"/>
        <v>#DIV/0!</v>
      </c>
      <c r="GI38" s="532">
        <f t="shared" si="172"/>
        <v>0</v>
      </c>
      <c r="GJ38" s="530"/>
      <c r="GK38" s="531" t="e">
        <f t="shared" si="62"/>
        <v>#DIV/0!</v>
      </c>
      <c r="GL38" s="532">
        <f t="shared" si="173"/>
        <v>0</v>
      </c>
      <c r="GM38" s="530"/>
      <c r="GN38" s="531" t="e">
        <f t="shared" si="63"/>
        <v>#DIV/0!</v>
      </c>
      <c r="GO38" s="532">
        <f t="shared" si="174"/>
        <v>0</v>
      </c>
      <c r="GP38" s="530"/>
      <c r="GQ38" s="531" t="e">
        <f t="shared" si="64"/>
        <v>#DIV/0!</v>
      </c>
      <c r="GR38" s="532">
        <f t="shared" si="175"/>
        <v>0</v>
      </c>
      <c r="GS38" s="530"/>
      <c r="GT38" s="531" t="e">
        <f t="shared" si="65"/>
        <v>#DIV/0!</v>
      </c>
      <c r="GU38" s="532">
        <f t="shared" si="176"/>
        <v>0</v>
      </c>
      <c r="GV38" s="530"/>
      <c r="GW38" s="531" t="e">
        <f t="shared" si="66"/>
        <v>#DIV/0!</v>
      </c>
      <c r="GX38" s="532">
        <f t="shared" si="177"/>
        <v>0</v>
      </c>
      <c r="GY38" s="530"/>
      <c r="GZ38" s="531" t="e">
        <f t="shared" si="67"/>
        <v>#DIV/0!</v>
      </c>
      <c r="HA38" s="532">
        <f t="shared" si="178"/>
        <v>0</v>
      </c>
      <c r="HB38" s="530"/>
      <c r="HC38" s="531" t="e">
        <f t="shared" si="68"/>
        <v>#DIV/0!</v>
      </c>
      <c r="HD38" s="532">
        <f t="shared" si="179"/>
        <v>0</v>
      </c>
      <c r="HE38" s="530"/>
      <c r="HF38" s="531" t="e">
        <f t="shared" si="69"/>
        <v>#DIV/0!</v>
      </c>
      <c r="HG38" s="532">
        <f t="shared" si="180"/>
        <v>0</v>
      </c>
      <c r="HH38" s="530"/>
      <c r="HI38" s="531" t="e">
        <f t="shared" si="70"/>
        <v>#DIV/0!</v>
      </c>
      <c r="HJ38" s="532">
        <f t="shared" si="181"/>
        <v>0</v>
      </c>
      <c r="HK38" s="530"/>
      <c r="HL38" s="531" t="e">
        <f t="shared" si="71"/>
        <v>#DIV/0!</v>
      </c>
      <c r="HM38" s="532">
        <f t="shared" si="182"/>
        <v>0</v>
      </c>
      <c r="HN38" s="530"/>
      <c r="HO38" s="531" t="e">
        <f t="shared" si="72"/>
        <v>#DIV/0!</v>
      </c>
      <c r="HP38" s="532">
        <f t="shared" si="183"/>
        <v>0</v>
      </c>
      <c r="HQ38" s="530"/>
      <c r="HR38" s="531" t="e">
        <f t="shared" si="73"/>
        <v>#DIV/0!</v>
      </c>
      <c r="HS38" s="532">
        <f t="shared" si="184"/>
        <v>0</v>
      </c>
      <c r="HT38" s="530"/>
      <c r="HU38" s="531" t="e">
        <f t="shared" si="74"/>
        <v>#DIV/0!</v>
      </c>
      <c r="HV38" s="532">
        <f t="shared" si="185"/>
        <v>0</v>
      </c>
      <c r="HW38" s="530"/>
      <c r="HX38" s="531" t="e">
        <f t="shared" si="75"/>
        <v>#DIV/0!</v>
      </c>
      <c r="HY38" s="532">
        <f t="shared" si="186"/>
        <v>0</v>
      </c>
      <c r="HZ38" s="530"/>
      <c r="IA38" s="531" t="e">
        <f t="shared" si="76"/>
        <v>#DIV/0!</v>
      </c>
      <c r="IB38" s="532">
        <f t="shared" si="187"/>
        <v>0</v>
      </c>
      <c r="IC38" s="530"/>
      <c r="ID38" s="531" t="e">
        <f t="shared" si="77"/>
        <v>#DIV/0!</v>
      </c>
      <c r="IE38" s="532">
        <f t="shared" si="188"/>
        <v>0</v>
      </c>
      <c r="IF38" s="530"/>
      <c r="IG38" s="531" t="e">
        <f t="shared" si="78"/>
        <v>#DIV/0!</v>
      </c>
      <c r="IH38" s="532">
        <f t="shared" si="189"/>
        <v>0</v>
      </c>
      <c r="II38" s="530"/>
      <c r="IJ38" s="531" t="e">
        <f t="shared" si="79"/>
        <v>#DIV/0!</v>
      </c>
      <c r="IK38" s="532">
        <f t="shared" si="190"/>
        <v>0</v>
      </c>
      <c r="IL38" s="530"/>
      <c r="IM38" s="531" t="e">
        <f t="shared" si="80"/>
        <v>#DIV/0!</v>
      </c>
      <c r="IN38" s="532">
        <f t="shared" si="191"/>
        <v>0</v>
      </c>
      <c r="IO38" s="530"/>
      <c r="IP38" s="531" t="e">
        <f t="shared" si="81"/>
        <v>#DIV/0!</v>
      </c>
      <c r="IQ38" s="532">
        <f t="shared" si="192"/>
        <v>0</v>
      </c>
      <c r="IR38" s="530"/>
      <c r="IS38" s="531" t="e">
        <f t="shared" si="82"/>
        <v>#DIV/0!</v>
      </c>
      <c r="IT38" s="532">
        <f t="shared" si="193"/>
        <v>0</v>
      </c>
      <c r="IU38" s="530"/>
      <c r="IV38" s="531" t="e">
        <f t="shared" si="83"/>
        <v>#DIV/0!</v>
      </c>
      <c r="IW38" s="532">
        <f t="shared" si="194"/>
        <v>0</v>
      </c>
      <c r="IX38" s="530"/>
      <c r="IY38" s="531" t="e">
        <f t="shared" si="84"/>
        <v>#DIV/0!</v>
      </c>
      <c r="IZ38" s="532">
        <f t="shared" si="195"/>
        <v>0</v>
      </c>
      <c r="JA38" s="530"/>
      <c r="JB38" s="531" t="e">
        <f t="shared" si="85"/>
        <v>#DIV/0!</v>
      </c>
      <c r="JC38" s="532">
        <f t="shared" si="196"/>
        <v>0</v>
      </c>
      <c r="JD38" s="530"/>
      <c r="JE38" s="531" t="e">
        <f t="shared" si="86"/>
        <v>#DIV/0!</v>
      </c>
      <c r="JF38" s="532">
        <f t="shared" si="197"/>
        <v>0</v>
      </c>
      <c r="JG38" s="530"/>
      <c r="JH38" s="531" t="e">
        <f t="shared" si="87"/>
        <v>#DIV/0!</v>
      </c>
      <c r="JI38" s="532">
        <f t="shared" si="198"/>
        <v>0</v>
      </c>
      <c r="JJ38" s="530"/>
      <c r="JK38" s="532" t="str">
        <f t="shared" si="88"/>
        <v>0</v>
      </c>
      <c r="JL38" s="532" t="str">
        <f t="shared" si="89"/>
        <v>0</v>
      </c>
      <c r="JM38" s="530"/>
      <c r="JN38" s="532" t="str">
        <f t="shared" si="90"/>
        <v>0</v>
      </c>
      <c r="JO38" s="532" t="str">
        <f t="shared" si="91"/>
        <v>0</v>
      </c>
      <c r="JP38" s="530"/>
      <c r="JQ38" s="532" t="str">
        <f t="shared" si="92"/>
        <v>0</v>
      </c>
      <c r="JR38" s="532" t="str">
        <f t="shared" si="93"/>
        <v>0</v>
      </c>
      <c r="JS38" s="530"/>
      <c r="JT38" s="532" t="str">
        <f t="shared" si="94"/>
        <v>0</v>
      </c>
      <c r="JU38" s="532" t="str">
        <f t="shared" si="95"/>
        <v>0</v>
      </c>
      <c r="JV38" s="530"/>
      <c r="JW38" s="532" t="str">
        <f t="shared" si="96"/>
        <v>0</v>
      </c>
      <c r="JX38" s="532" t="str">
        <f t="shared" si="97"/>
        <v>0</v>
      </c>
      <c r="JY38" s="530"/>
      <c r="JZ38" s="532" t="str">
        <f t="shared" si="98"/>
        <v>0</v>
      </c>
      <c r="KA38" s="532" t="str">
        <f t="shared" si="99"/>
        <v>0</v>
      </c>
      <c r="KB38" s="530"/>
      <c r="KC38" s="532" t="str">
        <f t="shared" si="100"/>
        <v>0</v>
      </c>
      <c r="KD38" s="532" t="str">
        <f t="shared" si="101"/>
        <v>0</v>
      </c>
      <c r="KE38" s="530"/>
      <c r="KF38" s="532" t="str">
        <f t="shared" si="102"/>
        <v>0</v>
      </c>
      <c r="KG38" s="532" t="str">
        <f t="shared" si="103"/>
        <v>0</v>
      </c>
      <c r="KH38" s="530"/>
      <c r="KI38" s="532" t="str">
        <f t="shared" si="104"/>
        <v>0</v>
      </c>
      <c r="KJ38" s="532" t="str">
        <f t="shared" si="105"/>
        <v>0</v>
      </c>
      <c r="KK38" s="530"/>
      <c r="KL38" s="532" t="str">
        <f t="shared" si="106"/>
        <v>0</v>
      </c>
      <c r="KM38" s="532" t="str">
        <f t="shared" si="107"/>
        <v>0</v>
      </c>
      <c r="KN38" s="530"/>
      <c r="KO38" s="532" t="str">
        <f t="shared" si="108"/>
        <v>0</v>
      </c>
      <c r="KP38" s="532" t="str">
        <f t="shared" si="109"/>
        <v>0</v>
      </c>
      <c r="KQ38" s="530"/>
      <c r="KR38" s="532" t="str">
        <f t="shared" si="110"/>
        <v>0</v>
      </c>
      <c r="KS38" s="532" t="str">
        <f t="shared" si="111"/>
        <v>0</v>
      </c>
      <c r="KT38" s="532">
        <f t="shared" si="201"/>
        <v>0</v>
      </c>
      <c r="KU38" s="532">
        <f t="shared" si="202"/>
        <v>0</v>
      </c>
      <c r="KV38" s="268">
        <f t="shared" si="199"/>
        <v>0</v>
      </c>
    </row>
    <row r="39" spans="1:308" ht="15" customHeight="1">
      <c r="A39" s="269">
        <f t="shared" si="200"/>
        <v>45961</v>
      </c>
      <c r="B39" s="270" t="str">
        <f>+Report1!B39</f>
        <v>Facial</v>
      </c>
      <c r="C39" s="270" t="str">
        <f>+Report1!C39</f>
        <v>12</v>
      </c>
      <c r="D39" s="271">
        <f>+Report1!P39</f>
        <v>0</v>
      </c>
      <c r="E39" s="570">
        <f>+Report1!R39</f>
        <v>0</v>
      </c>
      <c r="F39" s="530"/>
      <c r="G39" s="531" t="e">
        <f t="shared" si="0"/>
        <v>#DIV/0!</v>
      </c>
      <c r="H39" s="532">
        <f t="shared" si="112"/>
        <v>0</v>
      </c>
      <c r="I39" s="530"/>
      <c r="J39" s="531" t="e">
        <f t="shared" si="1"/>
        <v>#DIV/0!</v>
      </c>
      <c r="K39" s="532">
        <f t="shared" si="113"/>
        <v>0</v>
      </c>
      <c r="L39" s="530"/>
      <c r="M39" s="531" t="e">
        <f t="shared" si="2"/>
        <v>#DIV/0!</v>
      </c>
      <c r="N39" s="532">
        <f t="shared" si="114"/>
        <v>0</v>
      </c>
      <c r="O39" s="530"/>
      <c r="P39" s="531" t="e">
        <f t="shared" si="3"/>
        <v>#DIV/0!</v>
      </c>
      <c r="Q39" s="532">
        <f t="shared" si="115"/>
        <v>0</v>
      </c>
      <c r="R39" s="530"/>
      <c r="S39" s="531" t="e">
        <f t="shared" si="4"/>
        <v>#DIV/0!</v>
      </c>
      <c r="T39" s="532">
        <f t="shared" si="116"/>
        <v>0</v>
      </c>
      <c r="U39" s="530"/>
      <c r="V39" s="531" t="e">
        <f t="shared" si="5"/>
        <v>#DIV/0!</v>
      </c>
      <c r="W39" s="532">
        <f t="shared" si="117"/>
        <v>0</v>
      </c>
      <c r="X39" s="530"/>
      <c r="Y39" s="531" t="e">
        <f t="shared" si="6"/>
        <v>#DIV/0!</v>
      </c>
      <c r="Z39" s="532">
        <f t="shared" si="118"/>
        <v>0</v>
      </c>
      <c r="AA39" s="530"/>
      <c r="AB39" s="531" t="e">
        <f t="shared" si="7"/>
        <v>#DIV/0!</v>
      </c>
      <c r="AC39" s="532">
        <f t="shared" si="119"/>
        <v>0</v>
      </c>
      <c r="AD39" s="530"/>
      <c r="AE39" s="531" t="e">
        <f t="shared" si="8"/>
        <v>#DIV/0!</v>
      </c>
      <c r="AF39" s="532">
        <f t="shared" si="120"/>
        <v>0</v>
      </c>
      <c r="AG39" s="530"/>
      <c r="AH39" s="531" t="e">
        <f t="shared" si="9"/>
        <v>#DIV/0!</v>
      </c>
      <c r="AI39" s="532">
        <f t="shared" si="121"/>
        <v>0</v>
      </c>
      <c r="AJ39" s="530"/>
      <c r="AK39" s="531" t="e">
        <f t="shared" si="10"/>
        <v>#DIV/0!</v>
      </c>
      <c r="AL39" s="532">
        <f t="shared" si="122"/>
        <v>0</v>
      </c>
      <c r="AM39" s="530"/>
      <c r="AN39" s="531" t="e">
        <f t="shared" si="11"/>
        <v>#DIV/0!</v>
      </c>
      <c r="AO39" s="532">
        <f t="shared" si="123"/>
        <v>0</v>
      </c>
      <c r="AP39" s="530"/>
      <c r="AQ39" s="531" t="e">
        <f t="shared" si="12"/>
        <v>#DIV/0!</v>
      </c>
      <c r="AR39" s="532">
        <f t="shared" si="124"/>
        <v>0</v>
      </c>
      <c r="AS39" s="530"/>
      <c r="AT39" s="531" t="e">
        <f t="shared" si="13"/>
        <v>#DIV/0!</v>
      </c>
      <c r="AU39" s="532">
        <f t="shared" si="125"/>
        <v>0</v>
      </c>
      <c r="AV39" s="530"/>
      <c r="AW39" s="531" t="e">
        <f t="shared" si="14"/>
        <v>#DIV/0!</v>
      </c>
      <c r="AX39" s="532">
        <f t="shared" si="126"/>
        <v>0</v>
      </c>
      <c r="AY39" s="530"/>
      <c r="AZ39" s="531" t="e">
        <f t="shared" si="15"/>
        <v>#DIV/0!</v>
      </c>
      <c r="BA39" s="532">
        <f t="shared" si="127"/>
        <v>0</v>
      </c>
      <c r="BB39" s="530"/>
      <c r="BC39" s="531" t="e">
        <f t="shared" si="16"/>
        <v>#DIV/0!</v>
      </c>
      <c r="BD39" s="532">
        <f t="shared" si="128"/>
        <v>0</v>
      </c>
      <c r="BE39" s="530"/>
      <c r="BF39" s="531" t="e">
        <f t="shared" si="17"/>
        <v>#DIV/0!</v>
      </c>
      <c r="BG39" s="532">
        <f t="shared" si="129"/>
        <v>0</v>
      </c>
      <c r="BH39" s="530"/>
      <c r="BI39" s="531" t="e">
        <f t="shared" si="18"/>
        <v>#DIV/0!</v>
      </c>
      <c r="BJ39" s="532">
        <f t="shared" si="130"/>
        <v>0</v>
      </c>
      <c r="BK39" s="530"/>
      <c r="BL39" s="531" t="e">
        <f t="shared" si="19"/>
        <v>#DIV/0!</v>
      </c>
      <c r="BM39" s="532">
        <f t="shared" si="131"/>
        <v>0</v>
      </c>
      <c r="BN39" s="530"/>
      <c r="BO39" s="531" t="e">
        <f t="shared" si="20"/>
        <v>#DIV/0!</v>
      </c>
      <c r="BP39" s="532">
        <f t="shared" si="132"/>
        <v>0</v>
      </c>
      <c r="BQ39" s="530"/>
      <c r="BR39" s="531" t="e">
        <f t="shared" si="21"/>
        <v>#DIV/0!</v>
      </c>
      <c r="BS39" s="532">
        <f t="shared" si="133"/>
        <v>0</v>
      </c>
      <c r="BT39" s="530"/>
      <c r="BU39" s="531" t="e">
        <f t="shared" si="22"/>
        <v>#DIV/0!</v>
      </c>
      <c r="BV39" s="532">
        <f t="shared" si="134"/>
        <v>0</v>
      </c>
      <c r="BW39" s="530"/>
      <c r="BX39" s="531" t="e">
        <f t="shared" si="23"/>
        <v>#DIV/0!</v>
      </c>
      <c r="BY39" s="532">
        <f t="shared" si="135"/>
        <v>0</v>
      </c>
      <c r="BZ39" s="530"/>
      <c r="CA39" s="531" t="e">
        <f t="shared" si="24"/>
        <v>#DIV/0!</v>
      </c>
      <c r="CB39" s="532">
        <f t="shared" si="136"/>
        <v>0</v>
      </c>
      <c r="CC39" s="530"/>
      <c r="CD39" s="531" t="e">
        <f t="shared" si="25"/>
        <v>#DIV/0!</v>
      </c>
      <c r="CE39" s="532">
        <f t="shared" si="137"/>
        <v>0</v>
      </c>
      <c r="CF39" s="530"/>
      <c r="CG39" s="531" t="e">
        <f t="shared" si="26"/>
        <v>#DIV/0!</v>
      </c>
      <c r="CH39" s="532">
        <f t="shared" si="138"/>
        <v>0</v>
      </c>
      <c r="CI39" s="530"/>
      <c r="CJ39" s="531" t="e">
        <f t="shared" si="27"/>
        <v>#DIV/0!</v>
      </c>
      <c r="CK39" s="532">
        <f t="shared" si="139"/>
        <v>0</v>
      </c>
      <c r="CL39" s="530"/>
      <c r="CM39" s="531" t="e">
        <f t="shared" si="28"/>
        <v>#DIV/0!</v>
      </c>
      <c r="CN39" s="532">
        <f t="shared" si="140"/>
        <v>0</v>
      </c>
      <c r="CO39" s="530"/>
      <c r="CP39" s="531" t="e">
        <f t="shared" si="29"/>
        <v>#DIV/0!</v>
      </c>
      <c r="CQ39" s="532">
        <f t="shared" si="141"/>
        <v>0</v>
      </c>
      <c r="CR39" s="530"/>
      <c r="CS39" s="531" t="e">
        <f t="shared" si="30"/>
        <v>#DIV/0!</v>
      </c>
      <c r="CT39" s="532">
        <f t="shared" si="142"/>
        <v>0</v>
      </c>
      <c r="CU39" s="530"/>
      <c r="CV39" s="531" t="e">
        <f t="shared" si="31"/>
        <v>#DIV/0!</v>
      </c>
      <c r="CW39" s="532">
        <f t="shared" si="143"/>
        <v>0</v>
      </c>
      <c r="CX39" s="530"/>
      <c r="CY39" s="531" t="e">
        <f t="shared" si="32"/>
        <v>#DIV/0!</v>
      </c>
      <c r="CZ39" s="532">
        <f t="shared" si="144"/>
        <v>0</v>
      </c>
      <c r="DA39" s="530"/>
      <c r="DB39" s="531" t="e">
        <f t="shared" si="33"/>
        <v>#DIV/0!</v>
      </c>
      <c r="DC39" s="532">
        <f t="shared" si="145"/>
        <v>0</v>
      </c>
      <c r="DD39" s="530"/>
      <c r="DE39" s="531" t="e">
        <f t="shared" si="34"/>
        <v>#DIV/0!</v>
      </c>
      <c r="DF39" s="532">
        <f t="shared" si="146"/>
        <v>0</v>
      </c>
      <c r="DG39" s="530"/>
      <c r="DH39" s="531" t="e">
        <f t="shared" si="35"/>
        <v>#DIV/0!</v>
      </c>
      <c r="DI39" s="532">
        <f t="shared" si="203"/>
        <v>0</v>
      </c>
      <c r="DJ39" s="530"/>
      <c r="DK39" s="531" t="e">
        <f t="shared" si="36"/>
        <v>#DIV/0!</v>
      </c>
      <c r="DL39" s="532">
        <f t="shared" si="147"/>
        <v>0</v>
      </c>
      <c r="DM39" s="530"/>
      <c r="DN39" s="531" t="e">
        <f t="shared" si="37"/>
        <v>#DIV/0!</v>
      </c>
      <c r="DO39" s="532">
        <f t="shared" si="148"/>
        <v>0</v>
      </c>
      <c r="DP39" s="530"/>
      <c r="DQ39" s="531" t="e">
        <f t="shared" si="38"/>
        <v>#DIV/0!</v>
      </c>
      <c r="DR39" s="532">
        <f t="shared" si="149"/>
        <v>0</v>
      </c>
      <c r="DS39" s="530"/>
      <c r="DT39" s="531" t="e">
        <f t="shared" si="39"/>
        <v>#DIV/0!</v>
      </c>
      <c r="DU39" s="532">
        <f t="shared" si="150"/>
        <v>0</v>
      </c>
      <c r="DV39" s="530"/>
      <c r="DW39" s="531" t="e">
        <f t="shared" si="40"/>
        <v>#DIV/0!</v>
      </c>
      <c r="DX39" s="532">
        <f t="shared" si="151"/>
        <v>0</v>
      </c>
      <c r="DY39" s="530"/>
      <c r="DZ39" s="531" t="e">
        <f t="shared" si="41"/>
        <v>#DIV/0!</v>
      </c>
      <c r="EA39" s="532">
        <f t="shared" si="152"/>
        <v>0</v>
      </c>
      <c r="EB39" s="530"/>
      <c r="EC39" s="531" t="e">
        <f t="shared" si="42"/>
        <v>#DIV/0!</v>
      </c>
      <c r="ED39" s="532">
        <f t="shared" si="153"/>
        <v>0</v>
      </c>
      <c r="EE39" s="530"/>
      <c r="EF39" s="531" t="e">
        <f t="shared" si="43"/>
        <v>#DIV/0!</v>
      </c>
      <c r="EG39" s="532">
        <f t="shared" si="154"/>
        <v>0</v>
      </c>
      <c r="EH39" s="530"/>
      <c r="EI39" s="531" t="e">
        <f t="shared" si="44"/>
        <v>#DIV/0!</v>
      </c>
      <c r="EJ39" s="532">
        <f t="shared" si="155"/>
        <v>0</v>
      </c>
      <c r="EK39" s="530"/>
      <c r="EL39" s="531" t="e">
        <f t="shared" si="45"/>
        <v>#DIV/0!</v>
      </c>
      <c r="EM39" s="532">
        <f t="shared" si="156"/>
        <v>0</v>
      </c>
      <c r="EN39" s="530"/>
      <c r="EO39" s="531" t="e">
        <f t="shared" si="46"/>
        <v>#DIV/0!</v>
      </c>
      <c r="EP39" s="532">
        <f t="shared" si="157"/>
        <v>0</v>
      </c>
      <c r="EQ39" s="530"/>
      <c r="ER39" s="531" t="e">
        <f t="shared" si="47"/>
        <v>#DIV/0!</v>
      </c>
      <c r="ES39" s="532">
        <f t="shared" si="158"/>
        <v>0</v>
      </c>
      <c r="ET39" s="530"/>
      <c r="EU39" s="531" t="e">
        <f t="shared" si="48"/>
        <v>#DIV/0!</v>
      </c>
      <c r="EV39" s="532">
        <f t="shared" si="159"/>
        <v>0</v>
      </c>
      <c r="EW39" s="530"/>
      <c r="EX39" s="531" t="e">
        <f t="shared" si="49"/>
        <v>#DIV/0!</v>
      </c>
      <c r="EY39" s="532">
        <f t="shared" si="160"/>
        <v>0</v>
      </c>
      <c r="EZ39" s="530"/>
      <c r="FA39" s="531" t="e">
        <f t="shared" si="50"/>
        <v>#DIV/0!</v>
      </c>
      <c r="FB39" s="532">
        <f t="shared" si="161"/>
        <v>0</v>
      </c>
      <c r="FC39" s="530"/>
      <c r="FD39" s="531" t="e">
        <f t="shared" si="51"/>
        <v>#DIV/0!</v>
      </c>
      <c r="FE39" s="532">
        <f t="shared" si="162"/>
        <v>0</v>
      </c>
      <c r="FF39" s="530"/>
      <c r="FG39" s="531" t="e">
        <f t="shared" si="52"/>
        <v>#DIV/0!</v>
      </c>
      <c r="FH39" s="532">
        <f t="shared" si="163"/>
        <v>0</v>
      </c>
      <c r="FI39" s="530"/>
      <c r="FJ39" s="531" t="e">
        <f t="shared" si="53"/>
        <v>#DIV/0!</v>
      </c>
      <c r="FK39" s="532">
        <f t="shared" si="164"/>
        <v>0</v>
      </c>
      <c r="FL39" s="530"/>
      <c r="FM39" s="531" t="e">
        <f t="shared" si="54"/>
        <v>#DIV/0!</v>
      </c>
      <c r="FN39" s="532">
        <f t="shared" si="165"/>
        <v>0</v>
      </c>
      <c r="FO39" s="530"/>
      <c r="FP39" s="531" t="e">
        <f t="shared" si="55"/>
        <v>#DIV/0!</v>
      </c>
      <c r="FQ39" s="532">
        <f t="shared" si="166"/>
        <v>0</v>
      </c>
      <c r="FR39" s="530"/>
      <c r="FS39" s="531" t="e">
        <f t="shared" si="56"/>
        <v>#DIV/0!</v>
      </c>
      <c r="FT39" s="532">
        <f t="shared" si="167"/>
        <v>0</v>
      </c>
      <c r="FU39" s="530"/>
      <c r="FV39" s="531" t="e">
        <f t="shared" si="57"/>
        <v>#DIV/0!</v>
      </c>
      <c r="FW39" s="532">
        <f t="shared" si="168"/>
        <v>0</v>
      </c>
      <c r="FX39" s="530"/>
      <c r="FY39" s="531" t="e">
        <f t="shared" si="58"/>
        <v>#DIV/0!</v>
      </c>
      <c r="FZ39" s="532">
        <f t="shared" si="169"/>
        <v>0</v>
      </c>
      <c r="GA39" s="530"/>
      <c r="GB39" s="531" t="e">
        <f t="shared" si="59"/>
        <v>#DIV/0!</v>
      </c>
      <c r="GC39" s="532">
        <f t="shared" si="170"/>
        <v>0</v>
      </c>
      <c r="GD39" s="530"/>
      <c r="GE39" s="531" t="e">
        <f t="shared" si="60"/>
        <v>#DIV/0!</v>
      </c>
      <c r="GF39" s="532">
        <f t="shared" si="171"/>
        <v>0</v>
      </c>
      <c r="GG39" s="530"/>
      <c r="GH39" s="531" t="e">
        <f t="shared" si="61"/>
        <v>#DIV/0!</v>
      </c>
      <c r="GI39" s="532">
        <f t="shared" si="172"/>
        <v>0</v>
      </c>
      <c r="GJ39" s="530"/>
      <c r="GK39" s="531" t="e">
        <f t="shared" si="62"/>
        <v>#DIV/0!</v>
      </c>
      <c r="GL39" s="532">
        <f t="shared" si="173"/>
        <v>0</v>
      </c>
      <c r="GM39" s="530"/>
      <c r="GN39" s="531" t="e">
        <f t="shared" si="63"/>
        <v>#DIV/0!</v>
      </c>
      <c r="GO39" s="532">
        <f t="shared" si="174"/>
        <v>0</v>
      </c>
      <c r="GP39" s="530"/>
      <c r="GQ39" s="531" t="e">
        <f t="shared" si="64"/>
        <v>#DIV/0!</v>
      </c>
      <c r="GR39" s="532">
        <f t="shared" si="175"/>
        <v>0</v>
      </c>
      <c r="GS39" s="530"/>
      <c r="GT39" s="531" t="e">
        <f t="shared" si="65"/>
        <v>#DIV/0!</v>
      </c>
      <c r="GU39" s="532">
        <f t="shared" si="176"/>
        <v>0</v>
      </c>
      <c r="GV39" s="530"/>
      <c r="GW39" s="531" t="e">
        <f t="shared" si="66"/>
        <v>#DIV/0!</v>
      </c>
      <c r="GX39" s="532">
        <f t="shared" si="177"/>
        <v>0</v>
      </c>
      <c r="GY39" s="530"/>
      <c r="GZ39" s="531" t="e">
        <f t="shared" si="67"/>
        <v>#DIV/0!</v>
      </c>
      <c r="HA39" s="532">
        <f t="shared" si="178"/>
        <v>0</v>
      </c>
      <c r="HB39" s="530"/>
      <c r="HC39" s="531" t="e">
        <f t="shared" si="68"/>
        <v>#DIV/0!</v>
      </c>
      <c r="HD39" s="532">
        <f t="shared" si="179"/>
        <v>0</v>
      </c>
      <c r="HE39" s="530"/>
      <c r="HF39" s="531" t="e">
        <f t="shared" si="69"/>
        <v>#DIV/0!</v>
      </c>
      <c r="HG39" s="532">
        <f t="shared" si="180"/>
        <v>0</v>
      </c>
      <c r="HH39" s="530"/>
      <c r="HI39" s="531" t="e">
        <f t="shared" si="70"/>
        <v>#DIV/0!</v>
      </c>
      <c r="HJ39" s="532">
        <f t="shared" si="181"/>
        <v>0</v>
      </c>
      <c r="HK39" s="530"/>
      <c r="HL39" s="531" t="e">
        <f t="shared" si="71"/>
        <v>#DIV/0!</v>
      </c>
      <c r="HM39" s="532">
        <f t="shared" si="182"/>
        <v>0</v>
      </c>
      <c r="HN39" s="530"/>
      <c r="HO39" s="531" t="e">
        <f t="shared" si="72"/>
        <v>#DIV/0!</v>
      </c>
      <c r="HP39" s="532">
        <f t="shared" si="183"/>
        <v>0</v>
      </c>
      <c r="HQ39" s="530"/>
      <c r="HR39" s="531" t="e">
        <f t="shared" si="73"/>
        <v>#DIV/0!</v>
      </c>
      <c r="HS39" s="532">
        <f t="shared" si="184"/>
        <v>0</v>
      </c>
      <c r="HT39" s="530"/>
      <c r="HU39" s="531" t="e">
        <f t="shared" si="74"/>
        <v>#DIV/0!</v>
      </c>
      <c r="HV39" s="532">
        <f t="shared" si="185"/>
        <v>0</v>
      </c>
      <c r="HW39" s="530"/>
      <c r="HX39" s="531" t="e">
        <f t="shared" si="75"/>
        <v>#DIV/0!</v>
      </c>
      <c r="HY39" s="532">
        <f t="shared" si="186"/>
        <v>0</v>
      </c>
      <c r="HZ39" s="530"/>
      <c r="IA39" s="531" t="e">
        <f t="shared" si="76"/>
        <v>#DIV/0!</v>
      </c>
      <c r="IB39" s="532">
        <f t="shared" si="187"/>
        <v>0</v>
      </c>
      <c r="IC39" s="530"/>
      <c r="ID39" s="531" t="e">
        <f t="shared" si="77"/>
        <v>#DIV/0!</v>
      </c>
      <c r="IE39" s="532">
        <f t="shared" si="188"/>
        <v>0</v>
      </c>
      <c r="IF39" s="530"/>
      <c r="IG39" s="531" t="e">
        <f t="shared" si="78"/>
        <v>#DIV/0!</v>
      </c>
      <c r="IH39" s="532">
        <f t="shared" si="189"/>
        <v>0</v>
      </c>
      <c r="II39" s="530"/>
      <c r="IJ39" s="531" t="e">
        <f t="shared" si="79"/>
        <v>#DIV/0!</v>
      </c>
      <c r="IK39" s="532">
        <f t="shared" si="190"/>
        <v>0</v>
      </c>
      <c r="IL39" s="530"/>
      <c r="IM39" s="531" t="e">
        <f t="shared" si="80"/>
        <v>#DIV/0!</v>
      </c>
      <c r="IN39" s="532">
        <f t="shared" si="191"/>
        <v>0</v>
      </c>
      <c r="IO39" s="530"/>
      <c r="IP39" s="531" t="e">
        <f t="shared" si="81"/>
        <v>#DIV/0!</v>
      </c>
      <c r="IQ39" s="532">
        <f t="shared" si="192"/>
        <v>0</v>
      </c>
      <c r="IR39" s="530"/>
      <c r="IS39" s="531" t="e">
        <f t="shared" si="82"/>
        <v>#DIV/0!</v>
      </c>
      <c r="IT39" s="532">
        <f t="shared" si="193"/>
        <v>0</v>
      </c>
      <c r="IU39" s="530"/>
      <c r="IV39" s="531" t="e">
        <f t="shared" si="83"/>
        <v>#DIV/0!</v>
      </c>
      <c r="IW39" s="532">
        <f t="shared" si="194"/>
        <v>0</v>
      </c>
      <c r="IX39" s="530"/>
      <c r="IY39" s="531" t="e">
        <f t="shared" si="84"/>
        <v>#DIV/0!</v>
      </c>
      <c r="IZ39" s="532">
        <f t="shared" si="195"/>
        <v>0</v>
      </c>
      <c r="JA39" s="530"/>
      <c r="JB39" s="531" t="e">
        <f t="shared" si="85"/>
        <v>#DIV/0!</v>
      </c>
      <c r="JC39" s="532">
        <f t="shared" si="196"/>
        <v>0</v>
      </c>
      <c r="JD39" s="530"/>
      <c r="JE39" s="531" t="e">
        <f t="shared" si="86"/>
        <v>#DIV/0!</v>
      </c>
      <c r="JF39" s="532">
        <f t="shared" si="197"/>
        <v>0</v>
      </c>
      <c r="JG39" s="530"/>
      <c r="JH39" s="531" t="e">
        <f t="shared" si="87"/>
        <v>#DIV/0!</v>
      </c>
      <c r="JI39" s="532">
        <f t="shared" si="198"/>
        <v>0</v>
      </c>
      <c r="JJ39" s="530"/>
      <c r="JK39" s="532" t="str">
        <f t="shared" si="88"/>
        <v>0</v>
      </c>
      <c r="JL39" s="532" t="str">
        <f t="shared" si="89"/>
        <v>0</v>
      </c>
      <c r="JM39" s="530"/>
      <c r="JN39" s="532" t="str">
        <f t="shared" si="90"/>
        <v>0</v>
      </c>
      <c r="JO39" s="532" t="str">
        <f t="shared" si="91"/>
        <v>0</v>
      </c>
      <c r="JP39" s="530"/>
      <c r="JQ39" s="532" t="str">
        <f t="shared" si="92"/>
        <v>0</v>
      </c>
      <c r="JR39" s="532" t="str">
        <f t="shared" si="93"/>
        <v>0</v>
      </c>
      <c r="JS39" s="530"/>
      <c r="JT39" s="532" t="str">
        <f t="shared" si="94"/>
        <v>0</v>
      </c>
      <c r="JU39" s="532" t="str">
        <f t="shared" si="95"/>
        <v>0</v>
      </c>
      <c r="JV39" s="530"/>
      <c r="JW39" s="532" t="str">
        <f t="shared" si="96"/>
        <v>0</v>
      </c>
      <c r="JX39" s="532" t="str">
        <f t="shared" si="97"/>
        <v>0</v>
      </c>
      <c r="JY39" s="530"/>
      <c r="JZ39" s="532" t="str">
        <f t="shared" si="98"/>
        <v>0</v>
      </c>
      <c r="KA39" s="532" t="str">
        <f t="shared" si="99"/>
        <v>0</v>
      </c>
      <c r="KB39" s="530"/>
      <c r="KC39" s="532" t="str">
        <f t="shared" si="100"/>
        <v>0</v>
      </c>
      <c r="KD39" s="532" t="str">
        <f t="shared" si="101"/>
        <v>0</v>
      </c>
      <c r="KE39" s="530"/>
      <c r="KF39" s="532" t="str">
        <f t="shared" si="102"/>
        <v>0</v>
      </c>
      <c r="KG39" s="532" t="str">
        <f t="shared" si="103"/>
        <v>0</v>
      </c>
      <c r="KH39" s="530"/>
      <c r="KI39" s="532" t="str">
        <f t="shared" si="104"/>
        <v>0</v>
      </c>
      <c r="KJ39" s="532" t="str">
        <f t="shared" si="105"/>
        <v>0</v>
      </c>
      <c r="KK39" s="530"/>
      <c r="KL39" s="532" t="str">
        <f t="shared" si="106"/>
        <v>0</v>
      </c>
      <c r="KM39" s="532" t="str">
        <f t="shared" si="107"/>
        <v>0</v>
      </c>
      <c r="KN39" s="530"/>
      <c r="KO39" s="532" t="str">
        <f t="shared" si="108"/>
        <v>0</v>
      </c>
      <c r="KP39" s="532" t="str">
        <f t="shared" si="109"/>
        <v>0</v>
      </c>
      <c r="KQ39" s="530"/>
      <c r="KR39" s="532" t="str">
        <f t="shared" si="110"/>
        <v>0</v>
      </c>
      <c r="KS39" s="532" t="str">
        <f t="shared" si="111"/>
        <v>0</v>
      </c>
      <c r="KT39" s="532">
        <f t="shared" si="201"/>
        <v>0</v>
      </c>
      <c r="KU39" s="532">
        <f t="shared" si="202"/>
        <v>0</v>
      </c>
      <c r="KV39" s="268">
        <f t="shared" si="199"/>
        <v>0</v>
      </c>
    </row>
    <row r="40" spans="1:308" ht="15" customHeight="1" thickBot="1">
      <c r="A40" s="272"/>
      <c r="B40" s="273"/>
      <c r="C40" s="274"/>
      <c r="D40" s="274"/>
      <c r="E40" s="570"/>
      <c r="F40" s="530"/>
      <c r="G40" s="531"/>
      <c r="H40" s="532"/>
      <c r="I40" s="530"/>
      <c r="J40" s="531"/>
      <c r="K40" s="532"/>
      <c r="L40" s="530"/>
      <c r="M40" s="531"/>
      <c r="N40" s="532"/>
      <c r="O40" s="530"/>
      <c r="P40" s="531"/>
      <c r="Q40" s="532"/>
      <c r="R40" s="530"/>
      <c r="S40" s="531"/>
      <c r="T40" s="532"/>
      <c r="U40" s="530"/>
      <c r="V40" s="531"/>
      <c r="W40" s="532"/>
      <c r="X40" s="530"/>
      <c r="Y40" s="531"/>
      <c r="Z40" s="532"/>
      <c r="AA40" s="530"/>
      <c r="AB40" s="531"/>
      <c r="AC40" s="532"/>
      <c r="AD40" s="530"/>
      <c r="AE40" s="531"/>
      <c r="AF40" s="532"/>
      <c r="AG40" s="530"/>
      <c r="AH40" s="531"/>
      <c r="AI40" s="532"/>
      <c r="AJ40" s="530"/>
      <c r="AK40" s="531"/>
      <c r="AL40" s="532"/>
      <c r="AM40" s="530"/>
      <c r="AN40" s="531"/>
      <c r="AO40" s="532"/>
      <c r="AP40" s="530"/>
      <c r="AQ40" s="531"/>
      <c r="AR40" s="532"/>
      <c r="AS40" s="530"/>
      <c r="AT40" s="531"/>
      <c r="AU40" s="532"/>
      <c r="AV40" s="530"/>
      <c r="AW40" s="531"/>
      <c r="AX40" s="532"/>
      <c r="AY40" s="530"/>
      <c r="AZ40" s="531"/>
      <c r="BA40" s="532"/>
      <c r="BB40" s="530"/>
      <c r="BC40" s="531"/>
      <c r="BD40" s="532"/>
      <c r="BE40" s="530"/>
      <c r="BF40" s="531"/>
      <c r="BG40" s="532"/>
      <c r="BH40" s="530"/>
      <c r="BI40" s="531"/>
      <c r="BJ40" s="532"/>
      <c r="BK40" s="530"/>
      <c r="BL40" s="531"/>
      <c r="BM40" s="532"/>
      <c r="BN40" s="530"/>
      <c r="BO40" s="531"/>
      <c r="BP40" s="532"/>
      <c r="BQ40" s="530"/>
      <c r="BR40" s="531"/>
      <c r="BS40" s="532"/>
      <c r="BT40" s="530"/>
      <c r="BU40" s="531"/>
      <c r="BV40" s="532"/>
      <c r="BW40" s="530"/>
      <c r="BX40" s="531"/>
      <c r="BY40" s="532"/>
      <c r="BZ40" s="530"/>
      <c r="CA40" s="531"/>
      <c r="CB40" s="532"/>
      <c r="CC40" s="530"/>
      <c r="CD40" s="531"/>
      <c r="CE40" s="532"/>
      <c r="CF40" s="530"/>
      <c r="CG40" s="531"/>
      <c r="CH40" s="532"/>
      <c r="CI40" s="530"/>
      <c r="CJ40" s="531"/>
      <c r="CK40" s="532"/>
      <c r="CL40" s="530"/>
      <c r="CM40" s="531"/>
      <c r="CN40" s="532"/>
      <c r="CO40" s="530"/>
      <c r="CP40" s="531"/>
      <c r="CQ40" s="532"/>
      <c r="CR40" s="530"/>
      <c r="CS40" s="531"/>
      <c r="CT40" s="532"/>
      <c r="CU40" s="530"/>
      <c r="CV40" s="531"/>
      <c r="CW40" s="532"/>
      <c r="CX40" s="530"/>
      <c r="CY40" s="531"/>
      <c r="CZ40" s="532"/>
      <c r="DA40" s="530"/>
      <c r="DB40" s="531"/>
      <c r="DC40" s="532"/>
      <c r="DD40" s="530"/>
      <c r="DE40" s="531"/>
      <c r="DF40" s="532"/>
      <c r="DG40" s="530"/>
      <c r="DH40" s="531"/>
      <c r="DI40" s="532"/>
      <c r="DJ40" s="530"/>
      <c r="DK40" s="531"/>
      <c r="DL40" s="532"/>
      <c r="DM40" s="530"/>
      <c r="DN40" s="531"/>
      <c r="DO40" s="532"/>
      <c r="DP40" s="530"/>
      <c r="DQ40" s="531"/>
      <c r="DR40" s="532"/>
      <c r="DS40" s="530"/>
      <c r="DT40" s="531"/>
      <c r="DU40" s="532"/>
      <c r="DV40" s="530"/>
      <c r="DW40" s="531"/>
      <c r="DX40" s="532"/>
      <c r="DY40" s="530"/>
      <c r="DZ40" s="531"/>
      <c r="EA40" s="532"/>
      <c r="EB40" s="530"/>
      <c r="EC40" s="531"/>
      <c r="ED40" s="532"/>
      <c r="EE40" s="530"/>
      <c r="EF40" s="531"/>
      <c r="EG40" s="532"/>
      <c r="EH40" s="530"/>
      <c r="EI40" s="531"/>
      <c r="EJ40" s="532"/>
      <c r="EK40" s="530"/>
      <c r="EL40" s="531"/>
      <c r="EM40" s="532"/>
      <c r="EN40" s="530"/>
      <c r="EO40" s="531"/>
      <c r="EP40" s="532"/>
      <c r="EQ40" s="530"/>
      <c r="ER40" s="531"/>
      <c r="ES40" s="532"/>
      <c r="ET40" s="530"/>
      <c r="EU40" s="531"/>
      <c r="EV40" s="532"/>
      <c r="EW40" s="530"/>
      <c r="EX40" s="531"/>
      <c r="EY40" s="532"/>
      <c r="EZ40" s="530"/>
      <c r="FA40" s="531"/>
      <c r="FB40" s="532"/>
      <c r="FC40" s="530"/>
      <c r="FD40" s="531"/>
      <c r="FE40" s="532"/>
      <c r="FF40" s="530"/>
      <c r="FG40" s="531"/>
      <c r="FH40" s="532"/>
      <c r="FI40" s="530"/>
      <c r="FJ40" s="531"/>
      <c r="FK40" s="532"/>
      <c r="FL40" s="530"/>
      <c r="FM40" s="531"/>
      <c r="FN40" s="532"/>
      <c r="FO40" s="530"/>
      <c r="FP40" s="531"/>
      <c r="FQ40" s="532"/>
      <c r="FR40" s="530"/>
      <c r="FS40" s="531"/>
      <c r="FT40" s="532"/>
      <c r="FU40" s="530"/>
      <c r="FV40" s="531"/>
      <c r="FW40" s="532"/>
      <c r="FX40" s="530"/>
      <c r="FY40" s="531"/>
      <c r="FZ40" s="532"/>
      <c r="GA40" s="530"/>
      <c r="GB40" s="531"/>
      <c r="GC40" s="532"/>
      <c r="GD40" s="530"/>
      <c r="GE40" s="531"/>
      <c r="GF40" s="532"/>
      <c r="GG40" s="530"/>
      <c r="GH40" s="531"/>
      <c r="GI40" s="532"/>
      <c r="GJ40" s="530"/>
      <c r="GK40" s="531"/>
      <c r="GL40" s="532"/>
      <c r="GM40" s="530"/>
      <c r="GN40" s="531"/>
      <c r="GO40" s="532"/>
      <c r="GP40" s="530"/>
      <c r="GQ40" s="531"/>
      <c r="GR40" s="532"/>
      <c r="GS40" s="530"/>
      <c r="GT40" s="531"/>
      <c r="GU40" s="532"/>
      <c r="GV40" s="530"/>
      <c r="GW40" s="531"/>
      <c r="GX40" s="532"/>
      <c r="GY40" s="530"/>
      <c r="GZ40" s="531"/>
      <c r="HA40" s="532"/>
      <c r="HB40" s="530"/>
      <c r="HC40" s="531"/>
      <c r="HD40" s="532"/>
      <c r="HE40" s="530"/>
      <c r="HF40" s="531"/>
      <c r="HG40" s="532"/>
      <c r="HH40" s="530"/>
      <c r="HI40" s="531"/>
      <c r="HJ40" s="532"/>
      <c r="HK40" s="530"/>
      <c r="HL40" s="531"/>
      <c r="HM40" s="532"/>
      <c r="HN40" s="530"/>
      <c r="HO40" s="531"/>
      <c r="HP40" s="532"/>
      <c r="HQ40" s="530"/>
      <c r="HR40" s="531"/>
      <c r="HS40" s="532"/>
      <c r="HT40" s="530"/>
      <c r="HU40" s="531"/>
      <c r="HV40" s="532"/>
      <c r="HW40" s="530"/>
      <c r="HX40" s="531"/>
      <c r="HY40" s="532"/>
      <c r="HZ40" s="530"/>
      <c r="IA40" s="531"/>
      <c r="IB40" s="532"/>
      <c r="IC40" s="530"/>
      <c r="ID40" s="531"/>
      <c r="IE40" s="532"/>
      <c r="IF40" s="530"/>
      <c r="IG40" s="531"/>
      <c r="IH40" s="532"/>
      <c r="II40" s="530"/>
      <c r="IJ40" s="531"/>
      <c r="IK40" s="532"/>
      <c r="IL40" s="530"/>
      <c r="IM40" s="531"/>
      <c r="IN40" s="532"/>
      <c r="IO40" s="530"/>
      <c r="IP40" s="531"/>
      <c r="IQ40" s="532"/>
      <c r="IR40" s="530"/>
      <c r="IS40" s="531"/>
      <c r="IT40" s="532"/>
      <c r="IU40" s="530"/>
      <c r="IV40" s="531"/>
      <c r="IW40" s="532"/>
      <c r="IX40" s="530"/>
      <c r="IY40" s="531"/>
      <c r="IZ40" s="532"/>
      <c r="JA40" s="530"/>
      <c r="JB40" s="531"/>
      <c r="JC40" s="532"/>
      <c r="JD40" s="530"/>
      <c r="JE40" s="531"/>
      <c r="JF40" s="532"/>
      <c r="JG40" s="530"/>
      <c r="JH40" s="531"/>
      <c r="JI40" s="532"/>
      <c r="JJ40" s="530"/>
      <c r="JK40" s="532"/>
      <c r="JL40" s="532"/>
      <c r="JM40" s="530"/>
      <c r="JN40" s="532"/>
      <c r="JO40" s="532"/>
      <c r="JP40" s="530"/>
      <c r="JQ40" s="532"/>
      <c r="JR40" s="532"/>
      <c r="JS40" s="530"/>
      <c r="JT40" s="532"/>
      <c r="JU40" s="532"/>
      <c r="JV40" s="530"/>
      <c r="JW40" s="532"/>
      <c r="JX40" s="532"/>
      <c r="JY40" s="530"/>
      <c r="JZ40" s="532"/>
      <c r="KA40" s="532"/>
      <c r="KB40" s="530"/>
      <c r="KC40" s="532"/>
      <c r="KD40" s="532"/>
      <c r="KE40" s="530"/>
      <c r="KF40" s="532"/>
      <c r="KG40" s="532"/>
      <c r="KH40" s="530"/>
      <c r="KI40" s="532"/>
      <c r="KJ40" s="532"/>
      <c r="KK40" s="530"/>
      <c r="KL40" s="532"/>
      <c r="KM40" s="532"/>
      <c r="KN40" s="530"/>
      <c r="KO40" s="532"/>
      <c r="KP40" s="532"/>
      <c r="KQ40" s="530"/>
      <c r="KR40" s="532"/>
      <c r="KS40" s="532"/>
      <c r="KT40" s="532"/>
      <c r="KU40" s="532"/>
      <c r="KV40" s="268"/>
    </row>
    <row r="41" spans="1:308" s="535" customFormat="1" ht="15" customHeight="1" thickTop="1" thickBot="1">
      <c r="A41" s="726" t="s">
        <v>28</v>
      </c>
      <c r="B41" s="727"/>
      <c r="C41" s="728"/>
      <c r="D41" s="571">
        <f>SUM(D9:D40)</f>
        <v>742.94600000000003</v>
      </c>
      <c r="E41" s="570">
        <v>0</v>
      </c>
      <c r="F41" s="533">
        <f>SUM(F9:F39)</f>
        <v>0</v>
      </c>
      <c r="G41" s="533">
        <f>IFERROR((F41/$L$41),0)</f>
        <v>0</v>
      </c>
      <c r="H41" s="533">
        <f>IFERROR(((F41*H$8)/$L$41),0)</f>
        <v>0</v>
      </c>
      <c r="I41" s="533">
        <f>SUM(I9:I39)</f>
        <v>1918.6046511627908</v>
      </c>
      <c r="J41" s="533">
        <f>IFERROR((I41/$L$41),0)</f>
        <v>0</v>
      </c>
      <c r="K41" s="533">
        <f>IFERROR(((I41*K$8)/$L$41),0)</f>
        <v>0</v>
      </c>
      <c r="L41" s="533">
        <f>SUM(L9:L39)</f>
        <v>0</v>
      </c>
      <c r="M41" s="533">
        <f>IFERROR((L41/$L$41),0)</f>
        <v>0</v>
      </c>
      <c r="N41" s="533">
        <f>IFERROR(((L41*N$8)/$L$41),0)</f>
        <v>0</v>
      </c>
      <c r="O41" s="533">
        <f>SUM(O9:O39)</f>
        <v>72.000000000000028</v>
      </c>
      <c r="P41" s="533">
        <f>IFERROR((O41/$L$41),0)</f>
        <v>0</v>
      </c>
      <c r="Q41" s="533">
        <f>IFERROR(((O41*Q$8)/$L$41),0)</f>
        <v>0</v>
      </c>
      <c r="R41" s="533">
        <f>SUM(R9:R39)</f>
        <v>0</v>
      </c>
      <c r="S41" s="533">
        <f>IFERROR((R41/$L$41),0)</f>
        <v>0</v>
      </c>
      <c r="T41" s="533">
        <f>IFERROR(((R41*T$8)/$L$41),0)</f>
        <v>0</v>
      </c>
      <c r="U41" s="533">
        <f>SUM(U9:U39)</f>
        <v>87.124999999999972</v>
      </c>
      <c r="V41" s="533">
        <f>IFERROR((U41/$L$41),0)</f>
        <v>0</v>
      </c>
      <c r="W41" s="533">
        <f>IFERROR(((U41*W$8)/$L$41),0)</f>
        <v>0</v>
      </c>
      <c r="X41" s="533">
        <f>SUM(X9:X39)</f>
        <v>0</v>
      </c>
      <c r="Y41" s="533">
        <f>IFERROR((X41/$L$41),0)</f>
        <v>0</v>
      </c>
      <c r="Z41" s="533">
        <f>IFERROR(((X41*Z$8)/$L$41),0)</f>
        <v>0</v>
      </c>
      <c r="AA41" s="533">
        <f>SUM(AA9:AA39)</f>
        <v>0</v>
      </c>
      <c r="AB41" s="533">
        <f>IFERROR((AA41/$L$41),0)</f>
        <v>0</v>
      </c>
      <c r="AC41" s="533">
        <f>IFERROR(((AA41*AC$8)/$L$41),0)</f>
        <v>0</v>
      </c>
      <c r="AD41" s="533">
        <f>SUM(AD9:AD39)</f>
        <v>0</v>
      </c>
      <c r="AE41" s="533">
        <f>IFERROR((AD41/$L$41),0)</f>
        <v>0</v>
      </c>
      <c r="AF41" s="533">
        <f>IFERROR(((AD41*AF$8)/$L$41),0)</f>
        <v>0</v>
      </c>
      <c r="AG41" s="533">
        <f>SUM(AG9:AG39)</f>
        <v>176.40000000000003</v>
      </c>
      <c r="AH41" s="533">
        <f>IFERROR((AG41/$L$41),0)</f>
        <v>0</v>
      </c>
      <c r="AI41" s="533">
        <f>IFERROR(((AG41*AI$8)/$L$41),0)</f>
        <v>0</v>
      </c>
      <c r="AJ41" s="533">
        <f>SUM(AJ9:AJ39)</f>
        <v>46.999999999999993</v>
      </c>
      <c r="AK41" s="533">
        <f>IFERROR((AJ41/$L$41),0)</f>
        <v>0</v>
      </c>
      <c r="AL41" s="533">
        <f>IFERROR(((AJ41*AL$8)/$L$41),0)</f>
        <v>0</v>
      </c>
      <c r="AM41" s="533">
        <f>SUM(AM9:AM39)</f>
        <v>10.51282051282044</v>
      </c>
      <c r="AN41" s="533">
        <f>IFERROR((AM41/$L$41),0)</f>
        <v>0</v>
      </c>
      <c r="AO41" s="533">
        <f>IFERROR(((AM41*AO$8)/$L$41),0)</f>
        <v>0</v>
      </c>
      <c r="AP41" s="533">
        <f>SUM(AP9:AP39)</f>
        <v>891.45569620253161</v>
      </c>
      <c r="AQ41" s="533">
        <f>IFERROR((AP41/$L$41),0)</f>
        <v>0</v>
      </c>
      <c r="AR41" s="533">
        <f>IFERROR(((AP41*AR$8)/$L$41),0)</f>
        <v>0</v>
      </c>
      <c r="AS41" s="533">
        <f>SUM(AS9:AS39)</f>
        <v>0</v>
      </c>
      <c r="AT41" s="533">
        <f>IFERROR((AS41/$L$41),0)</f>
        <v>0</v>
      </c>
      <c r="AU41" s="533">
        <f>IFERROR(((AS41*AU$8)/$L$41),0)</f>
        <v>0</v>
      </c>
      <c r="AV41" s="533">
        <f>SUM(AV9:AV39)</f>
        <v>0</v>
      </c>
      <c r="AW41" s="533">
        <f>IFERROR((AV41/$L$41),0)</f>
        <v>0</v>
      </c>
      <c r="AX41" s="533">
        <f>IFERROR(((AV41*AX$8)/$L$41),0)</f>
        <v>0</v>
      </c>
      <c r="AY41" s="533">
        <f>SUM(AY9:AY39)</f>
        <v>1112.9999999999995</v>
      </c>
      <c r="AZ41" s="533">
        <f>IFERROR((AY41/$L$41),0)</f>
        <v>0</v>
      </c>
      <c r="BA41" s="533">
        <f>IFERROR(((AY41*BA$8)/$L$41),0)</f>
        <v>0</v>
      </c>
      <c r="BB41" s="533">
        <f>SUM(BB9:BB39)</f>
        <v>0</v>
      </c>
      <c r="BC41" s="533">
        <f>IFERROR((BB41/$L$41),0)</f>
        <v>0</v>
      </c>
      <c r="BD41" s="533">
        <f>IFERROR(((BB41*BD$8)/$L$41),0)</f>
        <v>0</v>
      </c>
      <c r="BE41" s="533">
        <f>SUM(BE9:BE39)</f>
        <v>0</v>
      </c>
      <c r="BF41" s="533">
        <f>IFERROR((BE41/$L$41),0)</f>
        <v>0</v>
      </c>
      <c r="BG41" s="533">
        <f>IFERROR(((BE41*BG$8)/$L$41),0)</f>
        <v>0</v>
      </c>
      <c r="BH41" s="533">
        <f>SUM(BH9:BH39)</f>
        <v>0</v>
      </c>
      <c r="BI41" s="533">
        <f>IFERROR((BH41/$L$41),0)</f>
        <v>0</v>
      </c>
      <c r="BJ41" s="533">
        <f>IFERROR(((BH41*BJ$8)/$L$41),0)</f>
        <v>0</v>
      </c>
      <c r="BK41" s="533">
        <f>SUM(BK9:BK39)</f>
        <v>0</v>
      </c>
      <c r="BL41" s="533">
        <f>IFERROR((BK41/$L$41),0)</f>
        <v>0</v>
      </c>
      <c r="BM41" s="533">
        <f>IFERROR(((BK41*BM$8)/$L$41),0)</f>
        <v>0</v>
      </c>
      <c r="BN41" s="533">
        <f>SUM(BN9:BN39)</f>
        <v>0</v>
      </c>
      <c r="BO41" s="533">
        <f>IFERROR((BN41/$L$41),0)</f>
        <v>0</v>
      </c>
      <c r="BP41" s="533">
        <f>IFERROR(((BN41*BP$8)/$L$41),0)</f>
        <v>0</v>
      </c>
      <c r="BQ41" s="533">
        <f>SUM(BQ9:BQ39)</f>
        <v>63.29113924050634</v>
      </c>
      <c r="BR41" s="533">
        <f>IFERROR((BQ41/$L$41),0)</f>
        <v>0</v>
      </c>
      <c r="BS41" s="533">
        <f>IFERROR(((BQ41*BS$8)/$L$41),0)</f>
        <v>0</v>
      </c>
      <c r="BT41" s="533">
        <f>SUM(BT9:BT39)</f>
        <v>0</v>
      </c>
      <c r="BU41" s="533">
        <f>IFERROR((BT41/$L$41),0)</f>
        <v>0</v>
      </c>
      <c r="BV41" s="533">
        <f>IFERROR(((BT41*BV$8)/$L$41),0)</f>
        <v>0</v>
      </c>
      <c r="BW41" s="533">
        <f>SUM(BW9:BW39)</f>
        <v>0</v>
      </c>
      <c r="BX41" s="533">
        <f>IFERROR((BW41/$L$41),0)</f>
        <v>0</v>
      </c>
      <c r="BY41" s="533">
        <f>IFERROR(((BW41*BY$8)/$L$41),0)</f>
        <v>0</v>
      </c>
      <c r="BZ41" s="533">
        <f>SUM(BZ9:BZ39)</f>
        <v>50.930232558139551</v>
      </c>
      <c r="CA41" s="533">
        <f>IFERROR((BZ41/$L$41),0)</f>
        <v>0</v>
      </c>
      <c r="CB41" s="533">
        <f>IFERROR(((BZ41*CB$8)/$L$41),0)</f>
        <v>0</v>
      </c>
      <c r="CC41" s="533">
        <f>SUM(CC9:CC39)</f>
        <v>0</v>
      </c>
      <c r="CD41" s="533">
        <f>IFERROR((CC41/$L$41),0)</f>
        <v>0</v>
      </c>
      <c r="CE41" s="533">
        <f>IFERROR(((CC41*CE$8)/$L$41),0)</f>
        <v>0</v>
      </c>
      <c r="CF41" s="533">
        <f>SUM(CF9:CF39)</f>
        <v>18.100000000000001</v>
      </c>
      <c r="CG41" s="533">
        <f>IFERROR((CF41/$L$41),0)</f>
        <v>0</v>
      </c>
      <c r="CH41" s="533">
        <f>IFERROR(((CF41*CH$8)/$L$41),0)</f>
        <v>0</v>
      </c>
      <c r="CI41" s="533">
        <f>SUM(CI9:CI39)</f>
        <v>0</v>
      </c>
      <c r="CJ41" s="533">
        <f>IFERROR((CI41/$L$41),0)</f>
        <v>0</v>
      </c>
      <c r="CK41" s="533">
        <f>IFERROR(((CI41*CK$8)/$L$41),0)</f>
        <v>0</v>
      </c>
      <c r="CL41" s="533">
        <f>SUM(CL9:CL39)</f>
        <v>0</v>
      </c>
      <c r="CM41" s="533">
        <f>IFERROR((CL41/$L$41),0)</f>
        <v>0</v>
      </c>
      <c r="CN41" s="533">
        <f>IFERROR(((CL41*CN$8)/$L$41),0)</f>
        <v>0</v>
      </c>
      <c r="CO41" s="533">
        <f>SUM(CO9:CO39)</f>
        <v>0</v>
      </c>
      <c r="CP41" s="533">
        <f>IFERROR((CO41/$L$41),0)</f>
        <v>0</v>
      </c>
      <c r="CQ41" s="533">
        <f>IFERROR(((CO41*CQ$8)/$L$41),0)</f>
        <v>0</v>
      </c>
      <c r="CR41" s="533">
        <f>SUM(CR9:CR39)</f>
        <v>0</v>
      </c>
      <c r="CS41" s="533">
        <f>IFERROR((CR41/$L$41),0)</f>
        <v>0</v>
      </c>
      <c r="CT41" s="533">
        <f>IFERROR(((CR41*CT$8)/$L$41),0)</f>
        <v>0</v>
      </c>
      <c r="CU41" s="533">
        <f>SUM(CU9:CU39)</f>
        <v>0</v>
      </c>
      <c r="CV41" s="533">
        <f>IFERROR((CU41/$L$41),0)</f>
        <v>0</v>
      </c>
      <c r="CW41" s="533">
        <f>IFERROR(((CU41*CW$8)/$L$41),0)</f>
        <v>0</v>
      </c>
      <c r="CX41" s="533">
        <f>SUM(CX9:CX39)</f>
        <v>0</v>
      </c>
      <c r="CY41" s="533">
        <f>IFERROR((CX41/$L$41),0)</f>
        <v>0</v>
      </c>
      <c r="CZ41" s="533">
        <f>IFERROR(((CX41*CZ$8)/$L$41),0)</f>
        <v>0</v>
      </c>
      <c r="DA41" s="533">
        <f>SUM(DA9:DA39)</f>
        <v>712.20930232558135</v>
      </c>
      <c r="DB41" s="533">
        <f>IFERROR((DA41/$L$41),0)</f>
        <v>0</v>
      </c>
      <c r="DC41" s="533">
        <f>IFERROR(((DA41*DC$8)/$L$41),0)</f>
        <v>0</v>
      </c>
      <c r="DD41" s="533">
        <f>SUM(DD9:DD39)</f>
        <v>0</v>
      </c>
      <c r="DE41" s="533">
        <f>IFERROR((DD41/$L$41),0)</f>
        <v>0</v>
      </c>
      <c r="DF41" s="533">
        <f>IFERROR(((DD41*DF$8)/$L$41),0)</f>
        <v>0</v>
      </c>
      <c r="DG41" s="533">
        <f>SUM(DG14:DG39)</f>
        <v>0</v>
      </c>
      <c r="DH41" s="533">
        <f>IFERROR((DG41/$L$41),0)</f>
        <v>0</v>
      </c>
      <c r="DI41" s="533">
        <f>IFERROR(((DG41*DI$8)/$L$41),0)</f>
        <v>0</v>
      </c>
      <c r="DJ41" s="533">
        <f>SUM(DJ9:DJ39)</f>
        <v>0</v>
      </c>
      <c r="DK41" s="533">
        <f>IFERROR((DJ41/$L$41),0)</f>
        <v>0</v>
      </c>
      <c r="DL41" s="533">
        <f>IFERROR(((DJ41*DL$8)/$L$41),0)</f>
        <v>0</v>
      </c>
      <c r="DM41" s="533">
        <f>SUM(DM9:DM39)</f>
        <v>0</v>
      </c>
      <c r="DN41" s="533">
        <f>IFERROR((DM41/$L$41),0)</f>
        <v>0</v>
      </c>
      <c r="DO41" s="533">
        <f>IFERROR(((DM41*DO$8)/$L$41),0)</f>
        <v>0</v>
      </c>
      <c r="DP41" s="533">
        <f>SUM(DP9:DP39)</f>
        <v>0</v>
      </c>
      <c r="DQ41" s="533">
        <f>IFERROR((DP41/$L$41),0)</f>
        <v>0</v>
      </c>
      <c r="DR41" s="533">
        <f>IFERROR(((DP41*DR$8)/$L$41),0)</f>
        <v>0</v>
      </c>
      <c r="DS41" s="533">
        <f>SUM(DS9:DS39)</f>
        <v>0</v>
      </c>
      <c r="DT41" s="533">
        <f>IFERROR((DS41/$L$41),0)</f>
        <v>0</v>
      </c>
      <c r="DU41" s="533">
        <f>IFERROR(((DS41*DU$8)/$L$41),0)</f>
        <v>0</v>
      </c>
      <c r="DV41" s="533">
        <f>SUM(DV9:DV39)</f>
        <v>0</v>
      </c>
      <c r="DW41" s="533">
        <f>IFERROR((DV41/$L$41),0)</f>
        <v>0</v>
      </c>
      <c r="DX41" s="533">
        <f>IFERROR(((DV41*DX$8)/$L$41),0)</f>
        <v>0</v>
      </c>
      <c r="DY41" s="533">
        <f>SUM(DY9:DY39)</f>
        <v>0</v>
      </c>
      <c r="DZ41" s="533">
        <f>IFERROR((DY41/$L$41),0)</f>
        <v>0</v>
      </c>
      <c r="EA41" s="533">
        <f>IFERROR(((DY41*EA$8)/$L$41),0)</f>
        <v>0</v>
      </c>
      <c r="EB41" s="533">
        <f>SUM(EB9:EB39)</f>
        <v>0</v>
      </c>
      <c r="EC41" s="533">
        <f>IFERROR((EB41/$L$41),0)</f>
        <v>0</v>
      </c>
      <c r="ED41" s="533">
        <f>IFERROR(((EB41*ED$8)/$L$41),0)</f>
        <v>0</v>
      </c>
      <c r="EE41" s="533">
        <f>SUM(EE9:EE39)</f>
        <v>65.406976744185982</v>
      </c>
      <c r="EF41" s="533">
        <f>IFERROR((EE41/$L$41),0)</f>
        <v>0</v>
      </c>
      <c r="EG41" s="533">
        <f>IFERROR(((EE41*EG$8)/$L$41),0)</f>
        <v>0</v>
      </c>
      <c r="EH41" s="533">
        <f>SUM(EH9:EH39)</f>
        <v>31.9</v>
      </c>
      <c r="EI41" s="533">
        <f>IFERROR((EH41/$L$41),0)</f>
        <v>0</v>
      </c>
      <c r="EJ41" s="533">
        <f>IFERROR(((EH41*EJ$8)/$L$41),0)</f>
        <v>0</v>
      </c>
      <c r="EK41" s="533">
        <f>SUM(EK9:EK39)</f>
        <v>610.5411764705882</v>
      </c>
      <c r="EL41" s="533">
        <f>IFERROR((EK41/$L$41),0)</f>
        <v>0</v>
      </c>
      <c r="EM41" s="533">
        <f>IFERROR(((EK41*EM$8)/$L$41),0)</f>
        <v>0</v>
      </c>
      <c r="EN41" s="533">
        <f>SUM(EN9:EN39)</f>
        <v>0</v>
      </c>
      <c r="EO41" s="533">
        <f>IFERROR((EN41/$L$41),0)</f>
        <v>0</v>
      </c>
      <c r="EP41" s="533">
        <f>IFERROR(((EN41*EP$8)/$L$41),0)</f>
        <v>0</v>
      </c>
      <c r="EQ41" s="533">
        <f>SUM(EQ9:EQ39)</f>
        <v>0</v>
      </c>
      <c r="ER41" s="533">
        <f>IFERROR((EQ41/$L$41),0)</f>
        <v>0</v>
      </c>
      <c r="ES41" s="533">
        <f>IFERROR(((EQ41*ES$8)/$L$41),0)</f>
        <v>0</v>
      </c>
      <c r="ET41" s="533">
        <f>SUM(ET9:ET39)</f>
        <v>0</v>
      </c>
      <c r="EU41" s="533">
        <f>IFERROR((ET41/$L$41),0)</f>
        <v>0</v>
      </c>
      <c r="EV41" s="533">
        <f>IFERROR(((ET41*EV$8)/$L$41),0)</f>
        <v>0</v>
      </c>
      <c r="EW41" s="533">
        <f>SUM(EW9:EW39)</f>
        <v>0</v>
      </c>
      <c r="EX41" s="533">
        <f>IFERROR((EW41/$L$41),0)</f>
        <v>0</v>
      </c>
      <c r="EY41" s="533">
        <f>IFERROR(((EW41*EY$8)/$L$41),0)</f>
        <v>0</v>
      </c>
      <c r="EZ41" s="533">
        <f>SUM(EZ9:EZ39)</f>
        <v>0</v>
      </c>
      <c r="FA41" s="533">
        <f>IFERROR((EZ41/$L$41),0)</f>
        <v>0</v>
      </c>
      <c r="FB41" s="533">
        <f>IFERROR(((EZ41*FB$8)/$L$41),0)</f>
        <v>0</v>
      </c>
      <c r="FC41" s="533">
        <f>SUM(FC9:FC39)</f>
        <v>0</v>
      </c>
      <c r="FD41" s="533">
        <f>IFERROR((FC41/$L$41),0)</f>
        <v>0</v>
      </c>
      <c r="FE41" s="533">
        <f>IFERROR(((FC41*FE$8)/$L$41),0)</f>
        <v>0</v>
      </c>
      <c r="FF41" s="533">
        <f>SUM(FF9:FF39)</f>
        <v>0</v>
      </c>
      <c r="FG41" s="533">
        <f>IFERROR((FF41/$L$41),0)</f>
        <v>0</v>
      </c>
      <c r="FH41" s="533">
        <f>IFERROR(((FF41*FH$8)/$L$41),0)</f>
        <v>0</v>
      </c>
      <c r="FI41" s="533">
        <f>SUM(FI9:FI39)</f>
        <v>0</v>
      </c>
      <c r="FJ41" s="533">
        <f>IFERROR((FI41/$L$41),0)</f>
        <v>0</v>
      </c>
      <c r="FK41" s="533">
        <f>IFERROR(((FI41*FK$8)/$L$41),0)</f>
        <v>0</v>
      </c>
      <c r="FL41" s="533">
        <f>SUM(FL9:FL39)</f>
        <v>0</v>
      </c>
      <c r="FM41" s="533">
        <f>IFERROR((FL41/$L$41),0)</f>
        <v>0</v>
      </c>
      <c r="FN41" s="533">
        <f>IFERROR(((FL41*FN$8)/$L$41),0)</f>
        <v>0</v>
      </c>
      <c r="FO41" s="533">
        <f>SUM(FO9:FO39)</f>
        <v>0</v>
      </c>
      <c r="FP41" s="533">
        <f>IFERROR((FO41/$L$41),0)</f>
        <v>0</v>
      </c>
      <c r="FQ41" s="533">
        <f>IFERROR(((FO41*FQ$8)/$L$41),0)</f>
        <v>0</v>
      </c>
      <c r="FR41" s="533">
        <f>SUM(FR9:FR39)</f>
        <v>0</v>
      </c>
      <c r="FS41" s="533">
        <f>IFERROR((FR41/$L$41),0)</f>
        <v>0</v>
      </c>
      <c r="FT41" s="533">
        <f>IFERROR(((FR41*FT$8)/$L$41),0)</f>
        <v>0</v>
      </c>
      <c r="FU41" s="533">
        <f>SUM(FU9:FU39)</f>
        <v>0</v>
      </c>
      <c r="FV41" s="533">
        <f>IFERROR((FU41/$L$41),0)</f>
        <v>0</v>
      </c>
      <c r="FW41" s="533">
        <f>IFERROR(((FU41*FW$8)/$L$41),0)</f>
        <v>0</v>
      </c>
      <c r="FX41" s="533">
        <f>SUM(FX9:FX39)</f>
        <v>0</v>
      </c>
      <c r="FY41" s="533">
        <f>IFERROR((FX41/$L$41),0)</f>
        <v>0</v>
      </c>
      <c r="FZ41" s="533">
        <f>IFERROR(((FX41*FZ$8)/$L$41),0)</f>
        <v>0</v>
      </c>
      <c r="GA41" s="533">
        <f>SUM(GA9:GA39)</f>
        <v>0</v>
      </c>
      <c r="GB41" s="533">
        <f>IFERROR((GA41/$L$41),0)</f>
        <v>0</v>
      </c>
      <c r="GC41" s="533">
        <f>IFERROR(((GA41*GC$8)/$L$41),0)</f>
        <v>0</v>
      </c>
      <c r="GD41" s="533">
        <f>SUM(GD9:GD39)</f>
        <v>0</v>
      </c>
      <c r="GE41" s="533">
        <f>IFERROR((GD41/$L$41),0)</f>
        <v>0</v>
      </c>
      <c r="GF41" s="533">
        <f>IFERROR(((GD41*GF$8)/$L$41),0)</f>
        <v>0</v>
      </c>
      <c r="GG41" s="533">
        <f>SUM(GG9:GG39)</f>
        <v>0</v>
      </c>
      <c r="GH41" s="533">
        <f>IFERROR((GG41/$L$41),0)</f>
        <v>0</v>
      </c>
      <c r="GI41" s="533">
        <f>IFERROR(((GG41*GI$8)/$L$41),0)</f>
        <v>0</v>
      </c>
      <c r="GJ41" s="533">
        <f>SUM(GJ9:GJ39)</f>
        <v>0</v>
      </c>
      <c r="GK41" s="533">
        <f>IFERROR((GJ41/$L$41),0)</f>
        <v>0</v>
      </c>
      <c r="GL41" s="533">
        <f>IFERROR(((GJ41*GL$8)/$L$41),0)</f>
        <v>0</v>
      </c>
      <c r="GM41" s="533">
        <f>SUM(GM9:GM39)</f>
        <v>0</v>
      </c>
      <c r="GN41" s="533">
        <f>IFERROR((GM41/$L$41),0)</f>
        <v>0</v>
      </c>
      <c r="GO41" s="533">
        <f>IFERROR(((GM41*GO$8)/$L$41),0)</f>
        <v>0</v>
      </c>
      <c r="GP41" s="533">
        <f>SUM(GP9:GP39)</f>
        <v>0</v>
      </c>
      <c r="GQ41" s="533">
        <f>IFERROR((GP41/$L$41),0)</f>
        <v>0</v>
      </c>
      <c r="GR41" s="533">
        <f>IFERROR(((GP41*GR$8)/$L$41),0)</f>
        <v>0</v>
      </c>
      <c r="GS41" s="533">
        <f>SUM(GS9:GS39)</f>
        <v>0</v>
      </c>
      <c r="GT41" s="533">
        <f>IFERROR((GS41/$L$41),0)</f>
        <v>0</v>
      </c>
      <c r="GU41" s="533">
        <f>IFERROR(((GS41*GU$8)/$L$41),0)</f>
        <v>0</v>
      </c>
      <c r="GV41" s="533">
        <f>SUM(GV9:GV39)</f>
        <v>0</v>
      </c>
      <c r="GW41" s="533">
        <f>IFERROR((GV41/$L$41),0)</f>
        <v>0</v>
      </c>
      <c r="GX41" s="533">
        <f>IFERROR(((GV41*GX$8)/$L$41),0)</f>
        <v>0</v>
      </c>
      <c r="GY41" s="533">
        <f>SUM(GY9:GY39)</f>
        <v>0</v>
      </c>
      <c r="GZ41" s="533">
        <f>IFERROR((GY41/$L$41),0)</f>
        <v>0</v>
      </c>
      <c r="HA41" s="533">
        <f>IFERROR(((GY41*HA$8)/$L$41),0)</f>
        <v>0</v>
      </c>
      <c r="HB41" s="533">
        <f>SUM(HB9:HB39)</f>
        <v>0</v>
      </c>
      <c r="HC41" s="533">
        <f>IFERROR((HB41/$L$41),0)</f>
        <v>0</v>
      </c>
      <c r="HD41" s="533">
        <f>IFERROR(((HB41*HD$8)/$L$41),0)</f>
        <v>0</v>
      </c>
      <c r="HE41" s="533">
        <f>SUM(HE9:HE39)</f>
        <v>0</v>
      </c>
      <c r="HF41" s="533">
        <f>IFERROR((HE41/$L$41),0)</f>
        <v>0</v>
      </c>
      <c r="HG41" s="533">
        <f>IFERROR(((HE41*HG$8)/$L$41),0)</f>
        <v>0</v>
      </c>
      <c r="HH41" s="533">
        <f>SUM(HH9:HH39)</f>
        <v>0</v>
      </c>
      <c r="HI41" s="533">
        <f>IFERROR((HH41/$L$41),0)</f>
        <v>0</v>
      </c>
      <c r="HJ41" s="533">
        <f>IFERROR(((HH41*HJ$8)/$L$41),0)</f>
        <v>0</v>
      </c>
      <c r="HK41" s="533">
        <f>SUM(HK9:HK39)</f>
        <v>0</v>
      </c>
      <c r="HL41" s="533">
        <f>IFERROR((HK41/$L$41),0)</f>
        <v>0</v>
      </c>
      <c r="HM41" s="533">
        <f>IFERROR(((HK41*HM$8)/$L$41),0)</f>
        <v>0</v>
      </c>
      <c r="HN41" s="533">
        <f>SUM(HN9:HN39)</f>
        <v>0</v>
      </c>
      <c r="HO41" s="533">
        <f>IFERROR((HN41/$L$41),0)</f>
        <v>0</v>
      </c>
      <c r="HP41" s="533">
        <f>IFERROR(((HN41*HP$8)/$L$41),0)</f>
        <v>0</v>
      </c>
      <c r="HQ41" s="533">
        <f>SUM(HQ9:HQ39)</f>
        <v>0</v>
      </c>
      <c r="HR41" s="533">
        <f>IFERROR((HQ41/$L$41),0)</f>
        <v>0</v>
      </c>
      <c r="HS41" s="533">
        <f>IFERROR(((HQ41*HS$8)/$L$41),0)</f>
        <v>0</v>
      </c>
      <c r="HT41" s="533">
        <f>SUM(HT9:HT39)</f>
        <v>0</v>
      </c>
      <c r="HU41" s="533">
        <f>IFERROR((HT41/$L$41),0)</f>
        <v>0</v>
      </c>
      <c r="HV41" s="533">
        <f>IFERROR(((HT41*HV$8)/$L$41),0)</f>
        <v>0</v>
      </c>
      <c r="HW41" s="533">
        <f>SUM(HW9:HW39)</f>
        <v>0</v>
      </c>
      <c r="HX41" s="533">
        <f>IFERROR((HW41/$L$41),0)</f>
        <v>0</v>
      </c>
      <c r="HY41" s="533">
        <f>IFERROR(((HW41*HY$8)/$L$41),0)</f>
        <v>0</v>
      </c>
      <c r="HZ41" s="533">
        <f>SUM(HZ9:HZ39)</f>
        <v>0</v>
      </c>
      <c r="IA41" s="533">
        <f>IFERROR((HZ41/$L$41),0)</f>
        <v>0</v>
      </c>
      <c r="IB41" s="533">
        <f>IFERROR(((HZ41*IB$8)/$L$41),0)</f>
        <v>0</v>
      </c>
      <c r="IC41" s="533">
        <f>SUM(IC9:IC39)</f>
        <v>0</v>
      </c>
      <c r="ID41" s="533">
        <f>IFERROR((IC41/$L$41),0)</f>
        <v>0</v>
      </c>
      <c r="IE41" s="533">
        <f>IFERROR(((IC41*IE$8)/$L$41),0)</f>
        <v>0</v>
      </c>
      <c r="IF41" s="533">
        <f>SUM(IF9:IF39)</f>
        <v>0</v>
      </c>
      <c r="IG41" s="533">
        <f>IFERROR((IF41/$L$41),0)</f>
        <v>0</v>
      </c>
      <c r="IH41" s="533">
        <f>IFERROR(((IF41*IH$8)/$L$41),0)</f>
        <v>0</v>
      </c>
      <c r="II41" s="533">
        <f>SUM(II9:II39)</f>
        <v>0</v>
      </c>
      <c r="IJ41" s="533">
        <f>IFERROR((II41/$L$41),0)</f>
        <v>0</v>
      </c>
      <c r="IK41" s="533">
        <f>IFERROR(((II41*IK$8)/$L$41),0)</f>
        <v>0</v>
      </c>
      <c r="IL41" s="533">
        <f>SUM(IL9:IL39)</f>
        <v>0</v>
      </c>
      <c r="IM41" s="533">
        <f>IFERROR((IL41/$L$41),0)</f>
        <v>0</v>
      </c>
      <c r="IN41" s="533">
        <f>IFERROR(((IL41*IN$8)/$L$41),0)</f>
        <v>0</v>
      </c>
      <c r="IO41" s="533">
        <f>SUM(IO9:IO39)</f>
        <v>0</v>
      </c>
      <c r="IP41" s="533">
        <f>IFERROR((IO41/$L$41),0)</f>
        <v>0</v>
      </c>
      <c r="IQ41" s="533">
        <f>IFERROR(((IO41*IQ$8)/$L$41),0)</f>
        <v>0</v>
      </c>
      <c r="IR41" s="533">
        <f>SUM(IR9:IR39)</f>
        <v>0</v>
      </c>
      <c r="IS41" s="533">
        <f>IFERROR((IR41/$L$41),0)</f>
        <v>0</v>
      </c>
      <c r="IT41" s="533">
        <f>IFERROR(((IR41*IT$8)/$L$41),0)</f>
        <v>0</v>
      </c>
      <c r="IU41" s="533">
        <f>SUM(IU9:IU39)</f>
        <v>0</v>
      </c>
      <c r="IV41" s="533">
        <f>IFERROR((IU41/$L$41),0)</f>
        <v>0</v>
      </c>
      <c r="IW41" s="533">
        <f>IFERROR(((IU41*IW$8)/$L$41),0)</f>
        <v>0</v>
      </c>
      <c r="IX41" s="533">
        <f>SUM(IX9:IX39)</f>
        <v>0</v>
      </c>
      <c r="IY41" s="533">
        <f>IFERROR((IX41/$L$41),0)</f>
        <v>0</v>
      </c>
      <c r="IZ41" s="533">
        <f>IFERROR(((IX41*IZ$8)/$L$41),0)</f>
        <v>0</v>
      </c>
      <c r="JA41" s="533">
        <f>SUM(JA9:JA39)</f>
        <v>0</v>
      </c>
      <c r="JB41" s="533">
        <f>IFERROR((JA41/$L$41),0)</f>
        <v>0</v>
      </c>
      <c r="JC41" s="533">
        <f>IFERROR(((JA41*JC$8)/$L$41),0)</f>
        <v>0</v>
      </c>
      <c r="JD41" s="533">
        <f>SUM(JD9:JD39)</f>
        <v>0</v>
      </c>
      <c r="JE41" s="533">
        <f>IFERROR((JD41/$L$41),0)</f>
        <v>0</v>
      </c>
      <c r="JF41" s="533">
        <f>IFERROR(((JD41*JF$8)/$L$41),0)</f>
        <v>0</v>
      </c>
      <c r="JG41" s="533">
        <f>SUM(JG9:JG39)</f>
        <v>0</v>
      </c>
      <c r="JH41" s="533">
        <f>IFERROR((JG41/$L$41),0)</f>
        <v>0</v>
      </c>
      <c r="JI41" s="533">
        <f>IFERROR(((JG41*JI$8)/$L$41),0)</f>
        <v>0</v>
      </c>
      <c r="JJ41" s="533">
        <f>SUM(JJ9:JJ39)</f>
        <v>0</v>
      </c>
      <c r="JK41" s="533">
        <f>IFERROR((JJ41/$L$41),0)</f>
        <v>0</v>
      </c>
      <c r="JL41" s="533">
        <f>IFERROR(((JJ41*JL$8)/$L$41),0)</f>
        <v>0</v>
      </c>
      <c r="JM41" s="533">
        <f>SUM(JM9:JM39)</f>
        <v>0</v>
      </c>
      <c r="JN41" s="533">
        <f>IFERROR((JM41/$L$41),0)</f>
        <v>0</v>
      </c>
      <c r="JO41" s="533">
        <f>IFERROR(((JM41*JO$8)/$L$41),0)</f>
        <v>0</v>
      </c>
      <c r="JP41" s="533">
        <f>SUM(JP9:JP39)</f>
        <v>0</v>
      </c>
      <c r="JQ41" s="533">
        <f>IFERROR((JP41/$L$41),0)</f>
        <v>0</v>
      </c>
      <c r="JR41" s="533">
        <f>IFERROR(((JP41*JR$8)/$L$41),0)</f>
        <v>0</v>
      </c>
      <c r="JS41" s="533">
        <f>SUM(JS9:JS39)</f>
        <v>0</v>
      </c>
      <c r="JT41" s="533">
        <f>IFERROR((JS41/$L$41),0)</f>
        <v>0</v>
      </c>
      <c r="JU41" s="533">
        <f>IFERROR(((JS41*JU$8)/$L$41),0)</f>
        <v>0</v>
      </c>
      <c r="JV41" s="533">
        <f>SUM(JV9:JV39)</f>
        <v>0</v>
      </c>
      <c r="JW41" s="533">
        <f>IFERROR((JV41/$L$41),0)</f>
        <v>0</v>
      </c>
      <c r="JX41" s="533">
        <f>IFERROR(((JV41*JX$8)/$L$41),0)</f>
        <v>0</v>
      </c>
      <c r="JY41" s="533">
        <f>SUM(JY9:JY39)</f>
        <v>0</v>
      </c>
      <c r="JZ41" s="533">
        <f>IFERROR((JY41/$L$41),0)</f>
        <v>0</v>
      </c>
      <c r="KA41" s="533">
        <f>IFERROR(((JY41*KA$8)/$L$41),0)</f>
        <v>0</v>
      </c>
      <c r="KB41" s="533">
        <f>SUM(KB9:KB39)</f>
        <v>0</v>
      </c>
      <c r="KC41" s="533">
        <f>IFERROR((KB41/$L$41),0)</f>
        <v>0</v>
      </c>
      <c r="KD41" s="533">
        <f>IFERROR(((KB41*KD$8)/$L$41),0)</f>
        <v>0</v>
      </c>
      <c r="KE41" s="533">
        <f>SUM(KE9:KE39)</f>
        <v>0</v>
      </c>
      <c r="KF41" s="533">
        <f>IFERROR((KE41/$L$41),0)</f>
        <v>0</v>
      </c>
      <c r="KG41" s="533">
        <f>IFERROR(((KE41*KG$8)/$L$41),0)</f>
        <v>0</v>
      </c>
      <c r="KH41" s="533">
        <f>SUM(KH9:KH39)</f>
        <v>0</v>
      </c>
      <c r="KI41" s="533">
        <f>IFERROR((KH41/$L$41),0)</f>
        <v>0</v>
      </c>
      <c r="KJ41" s="533">
        <f>IFERROR(((KH41*KJ$8)/$L$41),0)</f>
        <v>0</v>
      </c>
      <c r="KK41" s="533">
        <f>SUM(KK9:KK39)</f>
        <v>0</v>
      </c>
      <c r="KL41" s="533">
        <f>IFERROR((KK41/$L$41),0)</f>
        <v>0</v>
      </c>
      <c r="KM41" s="533">
        <f>IFERROR(((KK41*KM$8)/$L$41),0)</f>
        <v>0</v>
      </c>
      <c r="KN41" s="533">
        <f>SUM(KN9:KN39)</f>
        <v>0</v>
      </c>
      <c r="KO41" s="533">
        <f>IFERROR((KN41/$L$41),0)</f>
        <v>0</v>
      </c>
      <c r="KP41" s="533">
        <f>IFERROR(((KN41*KP$8)/$L$41),0)</f>
        <v>0</v>
      </c>
      <c r="KQ41" s="533">
        <f>SUM(KQ9:KQ39)</f>
        <v>0</v>
      </c>
      <c r="KR41" s="533">
        <f>IFERROR((KQ41/$L$41),0)</f>
        <v>0</v>
      </c>
      <c r="KS41" s="533">
        <f>IFERROR(((KQ41*KS$8)/$L$41),0)</f>
        <v>0</v>
      </c>
      <c r="KT41" s="534">
        <f t="shared" si="201"/>
        <v>0</v>
      </c>
      <c r="KU41" s="534">
        <f t="shared" si="202"/>
        <v>0</v>
      </c>
      <c r="KV41" s="268">
        <f t="shared" si="199"/>
        <v>5868.4769952171446</v>
      </c>
    </row>
    <row r="43" spans="1:308" ht="15" customHeight="1">
      <c r="A43" s="275" t="s">
        <v>137</v>
      </c>
      <c r="B43" s="276" t="s">
        <v>138</v>
      </c>
      <c r="C43" s="277" t="s">
        <v>148</v>
      </c>
      <c r="D43" s="265"/>
      <c r="E43" s="265"/>
    </row>
    <row r="44" spans="1:308" ht="15" customHeight="1">
      <c r="A44" s="278"/>
      <c r="B44" s="276" t="s">
        <v>139</v>
      </c>
      <c r="C44" s="277" t="s">
        <v>145</v>
      </c>
      <c r="D44" s="265"/>
      <c r="E44" s="265"/>
    </row>
    <row r="45" spans="1:308" ht="15" customHeight="1">
      <c r="A45" s="278"/>
      <c r="B45" s="279" t="s">
        <v>140</v>
      </c>
      <c r="C45" s="277" t="s">
        <v>141</v>
      </c>
      <c r="D45" s="265"/>
      <c r="E45" s="265"/>
    </row>
  </sheetData>
  <mergeCells count="210">
    <mergeCell ref="KK7:KL7"/>
    <mergeCell ref="KN7:KO7"/>
    <mergeCell ref="KQ7:KR7"/>
    <mergeCell ref="A41:C41"/>
    <mergeCell ref="JS7:JT7"/>
    <mergeCell ref="JV7:JW7"/>
    <mergeCell ref="JY7:JZ7"/>
    <mergeCell ref="KB7:KC7"/>
    <mergeCell ref="KE7:KF7"/>
    <mergeCell ref="KH7:KI7"/>
    <mergeCell ref="JA7:JB7"/>
    <mergeCell ref="JD7:JE7"/>
    <mergeCell ref="JG7:JH7"/>
    <mergeCell ref="JJ7:JK7"/>
    <mergeCell ref="JM7:JN7"/>
    <mergeCell ref="JP7:JQ7"/>
    <mergeCell ref="II7:IJ7"/>
    <mergeCell ref="IL7:IM7"/>
    <mergeCell ref="IO7:IP7"/>
    <mergeCell ref="IR7:IS7"/>
    <mergeCell ref="IU7:IV7"/>
    <mergeCell ref="IX7:IY7"/>
    <mergeCell ref="HQ7:HR7"/>
    <mergeCell ref="HT7:HU7"/>
    <mergeCell ref="HW7:HX7"/>
    <mergeCell ref="HZ7:IA7"/>
    <mergeCell ref="IC7:ID7"/>
    <mergeCell ref="IF7:IG7"/>
    <mergeCell ref="GY7:GZ7"/>
    <mergeCell ref="HB7:HC7"/>
    <mergeCell ref="HE7:HF7"/>
    <mergeCell ref="HH7:HI7"/>
    <mergeCell ref="HK7:HL7"/>
    <mergeCell ref="HN7:HO7"/>
    <mergeCell ref="GG7:GH7"/>
    <mergeCell ref="GJ7:GK7"/>
    <mergeCell ref="GM7:GN7"/>
    <mergeCell ref="GP7:GQ7"/>
    <mergeCell ref="GS7:GT7"/>
    <mergeCell ref="GV7:GW7"/>
    <mergeCell ref="FO7:FP7"/>
    <mergeCell ref="FR7:FS7"/>
    <mergeCell ref="FU7:FV7"/>
    <mergeCell ref="FX7:FY7"/>
    <mergeCell ref="GA7:GB7"/>
    <mergeCell ref="GD7:GE7"/>
    <mergeCell ref="EW7:EX7"/>
    <mergeCell ref="EZ7:FA7"/>
    <mergeCell ref="FC7:FD7"/>
    <mergeCell ref="FF7:FG7"/>
    <mergeCell ref="FI7:FJ7"/>
    <mergeCell ref="FL7:FM7"/>
    <mergeCell ref="EE7:EF7"/>
    <mergeCell ref="EH7:EI7"/>
    <mergeCell ref="EK7:EL7"/>
    <mergeCell ref="EN7:EO7"/>
    <mergeCell ref="EQ7:ER7"/>
    <mergeCell ref="ET7:EU7"/>
    <mergeCell ref="DM7:DN7"/>
    <mergeCell ref="DP7:DQ7"/>
    <mergeCell ref="DS7:DT7"/>
    <mergeCell ref="DV7:DW7"/>
    <mergeCell ref="DY7:DZ7"/>
    <mergeCell ref="EB7:EC7"/>
    <mergeCell ref="CU7:CV7"/>
    <mergeCell ref="CX7:CY7"/>
    <mergeCell ref="DA7:DB7"/>
    <mergeCell ref="DD7:DE7"/>
    <mergeCell ref="DG7:DH7"/>
    <mergeCell ref="DJ7:DK7"/>
    <mergeCell ref="CC7:CD7"/>
    <mergeCell ref="CF7:CG7"/>
    <mergeCell ref="CI7:CJ7"/>
    <mergeCell ref="CL7:CM7"/>
    <mergeCell ref="CO7:CP7"/>
    <mergeCell ref="CR7:CS7"/>
    <mergeCell ref="BK7:BL7"/>
    <mergeCell ref="BN7:BO7"/>
    <mergeCell ref="BQ7:BR7"/>
    <mergeCell ref="BT7:BU7"/>
    <mergeCell ref="BW7:BX7"/>
    <mergeCell ref="BZ7:CA7"/>
    <mergeCell ref="AS7:AT7"/>
    <mergeCell ref="AV7:AW7"/>
    <mergeCell ref="AY7:AZ7"/>
    <mergeCell ref="BB7:BC7"/>
    <mergeCell ref="BE7:BF7"/>
    <mergeCell ref="BH7:BI7"/>
    <mergeCell ref="AA7:AB7"/>
    <mergeCell ref="AD7:AE7"/>
    <mergeCell ref="AG7:AH7"/>
    <mergeCell ref="AJ7:AK7"/>
    <mergeCell ref="AM7:AN7"/>
    <mergeCell ref="AP7:AQ7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F5:GC5"/>
    <mergeCell ref="GD5:KS5"/>
    <mergeCell ref="KT5:KT8"/>
    <mergeCell ref="KU5:KU8"/>
    <mergeCell ref="A6:A8"/>
    <mergeCell ref="B6:B8"/>
    <mergeCell ref="C6:C8"/>
    <mergeCell ref="D6:D8"/>
    <mergeCell ref="E6:E8"/>
    <mergeCell ref="F6:H6"/>
    <mergeCell ref="AA6:AC6"/>
    <mergeCell ref="AD6:AF6"/>
    <mergeCell ref="AG6:AI6"/>
    <mergeCell ref="AJ6:AL6"/>
    <mergeCell ref="AM6:AO6"/>
    <mergeCell ref="AP6:AR6"/>
    <mergeCell ref="I6:K6"/>
    <mergeCell ref="L6:N6"/>
    <mergeCell ref="O6:Q6"/>
    <mergeCell ref="R6:T6"/>
    <mergeCell ref="U6:W6"/>
    <mergeCell ref="X6:Z6"/>
    <mergeCell ref="BK6:BM6"/>
    <mergeCell ref="BN6:BP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M1" activePane="topRight" state="frozen"/>
      <selection pane="topRight" activeCell="X5" sqref="X5"/>
    </sheetView>
  </sheetViews>
  <sheetFormatPr defaultRowHeight="12.75"/>
  <cols>
    <col min="1" max="1" width="17.5703125" bestFit="1" customWidth="1"/>
    <col min="2" max="13" width="9.140625" customWidth="1"/>
    <col min="14" max="14" width="9.42578125" customWidth="1"/>
    <col min="15" max="21" width="9.140625" customWidth="1"/>
    <col min="22" max="22" width="9.28515625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4880</v>
      </c>
      <c r="C1">
        <v>4320</v>
      </c>
      <c r="D1">
        <v>4300</v>
      </c>
      <c r="E1">
        <v>3890</v>
      </c>
      <c r="F1">
        <v>3510</v>
      </c>
      <c r="G1">
        <v>4090</v>
      </c>
      <c r="H1">
        <v>4230</v>
      </c>
      <c r="I1">
        <v>4510</v>
      </c>
      <c r="J1">
        <v>4780</v>
      </c>
      <c r="K1">
        <v>41000</v>
      </c>
      <c r="L1">
        <v>4740</v>
      </c>
      <c r="M1">
        <v>3190</v>
      </c>
      <c r="N1">
        <v>4720</v>
      </c>
      <c r="O1">
        <v>4380</v>
      </c>
      <c r="P1">
        <v>4560</v>
      </c>
      <c r="Q1">
        <v>4620</v>
      </c>
      <c r="R1">
        <v>4620</v>
      </c>
      <c r="AB1">
        <v>4240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64" t="s">
        <v>256</v>
      </c>
      <c r="AH2" s="465" t="s">
        <v>257</v>
      </c>
      <c r="AI2" s="491" t="s">
        <v>277</v>
      </c>
    </row>
    <row r="3" spans="1:35">
      <c r="A3" s="446" t="s">
        <v>197</v>
      </c>
      <c r="B3" s="6">
        <f>3543/1000</f>
        <v>3.5430000000000001</v>
      </c>
      <c r="C3" s="6">
        <f>5158/1000</f>
        <v>5.1580000000000004</v>
      </c>
      <c r="D3" s="6">
        <f>2666/1000</f>
        <v>2.6659999999999999</v>
      </c>
      <c r="E3" s="6">
        <f>3737/1000</f>
        <v>3.7370000000000001</v>
      </c>
      <c r="F3" s="6">
        <f>3170/1000</f>
        <v>3.17</v>
      </c>
      <c r="G3" s="6">
        <f>3085/1000</f>
        <v>3.085</v>
      </c>
      <c r="H3" s="6">
        <f>2409/1000</f>
        <v>2.4089999999999998</v>
      </c>
      <c r="I3" s="6">
        <f>2343/1000</f>
        <v>2.343</v>
      </c>
      <c r="J3" s="6">
        <f>2656/1000</f>
        <v>2.6560000000000001</v>
      </c>
      <c r="K3" s="6">
        <f>4822/1000</f>
        <v>4.8220000000000001</v>
      </c>
      <c r="L3" s="6">
        <f>2735/1000</f>
        <v>2.7349999999999999</v>
      </c>
      <c r="M3" s="6">
        <f>3135/1000</f>
        <v>3.1349999999999998</v>
      </c>
      <c r="N3" s="6">
        <f>2600/1000</f>
        <v>2.6</v>
      </c>
      <c r="O3" s="6">
        <f>5667/1000</f>
        <v>5.6669999999999998</v>
      </c>
      <c r="P3" s="6">
        <f>2725/1000</f>
        <v>2.7250000000000001</v>
      </c>
      <c r="Q3" s="6">
        <f>3028/1000</f>
        <v>3.028</v>
      </c>
      <c r="R3" s="6">
        <f>2208/1000</f>
        <v>2.2080000000000002</v>
      </c>
      <c r="S3" s="6">
        <f>2666/1000</f>
        <v>2.6659999999999999</v>
      </c>
      <c r="T3" s="6"/>
      <c r="U3" s="6"/>
      <c r="V3" s="6"/>
      <c r="W3" s="6"/>
      <c r="X3" s="6"/>
      <c r="Y3" s="6"/>
      <c r="Z3" s="6"/>
      <c r="AA3" s="6"/>
      <c r="AB3" s="6">
        <f>1890/1000</f>
        <v>1.89</v>
      </c>
      <c r="AC3" s="6"/>
      <c r="AD3" s="6"/>
      <c r="AE3" s="6"/>
      <c r="AF3" s="6"/>
      <c r="AG3" s="6">
        <f>+AC3</f>
        <v>0</v>
      </c>
      <c r="AH3" s="466">
        <f>+AG3/Efficiency1!$K$189</f>
        <v>0</v>
      </c>
      <c r="AI3" s="729">
        <f>SUM(AH3:AH4)</f>
        <v>0</v>
      </c>
    </row>
    <row r="4" spans="1:35">
      <c r="A4" s="446" t="s">
        <v>198</v>
      </c>
      <c r="B4" s="6">
        <f>519/1000</f>
        <v>0.51900000000000002</v>
      </c>
      <c r="C4" s="6">
        <f>874/1000</f>
        <v>0.874</v>
      </c>
      <c r="D4" s="6">
        <f>1572/1000</f>
        <v>1.5720000000000001</v>
      </c>
      <c r="E4" s="6">
        <f>712/1000</f>
        <v>0.71199999999999997</v>
      </c>
      <c r="F4" s="6">
        <f>356/1000</f>
        <v>0.35599999999999998</v>
      </c>
      <c r="G4" s="6">
        <f>1035/1000</f>
        <v>1.0349999999999999</v>
      </c>
      <c r="H4" s="6">
        <f>1783/1000</f>
        <v>1.7829999999999999</v>
      </c>
      <c r="I4" s="6">
        <f>1783/1000</f>
        <v>1.7829999999999999</v>
      </c>
      <c r="J4" s="6">
        <f>1885/1000</f>
        <v>1.885</v>
      </c>
      <c r="K4" s="6">
        <f>891/1000</f>
        <v>0.89100000000000001</v>
      </c>
      <c r="L4" s="6">
        <f>822/1000</f>
        <v>0.82199999999999995</v>
      </c>
      <c r="M4" s="6">
        <f>249/1000</f>
        <v>0.249</v>
      </c>
      <c r="N4" s="447">
        <f>1104/1000</f>
        <v>1.1040000000000001</v>
      </c>
      <c r="O4" s="447">
        <f>891/1000</f>
        <v>0.89100000000000001</v>
      </c>
      <c r="P4" s="6">
        <f>972/1000</f>
        <v>0.97199999999999998</v>
      </c>
      <c r="Q4" s="6">
        <f>891/1000</f>
        <v>0.89100000000000001</v>
      </c>
      <c r="R4" s="6">
        <f>190/1000</f>
        <v>0.19</v>
      </c>
      <c r="S4" s="6">
        <f>1008/1000</f>
        <v>1.008</v>
      </c>
      <c r="T4" s="6"/>
      <c r="U4" s="6"/>
      <c r="V4" s="6"/>
      <c r="W4" s="447"/>
      <c r="X4" s="6"/>
      <c r="Y4" s="6"/>
      <c r="Z4" s="6"/>
      <c r="AA4" s="6"/>
      <c r="AB4" s="6">
        <f>1043/1000</f>
        <v>1.0429999999999999</v>
      </c>
      <c r="AC4" s="6"/>
      <c r="AD4" s="6"/>
      <c r="AE4" s="6"/>
      <c r="AF4" s="6"/>
      <c r="AG4" s="6">
        <f>+AC4</f>
        <v>0</v>
      </c>
      <c r="AH4" s="466">
        <f>+AG4/Efficiency1!$K$189</f>
        <v>0</v>
      </c>
      <c r="AI4" s="730"/>
    </row>
    <row r="5" spans="1:35">
      <c r="A5" s="492"/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4"/>
      <c r="O5" s="494"/>
      <c r="P5" s="493"/>
      <c r="Q5" s="493"/>
      <c r="R5" s="493"/>
      <c r="S5" s="493"/>
      <c r="T5" s="493"/>
      <c r="U5" s="493"/>
      <c r="V5" s="493"/>
      <c r="W5" s="494"/>
      <c r="X5" s="493"/>
      <c r="Y5" s="493"/>
      <c r="Z5" s="493"/>
      <c r="AA5" s="493"/>
      <c r="AB5" s="493"/>
      <c r="AC5" s="493"/>
      <c r="AD5" s="493"/>
      <c r="AE5" s="493"/>
      <c r="AF5" s="493"/>
      <c r="AG5" s="493"/>
      <c r="AH5" s="495"/>
    </row>
    <row r="6" spans="1:35">
      <c r="A6" s="446" t="s">
        <v>199</v>
      </c>
      <c r="B6" s="447">
        <v>0.21</v>
      </c>
      <c r="C6" s="6">
        <v>0.372</v>
      </c>
      <c r="D6" s="6">
        <v>0.30099999999999999</v>
      </c>
      <c r="E6" s="6">
        <v>0.65</v>
      </c>
      <c r="F6" s="6">
        <v>0.56000000000000005</v>
      </c>
      <c r="G6" s="6">
        <v>0.55200000000000005</v>
      </c>
      <c r="H6" s="6">
        <v>0.53</v>
      </c>
      <c r="I6" s="6">
        <v>0.57899999999999996</v>
      </c>
      <c r="J6" s="6">
        <v>0.57199999999999995</v>
      </c>
      <c r="K6" s="6">
        <v>2.04</v>
      </c>
      <c r="L6" s="6">
        <v>0.81599999999999995</v>
      </c>
      <c r="M6" s="6">
        <f>1012/1000</f>
        <v>1.012</v>
      </c>
      <c r="N6" s="6">
        <v>0.59</v>
      </c>
      <c r="O6" s="6">
        <v>0.55000000000000004</v>
      </c>
      <c r="P6" s="6">
        <v>0.38</v>
      </c>
      <c r="Q6" s="6">
        <v>0.49</v>
      </c>
      <c r="R6" s="6">
        <v>0.56499999999999995</v>
      </c>
      <c r="S6" s="6">
        <v>0.55200000000000005</v>
      </c>
      <c r="T6" s="6"/>
      <c r="U6" s="6"/>
      <c r="V6" s="6"/>
      <c r="W6" s="447"/>
      <c r="X6" s="6"/>
      <c r="Y6" s="6"/>
      <c r="Z6" s="6"/>
      <c r="AA6" s="6"/>
      <c r="AB6" s="447">
        <v>0.28000000000000003</v>
      </c>
      <c r="AC6" s="6"/>
      <c r="AD6" s="6"/>
      <c r="AE6" s="6"/>
      <c r="AF6" s="6"/>
      <c r="AG6" s="6">
        <f t="shared" ref="AG6:AG37" si="0">+SUM(B6:AC6)</f>
        <v>11.600999999999999</v>
      </c>
      <c r="AH6" s="496">
        <f t="shared" ref="AH6:AH36" si="1">+AG6/$AG$39</f>
        <v>0.34669176976869276</v>
      </c>
    </row>
    <row r="7" spans="1:35">
      <c r="A7" s="446" t="s">
        <v>221</v>
      </c>
      <c r="B7" s="6">
        <v>0.15</v>
      </c>
      <c r="C7" s="6">
        <f>1070/1000</f>
        <v>1.07</v>
      </c>
      <c r="D7" s="6">
        <v>1.222</v>
      </c>
      <c r="E7" s="6">
        <v>0.54500000000000004</v>
      </c>
      <c r="F7" s="6">
        <v>1.26</v>
      </c>
      <c r="G7" s="6">
        <v>0.63400000000000001</v>
      </c>
      <c r="H7" s="6">
        <v>0.64</v>
      </c>
      <c r="I7" s="6">
        <v>0.5</v>
      </c>
      <c r="J7" s="6">
        <v>0.56999999999999995</v>
      </c>
      <c r="K7" s="6">
        <v>0.24</v>
      </c>
      <c r="L7" s="6">
        <v>0.64200000000000002</v>
      </c>
      <c r="M7" s="6">
        <v>0.46800000000000003</v>
      </c>
      <c r="N7" s="6">
        <v>0.36</v>
      </c>
      <c r="O7" s="6">
        <v>0.91100000000000003</v>
      </c>
      <c r="P7" s="6">
        <v>1.3440000000000001</v>
      </c>
      <c r="Q7" s="6">
        <v>0.80100000000000005</v>
      </c>
      <c r="R7" s="478">
        <v>0.66200000000000003</v>
      </c>
      <c r="S7" s="6">
        <v>0.60799999999999998</v>
      </c>
      <c r="T7" s="6"/>
      <c r="U7" s="6"/>
      <c r="V7" s="6"/>
      <c r="W7" s="6"/>
      <c r="X7" s="6"/>
      <c r="Y7" s="6"/>
      <c r="Z7" s="6"/>
      <c r="AA7" s="6"/>
      <c r="AB7" s="447">
        <v>0.35199999999999998</v>
      </c>
      <c r="AC7" s="6"/>
      <c r="AD7" s="6"/>
      <c r="AE7" s="6"/>
      <c r="AF7" s="6"/>
      <c r="AG7" s="6">
        <f t="shared" si="0"/>
        <v>12.979000000000001</v>
      </c>
      <c r="AH7" s="466">
        <f t="shared" si="1"/>
        <v>0.38787281094973403</v>
      </c>
    </row>
    <row r="8" spans="1:35">
      <c r="A8" s="448" t="s">
        <v>200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66">
        <f t="shared" si="1"/>
        <v>0</v>
      </c>
    </row>
    <row r="9" spans="1:35">
      <c r="A9" s="446" t="s">
        <v>201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66">
        <f t="shared" si="1"/>
        <v>0</v>
      </c>
    </row>
    <row r="10" spans="1:35">
      <c r="A10" s="446" t="s">
        <v>202</v>
      </c>
      <c r="B10" s="6">
        <f>1090/1000</f>
        <v>1.0900000000000001</v>
      </c>
      <c r="C10" s="6"/>
      <c r="D10" s="6">
        <v>0.45</v>
      </c>
      <c r="E10" s="6"/>
      <c r="F10" s="6">
        <v>0.26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f t="shared" si="0"/>
        <v>1.8</v>
      </c>
      <c r="AH10" s="466">
        <f t="shared" si="1"/>
        <v>5.379236148466917E-2</v>
      </c>
    </row>
    <row r="11" spans="1:35">
      <c r="A11" s="446" t="s">
        <v>203</v>
      </c>
      <c r="B11" s="6"/>
      <c r="C11" s="6"/>
      <c r="D11" s="6"/>
      <c r="E11" s="6"/>
      <c r="F11" s="6"/>
      <c r="G11" s="6"/>
      <c r="H11" s="6">
        <v>0.1</v>
      </c>
      <c r="I11" s="6"/>
      <c r="J11" s="6"/>
      <c r="K11" s="6"/>
      <c r="L11" s="6"/>
      <c r="M11" s="6">
        <v>0.24099999999999999</v>
      </c>
      <c r="N11" s="6"/>
      <c r="O11" s="6"/>
      <c r="P11" s="6">
        <v>0.26900000000000002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0.63500000000000001</v>
      </c>
      <c r="AC11" s="6"/>
      <c r="AD11" s="6"/>
      <c r="AE11" s="6"/>
      <c r="AF11" s="6"/>
      <c r="AG11" s="6">
        <f t="shared" si="0"/>
        <v>1.2450000000000001</v>
      </c>
      <c r="AH11" s="466">
        <f t="shared" si="1"/>
        <v>3.7206383360229515E-2</v>
      </c>
    </row>
    <row r="12" spans="1:35">
      <c r="A12" s="446" t="s">
        <v>204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0.66100000000000003</v>
      </c>
      <c r="R12" s="6">
        <v>0.72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f t="shared" si="0"/>
        <v>1.381</v>
      </c>
      <c r="AH12" s="466">
        <f t="shared" si="1"/>
        <v>4.1270695116848957E-2</v>
      </c>
    </row>
    <row r="13" spans="1:35">
      <c r="A13" s="446" t="s">
        <v>205</v>
      </c>
      <c r="B13" s="6">
        <v>0.68</v>
      </c>
      <c r="C13" s="6"/>
      <c r="D13" s="6"/>
      <c r="E13" s="6">
        <v>0.3</v>
      </c>
      <c r="F13" s="6"/>
      <c r="G13" s="6"/>
      <c r="H13" s="6"/>
      <c r="I13" s="6"/>
      <c r="J13" s="6"/>
      <c r="K13" s="6"/>
      <c r="L13" s="6"/>
      <c r="M13" s="6"/>
      <c r="N13" s="6"/>
      <c r="O13" s="6">
        <v>0.216</v>
      </c>
      <c r="P13" s="6">
        <v>0.30099999999999999</v>
      </c>
      <c r="Q13" s="6"/>
      <c r="R13" s="6">
        <v>0.36</v>
      </c>
      <c r="S13" s="6">
        <v>0.24399999999999999</v>
      </c>
      <c r="T13" s="6"/>
      <c r="U13" s="6"/>
      <c r="V13" s="6"/>
      <c r="W13" s="6"/>
      <c r="X13" s="6"/>
      <c r="Y13" s="6"/>
      <c r="Z13" s="6"/>
      <c r="AA13" s="6"/>
      <c r="AB13" s="447">
        <v>0.2</v>
      </c>
      <c r="AC13" s="6"/>
      <c r="AD13" s="6"/>
      <c r="AE13" s="6"/>
      <c r="AF13" s="6"/>
      <c r="AG13" s="6">
        <f t="shared" si="0"/>
        <v>2.3010000000000002</v>
      </c>
      <c r="AH13" s="466">
        <f t="shared" si="1"/>
        <v>6.8764568764568768E-2</v>
      </c>
    </row>
    <row r="14" spans="1:35">
      <c r="A14" s="446" t="s">
        <v>206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66">
        <f t="shared" si="1"/>
        <v>0</v>
      </c>
    </row>
    <row r="15" spans="1:35">
      <c r="A15" s="446" t="s">
        <v>278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66">
        <f t="shared" si="1"/>
        <v>0</v>
      </c>
    </row>
    <row r="16" spans="1:35">
      <c r="A16" s="446" t="s">
        <v>279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66">
        <f t="shared" si="1"/>
        <v>0</v>
      </c>
    </row>
    <row r="17" spans="1:34">
      <c r="A17" s="446" t="s">
        <v>207</v>
      </c>
      <c r="B17" s="6"/>
      <c r="C17" s="6">
        <v>0.23799999999999999</v>
      </c>
      <c r="D17" s="6"/>
      <c r="E17" s="6">
        <v>0.41</v>
      </c>
      <c r="F17" s="6"/>
      <c r="G17" s="6"/>
      <c r="H17" s="6"/>
      <c r="I17" s="6"/>
      <c r="J17" s="6">
        <v>0.28899999999999998</v>
      </c>
      <c r="K17" s="6"/>
      <c r="L17" s="6"/>
      <c r="M17" s="6">
        <v>0.32</v>
      </c>
      <c r="N17" s="6"/>
      <c r="O17" s="6"/>
      <c r="P17" s="6"/>
      <c r="Q17" s="6"/>
      <c r="R17" s="6"/>
      <c r="S17" s="6"/>
      <c r="T17" s="6">
        <v>0.27600000000000002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G17" s="6">
        <f t="shared" si="0"/>
        <v>1.5329999999999999</v>
      </c>
      <c r="AH17" s="466">
        <f t="shared" si="1"/>
        <v>4.5813161197776578E-2</v>
      </c>
    </row>
    <row r="18" spans="1:34">
      <c r="A18" s="446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47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0</v>
      </c>
      <c r="AH18" s="466">
        <f t="shared" si="1"/>
        <v>0</v>
      </c>
    </row>
    <row r="19" spans="1:34">
      <c r="A19" s="446" t="s">
        <v>280</v>
      </c>
      <c r="B19" s="6">
        <v>0.622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0.622</v>
      </c>
      <c r="AH19" s="466">
        <f t="shared" si="1"/>
        <v>1.8588249357480126E-2</v>
      </c>
    </row>
    <row r="20" spans="1:34">
      <c r="A20" s="446" t="s">
        <v>281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66">
        <f t="shared" si="1"/>
        <v>0</v>
      </c>
    </row>
    <row r="21" spans="1:34">
      <c r="A21" s="446" t="s">
        <v>209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66">
        <f t="shared" si="1"/>
        <v>0</v>
      </c>
    </row>
    <row r="22" spans="1:34">
      <c r="A22" s="446" t="s">
        <v>288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66">
        <f t="shared" si="1"/>
        <v>0</v>
      </c>
    </row>
    <row r="23" spans="1:34">
      <c r="A23" s="446" t="s">
        <v>210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66">
        <f t="shared" si="1"/>
        <v>0</v>
      </c>
    </row>
    <row r="24" spans="1:34">
      <c r="A24" s="446" t="s">
        <v>282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66">
        <f t="shared" si="1"/>
        <v>0</v>
      </c>
    </row>
    <row r="25" spans="1:34">
      <c r="A25" s="446" t="s">
        <v>211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66">
        <f t="shared" si="1"/>
        <v>0</v>
      </c>
    </row>
    <row r="26" spans="1:34">
      <c r="A26" s="446" t="s">
        <v>212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66">
        <f t="shared" si="1"/>
        <v>0</v>
      </c>
    </row>
    <row r="27" spans="1:34">
      <c r="A27" s="446" t="s">
        <v>213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66">
        <f t="shared" si="1"/>
        <v>0</v>
      </c>
    </row>
    <row r="28" spans="1:34">
      <c r="A28" s="446" t="s">
        <v>214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66">
        <f t="shared" si="1"/>
        <v>0</v>
      </c>
    </row>
    <row r="29" spans="1:34">
      <c r="A29" s="446" t="s">
        <v>283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66">
        <f t="shared" si="1"/>
        <v>0</v>
      </c>
    </row>
    <row r="30" spans="1:34">
      <c r="A30" s="446" t="s">
        <v>284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66">
        <f t="shared" si="1"/>
        <v>0</v>
      </c>
    </row>
    <row r="31" spans="1:34">
      <c r="A31" s="446" t="s">
        <v>215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66">
        <f t="shared" si="1"/>
        <v>0</v>
      </c>
    </row>
    <row r="32" spans="1:34">
      <c r="A32" s="446" t="s">
        <v>216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66">
        <f t="shared" si="1"/>
        <v>0</v>
      </c>
    </row>
    <row r="33" spans="1:34">
      <c r="A33" s="446" t="s">
        <v>217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66">
        <f t="shared" si="1"/>
        <v>0</v>
      </c>
    </row>
    <row r="34" spans="1:34">
      <c r="A34" s="449" t="s">
        <v>218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66">
        <f t="shared" si="1"/>
        <v>0</v>
      </c>
    </row>
    <row r="35" spans="1:34">
      <c r="A35" s="449" t="s">
        <v>219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66">
        <f t="shared" si="1"/>
        <v>0</v>
      </c>
    </row>
    <row r="36" spans="1:34">
      <c r="A36" s="449" t="s">
        <v>220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66">
        <f t="shared" si="1"/>
        <v>0</v>
      </c>
    </row>
    <row r="37" spans="1:34">
      <c r="A37" s="449" t="s">
        <v>380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66">
        <f>+AG37/$AG$39</f>
        <v>0</v>
      </c>
    </row>
    <row r="38" spans="1:34">
      <c r="A38" s="497" t="s">
        <v>285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8">
        <f>+AG39/Efficiency1!$K$189</f>
        <v>2.439794039808988E-2</v>
      </c>
    </row>
    <row r="39" spans="1:34">
      <c r="A39" s="449" t="s">
        <v>2</v>
      </c>
      <c r="B39" s="6">
        <f>SUM(B3:B37)</f>
        <v>6.8140000000000001</v>
      </c>
      <c r="C39" s="6">
        <f t="shared" ref="C39:AC39" si="2">SUM(C3:C37)</f>
        <v>7.7119999999999997</v>
      </c>
      <c r="D39" s="6">
        <f t="shared" si="2"/>
        <v>6.2109999999999994</v>
      </c>
      <c r="E39" s="6">
        <f t="shared" si="2"/>
        <v>6.3540000000000001</v>
      </c>
      <c r="F39" s="6">
        <f>SUM(F3:F37)</f>
        <v>5.6059999999999999</v>
      </c>
      <c r="G39" s="6">
        <f>SUM(G3:G37)</f>
        <v>5.3060000000000009</v>
      </c>
      <c r="H39" s="6">
        <f t="shared" si="2"/>
        <v>5.4619999999999997</v>
      </c>
      <c r="I39" s="6">
        <f t="shared" si="2"/>
        <v>5.2049999999999992</v>
      </c>
      <c r="J39" s="6">
        <f t="shared" si="2"/>
        <v>5.9720000000000004</v>
      </c>
      <c r="K39" s="6">
        <f t="shared" si="2"/>
        <v>7.9930000000000003</v>
      </c>
      <c r="L39" s="6">
        <f t="shared" si="2"/>
        <v>5.0150000000000006</v>
      </c>
      <c r="M39" s="6">
        <f t="shared" si="2"/>
        <v>5.4249999999999998</v>
      </c>
      <c r="N39" s="6">
        <f t="shared" si="2"/>
        <v>4.6540000000000008</v>
      </c>
      <c r="O39" s="7">
        <f t="shared" si="2"/>
        <v>8.2349999999999994</v>
      </c>
      <c r="P39" s="6">
        <f t="shared" si="2"/>
        <v>5.9910000000000005</v>
      </c>
      <c r="Q39" s="6">
        <f t="shared" si="2"/>
        <v>5.8710000000000004</v>
      </c>
      <c r="R39" s="6">
        <f>SUM(R3:R37)</f>
        <v>4.7050000000000001</v>
      </c>
      <c r="S39" s="6">
        <f t="shared" si="2"/>
        <v>5.0779999999999994</v>
      </c>
      <c r="T39" s="6">
        <f t="shared" si="2"/>
        <v>0.27600000000000002</v>
      </c>
      <c r="U39" s="6">
        <f t="shared" si="2"/>
        <v>0</v>
      </c>
      <c r="V39" s="6">
        <f t="shared" si="2"/>
        <v>0</v>
      </c>
      <c r="W39" s="6">
        <f t="shared" si="2"/>
        <v>0</v>
      </c>
      <c r="X39" s="6">
        <f t="shared" si="2"/>
        <v>0</v>
      </c>
      <c r="Y39" s="6">
        <f t="shared" si="2"/>
        <v>0</v>
      </c>
      <c r="Z39" s="6">
        <f t="shared" si="2"/>
        <v>0</v>
      </c>
      <c r="AA39" s="6">
        <f t="shared" si="2"/>
        <v>0</v>
      </c>
      <c r="AB39" s="6">
        <f t="shared" si="2"/>
        <v>4.4000000000000004</v>
      </c>
      <c r="AC39" s="6">
        <f t="shared" si="2"/>
        <v>0</v>
      </c>
      <c r="AD39" s="6">
        <f>SUM(AD3:AD37)</f>
        <v>0</v>
      </c>
      <c r="AE39" s="6">
        <f t="shared" ref="AE39:AF39" si="3">SUM(AE3:AE37)</f>
        <v>0</v>
      </c>
      <c r="AF39" s="6">
        <f t="shared" si="3"/>
        <v>0</v>
      </c>
      <c r="AG39" s="17">
        <f>SUM(AG6:AG38)</f>
        <v>33.462000000000003</v>
      </c>
      <c r="AH39" s="467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zoomScale="85" workbookViewId="0">
      <pane xSplit="5" ySplit="9" topLeftCell="AN10" activePane="bottomRight" state="frozen"/>
      <selection activeCell="DK16" sqref="DK16"/>
      <selection pane="topRight" activeCell="DK16" sqref="DK16"/>
      <selection pane="bottomLeft" activeCell="DK16" sqref="DK16"/>
      <selection pane="bottomRight" activeCell="BE26" sqref="BE26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3.140625" bestFit="1" customWidth="1"/>
    <col min="20" max="20" width="8.28515625" bestFit="1" customWidth="1"/>
    <col min="21" max="21" width="14.42578125" bestFit="1" customWidth="1"/>
    <col min="22" max="22" width="8" bestFit="1" customWidth="1"/>
    <col min="23" max="23" width="12.7109375" hidden="1" customWidth="1"/>
    <col min="24" max="24" width="8.7109375" hidden="1" customWidth="1"/>
    <col min="25" max="25" width="12.140625" hidden="1" customWidth="1"/>
    <col min="26" max="26" width="21.42578125" hidden="1" customWidth="1"/>
    <col min="27" max="27" width="17.710937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7.710937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3.7109375" customWidth="1"/>
    <col min="40" max="40" width="8.140625" customWidth="1"/>
    <col min="41" max="41" width="13.140625" bestFit="1" customWidth="1"/>
    <col min="42" max="42" width="8.140625" customWidth="1"/>
    <col min="43" max="43" width="12.140625" hidden="1" customWidth="1"/>
    <col min="44" max="44" width="7.7109375" hidden="1" customWidth="1"/>
    <col min="45" max="45" width="12.140625" hidden="1" customWidth="1"/>
    <col min="46" max="46" width="7.7109375" hidden="1" customWidth="1"/>
    <col min="47" max="47" width="13.28515625" hidden="1" customWidth="1"/>
    <col min="48" max="48" width="8.85546875" hidden="1" customWidth="1"/>
    <col min="49" max="49" width="15.28515625" hidden="1" customWidth="1"/>
    <col min="50" max="50" width="7.7109375" hidden="1" customWidth="1"/>
    <col min="51" max="51" width="10.28515625" hidden="1" customWidth="1"/>
    <col min="52" max="52" width="8.140625" hidden="1" customWidth="1"/>
    <col min="53" max="53" width="11.42578125" hidden="1" customWidth="1"/>
    <col min="54" max="54" width="7.7109375" hidden="1" customWidth="1"/>
    <col min="55" max="55" width="17.7109375" customWidth="1"/>
    <col min="56" max="56" width="9.28515625" customWidth="1"/>
    <col min="57" max="57" width="14.42578125" customWidth="1"/>
    <col min="58" max="58" width="10" customWidth="1"/>
    <col min="59" max="59" width="15.42578125" hidden="1" customWidth="1"/>
    <col min="60" max="60" width="8.7109375" hidden="1" customWidth="1"/>
    <col min="61" max="61" width="12.85546875" hidden="1" customWidth="1"/>
    <col min="62" max="62" width="8.42578125" hidden="1" customWidth="1"/>
    <col min="63" max="63" width="17.7109375" bestFit="1" customWidth="1"/>
    <col min="64" max="64" width="14.42578125" bestFit="1" customWidth="1"/>
    <col min="65" max="65" width="8.85546875" bestFit="1" customWidth="1"/>
    <col min="66" max="66" width="10.28515625" bestFit="1" customWidth="1"/>
    <col min="67" max="67" width="13.28515625" bestFit="1" customWidth="1"/>
    <col min="68" max="68" width="10.42578125" bestFit="1" customWidth="1"/>
    <col min="70" max="70" width="15.42578125" bestFit="1" customWidth="1"/>
    <col min="71" max="71" width="10.42578125" bestFit="1" customWidth="1"/>
    <col min="74" max="74" width="10.42578125" bestFit="1" customWidth="1"/>
  </cols>
  <sheetData>
    <row r="1" spans="1:66" ht="15.75">
      <c r="A1" s="153"/>
      <c r="AE1" s="258"/>
    </row>
    <row r="2" spans="1:66" ht="15.75">
      <c r="A2" s="153"/>
      <c r="AE2" s="258"/>
      <c r="AI2" s="19"/>
    </row>
    <row r="3" spans="1:66" ht="15">
      <c r="A3" s="155"/>
      <c r="AE3" s="258"/>
    </row>
    <row r="4" spans="1:66" ht="15.75">
      <c r="A4" s="156" t="s">
        <v>290</v>
      </c>
      <c r="G4" s="14"/>
      <c r="AA4" s="14"/>
      <c r="AE4" s="258"/>
      <c r="AV4" s="19"/>
    </row>
    <row r="5" spans="1:66" ht="15.75">
      <c r="A5" s="156"/>
      <c r="G5" s="14"/>
      <c r="AA5" s="14"/>
      <c r="AE5" s="14"/>
    </row>
    <row r="6" spans="1:66" ht="18">
      <c r="A6" s="259"/>
      <c r="AA6" s="14"/>
      <c r="AE6" s="14"/>
      <c r="BD6" s="14"/>
      <c r="BE6" s="14"/>
      <c r="BF6" s="14"/>
      <c r="BL6" s="14"/>
    </row>
    <row r="7" spans="1:66" ht="16.5" thickBot="1">
      <c r="A7" s="260"/>
      <c r="B7" s="260"/>
      <c r="C7" s="260"/>
      <c r="D7" s="260"/>
      <c r="E7" s="260"/>
      <c r="F7" s="260"/>
      <c r="G7" s="260">
        <v>250</v>
      </c>
      <c r="S7" s="260"/>
      <c r="T7" s="260"/>
      <c r="U7" s="261"/>
      <c r="V7" s="261"/>
      <c r="W7" s="260">
        <v>248.881</v>
      </c>
      <c r="X7" s="260"/>
      <c r="Y7" s="260"/>
      <c r="Z7" s="260"/>
      <c r="AA7" s="452">
        <v>250.69</v>
      </c>
      <c r="AB7" s="260"/>
      <c r="AC7" s="260"/>
      <c r="AD7" s="260"/>
      <c r="AE7" s="452">
        <v>251.53399999999999</v>
      </c>
      <c r="AF7" s="260"/>
      <c r="AG7" s="260"/>
      <c r="AH7" s="260"/>
      <c r="AI7" s="260">
        <v>238.345</v>
      </c>
      <c r="AJ7" s="260"/>
      <c r="AK7" s="260"/>
      <c r="AL7" s="260"/>
      <c r="AM7" s="260"/>
      <c r="AN7" s="260"/>
      <c r="AO7" s="260"/>
      <c r="AP7" s="260"/>
      <c r="AQ7" s="260">
        <v>251.53399999999999</v>
      </c>
      <c r="AR7" s="260"/>
      <c r="AS7" s="260"/>
      <c r="AT7" s="260"/>
      <c r="AU7" s="260">
        <v>248.881</v>
      </c>
      <c r="AV7" s="260"/>
      <c r="AW7" s="260"/>
      <c r="AX7" s="260"/>
      <c r="AY7" s="260"/>
      <c r="AZ7" s="260"/>
      <c r="BA7" s="260"/>
      <c r="BB7" s="260"/>
      <c r="BC7" s="261"/>
      <c r="BD7" s="261"/>
      <c r="BE7" s="260"/>
      <c r="BF7" s="260"/>
      <c r="BG7" s="260"/>
      <c r="BH7" s="260"/>
      <c r="BI7" s="260"/>
      <c r="BJ7" s="260"/>
      <c r="BK7" s="260"/>
      <c r="BL7" s="260"/>
      <c r="BM7" s="260"/>
      <c r="BN7" s="260"/>
    </row>
    <row r="8" spans="1:66" ht="38.25" customHeight="1" thickTop="1">
      <c r="A8" s="551" t="s">
        <v>29</v>
      </c>
      <c r="B8" s="551" t="s">
        <v>4</v>
      </c>
      <c r="C8" s="551" t="s">
        <v>5</v>
      </c>
      <c r="D8" s="553" t="s">
        <v>41</v>
      </c>
      <c r="E8" s="555" t="s">
        <v>39</v>
      </c>
      <c r="F8" s="556"/>
      <c r="G8" s="731" t="s">
        <v>379</v>
      </c>
      <c r="H8" s="732"/>
      <c r="I8" s="732"/>
      <c r="J8" s="733"/>
      <c r="K8" s="731" t="s">
        <v>146</v>
      </c>
      <c r="L8" s="732"/>
      <c r="M8" s="732"/>
      <c r="N8" s="733"/>
      <c r="O8" s="731" t="s">
        <v>42</v>
      </c>
      <c r="P8" s="732"/>
      <c r="Q8" s="732"/>
      <c r="R8" s="733"/>
      <c r="S8" s="731" t="s">
        <v>43</v>
      </c>
      <c r="T8" s="732"/>
      <c r="U8" s="732"/>
      <c r="V8" s="733"/>
      <c r="W8" s="731" t="s">
        <v>391</v>
      </c>
      <c r="X8" s="732"/>
      <c r="Y8" s="732"/>
      <c r="Z8" s="733"/>
      <c r="AA8" s="731" t="s">
        <v>173</v>
      </c>
      <c r="AB8" s="732"/>
      <c r="AC8" s="732"/>
      <c r="AD8" s="733"/>
      <c r="AE8" s="731" t="s">
        <v>228</v>
      </c>
      <c r="AF8" s="732"/>
      <c r="AG8" s="732"/>
      <c r="AH8" s="733"/>
      <c r="AI8" s="731" t="s">
        <v>382</v>
      </c>
      <c r="AJ8" s="732"/>
      <c r="AK8" s="732"/>
      <c r="AL8" s="733"/>
      <c r="AM8" s="731" t="s">
        <v>89</v>
      </c>
      <c r="AN8" s="732"/>
      <c r="AO8" s="732"/>
      <c r="AP8" s="733"/>
      <c r="AQ8" s="734" t="s">
        <v>418</v>
      </c>
      <c r="AR8" s="735"/>
      <c r="AS8" s="735"/>
      <c r="AT8" s="736"/>
      <c r="AU8" s="731" t="s">
        <v>502</v>
      </c>
      <c r="AV8" s="732"/>
      <c r="AW8" s="732"/>
      <c r="AX8" s="733"/>
      <c r="AY8" s="547" t="s">
        <v>147</v>
      </c>
      <c r="AZ8" s="548"/>
      <c r="BA8" s="548"/>
      <c r="BB8" s="549"/>
      <c r="BC8" s="731" t="s">
        <v>90</v>
      </c>
      <c r="BD8" s="732"/>
      <c r="BE8" s="732"/>
      <c r="BF8" s="733"/>
      <c r="BG8" s="547" t="s">
        <v>44</v>
      </c>
      <c r="BH8" s="548"/>
      <c r="BI8" s="548"/>
      <c r="BJ8" s="549"/>
      <c r="BK8" s="731" t="s">
        <v>45</v>
      </c>
      <c r="BL8" s="733"/>
      <c r="BM8" s="731" t="s">
        <v>46</v>
      </c>
      <c r="BN8" s="733"/>
    </row>
    <row r="9" spans="1:66">
      <c r="A9" s="552"/>
      <c r="B9" s="552"/>
      <c r="C9" s="552"/>
      <c r="D9" s="554"/>
      <c r="E9" s="2" t="s">
        <v>37</v>
      </c>
      <c r="F9" s="550" t="s">
        <v>38</v>
      </c>
      <c r="G9" s="9" t="s">
        <v>37</v>
      </c>
      <c r="H9" s="9" t="s">
        <v>11</v>
      </c>
      <c r="I9" s="554" t="s">
        <v>38</v>
      </c>
      <c r="J9" s="554" t="s">
        <v>11</v>
      </c>
      <c r="K9" s="9" t="s">
        <v>37</v>
      </c>
      <c r="L9" s="9" t="s">
        <v>11</v>
      </c>
      <c r="M9" s="554" t="s">
        <v>38</v>
      </c>
      <c r="N9" s="554" t="s">
        <v>11</v>
      </c>
      <c r="O9" s="9" t="s">
        <v>37</v>
      </c>
      <c r="P9" s="9" t="s">
        <v>11</v>
      </c>
      <c r="Q9" s="554" t="s">
        <v>38</v>
      </c>
      <c r="R9" s="554" t="s">
        <v>11</v>
      </c>
      <c r="S9" s="554" t="s">
        <v>37</v>
      </c>
      <c r="T9" s="554" t="s">
        <v>11</v>
      </c>
      <c r="U9" s="554" t="s">
        <v>38</v>
      </c>
      <c r="V9" s="554" t="s">
        <v>11</v>
      </c>
      <c r="W9" s="554" t="s">
        <v>37</v>
      </c>
      <c r="X9" s="554" t="s">
        <v>11</v>
      </c>
      <c r="Y9" s="554" t="s">
        <v>38</v>
      </c>
      <c r="Z9" s="554" t="s">
        <v>11</v>
      </c>
      <c r="AA9" s="554" t="s">
        <v>37</v>
      </c>
      <c r="AB9" s="554" t="s">
        <v>11</v>
      </c>
      <c r="AC9" s="554" t="s">
        <v>38</v>
      </c>
      <c r="AD9" s="554" t="s">
        <v>11</v>
      </c>
      <c r="AE9" s="554" t="s">
        <v>37</v>
      </c>
      <c r="AF9" s="554" t="s">
        <v>11</v>
      </c>
      <c r="AG9" s="554" t="s">
        <v>38</v>
      </c>
      <c r="AH9" s="554" t="s">
        <v>11</v>
      </c>
      <c r="AI9" s="554" t="s">
        <v>37</v>
      </c>
      <c r="AJ9" s="554" t="s">
        <v>11</v>
      </c>
      <c r="AK9" s="554" t="s">
        <v>38</v>
      </c>
      <c r="AL9" s="554" t="s">
        <v>11</v>
      </c>
      <c r="AM9" s="554" t="s">
        <v>37</v>
      </c>
      <c r="AN9" s="554" t="s">
        <v>11</v>
      </c>
      <c r="AO9" s="554" t="s">
        <v>38</v>
      </c>
      <c r="AP9" s="554" t="s">
        <v>11</v>
      </c>
      <c r="AQ9" s="554" t="s">
        <v>37</v>
      </c>
      <c r="AR9" s="554" t="s">
        <v>11</v>
      </c>
      <c r="AS9" s="554" t="s">
        <v>38</v>
      </c>
      <c r="AT9" s="554" t="s">
        <v>11</v>
      </c>
      <c r="AU9" s="554" t="s">
        <v>37</v>
      </c>
      <c r="AV9" s="554" t="s">
        <v>11</v>
      </c>
      <c r="AW9" s="554" t="s">
        <v>38</v>
      </c>
      <c r="AX9" s="554" t="s">
        <v>11</v>
      </c>
      <c r="AY9" s="554" t="s">
        <v>37</v>
      </c>
      <c r="AZ9" s="554" t="s">
        <v>11</v>
      </c>
      <c r="BA9" s="554" t="s">
        <v>38</v>
      </c>
      <c r="BB9" s="554" t="s">
        <v>11</v>
      </c>
      <c r="BC9" s="554" t="s">
        <v>37</v>
      </c>
      <c r="BD9" s="554" t="s">
        <v>11</v>
      </c>
      <c r="BE9" s="554" t="s">
        <v>38</v>
      </c>
      <c r="BF9" s="554" t="s">
        <v>11</v>
      </c>
      <c r="BG9" s="554" t="s">
        <v>37</v>
      </c>
      <c r="BH9" s="554" t="s">
        <v>11</v>
      </c>
      <c r="BI9" s="554" t="s">
        <v>38</v>
      </c>
      <c r="BJ9" s="554" t="s">
        <v>11</v>
      </c>
      <c r="BK9" s="554" t="s">
        <v>37</v>
      </c>
      <c r="BL9" s="554" t="s">
        <v>38</v>
      </c>
      <c r="BM9" s="554" t="s">
        <v>37</v>
      </c>
      <c r="BN9" s="554" t="s">
        <v>38</v>
      </c>
    </row>
    <row r="10" spans="1:66">
      <c r="A10" s="16">
        <f>+Chem!A9</f>
        <v>45931</v>
      </c>
      <c r="B10" s="6" t="str">
        <f>+Chem!B9</f>
        <v>Facial</v>
      </c>
      <c r="C10" s="16" t="str">
        <f>+Chem!C9</f>
        <v>12</v>
      </c>
      <c r="D10" s="8">
        <f>+Chem!D9</f>
        <v>16.666</v>
      </c>
      <c r="E10" s="7">
        <f>+Chem!E9</f>
        <v>8.9130000000000003</v>
      </c>
      <c r="F10" s="7">
        <f>+E10</f>
        <v>8.9130000000000003</v>
      </c>
      <c r="G10" s="101">
        <f>18*G7</f>
        <v>4500</v>
      </c>
      <c r="H10" s="10">
        <f t="shared" ref="H10:H40" si="0">G10/BK10*100</f>
        <v>19.902303572224664</v>
      </c>
      <c r="I10" s="8">
        <f>G10</f>
        <v>4500</v>
      </c>
      <c r="J10" s="10">
        <f t="shared" ref="J10:J40" si="1">I10/BL10*100</f>
        <v>19.902303572224664</v>
      </c>
      <c r="K10" s="101">
        <v>0</v>
      </c>
      <c r="L10" s="10">
        <f t="shared" ref="L10:L40" si="2">+K10/BK10*100</f>
        <v>0</v>
      </c>
      <c r="M10" s="10">
        <f>+K10</f>
        <v>0</v>
      </c>
      <c r="N10" s="10">
        <f t="shared" ref="N10:N40" si="3">+M10/BL10*100</f>
        <v>0</v>
      </c>
      <c r="O10" s="101"/>
      <c r="P10" s="10">
        <f t="shared" ref="P10:P40" si="4">+O10/BK10*100</f>
        <v>0</v>
      </c>
      <c r="Q10" s="10">
        <f>+O10</f>
        <v>0</v>
      </c>
      <c r="R10" s="10">
        <f t="shared" ref="R10:R40" si="5">+Q10/BL10*100</f>
        <v>0</v>
      </c>
      <c r="S10" s="10">
        <f>G10+K10+O10</f>
        <v>4500</v>
      </c>
      <c r="T10" s="10">
        <f t="shared" ref="T10:T40" si="6">S10/BK10*100</f>
        <v>19.902303572224664</v>
      </c>
      <c r="U10" s="10">
        <f>S10</f>
        <v>4500</v>
      </c>
      <c r="V10" s="10">
        <f t="shared" ref="V10:V40" si="7">U10/BL10*100</f>
        <v>19.902303572224664</v>
      </c>
      <c r="W10" s="101"/>
      <c r="X10" s="10">
        <f>W10/BK10*100</f>
        <v>0</v>
      </c>
      <c r="Y10" s="10">
        <f>W10</f>
        <v>0</v>
      </c>
      <c r="Z10" s="10">
        <f>Y10/BL10*100</f>
        <v>0</v>
      </c>
      <c r="AA10" s="101"/>
      <c r="AB10" s="10">
        <f t="shared" ref="AB10:AB40" si="8">AA10/BK10*100</f>
        <v>0</v>
      </c>
      <c r="AC10" s="10">
        <f>AA10</f>
        <v>0</v>
      </c>
      <c r="AD10" s="10">
        <f t="shared" ref="AD10:AD40" si="9">AC10/BL10*100</f>
        <v>0</v>
      </c>
      <c r="AE10" s="101"/>
      <c r="AF10" s="10">
        <f t="shared" ref="AF10:AF40" si="10">AE10/BK10*100</f>
        <v>0</v>
      </c>
      <c r="AG10" s="10">
        <f>AE10</f>
        <v>0</v>
      </c>
      <c r="AH10" s="10">
        <f t="shared" ref="AH10:AH40" si="11">AG10/BL10*100</f>
        <v>0</v>
      </c>
      <c r="AI10" s="101"/>
      <c r="AJ10" s="10">
        <f t="shared" ref="AJ10:AJ40" si="12">AI10/BK10*100</f>
        <v>0</v>
      </c>
      <c r="AK10" s="10">
        <f>AI10</f>
        <v>0</v>
      </c>
      <c r="AL10" s="10">
        <f t="shared" ref="AL10:AL40" si="13">AK10/BL10</f>
        <v>0</v>
      </c>
      <c r="AM10" s="10">
        <f>AA10+AE10+AI10+W10</f>
        <v>0</v>
      </c>
      <c r="AN10" s="10">
        <f t="shared" ref="AN10:AN39" si="14">AM10/BK10*100</f>
        <v>0</v>
      </c>
      <c r="AO10" s="10">
        <f>AM10</f>
        <v>0</v>
      </c>
      <c r="AP10" s="10">
        <f t="shared" ref="AP10:AP39" si="15">AO10/BL10*100</f>
        <v>0</v>
      </c>
      <c r="AQ10" s="101">
        <f>72*AQ7</f>
        <v>18110.448</v>
      </c>
      <c r="AR10" s="10">
        <f t="shared" ref="AR10:AR39" si="16">+AQ10/BK10*100</f>
        <v>80.097696427775332</v>
      </c>
      <c r="AS10" s="10">
        <f>+AQ10</f>
        <v>18110.448</v>
      </c>
      <c r="AT10" s="10">
        <f t="shared" ref="AT10:AT39" si="17">+AS10/BL10*100</f>
        <v>80.097696427775332</v>
      </c>
      <c r="AU10" s="101">
        <f>14*AV6</f>
        <v>0</v>
      </c>
      <c r="AV10" s="10">
        <f t="shared" ref="AV10:AV39" si="18">AU10/BK10*100</f>
        <v>0</v>
      </c>
      <c r="AW10" s="10">
        <f>AU10</f>
        <v>0</v>
      </c>
      <c r="AX10" s="10">
        <f t="shared" ref="AX10:AX39" si="19">AW10/BL10*100</f>
        <v>0</v>
      </c>
      <c r="AY10" s="101"/>
      <c r="AZ10" s="15">
        <f t="shared" ref="AZ10:AZ39" si="20">AY10/BK10*100</f>
        <v>0</v>
      </c>
      <c r="BA10" s="10">
        <f>AY10</f>
        <v>0</v>
      </c>
      <c r="BB10" s="10">
        <f t="shared" ref="BB10:BB39" si="21">BA10/BL10*100</f>
        <v>0</v>
      </c>
      <c r="BC10" s="10">
        <f>AQ10+AU10+AY10</f>
        <v>18110.448</v>
      </c>
      <c r="BD10" s="10">
        <f t="shared" ref="BD10:BD39" si="22">BC10/BK10*100</f>
        <v>80.097696427775332</v>
      </c>
      <c r="BE10" s="10">
        <f>BC10</f>
        <v>18110.448</v>
      </c>
      <c r="BF10" s="10">
        <f t="shared" ref="BF10:BF39" si="23">BE10/BL10*100</f>
        <v>80.097696427775332</v>
      </c>
      <c r="BG10" s="101">
        <v>0</v>
      </c>
      <c r="BH10" s="10">
        <f t="shared" ref="BH10:BH39" si="24">BG10/BK10*100</f>
        <v>0</v>
      </c>
      <c r="BI10" s="10">
        <f>BG10</f>
        <v>0</v>
      </c>
      <c r="BJ10" s="10">
        <f t="shared" ref="BJ10:BJ39" si="25">BI10/BL10*100</f>
        <v>0</v>
      </c>
      <c r="BK10" s="10">
        <f t="shared" ref="BK10:BK40" si="26">S10+AM10+BC10+BG10</f>
        <v>22610.448</v>
      </c>
      <c r="BL10" s="10">
        <f>BK10</f>
        <v>22610.448</v>
      </c>
      <c r="BM10" s="518">
        <f t="shared" ref="BM10:BM40" si="27">BK10/1000/E10</f>
        <v>2.53679434533827</v>
      </c>
      <c r="BN10" s="10">
        <f t="shared" ref="BN10:BN40" si="28">(BL10/1000)/F10</f>
        <v>2.53679434533827</v>
      </c>
    </row>
    <row r="11" spans="1:66">
      <c r="A11" s="16">
        <f>+Chem!A10</f>
        <v>45932</v>
      </c>
      <c r="B11" s="6" t="str">
        <f>+Chem!B10</f>
        <v>Facial</v>
      </c>
      <c r="C11" s="16" t="str">
        <f>+Chem!C10</f>
        <v>12</v>
      </c>
      <c r="D11" s="8">
        <f>+Chem!D10</f>
        <v>40.289000000000001</v>
      </c>
      <c r="E11" s="7">
        <f>+Chem!E10</f>
        <v>36.587000000000003</v>
      </c>
      <c r="F11" s="7">
        <f t="shared" ref="F11:F39" si="29">+E11+F10</f>
        <v>45.5</v>
      </c>
      <c r="G11" s="101">
        <f>23*G7</f>
        <v>5750</v>
      </c>
      <c r="H11" s="10">
        <f t="shared" si="0"/>
        <v>14.389884896937394</v>
      </c>
      <c r="I11" s="8">
        <f t="shared" ref="I11:I39" si="30">G11+I10</f>
        <v>10250</v>
      </c>
      <c r="J11" s="10">
        <f t="shared" si="1"/>
        <v>16.381895515407358</v>
      </c>
      <c r="K11" s="101"/>
      <c r="L11" s="10">
        <f t="shared" si="2"/>
        <v>0</v>
      </c>
      <c r="M11" s="10">
        <f t="shared" ref="M11:M39" si="31">+K11+M10</f>
        <v>0</v>
      </c>
      <c r="N11" s="10">
        <f t="shared" si="3"/>
        <v>0</v>
      </c>
      <c r="O11" s="101"/>
      <c r="P11" s="10">
        <f t="shared" si="4"/>
        <v>0</v>
      </c>
      <c r="Q11" s="10">
        <f t="shared" ref="Q11:Q39" si="32">+O11+Q10</f>
        <v>0</v>
      </c>
      <c r="R11" s="10">
        <f t="shared" si="5"/>
        <v>0</v>
      </c>
      <c r="S11" s="10">
        <f t="shared" ref="S11:S40" si="33">G11+K11+O11</f>
        <v>5750</v>
      </c>
      <c r="T11" s="10">
        <f t="shared" si="6"/>
        <v>14.389884896937394</v>
      </c>
      <c r="U11" s="10">
        <f t="shared" ref="U11:U39" si="34">S11+U10</f>
        <v>10250</v>
      </c>
      <c r="V11" s="10">
        <f t="shared" si="7"/>
        <v>16.381895515407358</v>
      </c>
      <c r="W11" s="101"/>
      <c r="X11" s="10"/>
      <c r="Y11" s="10"/>
      <c r="Z11" s="10"/>
      <c r="AA11" s="101"/>
      <c r="AB11" s="10">
        <f t="shared" si="8"/>
        <v>0</v>
      </c>
      <c r="AC11" s="10">
        <f t="shared" ref="AC11:AC39" si="35">AA11+AC10</f>
        <v>0</v>
      </c>
      <c r="AD11" s="10">
        <f t="shared" si="9"/>
        <v>0</v>
      </c>
      <c r="AE11" s="101"/>
      <c r="AF11" s="10">
        <f t="shared" si="10"/>
        <v>0</v>
      </c>
      <c r="AG11" s="10">
        <f t="shared" ref="AG11:AG39" si="36">AE11+AG10</f>
        <v>0</v>
      </c>
      <c r="AH11" s="10">
        <f t="shared" si="11"/>
        <v>0</v>
      </c>
      <c r="AI11" s="101"/>
      <c r="AJ11" s="10">
        <f t="shared" si="12"/>
        <v>0</v>
      </c>
      <c r="AK11" s="10">
        <f t="shared" ref="AK11:AK39" si="37">AI11+AK10</f>
        <v>0</v>
      </c>
      <c r="AL11" s="10">
        <f t="shared" si="13"/>
        <v>0</v>
      </c>
      <c r="AM11" s="10">
        <f>AA11+AE11+AI11+W11</f>
        <v>0</v>
      </c>
      <c r="AN11" s="10">
        <f t="shared" si="14"/>
        <v>0</v>
      </c>
      <c r="AO11" s="10">
        <f t="shared" ref="AO11:AO39" si="38">AM11+AO10</f>
        <v>0</v>
      </c>
      <c r="AP11" s="10">
        <f t="shared" si="15"/>
        <v>0</v>
      </c>
      <c r="AQ11" s="101">
        <f>136*AQ7</f>
        <v>34208.623999999996</v>
      </c>
      <c r="AR11" s="10">
        <f t="shared" si="16"/>
        <v>85.610115103062611</v>
      </c>
      <c r="AS11" s="10">
        <f t="shared" ref="AS11:AS39" si="39">+AQ11+AS10</f>
        <v>52319.072</v>
      </c>
      <c r="AT11" s="10">
        <f t="shared" si="17"/>
        <v>83.618104484592649</v>
      </c>
      <c r="AU11" s="101"/>
      <c r="AV11" s="10">
        <f t="shared" si="18"/>
        <v>0</v>
      </c>
      <c r="AW11" s="10">
        <f t="shared" ref="AW11:AW39" si="40">AU11+AW10</f>
        <v>0</v>
      </c>
      <c r="AX11" s="10">
        <f t="shared" si="19"/>
        <v>0</v>
      </c>
      <c r="AY11" s="101"/>
      <c r="AZ11" s="15">
        <f t="shared" si="20"/>
        <v>0</v>
      </c>
      <c r="BA11" s="10">
        <f t="shared" ref="BA11:BA39" si="41">AY11+BA10</f>
        <v>0</v>
      </c>
      <c r="BB11" s="10">
        <f t="shared" si="21"/>
        <v>0</v>
      </c>
      <c r="BC11" s="10">
        <f t="shared" ref="BC11:BC39" si="42">AQ11+AU11+AY11</f>
        <v>34208.623999999996</v>
      </c>
      <c r="BD11" s="10">
        <f t="shared" si="22"/>
        <v>85.610115103062611</v>
      </c>
      <c r="BE11" s="10">
        <f t="shared" ref="BE11:BE39" si="43">BC11+BE10</f>
        <v>52319.072</v>
      </c>
      <c r="BF11" s="10">
        <f t="shared" si="23"/>
        <v>83.618104484592649</v>
      </c>
      <c r="BG11" s="101">
        <v>0</v>
      </c>
      <c r="BH11" s="10">
        <f t="shared" si="24"/>
        <v>0</v>
      </c>
      <c r="BI11" s="10">
        <f t="shared" ref="BI11:BI39" si="44">BG11+BI10</f>
        <v>0</v>
      </c>
      <c r="BJ11" s="10">
        <f t="shared" si="25"/>
        <v>0</v>
      </c>
      <c r="BK11" s="10">
        <f t="shared" si="26"/>
        <v>39958.623999999996</v>
      </c>
      <c r="BL11" s="10">
        <f t="shared" ref="BL11:BL39" si="45">BK11+BL10</f>
        <v>62569.072</v>
      </c>
      <c r="BM11" s="518">
        <f t="shared" si="27"/>
        <v>1.0921536064722439</v>
      </c>
      <c r="BN11" s="10">
        <f t="shared" si="28"/>
        <v>1.3751444395604395</v>
      </c>
    </row>
    <row r="12" spans="1:66">
      <c r="A12" s="16">
        <f>+Chem!A11</f>
        <v>45933</v>
      </c>
      <c r="B12" s="6" t="str">
        <f>+Chem!B11</f>
        <v>Facial</v>
      </c>
      <c r="C12" s="16" t="str">
        <f>+Chem!C11</f>
        <v>12</v>
      </c>
      <c r="D12" s="8">
        <f>+Chem!D11</f>
        <v>37.695</v>
      </c>
      <c r="E12" s="7">
        <f>+Chem!E11</f>
        <v>36.482999999999997</v>
      </c>
      <c r="F12" s="7">
        <f t="shared" si="29"/>
        <v>81.983000000000004</v>
      </c>
      <c r="G12" s="101">
        <f>23.25*G7</f>
        <v>5812.5</v>
      </c>
      <c r="H12" s="10">
        <f t="shared" si="0"/>
        <v>14.898120691463495</v>
      </c>
      <c r="I12" s="8">
        <f t="shared" si="30"/>
        <v>16062.5</v>
      </c>
      <c r="J12" s="10">
        <f t="shared" si="1"/>
        <v>15.812027989430625</v>
      </c>
      <c r="K12" s="101"/>
      <c r="L12" s="10">
        <f t="shared" si="2"/>
        <v>0</v>
      </c>
      <c r="M12" s="10">
        <f t="shared" si="31"/>
        <v>0</v>
      </c>
      <c r="N12" s="10">
        <f t="shared" si="3"/>
        <v>0</v>
      </c>
      <c r="O12" s="101"/>
      <c r="P12" s="10">
        <f t="shared" si="4"/>
        <v>0</v>
      </c>
      <c r="Q12" s="10">
        <f t="shared" si="32"/>
        <v>0</v>
      </c>
      <c r="R12" s="10">
        <f t="shared" si="5"/>
        <v>0</v>
      </c>
      <c r="S12" s="10">
        <f t="shared" si="33"/>
        <v>5812.5</v>
      </c>
      <c r="T12" s="10">
        <f t="shared" si="6"/>
        <v>14.898120691463495</v>
      </c>
      <c r="U12" s="10">
        <f t="shared" si="34"/>
        <v>16062.5</v>
      </c>
      <c r="V12" s="10">
        <f t="shared" si="7"/>
        <v>15.812027989430625</v>
      </c>
      <c r="W12" s="101"/>
      <c r="X12" s="10"/>
      <c r="Y12" s="10"/>
      <c r="Z12" s="10"/>
      <c r="AA12" s="101"/>
      <c r="AB12" s="10">
        <f t="shared" si="8"/>
        <v>0</v>
      </c>
      <c r="AC12" s="10">
        <f t="shared" si="35"/>
        <v>0</v>
      </c>
      <c r="AD12" s="10">
        <f t="shared" si="9"/>
        <v>0</v>
      </c>
      <c r="AE12" s="101"/>
      <c r="AF12" s="10">
        <f t="shared" si="10"/>
        <v>0</v>
      </c>
      <c r="AG12" s="10">
        <f t="shared" si="36"/>
        <v>0</v>
      </c>
      <c r="AH12" s="10">
        <f t="shared" si="11"/>
        <v>0</v>
      </c>
      <c r="AI12" s="101"/>
      <c r="AJ12" s="10">
        <f t="shared" si="12"/>
        <v>0</v>
      </c>
      <c r="AK12" s="10">
        <f t="shared" si="37"/>
        <v>0</v>
      </c>
      <c r="AL12" s="10">
        <f t="shared" si="13"/>
        <v>0</v>
      </c>
      <c r="AM12" s="10">
        <f t="shared" ref="AM12:AM40" si="46">AA12+AE12+AI12+W12</f>
        <v>0</v>
      </c>
      <c r="AN12" s="10">
        <f t="shared" si="14"/>
        <v>0</v>
      </c>
      <c r="AO12" s="10">
        <f t="shared" si="38"/>
        <v>0</v>
      </c>
      <c r="AP12" s="10">
        <f t="shared" si="15"/>
        <v>0</v>
      </c>
      <c r="AQ12" s="101">
        <f>132*AQ7</f>
        <v>33202.487999999998</v>
      </c>
      <c r="AR12" s="10">
        <f t="shared" si="16"/>
        <v>85.101879308536496</v>
      </c>
      <c r="AS12" s="10">
        <f t="shared" si="39"/>
        <v>85521.56</v>
      </c>
      <c r="AT12" s="10">
        <f t="shared" si="17"/>
        <v>84.187972010569382</v>
      </c>
      <c r="AU12" s="101"/>
      <c r="AV12" s="10">
        <f t="shared" si="18"/>
        <v>0</v>
      </c>
      <c r="AW12" s="10">
        <f t="shared" si="40"/>
        <v>0</v>
      </c>
      <c r="AX12" s="10">
        <f t="shared" si="19"/>
        <v>0</v>
      </c>
      <c r="AY12" s="101"/>
      <c r="AZ12" s="15">
        <f t="shared" si="20"/>
        <v>0</v>
      </c>
      <c r="BA12" s="10">
        <f t="shared" si="41"/>
        <v>0</v>
      </c>
      <c r="BB12" s="10">
        <f t="shared" si="21"/>
        <v>0</v>
      </c>
      <c r="BC12" s="10">
        <f t="shared" si="42"/>
        <v>33202.487999999998</v>
      </c>
      <c r="BD12" s="10">
        <f t="shared" si="22"/>
        <v>85.101879308536496</v>
      </c>
      <c r="BE12" s="10">
        <f t="shared" si="43"/>
        <v>85521.56</v>
      </c>
      <c r="BF12" s="10">
        <f t="shared" si="23"/>
        <v>84.187972010569382</v>
      </c>
      <c r="BG12" s="101">
        <v>0</v>
      </c>
      <c r="BH12" s="10">
        <f t="shared" si="24"/>
        <v>0</v>
      </c>
      <c r="BI12" s="10">
        <f t="shared" si="44"/>
        <v>0</v>
      </c>
      <c r="BJ12" s="10">
        <f t="shared" si="25"/>
        <v>0</v>
      </c>
      <c r="BK12" s="10">
        <f t="shared" si="26"/>
        <v>39014.987999999998</v>
      </c>
      <c r="BL12" s="10">
        <f t="shared" si="45"/>
        <v>101584.06</v>
      </c>
      <c r="BM12" s="518">
        <f t="shared" si="27"/>
        <v>1.0694018583998026</v>
      </c>
      <c r="BN12" s="10">
        <f t="shared" si="28"/>
        <v>1.2390868838661673</v>
      </c>
    </row>
    <row r="13" spans="1:66">
      <c r="A13" s="16">
        <f>+Chem!A12</f>
        <v>45934</v>
      </c>
      <c r="B13" s="6" t="str">
        <f>+Chem!B12</f>
        <v>Facial/Toilet</v>
      </c>
      <c r="C13" s="16" t="str">
        <f>+Chem!C12</f>
        <v>12/12,5/13</v>
      </c>
      <c r="D13" s="8">
        <f>+Chem!D12</f>
        <v>42.438000000000002</v>
      </c>
      <c r="E13" s="7">
        <f>+Chem!E12</f>
        <v>41.1</v>
      </c>
      <c r="F13" s="7">
        <f t="shared" si="29"/>
        <v>123.083</v>
      </c>
      <c r="G13" s="101">
        <f>35*G7</f>
        <v>8750</v>
      </c>
      <c r="H13" s="10">
        <f t="shared" si="0"/>
        <v>20.982733392622148</v>
      </c>
      <c r="I13" s="8">
        <f t="shared" si="30"/>
        <v>24812.5</v>
      </c>
      <c r="J13" s="10">
        <f t="shared" si="1"/>
        <v>17.316884234662531</v>
      </c>
      <c r="K13" s="101"/>
      <c r="L13" s="10">
        <f t="shared" si="2"/>
        <v>0</v>
      </c>
      <c r="M13" s="10">
        <f t="shared" si="31"/>
        <v>0</v>
      </c>
      <c r="N13" s="10">
        <f t="shared" si="3"/>
        <v>0</v>
      </c>
      <c r="O13" s="101"/>
      <c r="P13" s="10">
        <f t="shared" si="4"/>
        <v>0</v>
      </c>
      <c r="Q13" s="10">
        <f t="shared" si="32"/>
        <v>0</v>
      </c>
      <c r="R13" s="10">
        <f t="shared" si="5"/>
        <v>0</v>
      </c>
      <c r="S13" s="10">
        <f t="shared" si="33"/>
        <v>8750</v>
      </c>
      <c r="T13" s="10">
        <f t="shared" si="6"/>
        <v>20.982733392622148</v>
      </c>
      <c r="U13" s="10">
        <f t="shared" si="34"/>
        <v>24812.5</v>
      </c>
      <c r="V13" s="10">
        <f t="shared" si="7"/>
        <v>17.316884234662531</v>
      </c>
      <c r="W13" s="101"/>
      <c r="X13" s="10"/>
      <c r="Y13" s="10"/>
      <c r="Z13" s="10"/>
      <c r="AA13" s="101"/>
      <c r="AB13" s="10">
        <f t="shared" si="8"/>
        <v>0</v>
      </c>
      <c r="AC13" s="10">
        <f t="shared" si="35"/>
        <v>0</v>
      </c>
      <c r="AD13" s="10">
        <f t="shared" si="9"/>
        <v>0</v>
      </c>
      <c r="AE13" s="101"/>
      <c r="AF13" s="10">
        <f t="shared" si="10"/>
        <v>0</v>
      </c>
      <c r="AG13" s="10">
        <f t="shared" si="36"/>
        <v>0</v>
      </c>
      <c r="AH13" s="10">
        <f t="shared" si="11"/>
        <v>0</v>
      </c>
      <c r="AI13" s="101"/>
      <c r="AJ13" s="10">
        <f t="shared" si="12"/>
        <v>0</v>
      </c>
      <c r="AK13" s="10">
        <f t="shared" si="37"/>
        <v>0</v>
      </c>
      <c r="AL13" s="10">
        <f t="shared" si="13"/>
        <v>0</v>
      </c>
      <c r="AM13" s="10">
        <f t="shared" si="46"/>
        <v>0</v>
      </c>
      <c r="AN13" s="10">
        <f t="shared" si="14"/>
        <v>0</v>
      </c>
      <c r="AO13" s="10">
        <f t="shared" si="38"/>
        <v>0</v>
      </c>
      <c r="AP13" s="10">
        <f t="shared" si="15"/>
        <v>0</v>
      </c>
      <c r="AQ13" s="101">
        <f>131*AQ7</f>
        <v>32950.953999999998</v>
      </c>
      <c r="AR13" s="10">
        <f t="shared" si="16"/>
        <v>79.017266607377863</v>
      </c>
      <c r="AS13" s="10">
        <f t="shared" si="39"/>
        <v>118472.514</v>
      </c>
      <c r="AT13" s="10">
        <f t="shared" si="17"/>
        <v>82.683115765337462</v>
      </c>
      <c r="AU13" s="101"/>
      <c r="AV13" s="10">
        <f t="shared" si="18"/>
        <v>0</v>
      </c>
      <c r="AW13" s="10">
        <f t="shared" si="40"/>
        <v>0</v>
      </c>
      <c r="AX13" s="10">
        <f t="shared" si="19"/>
        <v>0</v>
      </c>
      <c r="AY13" s="101"/>
      <c r="AZ13" s="15">
        <f t="shared" si="20"/>
        <v>0</v>
      </c>
      <c r="BA13" s="10">
        <f t="shared" si="41"/>
        <v>0</v>
      </c>
      <c r="BB13" s="10">
        <f t="shared" si="21"/>
        <v>0</v>
      </c>
      <c r="BC13" s="10">
        <f t="shared" si="42"/>
        <v>32950.953999999998</v>
      </c>
      <c r="BD13" s="10">
        <f t="shared" si="22"/>
        <v>79.017266607377863</v>
      </c>
      <c r="BE13" s="10">
        <f t="shared" si="43"/>
        <v>118472.514</v>
      </c>
      <c r="BF13" s="10">
        <f t="shared" si="23"/>
        <v>82.683115765337462</v>
      </c>
      <c r="BG13" s="101">
        <v>0</v>
      </c>
      <c r="BH13" s="10">
        <f t="shared" si="24"/>
        <v>0</v>
      </c>
      <c r="BI13" s="10">
        <f t="shared" si="44"/>
        <v>0</v>
      </c>
      <c r="BJ13" s="10">
        <f t="shared" si="25"/>
        <v>0</v>
      </c>
      <c r="BK13" s="10">
        <f t="shared" si="26"/>
        <v>41700.953999999998</v>
      </c>
      <c r="BL13" s="10">
        <f t="shared" si="45"/>
        <v>143285.014</v>
      </c>
      <c r="BM13" s="518">
        <f t="shared" si="27"/>
        <v>1.0146217518248173</v>
      </c>
      <c r="BN13" s="10">
        <f t="shared" si="28"/>
        <v>1.1641332596703038</v>
      </c>
    </row>
    <row r="14" spans="1:66">
      <c r="A14" s="16">
        <f>+Chem!A13</f>
        <v>45935</v>
      </c>
      <c r="B14" s="6" t="str">
        <f>+Chem!B13</f>
        <v>Toilet</v>
      </c>
      <c r="C14" s="16" t="str">
        <f>+Chem!C13</f>
        <v>13</v>
      </c>
      <c r="D14" s="8">
        <f>+Chem!D13</f>
        <v>41.597000000000001</v>
      </c>
      <c r="E14" s="7">
        <f>+Chem!E13</f>
        <v>40.323999999999998</v>
      </c>
      <c r="F14" s="7">
        <f t="shared" si="29"/>
        <v>163.40699999999998</v>
      </c>
      <c r="G14" s="102">
        <f>43*G7</f>
        <v>10750</v>
      </c>
      <c r="H14" s="92">
        <f t="shared" si="0"/>
        <v>24.885477034686375</v>
      </c>
      <c r="I14" s="8">
        <f t="shared" si="30"/>
        <v>35562.5</v>
      </c>
      <c r="J14" s="92">
        <f t="shared" si="1"/>
        <v>19.070113131016303</v>
      </c>
      <c r="K14" s="102"/>
      <c r="L14" s="92">
        <f t="shared" si="2"/>
        <v>0</v>
      </c>
      <c r="M14" s="92">
        <f t="shared" si="31"/>
        <v>0</v>
      </c>
      <c r="N14" s="92">
        <f t="shared" si="3"/>
        <v>0</v>
      </c>
      <c r="O14" s="102"/>
      <c r="P14" s="92">
        <f t="shared" si="4"/>
        <v>0</v>
      </c>
      <c r="Q14" s="92">
        <f t="shared" si="32"/>
        <v>0</v>
      </c>
      <c r="R14" s="92">
        <f t="shared" si="5"/>
        <v>0</v>
      </c>
      <c r="S14" s="10">
        <f t="shared" si="33"/>
        <v>10750</v>
      </c>
      <c r="T14" s="92">
        <f t="shared" si="6"/>
        <v>24.885477034686375</v>
      </c>
      <c r="U14" s="92">
        <f t="shared" si="34"/>
        <v>35562.5</v>
      </c>
      <c r="V14" s="92">
        <f t="shared" si="7"/>
        <v>19.070113131016303</v>
      </c>
      <c r="W14" s="102"/>
      <c r="X14" s="92"/>
      <c r="Y14" s="92"/>
      <c r="Z14" s="92"/>
      <c r="AA14" s="102"/>
      <c r="AB14" s="92">
        <f t="shared" si="8"/>
        <v>0</v>
      </c>
      <c r="AC14" s="92">
        <f t="shared" si="35"/>
        <v>0</v>
      </c>
      <c r="AD14" s="92">
        <f t="shared" si="9"/>
        <v>0</v>
      </c>
      <c r="AE14" s="102"/>
      <c r="AF14" s="92">
        <f t="shared" si="10"/>
        <v>0</v>
      </c>
      <c r="AG14" s="92">
        <f t="shared" si="36"/>
        <v>0</v>
      </c>
      <c r="AH14" s="92">
        <f t="shared" si="11"/>
        <v>0</v>
      </c>
      <c r="AI14" s="102"/>
      <c r="AJ14" s="92">
        <f t="shared" si="12"/>
        <v>0</v>
      </c>
      <c r="AK14" s="92">
        <f t="shared" si="37"/>
        <v>0</v>
      </c>
      <c r="AL14" s="92">
        <f t="shared" si="13"/>
        <v>0</v>
      </c>
      <c r="AM14" s="10">
        <f t="shared" si="46"/>
        <v>0</v>
      </c>
      <c r="AN14" s="92">
        <f t="shared" si="14"/>
        <v>0</v>
      </c>
      <c r="AO14" s="92">
        <f t="shared" si="38"/>
        <v>0</v>
      </c>
      <c r="AP14" s="92">
        <f t="shared" si="15"/>
        <v>0</v>
      </c>
      <c r="AQ14" s="102">
        <f>129*AQ7</f>
        <v>32447.885999999999</v>
      </c>
      <c r="AR14" s="92">
        <f t="shared" si="16"/>
        <v>75.114522965313625</v>
      </c>
      <c r="AS14" s="92">
        <f t="shared" si="39"/>
        <v>150920.4</v>
      </c>
      <c r="AT14" s="92">
        <f t="shared" si="17"/>
        <v>80.929886868983701</v>
      </c>
      <c r="AU14" s="102"/>
      <c r="AV14" s="92">
        <f t="shared" si="18"/>
        <v>0</v>
      </c>
      <c r="AW14" s="92">
        <f t="shared" si="40"/>
        <v>0</v>
      </c>
      <c r="AX14" s="92">
        <f t="shared" si="19"/>
        <v>0</v>
      </c>
      <c r="AY14" s="102"/>
      <c r="AZ14" s="93">
        <f t="shared" si="20"/>
        <v>0</v>
      </c>
      <c r="BA14" s="92">
        <f t="shared" si="41"/>
        <v>0</v>
      </c>
      <c r="BB14" s="92">
        <f t="shared" si="21"/>
        <v>0</v>
      </c>
      <c r="BC14" s="92">
        <f t="shared" si="42"/>
        <v>32447.885999999999</v>
      </c>
      <c r="BD14" s="92">
        <f t="shared" si="22"/>
        <v>75.114522965313625</v>
      </c>
      <c r="BE14" s="92">
        <f t="shared" si="43"/>
        <v>150920.4</v>
      </c>
      <c r="BF14" s="92">
        <f t="shared" si="23"/>
        <v>80.929886868983701</v>
      </c>
      <c r="BG14" s="102">
        <v>0</v>
      </c>
      <c r="BH14" s="92">
        <f t="shared" si="24"/>
        <v>0</v>
      </c>
      <c r="BI14" s="92">
        <f t="shared" si="44"/>
        <v>0</v>
      </c>
      <c r="BJ14" s="92">
        <f t="shared" si="25"/>
        <v>0</v>
      </c>
      <c r="BK14" s="92">
        <f t="shared" si="26"/>
        <v>43197.885999999999</v>
      </c>
      <c r="BL14" s="92">
        <f t="shared" si="45"/>
        <v>186482.9</v>
      </c>
      <c r="BM14" s="518">
        <f t="shared" si="27"/>
        <v>1.0712698641007836</v>
      </c>
      <c r="BN14" s="92">
        <f t="shared" si="28"/>
        <v>1.1412173285110185</v>
      </c>
    </row>
    <row r="15" spans="1:66">
      <c r="A15" s="16">
        <f>+Chem!A14</f>
        <v>45936</v>
      </c>
      <c r="B15" s="6" t="str">
        <f>+Chem!B14</f>
        <v>Toilet</v>
      </c>
      <c r="C15" s="16" t="str">
        <f>+Chem!C14</f>
        <v>13</v>
      </c>
      <c r="D15" s="8">
        <f>+Chem!D14</f>
        <v>42.959000000000003</v>
      </c>
      <c r="E15" s="7">
        <f>+Chem!E14</f>
        <v>41.719000000000001</v>
      </c>
      <c r="F15" s="7">
        <f t="shared" si="29"/>
        <v>205.12599999999998</v>
      </c>
      <c r="G15" s="102">
        <f>45*G7</f>
        <v>11250</v>
      </c>
      <c r="H15" s="92">
        <f t="shared" si="0"/>
        <v>24.885477034686375</v>
      </c>
      <c r="I15" s="8">
        <f t="shared" si="30"/>
        <v>46812.5</v>
      </c>
      <c r="J15" s="92">
        <f t="shared" si="1"/>
        <v>20.204800388657276</v>
      </c>
      <c r="K15" s="102"/>
      <c r="L15" s="92">
        <f t="shared" si="2"/>
        <v>0</v>
      </c>
      <c r="M15" s="92">
        <f t="shared" si="31"/>
        <v>0</v>
      </c>
      <c r="N15" s="92">
        <f t="shared" si="3"/>
        <v>0</v>
      </c>
      <c r="O15" s="102"/>
      <c r="P15" s="92">
        <f t="shared" si="4"/>
        <v>0</v>
      </c>
      <c r="Q15" s="92">
        <f t="shared" si="32"/>
        <v>0</v>
      </c>
      <c r="R15" s="92">
        <f t="shared" si="5"/>
        <v>0</v>
      </c>
      <c r="S15" s="10">
        <f t="shared" si="33"/>
        <v>11250</v>
      </c>
      <c r="T15" s="92">
        <f t="shared" si="6"/>
        <v>24.885477034686375</v>
      </c>
      <c r="U15" s="92">
        <f t="shared" si="34"/>
        <v>46812.5</v>
      </c>
      <c r="V15" s="92">
        <f t="shared" si="7"/>
        <v>20.204800388657276</v>
      </c>
      <c r="W15" s="102"/>
      <c r="X15" s="92"/>
      <c r="Y15" s="92"/>
      <c r="Z15" s="92"/>
      <c r="AA15" s="102"/>
      <c r="AB15" s="92">
        <f t="shared" si="8"/>
        <v>0</v>
      </c>
      <c r="AC15" s="92">
        <f t="shared" si="35"/>
        <v>0</v>
      </c>
      <c r="AD15" s="92">
        <f t="shared" si="9"/>
        <v>0</v>
      </c>
      <c r="AE15" s="102"/>
      <c r="AF15" s="92">
        <f t="shared" si="10"/>
        <v>0</v>
      </c>
      <c r="AG15" s="92">
        <f t="shared" si="36"/>
        <v>0</v>
      </c>
      <c r="AH15" s="92">
        <f t="shared" si="11"/>
        <v>0</v>
      </c>
      <c r="AI15" s="102"/>
      <c r="AJ15" s="92">
        <f t="shared" si="12"/>
        <v>0</v>
      </c>
      <c r="AK15" s="92">
        <f t="shared" si="37"/>
        <v>0</v>
      </c>
      <c r="AL15" s="92">
        <f t="shared" si="13"/>
        <v>0</v>
      </c>
      <c r="AM15" s="10">
        <f t="shared" si="46"/>
        <v>0</v>
      </c>
      <c r="AN15" s="92">
        <f t="shared" si="14"/>
        <v>0</v>
      </c>
      <c r="AO15" s="92">
        <f t="shared" si="38"/>
        <v>0</v>
      </c>
      <c r="AP15" s="92">
        <f t="shared" si="15"/>
        <v>0</v>
      </c>
      <c r="AQ15" s="102">
        <f>135*AQ7</f>
        <v>33957.089999999997</v>
      </c>
      <c r="AR15" s="92">
        <f t="shared" si="16"/>
        <v>75.114522965313625</v>
      </c>
      <c r="AS15" s="92">
        <f t="shared" si="39"/>
        <v>184877.49</v>
      </c>
      <c r="AT15" s="92">
        <f t="shared" si="17"/>
        <v>79.795199611342724</v>
      </c>
      <c r="AU15" s="102"/>
      <c r="AV15" s="92">
        <f t="shared" si="18"/>
        <v>0</v>
      </c>
      <c r="AW15" s="92">
        <f t="shared" si="40"/>
        <v>0</v>
      </c>
      <c r="AX15" s="92">
        <f t="shared" si="19"/>
        <v>0</v>
      </c>
      <c r="AY15" s="102"/>
      <c r="AZ15" s="93">
        <f t="shared" si="20"/>
        <v>0</v>
      </c>
      <c r="BA15" s="92">
        <f t="shared" si="41"/>
        <v>0</v>
      </c>
      <c r="BB15" s="92">
        <f t="shared" si="21"/>
        <v>0</v>
      </c>
      <c r="BC15" s="92">
        <f t="shared" si="42"/>
        <v>33957.089999999997</v>
      </c>
      <c r="BD15" s="92">
        <f t="shared" si="22"/>
        <v>75.114522965313625</v>
      </c>
      <c r="BE15" s="92">
        <f t="shared" si="43"/>
        <v>184877.49</v>
      </c>
      <c r="BF15" s="92">
        <f t="shared" si="23"/>
        <v>79.795199611342724</v>
      </c>
      <c r="BG15" s="102">
        <v>0</v>
      </c>
      <c r="BH15" s="92">
        <f t="shared" si="24"/>
        <v>0</v>
      </c>
      <c r="BI15" s="92">
        <f t="shared" si="44"/>
        <v>0</v>
      </c>
      <c r="BJ15" s="92">
        <f t="shared" si="25"/>
        <v>0</v>
      </c>
      <c r="BK15" s="92">
        <f t="shared" si="26"/>
        <v>45207.09</v>
      </c>
      <c r="BL15" s="92">
        <f t="shared" si="45"/>
        <v>231689.99</v>
      </c>
      <c r="BM15" s="518">
        <f t="shared" si="27"/>
        <v>1.083609146911479</v>
      </c>
      <c r="BN15" s="92">
        <f t="shared" si="28"/>
        <v>1.1295008433840665</v>
      </c>
    </row>
    <row r="16" spans="1:66">
      <c r="A16" s="16">
        <f>+Chem!A15</f>
        <v>45937</v>
      </c>
      <c r="B16" s="6" t="str">
        <f>+Chem!B15</f>
        <v>Toilet</v>
      </c>
      <c r="C16" s="16" t="str">
        <f>+Chem!C15</f>
        <v>13/12,5</v>
      </c>
      <c r="D16" s="8">
        <f>+Chem!D15</f>
        <v>42.984000000000002</v>
      </c>
      <c r="E16" s="7">
        <f>+Chem!E15</f>
        <v>42.372</v>
      </c>
      <c r="F16" s="7">
        <f t="shared" si="29"/>
        <v>247.49799999999999</v>
      </c>
      <c r="G16" s="102">
        <f>22*G7</f>
        <v>5500</v>
      </c>
      <c r="H16" s="92">
        <f t="shared" si="0"/>
        <v>11.957308322064838</v>
      </c>
      <c r="I16" s="8">
        <f t="shared" si="30"/>
        <v>52312.5</v>
      </c>
      <c r="J16" s="92">
        <f t="shared" si="1"/>
        <v>18.838658915223689</v>
      </c>
      <c r="K16" s="102"/>
      <c r="L16" s="92">
        <f t="shared" si="2"/>
        <v>0</v>
      </c>
      <c r="M16" s="92">
        <f t="shared" si="31"/>
        <v>0</v>
      </c>
      <c r="N16" s="92">
        <f t="shared" si="3"/>
        <v>0</v>
      </c>
      <c r="O16" s="102"/>
      <c r="P16" s="92">
        <f t="shared" si="4"/>
        <v>0</v>
      </c>
      <c r="Q16" s="92">
        <f t="shared" si="32"/>
        <v>0</v>
      </c>
      <c r="R16" s="92">
        <f t="shared" si="5"/>
        <v>0</v>
      </c>
      <c r="S16" s="10">
        <f t="shared" si="33"/>
        <v>5500</v>
      </c>
      <c r="T16" s="92">
        <f t="shared" si="6"/>
        <v>11.957308322064838</v>
      </c>
      <c r="U16" s="92">
        <f t="shared" si="34"/>
        <v>52312.5</v>
      </c>
      <c r="V16" s="92">
        <f t="shared" si="7"/>
        <v>18.838658915223689</v>
      </c>
      <c r="W16" s="102"/>
      <c r="X16" s="92"/>
      <c r="Y16" s="92"/>
      <c r="Z16" s="92"/>
      <c r="AA16" s="102"/>
      <c r="AB16" s="92">
        <f t="shared" si="8"/>
        <v>0</v>
      </c>
      <c r="AC16" s="92">
        <f t="shared" si="35"/>
        <v>0</v>
      </c>
      <c r="AD16" s="92">
        <f t="shared" si="9"/>
        <v>0</v>
      </c>
      <c r="AE16" s="102"/>
      <c r="AF16" s="92">
        <f t="shared" si="10"/>
        <v>0</v>
      </c>
      <c r="AG16" s="92">
        <f t="shared" si="36"/>
        <v>0</v>
      </c>
      <c r="AH16" s="92">
        <f t="shared" si="11"/>
        <v>0</v>
      </c>
      <c r="AI16" s="102"/>
      <c r="AJ16" s="92">
        <f t="shared" si="12"/>
        <v>0</v>
      </c>
      <c r="AK16" s="92">
        <f t="shared" si="37"/>
        <v>0</v>
      </c>
      <c r="AL16" s="92">
        <f t="shared" si="13"/>
        <v>0</v>
      </c>
      <c r="AM16" s="10">
        <f t="shared" si="46"/>
        <v>0</v>
      </c>
      <c r="AN16" s="92">
        <f t="shared" si="14"/>
        <v>0</v>
      </c>
      <c r="AO16" s="92">
        <f t="shared" si="38"/>
        <v>0</v>
      </c>
      <c r="AP16" s="92">
        <f t="shared" si="15"/>
        <v>0</v>
      </c>
      <c r="AQ16" s="102">
        <f>161*AQ7</f>
        <v>40496.974000000002</v>
      </c>
      <c r="AR16" s="92">
        <f t="shared" si="16"/>
        <v>88.042691677935153</v>
      </c>
      <c r="AS16" s="92">
        <f t="shared" si="39"/>
        <v>225374.46399999998</v>
      </c>
      <c r="AT16" s="92">
        <f t="shared" si="17"/>
        <v>81.161341084776311</v>
      </c>
      <c r="AU16" s="102"/>
      <c r="AV16" s="92">
        <f t="shared" si="18"/>
        <v>0</v>
      </c>
      <c r="AW16" s="92">
        <f t="shared" si="40"/>
        <v>0</v>
      </c>
      <c r="AX16" s="92">
        <f t="shared" si="19"/>
        <v>0</v>
      </c>
      <c r="AY16" s="102"/>
      <c r="AZ16" s="93">
        <f t="shared" si="20"/>
        <v>0</v>
      </c>
      <c r="BA16" s="92">
        <f t="shared" si="41"/>
        <v>0</v>
      </c>
      <c r="BB16" s="92">
        <f t="shared" si="21"/>
        <v>0</v>
      </c>
      <c r="BC16" s="92">
        <f t="shared" si="42"/>
        <v>40496.974000000002</v>
      </c>
      <c r="BD16" s="92">
        <f t="shared" si="22"/>
        <v>88.042691677935153</v>
      </c>
      <c r="BE16" s="92">
        <f t="shared" si="43"/>
        <v>225374.46399999998</v>
      </c>
      <c r="BF16" s="92">
        <f t="shared" si="23"/>
        <v>81.161341084776311</v>
      </c>
      <c r="BG16" s="102">
        <v>0</v>
      </c>
      <c r="BH16" s="92">
        <f t="shared" si="24"/>
        <v>0</v>
      </c>
      <c r="BI16" s="92">
        <f t="shared" si="44"/>
        <v>0</v>
      </c>
      <c r="BJ16" s="92">
        <f t="shared" si="25"/>
        <v>0</v>
      </c>
      <c r="BK16" s="92">
        <f t="shared" si="26"/>
        <v>45996.974000000002</v>
      </c>
      <c r="BL16" s="92">
        <f t="shared" si="45"/>
        <v>277686.96399999998</v>
      </c>
      <c r="BM16" s="518">
        <f t="shared" si="27"/>
        <v>1.08555116586425</v>
      </c>
      <c r="BN16" s="92">
        <f t="shared" si="28"/>
        <v>1.1219765977906893</v>
      </c>
    </row>
    <row r="17" spans="1:75">
      <c r="A17" s="16">
        <f>+Chem!A16</f>
        <v>45938</v>
      </c>
      <c r="B17" s="6" t="str">
        <f>+Chem!B16</f>
        <v>Toilet</v>
      </c>
      <c r="C17" s="16" t="str">
        <f>+Chem!C16</f>
        <v>12,5</v>
      </c>
      <c r="D17" s="8">
        <f>+Chem!D16</f>
        <v>42.14</v>
      </c>
      <c r="E17" s="7">
        <f>+Chem!E16</f>
        <v>43.186999999999998</v>
      </c>
      <c r="F17" s="7">
        <f t="shared" si="29"/>
        <v>290.685</v>
      </c>
      <c r="G17" s="102">
        <f>20.5*G7</f>
        <v>5125</v>
      </c>
      <c r="H17" s="92">
        <f t="shared" si="0"/>
        <v>11.088898214862645</v>
      </c>
      <c r="I17" s="8">
        <f t="shared" si="30"/>
        <v>57437.5</v>
      </c>
      <c r="J17" s="92">
        <f t="shared" si="1"/>
        <v>17.732857933743158</v>
      </c>
      <c r="K17" s="102"/>
      <c r="L17" s="92">
        <f t="shared" si="2"/>
        <v>0</v>
      </c>
      <c r="M17" s="92">
        <f t="shared" si="31"/>
        <v>0</v>
      </c>
      <c r="N17" s="92">
        <f t="shared" si="3"/>
        <v>0</v>
      </c>
      <c r="O17" s="102"/>
      <c r="P17" s="92">
        <f t="shared" si="4"/>
        <v>0</v>
      </c>
      <c r="Q17" s="92">
        <f t="shared" si="32"/>
        <v>0</v>
      </c>
      <c r="R17" s="92">
        <f t="shared" si="5"/>
        <v>0</v>
      </c>
      <c r="S17" s="10">
        <f t="shared" si="33"/>
        <v>5125</v>
      </c>
      <c r="T17" s="92">
        <f t="shared" si="6"/>
        <v>11.088898214862645</v>
      </c>
      <c r="U17" s="92">
        <f t="shared" si="34"/>
        <v>57437.5</v>
      </c>
      <c r="V17" s="92">
        <f t="shared" si="7"/>
        <v>17.732857933743158</v>
      </c>
      <c r="W17" s="102"/>
      <c r="X17" s="92"/>
      <c r="Y17" s="92"/>
      <c r="Z17" s="92"/>
      <c r="AA17" s="102"/>
      <c r="AB17" s="92">
        <f t="shared" si="8"/>
        <v>0</v>
      </c>
      <c r="AC17" s="92">
        <f t="shared" si="35"/>
        <v>0</v>
      </c>
      <c r="AD17" s="92">
        <f t="shared" si="9"/>
        <v>0</v>
      </c>
      <c r="AE17" s="102"/>
      <c r="AF17" s="92">
        <f t="shared" si="10"/>
        <v>0</v>
      </c>
      <c r="AG17" s="92">
        <f t="shared" si="36"/>
        <v>0</v>
      </c>
      <c r="AH17" s="92">
        <f t="shared" si="11"/>
        <v>0</v>
      </c>
      <c r="AI17" s="102"/>
      <c r="AJ17" s="92">
        <f t="shared" si="12"/>
        <v>0</v>
      </c>
      <c r="AK17" s="92">
        <f t="shared" si="37"/>
        <v>0</v>
      </c>
      <c r="AL17" s="92">
        <f t="shared" si="13"/>
        <v>0</v>
      </c>
      <c r="AM17" s="10">
        <f t="shared" si="46"/>
        <v>0</v>
      </c>
      <c r="AN17" s="92">
        <f t="shared" si="14"/>
        <v>0</v>
      </c>
      <c r="AO17" s="92">
        <f t="shared" si="38"/>
        <v>0</v>
      </c>
      <c r="AP17" s="92">
        <f t="shared" si="15"/>
        <v>0</v>
      </c>
      <c r="AQ17" s="102">
        <f>104*AQ7</f>
        <v>26159.536</v>
      </c>
      <c r="AR17" s="92">
        <f t="shared" si="16"/>
        <v>56.60105991259222</v>
      </c>
      <c r="AS17" s="92">
        <f t="shared" si="39"/>
        <v>251533.99999999997</v>
      </c>
      <c r="AT17" s="92">
        <f t="shared" si="17"/>
        <v>77.656873775950402</v>
      </c>
      <c r="AU17" s="102">
        <f>60*AU7</f>
        <v>14932.86</v>
      </c>
      <c r="AV17" s="92">
        <f t="shared" si="18"/>
        <v>32.310041872545135</v>
      </c>
      <c r="AW17" s="92">
        <f t="shared" si="40"/>
        <v>14932.86</v>
      </c>
      <c r="AX17" s="92">
        <f t="shared" si="19"/>
        <v>4.6102682903064354</v>
      </c>
      <c r="AY17" s="102"/>
      <c r="AZ17" s="93">
        <f t="shared" si="20"/>
        <v>0</v>
      </c>
      <c r="BA17" s="92">
        <f t="shared" si="41"/>
        <v>0</v>
      </c>
      <c r="BB17" s="92">
        <f t="shared" si="21"/>
        <v>0</v>
      </c>
      <c r="BC17" s="92">
        <f t="shared" si="42"/>
        <v>41092.396000000001</v>
      </c>
      <c r="BD17" s="92">
        <f t="shared" si="22"/>
        <v>88.911101785137362</v>
      </c>
      <c r="BE17" s="92">
        <f t="shared" si="43"/>
        <v>266466.86</v>
      </c>
      <c r="BF17" s="92">
        <f t="shared" si="23"/>
        <v>82.267142066256838</v>
      </c>
      <c r="BG17" s="102">
        <v>0</v>
      </c>
      <c r="BH17" s="92">
        <f t="shared" si="24"/>
        <v>0</v>
      </c>
      <c r="BI17" s="92">
        <f t="shared" si="44"/>
        <v>0</v>
      </c>
      <c r="BJ17" s="92">
        <f t="shared" si="25"/>
        <v>0</v>
      </c>
      <c r="BK17" s="92">
        <f t="shared" si="26"/>
        <v>46217.396000000001</v>
      </c>
      <c r="BL17" s="92">
        <f t="shared" si="45"/>
        <v>323904.36</v>
      </c>
      <c r="BM17" s="518">
        <f t="shared" si="27"/>
        <v>1.0701691712783941</v>
      </c>
      <c r="BN17" s="92">
        <f t="shared" si="28"/>
        <v>1.1142795809897312</v>
      </c>
    </row>
    <row r="18" spans="1:75">
      <c r="A18" s="16">
        <f>+Chem!A17</f>
        <v>45939</v>
      </c>
      <c r="B18" s="6" t="str">
        <f>+Chem!B17</f>
        <v>Toilet</v>
      </c>
      <c r="C18" s="16" t="str">
        <f>+Chem!C17</f>
        <v>12,5</v>
      </c>
      <c r="D18" s="8">
        <f>+Chem!D17</f>
        <v>38.646000000000001</v>
      </c>
      <c r="E18" s="7">
        <f>+Chem!E17</f>
        <v>36.542999999999999</v>
      </c>
      <c r="F18" s="7">
        <f t="shared" si="29"/>
        <v>327.22800000000001</v>
      </c>
      <c r="G18" s="101">
        <f>19.5*G7</f>
        <v>4875</v>
      </c>
      <c r="H18" s="10">
        <f t="shared" si="0"/>
        <v>11.415548637589982</v>
      </c>
      <c r="I18" s="8">
        <f t="shared" si="30"/>
        <v>62312.5</v>
      </c>
      <c r="J18" s="10">
        <f t="shared" si="1"/>
        <v>16.99697873435127</v>
      </c>
      <c r="K18" s="101"/>
      <c r="L18" s="10">
        <f t="shared" si="2"/>
        <v>0</v>
      </c>
      <c r="M18" s="10">
        <f t="shared" si="31"/>
        <v>0</v>
      </c>
      <c r="N18" s="10">
        <f t="shared" si="3"/>
        <v>0</v>
      </c>
      <c r="O18" s="101"/>
      <c r="P18" s="10">
        <f t="shared" si="4"/>
        <v>0</v>
      </c>
      <c r="Q18" s="10">
        <f t="shared" si="32"/>
        <v>0</v>
      </c>
      <c r="R18" s="10">
        <f t="shared" si="5"/>
        <v>0</v>
      </c>
      <c r="S18" s="10">
        <f t="shared" si="33"/>
        <v>4875</v>
      </c>
      <c r="T18" s="10">
        <f t="shared" si="6"/>
        <v>11.415548637589982</v>
      </c>
      <c r="U18" s="10">
        <f t="shared" si="34"/>
        <v>62312.5</v>
      </c>
      <c r="V18" s="10">
        <f t="shared" si="7"/>
        <v>16.99697873435127</v>
      </c>
      <c r="W18" s="101"/>
      <c r="X18" s="10"/>
      <c r="Y18" s="10"/>
      <c r="Z18" s="10"/>
      <c r="AA18" s="101"/>
      <c r="AB18" s="10">
        <f t="shared" si="8"/>
        <v>0</v>
      </c>
      <c r="AC18" s="10">
        <f t="shared" si="35"/>
        <v>0</v>
      </c>
      <c r="AD18" s="10">
        <f t="shared" si="9"/>
        <v>0</v>
      </c>
      <c r="AE18" s="101"/>
      <c r="AF18" s="10">
        <f t="shared" si="10"/>
        <v>0</v>
      </c>
      <c r="AG18" s="10">
        <f t="shared" si="36"/>
        <v>0</v>
      </c>
      <c r="AH18" s="10">
        <f t="shared" si="11"/>
        <v>0</v>
      </c>
      <c r="AI18" s="101"/>
      <c r="AJ18" s="10">
        <f t="shared" si="12"/>
        <v>0</v>
      </c>
      <c r="AK18" s="10">
        <f t="shared" si="37"/>
        <v>0</v>
      </c>
      <c r="AL18" s="10">
        <f t="shared" si="13"/>
        <v>0</v>
      </c>
      <c r="AM18" s="10">
        <f t="shared" si="46"/>
        <v>0</v>
      </c>
      <c r="AN18" s="10">
        <f t="shared" si="14"/>
        <v>0</v>
      </c>
      <c r="AO18" s="10">
        <f t="shared" si="38"/>
        <v>0</v>
      </c>
      <c r="AP18" s="10">
        <f t="shared" si="15"/>
        <v>0</v>
      </c>
      <c r="AQ18" s="101"/>
      <c r="AR18" s="10">
        <f t="shared" si="16"/>
        <v>0</v>
      </c>
      <c r="AS18" s="10">
        <f t="shared" si="39"/>
        <v>251533.99999999997</v>
      </c>
      <c r="AT18" s="10">
        <f t="shared" si="17"/>
        <v>68.610921548105296</v>
      </c>
      <c r="AU18" s="101">
        <f>152*AU7</f>
        <v>37829.911999999997</v>
      </c>
      <c r="AV18" s="10">
        <f t="shared" si="18"/>
        <v>88.584451362410022</v>
      </c>
      <c r="AW18" s="10">
        <f t="shared" si="40"/>
        <v>52762.771999999997</v>
      </c>
      <c r="AX18" s="10">
        <f t="shared" si="19"/>
        <v>14.392099717543422</v>
      </c>
      <c r="AY18" s="101"/>
      <c r="AZ18" s="15">
        <f t="shared" si="20"/>
        <v>0</v>
      </c>
      <c r="BA18" s="10">
        <f t="shared" si="41"/>
        <v>0</v>
      </c>
      <c r="BB18" s="10">
        <f t="shared" si="21"/>
        <v>0</v>
      </c>
      <c r="BC18" s="10">
        <f t="shared" si="42"/>
        <v>37829.911999999997</v>
      </c>
      <c r="BD18" s="10">
        <f t="shared" si="22"/>
        <v>88.584451362410022</v>
      </c>
      <c r="BE18" s="10">
        <f t="shared" si="43"/>
        <v>304296.772</v>
      </c>
      <c r="BF18" s="10">
        <f t="shared" si="23"/>
        <v>83.003021265648741</v>
      </c>
      <c r="BG18" s="101">
        <v>0</v>
      </c>
      <c r="BH18" s="10">
        <f t="shared" si="24"/>
        <v>0</v>
      </c>
      <c r="BI18" s="10">
        <f t="shared" si="44"/>
        <v>0</v>
      </c>
      <c r="BJ18" s="10">
        <f t="shared" si="25"/>
        <v>0</v>
      </c>
      <c r="BK18" s="10">
        <f t="shared" si="26"/>
        <v>42704.911999999997</v>
      </c>
      <c r="BL18" s="10">
        <f t="shared" si="45"/>
        <v>366609.272</v>
      </c>
      <c r="BM18" s="518">
        <f t="shared" si="27"/>
        <v>1.1686208576197903</v>
      </c>
      <c r="BN18" s="10">
        <f t="shared" si="28"/>
        <v>1.1203481120197538</v>
      </c>
    </row>
    <row r="19" spans="1:75">
      <c r="A19" s="16">
        <f>+Chem!A18</f>
        <v>45940</v>
      </c>
      <c r="B19" s="6" t="str">
        <f>+Chem!B18</f>
        <v>Toilet</v>
      </c>
      <c r="C19" s="16" t="str">
        <f>+Chem!C18</f>
        <v>12,5</v>
      </c>
      <c r="D19" s="8">
        <f>+Chem!D18</f>
        <v>40.244</v>
      </c>
      <c r="E19" s="7">
        <f>+Chem!E18</f>
        <v>35.942</v>
      </c>
      <c r="F19" s="7">
        <f t="shared" si="29"/>
        <v>363.17</v>
      </c>
      <c r="G19" s="101">
        <f>17.5*G7</f>
        <v>4375</v>
      </c>
      <c r="H19" s="10">
        <f t="shared" si="0"/>
        <v>11.155495107646066</v>
      </c>
      <c r="I19" s="8">
        <f t="shared" si="30"/>
        <v>66687.5</v>
      </c>
      <c r="J19" s="10">
        <f t="shared" si="1"/>
        <v>16.432469853726957</v>
      </c>
      <c r="K19" s="101"/>
      <c r="L19" s="10">
        <f t="shared" si="2"/>
        <v>0</v>
      </c>
      <c r="M19" s="10">
        <f t="shared" si="31"/>
        <v>0</v>
      </c>
      <c r="N19" s="10">
        <f t="shared" si="3"/>
        <v>0</v>
      </c>
      <c r="O19" s="101"/>
      <c r="P19" s="10">
        <f t="shared" si="4"/>
        <v>0</v>
      </c>
      <c r="Q19" s="10">
        <f t="shared" si="32"/>
        <v>0</v>
      </c>
      <c r="R19" s="10">
        <f t="shared" si="5"/>
        <v>0</v>
      </c>
      <c r="S19" s="10">
        <f t="shared" si="33"/>
        <v>4375</v>
      </c>
      <c r="T19" s="10">
        <f t="shared" si="6"/>
        <v>11.155495107646066</v>
      </c>
      <c r="U19" s="10">
        <f t="shared" si="34"/>
        <v>66687.5</v>
      </c>
      <c r="V19" s="10">
        <f t="shared" si="7"/>
        <v>16.432469853726957</v>
      </c>
      <c r="W19" s="101"/>
      <c r="X19" s="10"/>
      <c r="Y19" s="10"/>
      <c r="Z19" s="10"/>
      <c r="AA19" s="101"/>
      <c r="AB19" s="10">
        <f t="shared" si="8"/>
        <v>0</v>
      </c>
      <c r="AC19" s="10">
        <f t="shared" si="35"/>
        <v>0</v>
      </c>
      <c r="AD19" s="10">
        <f t="shared" si="9"/>
        <v>0</v>
      </c>
      <c r="AE19" s="101"/>
      <c r="AF19" s="10">
        <f t="shared" si="10"/>
        <v>0</v>
      </c>
      <c r="AG19" s="10">
        <f t="shared" si="36"/>
        <v>0</v>
      </c>
      <c r="AH19" s="10">
        <f t="shared" si="11"/>
        <v>0</v>
      </c>
      <c r="AI19" s="101"/>
      <c r="AJ19" s="10">
        <f t="shared" si="12"/>
        <v>0</v>
      </c>
      <c r="AK19" s="10">
        <f t="shared" si="37"/>
        <v>0</v>
      </c>
      <c r="AL19" s="10">
        <f t="shared" si="13"/>
        <v>0</v>
      </c>
      <c r="AM19" s="10">
        <f t="shared" si="46"/>
        <v>0</v>
      </c>
      <c r="AN19" s="10">
        <f t="shared" si="14"/>
        <v>0</v>
      </c>
      <c r="AO19" s="10">
        <f t="shared" si="38"/>
        <v>0</v>
      </c>
      <c r="AP19" s="10">
        <f t="shared" si="15"/>
        <v>0</v>
      </c>
      <c r="AQ19" s="101"/>
      <c r="AR19" s="10">
        <f t="shared" si="16"/>
        <v>0</v>
      </c>
      <c r="AS19" s="10">
        <f t="shared" si="39"/>
        <v>251533.99999999997</v>
      </c>
      <c r="AT19" s="10">
        <f t="shared" si="17"/>
        <v>61.980504175255582</v>
      </c>
      <c r="AU19" s="101">
        <f>140*AU7</f>
        <v>34843.339999999997</v>
      </c>
      <c r="AV19" s="10">
        <f t="shared" si="18"/>
        <v>88.844504892353939</v>
      </c>
      <c r="AW19" s="10">
        <f t="shared" si="40"/>
        <v>87606.111999999994</v>
      </c>
      <c r="AX19" s="10">
        <f t="shared" si="19"/>
        <v>21.587025971017468</v>
      </c>
      <c r="AY19" s="101"/>
      <c r="AZ19" s="15">
        <f t="shared" si="20"/>
        <v>0</v>
      </c>
      <c r="BA19" s="10">
        <f t="shared" si="41"/>
        <v>0</v>
      </c>
      <c r="BB19" s="10">
        <f t="shared" si="21"/>
        <v>0</v>
      </c>
      <c r="BC19" s="10">
        <f t="shared" si="42"/>
        <v>34843.339999999997</v>
      </c>
      <c r="BD19" s="10">
        <f t="shared" si="22"/>
        <v>88.844504892353939</v>
      </c>
      <c r="BE19" s="10">
        <f t="shared" si="43"/>
        <v>339140.11199999996</v>
      </c>
      <c r="BF19" s="10">
        <f t="shared" si="23"/>
        <v>83.567530146273043</v>
      </c>
      <c r="BG19" s="101"/>
      <c r="BH19" s="10">
        <f t="shared" si="24"/>
        <v>0</v>
      </c>
      <c r="BI19" s="10">
        <f t="shared" si="44"/>
        <v>0</v>
      </c>
      <c r="BJ19" s="10">
        <f t="shared" si="25"/>
        <v>0</v>
      </c>
      <c r="BK19" s="10">
        <f t="shared" si="26"/>
        <v>39218.339999999997</v>
      </c>
      <c r="BL19" s="10">
        <f t="shared" si="45"/>
        <v>405827.61199999996</v>
      </c>
      <c r="BM19" s="518">
        <f t="shared" si="27"/>
        <v>1.0911563073841188</v>
      </c>
      <c r="BN19" s="10">
        <f t="shared" si="28"/>
        <v>1.1174590742627419</v>
      </c>
    </row>
    <row r="20" spans="1:75">
      <c r="A20" s="16">
        <f>+Chem!A19</f>
        <v>45941</v>
      </c>
      <c r="B20" s="6" t="str">
        <f>+Chem!B19</f>
        <v>Toilet</v>
      </c>
      <c r="C20" s="16" t="str">
        <f>+Chem!C19</f>
        <v>12,5/12</v>
      </c>
      <c r="D20" s="8">
        <f>+Chem!D19</f>
        <v>39.607999999999997</v>
      </c>
      <c r="E20" s="7">
        <f>+Chem!E19</f>
        <v>40.204999999999998</v>
      </c>
      <c r="F20" s="7">
        <f t="shared" si="29"/>
        <v>403.375</v>
      </c>
      <c r="G20" s="101">
        <f>18.5*G7</f>
        <v>4625</v>
      </c>
      <c r="H20" s="10">
        <f t="shared" si="0"/>
        <v>11.155495107646066</v>
      </c>
      <c r="I20" s="8">
        <f t="shared" si="30"/>
        <v>71312.5</v>
      </c>
      <c r="J20" s="10">
        <f t="shared" si="1"/>
        <v>15.943342864871997</v>
      </c>
      <c r="K20" s="101"/>
      <c r="L20" s="10">
        <f t="shared" si="2"/>
        <v>0</v>
      </c>
      <c r="M20" s="10">
        <f t="shared" si="31"/>
        <v>0</v>
      </c>
      <c r="N20" s="10">
        <f t="shared" si="3"/>
        <v>0</v>
      </c>
      <c r="O20" s="101"/>
      <c r="P20" s="10">
        <f t="shared" si="4"/>
        <v>0</v>
      </c>
      <c r="Q20" s="10">
        <f t="shared" si="32"/>
        <v>0</v>
      </c>
      <c r="R20" s="10">
        <f t="shared" si="5"/>
        <v>0</v>
      </c>
      <c r="S20" s="10">
        <f t="shared" si="33"/>
        <v>4625</v>
      </c>
      <c r="T20" s="10">
        <f t="shared" si="6"/>
        <v>11.155495107646066</v>
      </c>
      <c r="U20" s="10">
        <f t="shared" si="34"/>
        <v>71312.5</v>
      </c>
      <c r="V20" s="10">
        <f t="shared" si="7"/>
        <v>15.943342864871997</v>
      </c>
      <c r="W20" s="101"/>
      <c r="X20" s="10"/>
      <c r="Y20" s="10"/>
      <c r="Z20" s="10"/>
      <c r="AA20" s="101"/>
      <c r="AB20" s="10">
        <f t="shared" si="8"/>
        <v>0</v>
      </c>
      <c r="AC20" s="10">
        <f t="shared" si="35"/>
        <v>0</v>
      </c>
      <c r="AD20" s="10">
        <f t="shared" si="9"/>
        <v>0</v>
      </c>
      <c r="AE20" s="101"/>
      <c r="AF20" s="10">
        <f t="shared" si="10"/>
        <v>0</v>
      </c>
      <c r="AG20" s="10">
        <f t="shared" si="36"/>
        <v>0</v>
      </c>
      <c r="AH20" s="10">
        <f t="shared" si="11"/>
        <v>0</v>
      </c>
      <c r="AI20" s="101"/>
      <c r="AJ20" s="10">
        <f t="shared" si="12"/>
        <v>0</v>
      </c>
      <c r="AK20" s="10">
        <f t="shared" si="37"/>
        <v>0</v>
      </c>
      <c r="AL20" s="10">
        <f t="shared" si="13"/>
        <v>0</v>
      </c>
      <c r="AM20" s="10">
        <f t="shared" si="46"/>
        <v>0</v>
      </c>
      <c r="AN20" s="10">
        <f t="shared" si="14"/>
        <v>0</v>
      </c>
      <c r="AO20" s="10">
        <f t="shared" si="38"/>
        <v>0</v>
      </c>
      <c r="AP20" s="10">
        <f t="shared" si="15"/>
        <v>0</v>
      </c>
      <c r="AQ20" s="101"/>
      <c r="AR20" s="10">
        <f t="shared" si="16"/>
        <v>0</v>
      </c>
      <c r="AS20" s="10">
        <f t="shared" si="39"/>
        <v>251533.99999999997</v>
      </c>
      <c r="AT20" s="10">
        <f t="shared" si="17"/>
        <v>56.235481916532336</v>
      </c>
      <c r="AU20" s="101">
        <f>148*AU7</f>
        <v>36834.387999999999</v>
      </c>
      <c r="AV20" s="10">
        <f t="shared" si="18"/>
        <v>88.844504892353939</v>
      </c>
      <c r="AW20" s="10">
        <f t="shared" si="40"/>
        <v>124440.5</v>
      </c>
      <c r="AX20" s="10">
        <f t="shared" si="19"/>
        <v>27.821175218595673</v>
      </c>
      <c r="AY20" s="101"/>
      <c r="AZ20" s="15">
        <f t="shared" si="20"/>
        <v>0</v>
      </c>
      <c r="BA20" s="10">
        <f t="shared" si="41"/>
        <v>0</v>
      </c>
      <c r="BB20" s="10">
        <f t="shared" si="21"/>
        <v>0</v>
      </c>
      <c r="BC20" s="10">
        <f t="shared" si="42"/>
        <v>36834.387999999999</v>
      </c>
      <c r="BD20" s="10">
        <f t="shared" si="22"/>
        <v>88.844504892353939</v>
      </c>
      <c r="BE20" s="10">
        <f t="shared" si="43"/>
        <v>375974.49999999994</v>
      </c>
      <c r="BF20" s="10">
        <f t="shared" si="23"/>
        <v>84.056657135128006</v>
      </c>
      <c r="BG20" s="101"/>
      <c r="BH20" s="10">
        <f t="shared" si="24"/>
        <v>0</v>
      </c>
      <c r="BI20" s="10">
        <f t="shared" si="44"/>
        <v>0</v>
      </c>
      <c r="BJ20" s="10">
        <f t="shared" si="25"/>
        <v>0</v>
      </c>
      <c r="BK20" s="10">
        <f t="shared" si="26"/>
        <v>41459.387999999999</v>
      </c>
      <c r="BL20" s="10">
        <f t="shared" si="45"/>
        <v>447286.99999999994</v>
      </c>
      <c r="BM20" s="518">
        <f t="shared" si="27"/>
        <v>1.0311998010197736</v>
      </c>
      <c r="BN20" s="10">
        <f t="shared" si="28"/>
        <v>1.1088614812519366</v>
      </c>
    </row>
    <row r="21" spans="1:75">
      <c r="A21" s="16">
        <f>+Chem!A20</f>
        <v>45942</v>
      </c>
      <c r="B21" s="6" t="str">
        <f>+Chem!B20</f>
        <v>Toilet</v>
      </c>
      <c r="C21" s="16" t="str">
        <f>+Chem!C20</f>
        <v>12/12,5</v>
      </c>
      <c r="D21" s="8">
        <f>+Chem!D20</f>
        <v>42.546999999999997</v>
      </c>
      <c r="E21" s="7">
        <f>+Chem!E20</f>
        <v>40.722000000000001</v>
      </c>
      <c r="F21" s="7">
        <f t="shared" si="29"/>
        <v>444.09699999999998</v>
      </c>
      <c r="G21" s="101">
        <f>19.5*G7</f>
        <v>4875</v>
      </c>
      <c r="H21" s="10">
        <f t="shared" si="0"/>
        <v>11.155495107646066</v>
      </c>
      <c r="I21" s="8">
        <f t="shared" si="30"/>
        <v>76187.5</v>
      </c>
      <c r="J21" s="10">
        <f t="shared" si="1"/>
        <v>15.517199507320999</v>
      </c>
      <c r="K21" s="101"/>
      <c r="L21" s="10">
        <f t="shared" si="2"/>
        <v>0</v>
      </c>
      <c r="M21" s="10">
        <f t="shared" si="31"/>
        <v>0</v>
      </c>
      <c r="N21" s="10">
        <f t="shared" si="3"/>
        <v>0</v>
      </c>
      <c r="O21" s="101"/>
      <c r="P21" s="10">
        <f t="shared" si="4"/>
        <v>0</v>
      </c>
      <c r="Q21" s="10">
        <f t="shared" si="32"/>
        <v>0</v>
      </c>
      <c r="R21" s="10">
        <f t="shared" si="5"/>
        <v>0</v>
      </c>
      <c r="S21" s="10">
        <f t="shared" si="33"/>
        <v>4875</v>
      </c>
      <c r="T21" s="10">
        <f t="shared" si="6"/>
        <v>11.155495107646066</v>
      </c>
      <c r="U21" s="10">
        <f t="shared" si="34"/>
        <v>76187.5</v>
      </c>
      <c r="V21" s="10">
        <f t="shared" si="7"/>
        <v>15.517199507320999</v>
      </c>
      <c r="W21" s="101"/>
      <c r="X21" s="10"/>
      <c r="Y21" s="10"/>
      <c r="Z21" s="10"/>
      <c r="AA21" s="101"/>
      <c r="AB21" s="10">
        <f t="shared" si="8"/>
        <v>0</v>
      </c>
      <c r="AC21" s="10">
        <f t="shared" si="35"/>
        <v>0</v>
      </c>
      <c r="AD21" s="10">
        <f t="shared" si="9"/>
        <v>0</v>
      </c>
      <c r="AE21" s="101"/>
      <c r="AF21" s="10">
        <f t="shared" si="10"/>
        <v>0</v>
      </c>
      <c r="AG21" s="10">
        <f t="shared" si="36"/>
        <v>0</v>
      </c>
      <c r="AH21" s="10">
        <f t="shared" si="11"/>
        <v>0</v>
      </c>
      <c r="AI21" s="101"/>
      <c r="AJ21" s="10">
        <f t="shared" si="12"/>
        <v>0</v>
      </c>
      <c r="AK21" s="10">
        <f t="shared" si="37"/>
        <v>0</v>
      </c>
      <c r="AL21" s="10">
        <f t="shared" si="13"/>
        <v>0</v>
      </c>
      <c r="AM21" s="10">
        <f t="shared" si="46"/>
        <v>0</v>
      </c>
      <c r="AN21" s="10">
        <f t="shared" si="14"/>
        <v>0</v>
      </c>
      <c r="AO21" s="10">
        <f t="shared" si="38"/>
        <v>0</v>
      </c>
      <c r="AP21" s="10">
        <f t="shared" si="15"/>
        <v>0</v>
      </c>
      <c r="AQ21" s="101"/>
      <c r="AR21" s="10">
        <f t="shared" si="16"/>
        <v>0</v>
      </c>
      <c r="AS21" s="10">
        <f t="shared" si="39"/>
        <v>251533.99999999997</v>
      </c>
      <c r="AT21" s="10">
        <f t="shared" si="17"/>
        <v>51.230231479894741</v>
      </c>
      <c r="AU21" s="101">
        <f>156*AU7</f>
        <v>38825.436000000002</v>
      </c>
      <c r="AV21" s="10">
        <f t="shared" si="18"/>
        <v>88.844504892353939</v>
      </c>
      <c r="AW21" s="10">
        <f t="shared" si="40"/>
        <v>163265.93599999999</v>
      </c>
      <c r="AX21" s="10">
        <f t="shared" si="19"/>
        <v>33.252569012784271</v>
      </c>
      <c r="AY21" s="101"/>
      <c r="AZ21" s="15">
        <f t="shared" si="20"/>
        <v>0</v>
      </c>
      <c r="BA21" s="10">
        <f t="shared" si="41"/>
        <v>0</v>
      </c>
      <c r="BB21" s="10">
        <f t="shared" si="21"/>
        <v>0</v>
      </c>
      <c r="BC21" s="10">
        <f t="shared" si="42"/>
        <v>38825.436000000002</v>
      </c>
      <c r="BD21" s="10">
        <f t="shared" si="22"/>
        <v>88.844504892353939</v>
      </c>
      <c r="BE21" s="10">
        <f t="shared" si="43"/>
        <v>414799.93599999993</v>
      </c>
      <c r="BF21" s="10">
        <f t="shared" si="23"/>
        <v>84.482800492679004</v>
      </c>
      <c r="BG21" s="101"/>
      <c r="BH21" s="10">
        <f t="shared" si="24"/>
        <v>0</v>
      </c>
      <c r="BI21" s="10">
        <f t="shared" si="44"/>
        <v>0</v>
      </c>
      <c r="BJ21" s="10">
        <f t="shared" si="25"/>
        <v>0</v>
      </c>
      <c r="BK21" s="10">
        <f t="shared" si="26"/>
        <v>43700.436000000002</v>
      </c>
      <c r="BL21" s="10">
        <f t="shared" si="45"/>
        <v>490987.43599999993</v>
      </c>
      <c r="BM21" s="518">
        <f t="shared" si="27"/>
        <v>1.0731407101812289</v>
      </c>
      <c r="BN21" s="10">
        <f t="shared" si="28"/>
        <v>1.1055860228733811</v>
      </c>
      <c r="BR21" s="14"/>
      <c r="BS21" s="14"/>
      <c r="BV21" s="14"/>
      <c r="BW21" s="14"/>
    </row>
    <row r="22" spans="1:75">
      <c r="A22" s="16">
        <f>+Chem!A21</f>
        <v>45943</v>
      </c>
      <c r="B22" s="6" t="str">
        <f>+Chem!B21</f>
        <v>Toilet</v>
      </c>
      <c r="C22" s="16" t="str">
        <f>+Chem!C21</f>
        <v>12,5</v>
      </c>
      <c r="D22" s="8">
        <f>+Chem!D21</f>
        <v>40.814999999999998</v>
      </c>
      <c r="E22" s="7">
        <f>+Chem!E21</f>
        <v>39.529000000000003</v>
      </c>
      <c r="F22" s="7">
        <f t="shared" si="29"/>
        <v>483.62599999999998</v>
      </c>
      <c r="G22" s="101">
        <f>19.5*G7</f>
        <v>4875</v>
      </c>
      <c r="H22" s="10">
        <f t="shared" si="0"/>
        <v>11.155495107646066</v>
      </c>
      <c r="I22" s="8">
        <f t="shared" si="30"/>
        <v>81062.5</v>
      </c>
      <c r="J22" s="10">
        <f t="shared" si="1"/>
        <v>15.160714174568</v>
      </c>
      <c r="K22" s="101"/>
      <c r="L22" s="10">
        <f t="shared" si="2"/>
        <v>0</v>
      </c>
      <c r="M22" s="10">
        <f t="shared" si="31"/>
        <v>0</v>
      </c>
      <c r="N22" s="10">
        <f t="shared" si="3"/>
        <v>0</v>
      </c>
      <c r="O22" s="101"/>
      <c r="P22" s="10">
        <f t="shared" si="4"/>
        <v>0</v>
      </c>
      <c r="Q22" s="10">
        <f t="shared" si="32"/>
        <v>0</v>
      </c>
      <c r="R22" s="10">
        <f t="shared" si="5"/>
        <v>0</v>
      </c>
      <c r="S22" s="10">
        <f t="shared" si="33"/>
        <v>4875</v>
      </c>
      <c r="T22" s="10">
        <f t="shared" si="6"/>
        <v>11.155495107646066</v>
      </c>
      <c r="U22" s="10">
        <f t="shared" si="34"/>
        <v>81062.5</v>
      </c>
      <c r="V22" s="10">
        <f t="shared" si="7"/>
        <v>15.160714174568</v>
      </c>
      <c r="W22" s="101"/>
      <c r="X22" s="10"/>
      <c r="Y22" s="10"/>
      <c r="Z22" s="10"/>
      <c r="AA22" s="101"/>
      <c r="AB22" s="10">
        <f t="shared" si="8"/>
        <v>0</v>
      </c>
      <c r="AC22" s="10">
        <f t="shared" si="35"/>
        <v>0</v>
      </c>
      <c r="AD22" s="10">
        <f t="shared" si="9"/>
        <v>0</v>
      </c>
      <c r="AE22" s="101"/>
      <c r="AF22" s="10">
        <f t="shared" si="10"/>
        <v>0</v>
      </c>
      <c r="AG22" s="10">
        <f t="shared" si="36"/>
        <v>0</v>
      </c>
      <c r="AH22" s="10">
        <f t="shared" si="11"/>
        <v>0</v>
      </c>
      <c r="AI22" s="101"/>
      <c r="AJ22" s="10">
        <f t="shared" si="12"/>
        <v>0</v>
      </c>
      <c r="AK22" s="10">
        <f t="shared" si="37"/>
        <v>0</v>
      </c>
      <c r="AL22" s="10">
        <f t="shared" si="13"/>
        <v>0</v>
      </c>
      <c r="AM22" s="10">
        <f t="shared" si="46"/>
        <v>0</v>
      </c>
      <c r="AN22" s="10">
        <f t="shared" si="14"/>
        <v>0</v>
      </c>
      <c r="AO22" s="10">
        <f t="shared" si="38"/>
        <v>0</v>
      </c>
      <c r="AP22" s="10">
        <f t="shared" si="15"/>
        <v>0</v>
      </c>
      <c r="AQ22" s="101"/>
      <c r="AR22" s="10">
        <f t="shared" si="16"/>
        <v>0</v>
      </c>
      <c r="AS22" s="10">
        <f t="shared" si="39"/>
        <v>251533.99999999997</v>
      </c>
      <c r="AT22" s="10">
        <f t="shared" si="17"/>
        <v>47.043146697742941</v>
      </c>
      <c r="AU22" s="101">
        <f>156*AU7</f>
        <v>38825.436000000002</v>
      </c>
      <c r="AV22" s="10">
        <f t="shared" si="18"/>
        <v>88.844504892353939</v>
      </c>
      <c r="AW22" s="10">
        <f t="shared" si="40"/>
        <v>202091.37199999997</v>
      </c>
      <c r="AX22" s="10">
        <f t="shared" si="19"/>
        <v>37.796139127689059</v>
      </c>
      <c r="AY22" s="101"/>
      <c r="AZ22" s="15">
        <f t="shared" si="20"/>
        <v>0</v>
      </c>
      <c r="BA22" s="10">
        <f t="shared" si="41"/>
        <v>0</v>
      </c>
      <c r="BB22" s="10">
        <f t="shared" si="21"/>
        <v>0</v>
      </c>
      <c r="BC22" s="10">
        <f t="shared" si="42"/>
        <v>38825.436000000002</v>
      </c>
      <c r="BD22" s="10">
        <f t="shared" si="22"/>
        <v>88.844504892353939</v>
      </c>
      <c r="BE22" s="10">
        <f t="shared" si="43"/>
        <v>453625.37199999992</v>
      </c>
      <c r="BF22" s="10">
        <f t="shared" si="23"/>
        <v>84.839285825431986</v>
      </c>
      <c r="BG22" s="101"/>
      <c r="BH22" s="10">
        <f t="shared" si="24"/>
        <v>0</v>
      </c>
      <c r="BI22" s="10">
        <f t="shared" si="44"/>
        <v>0</v>
      </c>
      <c r="BJ22" s="10">
        <f t="shared" si="25"/>
        <v>0</v>
      </c>
      <c r="BK22" s="10">
        <f t="shared" si="26"/>
        <v>43700.436000000002</v>
      </c>
      <c r="BL22" s="10">
        <f t="shared" si="45"/>
        <v>534687.87199999997</v>
      </c>
      <c r="BM22" s="518">
        <f t="shared" si="27"/>
        <v>1.105528498064712</v>
      </c>
      <c r="BN22" s="10">
        <f t="shared" si="28"/>
        <v>1.1055813211034973</v>
      </c>
      <c r="BR22" s="14"/>
      <c r="BS22" s="14"/>
      <c r="BV22" s="14"/>
      <c r="BW22" s="14"/>
    </row>
    <row r="23" spans="1:75">
      <c r="A23" s="16">
        <f>+Chem!A22</f>
        <v>45944</v>
      </c>
      <c r="B23" s="6" t="str">
        <f>+Chem!B22</f>
        <v>Toilet</v>
      </c>
      <c r="C23" s="16" t="str">
        <f>+Chem!C22</f>
        <v>12,5</v>
      </c>
      <c r="D23" s="8">
        <f>+Chem!D22</f>
        <v>39.844999999999999</v>
      </c>
      <c r="E23" s="7">
        <f>+Chem!E22</f>
        <v>34.832999999999998</v>
      </c>
      <c r="F23" s="7">
        <f t="shared" si="29"/>
        <v>518.45899999999995</v>
      </c>
      <c r="G23" s="101">
        <f>20*G7</f>
        <v>5000</v>
      </c>
      <c r="H23" s="10">
        <f t="shared" si="0"/>
        <v>12.243239674835225</v>
      </c>
      <c r="I23" s="8">
        <f t="shared" si="30"/>
        <v>86062.5</v>
      </c>
      <c r="J23" s="10">
        <f t="shared" si="1"/>
        <v>14.953692785525083</v>
      </c>
      <c r="K23" s="101"/>
      <c r="L23" s="10">
        <f t="shared" si="2"/>
        <v>0</v>
      </c>
      <c r="M23" s="10">
        <f t="shared" si="31"/>
        <v>0</v>
      </c>
      <c r="N23" s="10">
        <f t="shared" si="3"/>
        <v>0</v>
      </c>
      <c r="O23" s="101"/>
      <c r="P23" s="10">
        <f t="shared" si="4"/>
        <v>0</v>
      </c>
      <c r="Q23" s="10">
        <f t="shared" si="32"/>
        <v>0</v>
      </c>
      <c r="R23" s="10">
        <f t="shared" si="5"/>
        <v>0</v>
      </c>
      <c r="S23" s="10">
        <f t="shared" si="33"/>
        <v>5000</v>
      </c>
      <c r="T23" s="10">
        <f t="shared" si="6"/>
        <v>12.243239674835225</v>
      </c>
      <c r="U23" s="10">
        <f t="shared" si="34"/>
        <v>86062.5</v>
      </c>
      <c r="V23" s="10">
        <f t="shared" si="7"/>
        <v>14.953692785525083</v>
      </c>
      <c r="W23" s="101"/>
      <c r="X23" s="10"/>
      <c r="Y23" s="10"/>
      <c r="Z23" s="10"/>
      <c r="AA23" s="101"/>
      <c r="AB23" s="10">
        <f t="shared" si="8"/>
        <v>0</v>
      </c>
      <c r="AC23" s="10">
        <f t="shared" si="35"/>
        <v>0</v>
      </c>
      <c r="AD23" s="10">
        <f t="shared" si="9"/>
        <v>0</v>
      </c>
      <c r="AE23" s="101"/>
      <c r="AF23" s="10">
        <f t="shared" si="10"/>
        <v>0</v>
      </c>
      <c r="AG23" s="10">
        <f t="shared" si="36"/>
        <v>0</v>
      </c>
      <c r="AH23" s="10">
        <f t="shared" si="11"/>
        <v>0</v>
      </c>
      <c r="AI23" s="101"/>
      <c r="AJ23" s="10">
        <f t="shared" si="12"/>
        <v>0</v>
      </c>
      <c r="AK23" s="10">
        <f t="shared" si="37"/>
        <v>0</v>
      </c>
      <c r="AL23" s="10">
        <f t="shared" si="13"/>
        <v>0</v>
      </c>
      <c r="AM23" s="10">
        <f t="shared" si="46"/>
        <v>0</v>
      </c>
      <c r="AN23" s="10">
        <f t="shared" si="14"/>
        <v>0</v>
      </c>
      <c r="AO23" s="10">
        <f t="shared" si="38"/>
        <v>0</v>
      </c>
      <c r="AP23" s="10">
        <f t="shared" si="15"/>
        <v>0</v>
      </c>
      <c r="AQ23" s="101"/>
      <c r="AR23" s="10">
        <f t="shared" si="16"/>
        <v>0</v>
      </c>
      <c r="AS23" s="10">
        <f t="shared" si="39"/>
        <v>251533.99999999997</v>
      </c>
      <c r="AT23" s="10">
        <f t="shared" si="17"/>
        <v>43.705006955576074</v>
      </c>
      <c r="AU23" s="101">
        <f>144*AU7</f>
        <v>35838.864000000001</v>
      </c>
      <c r="AV23" s="10">
        <f t="shared" si="18"/>
        <v>87.756760325164777</v>
      </c>
      <c r="AW23" s="10">
        <f t="shared" si="40"/>
        <v>237930.23599999998</v>
      </c>
      <c r="AX23" s="10">
        <f t="shared" si="19"/>
        <v>41.341300258898826</v>
      </c>
      <c r="AY23" s="101"/>
      <c r="AZ23" s="15">
        <f t="shared" si="20"/>
        <v>0</v>
      </c>
      <c r="BA23" s="10">
        <f t="shared" si="41"/>
        <v>0</v>
      </c>
      <c r="BB23" s="10">
        <f t="shared" si="21"/>
        <v>0</v>
      </c>
      <c r="BC23" s="10">
        <f t="shared" si="42"/>
        <v>35838.864000000001</v>
      </c>
      <c r="BD23" s="10">
        <f t="shared" si="22"/>
        <v>87.756760325164777</v>
      </c>
      <c r="BE23" s="10">
        <f t="shared" si="43"/>
        <v>489464.23599999992</v>
      </c>
      <c r="BF23" s="10">
        <f t="shared" si="23"/>
        <v>85.046307214474893</v>
      </c>
      <c r="BG23" s="101"/>
      <c r="BH23" s="10">
        <f t="shared" si="24"/>
        <v>0</v>
      </c>
      <c r="BI23" s="10">
        <f t="shared" si="44"/>
        <v>0</v>
      </c>
      <c r="BJ23" s="10">
        <f t="shared" si="25"/>
        <v>0</v>
      </c>
      <c r="BK23" s="10">
        <f t="shared" si="26"/>
        <v>40838.864000000001</v>
      </c>
      <c r="BL23" s="10">
        <f t="shared" si="45"/>
        <v>575526.73600000003</v>
      </c>
      <c r="BM23" s="518">
        <f t="shared" si="27"/>
        <v>1.1724187982660121</v>
      </c>
      <c r="BN23" s="10">
        <f t="shared" si="28"/>
        <v>1.1100718398176135</v>
      </c>
      <c r="BV23" s="14"/>
      <c r="BW23" s="14"/>
    </row>
    <row r="24" spans="1:75">
      <c r="A24" s="16">
        <f>+Chem!A23</f>
        <v>45945</v>
      </c>
      <c r="B24" s="6" t="str">
        <f>+Chem!B23</f>
        <v>Toilet/Facial</v>
      </c>
      <c r="C24" s="16" t="str">
        <f>+Chem!C23</f>
        <v>12,5/12,5</v>
      </c>
      <c r="D24" s="8">
        <f>+Chem!D23</f>
        <v>34.211999999999996</v>
      </c>
      <c r="E24" s="7">
        <f>+Chem!E23</f>
        <v>34.671999999999997</v>
      </c>
      <c r="F24" s="7">
        <f t="shared" si="29"/>
        <v>553.13099999999997</v>
      </c>
      <c r="G24" s="101">
        <f>17*G7</f>
        <v>4250</v>
      </c>
      <c r="H24" s="10">
        <f t="shared" si="0"/>
        <v>11.078349318652846</v>
      </c>
      <c r="I24" s="8">
        <f t="shared" si="30"/>
        <v>90312.5</v>
      </c>
      <c r="J24" s="10">
        <f t="shared" si="1"/>
        <v>14.711515381101298</v>
      </c>
      <c r="K24" s="101"/>
      <c r="L24" s="10">
        <f t="shared" si="2"/>
        <v>0</v>
      </c>
      <c r="M24" s="10">
        <f t="shared" si="31"/>
        <v>0</v>
      </c>
      <c r="N24" s="10">
        <f t="shared" si="3"/>
        <v>0</v>
      </c>
      <c r="O24" s="101"/>
      <c r="P24" s="10">
        <f t="shared" si="4"/>
        <v>0</v>
      </c>
      <c r="Q24" s="10">
        <f t="shared" si="32"/>
        <v>0</v>
      </c>
      <c r="R24" s="10">
        <f t="shared" si="5"/>
        <v>0</v>
      </c>
      <c r="S24" s="10">
        <f t="shared" si="33"/>
        <v>4250</v>
      </c>
      <c r="T24" s="10">
        <f t="shared" si="6"/>
        <v>11.078349318652846</v>
      </c>
      <c r="U24" s="10">
        <f t="shared" si="34"/>
        <v>90312.5</v>
      </c>
      <c r="V24" s="10">
        <f t="shared" si="7"/>
        <v>14.711515381101298</v>
      </c>
      <c r="W24" s="101"/>
      <c r="X24" s="10"/>
      <c r="Y24" s="10"/>
      <c r="Z24" s="10"/>
      <c r="AA24" s="101"/>
      <c r="AB24" s="10">
        <f t="shared" si="8"/>
        <v>0</v>
      </c>
      <c r="AC24" s="10">
        <f t="shared" si="35"/>
        <v>0</v>
      </c>
      <c r="AD24" s="10">
        <f t="shared" si="9"/>
        <v>0</v>
      </c>
      <c r="AE24" s="101"/>
      <c r="AF24" s="10">
        <f t="shared" si="10"/>
        <v>0</v>
      </c>
      <c r="AG24" s="10">
        <f t="shared" si="36"/>
        <v>0</v>
      </c>
      <c r="AH24" s="10">
        <f t="shared" si="11"/>
        <v>0</v>
      </c>
      <c r="AI24" s="101"/>
      <c r="AJ24" s="10">
        <f t="shared" si="12"/>
        <v>0</v>
      </c>
      <c r="AK24" s="10">
        <f t="shared" si="37"/>
        <v>0</v>
      </c>
      <c r="AL24" s="10">
        <f t="shared" si="13"/>
        <v>0</v>
      </c>
      <c r="AM24" s="10">
        <f t="shared" si="46"/>
        <v>0</v>
      </c>
      <c r="AN24" s="10">
        <f t="shared" si="14"/>
        <v>0</v>
      </c>
      <c r="AO24" s="10">
        <f t="shared" si="38"/>
        <v>0</v>
      </c>
      <c r="AP24" s="10">
        <f t="shared" si="15"/>
        <v>0</v>
      </c>
      <c r="AQ24" s="101">
        <f>100*AQ7</f>
        <v>25153.399999999998</v>
      </c>
      <c r="AR24" s="10">
        <f t="shared" si="16"/>
        <v>65.566623941600582</v>
      </c>
      <c r="AS24" s="10">
        <f t="shared" si="39"/>
        <v>276687.39999999997</v>
      </c>
      <c r="AT24" s="10">
        <f t="shared" si="17"/>
        <v>45.071179967965968</v>
      </c>
      <c r="AU24" s="101">
        <f>36*AU7</f>
        <v>8959.7160000000003</v>
      </c>
      <c r="AV24" s="10">
        <f t="shared" si="18"/>
        <v>23.355026739746588</v>
      </c>
      <c r="AW24" s="10">
        <f t="shared" si="40"/>
        <v>246889.95199999999</v>
      </c>
      <c r="AX24" s="10">
        <f t="shared" si="19"/>
        <v>40.217304650932718</v>
      </c>
      <c r="AY24" s="101"/>
      <c r="AZ24" s="15">
        <f t="shared" si="20"/>
        <v>0</v>
      </c>
      <c r="BA24" s="10">
        <f t="shared" si="41"/>
        <v>0</v>
      </c>
      <c r="BB24" s="10">
        <f t="shared" si="21"/>
        <v>0</v>
      </c>
      <c r="BC24" s="10">
        <f t="shared" si="42"/>
        <v>34113.115999999995</v>
      </c>
      <c r="BD24" s="10">
        <f t="shared" si="22"/>
        <v>88.92165068134716</v>
      </c>
      <c r="BE24" s="10">
        <f t="shared" si="43"/>
        <v>523577.3519999999</v>
      </c>
      <c r="BF24" s="10">
        <f t="shared" si="23"/>
        <v>85.288484618898678</v>
      </c>
      <c r="BG24" s="101"/>
      <c r="BH24" s="10">
        <f t="shared" si="24"/>
        <v>0</v>
      </c>
      <c r="BI24" s="10">
        <f t="shared" si="44"/>
        <v>0</v>
      </c>
      <c r="BJ24" s="10">
        <f t="shared" si="25"/>
        <v>0</v>
      </c>
      <c r="BK24" s="10">
        <f t="shared" si="26"/>
        <v>38363.115999999995</v>
      </c>
      <c r="BL24" s="10">
        <f t="shared" si="45"/>
        <v>613889.85200000007</v>
      </c>
      <c r="BM24" s="518">
        <f t="shared" si="27"/>
        <v>1.1064581218274112</v>
      </c>
      <c r="BN24" s="10">
        <f t="shared" si="28"/>
        <v>1.1098453205479355</v>
      </c>
      <c r="BV24" s="14"/>
      <c r="BW24" s="14"/>
    </row>
    <row r="25" spans="1:75">
      <c r="A25" s="16">
        <f>+Chem!A24</f>
        <v>45946</v>
      </c>
      <c r="B25" s="6" t="str">
        <f>+Chem!B24</f>
        <v>Facial</v>
      </c>
      <c r="C25" s="16" t="str">
        <f>+Chem!C24</f>
        <v>12,5/13</v>
      </c>
      <c r="D25" s="8">
        <f>+Chem!D24</f>
        <v>40.344999999999999</v>
      </c>
      <c r="E25" s="7">
        <f>+Chem!E24</f>
        <v>38.429000000000002</v>
      </c>
      <c r="F25" s="7">
        <f t="shared" si="29"/>
        <v>591.55999999999995</v>
      </c>
      <c r="G25" s="101">
        <f>19*G7</f>
        <v>4750</v>
      </c>
      <c r="H25" s="10">
        <f t="shared" si="0"/>
        <v>11.075446876793931</v>
      </c>
      <c r="I25" s="8">
        <f t="shared" si="30"/>
        <v>95062.5</v>
      </c>
      <c r="J25" s="10">
        <f t="shared" si="1"/>
        <v>14.474079618000074</v>
      </c>
      <c r="K25" s="101"/>
      <c r="L25" s="10">
        <f t="shared" si="2"/>
        <v>0</v>
      </c>
      <c r="M25" s="10">
        <f t="shared" si="31"/>
        <v>0</v>
      </c>
      <c r="N25" s="10">
        <f t="shared" si="3"/>
        <v>0</v>
      </c>
      <c r="O25" s="101"/>
      <c r="P25" s="10">
        <f t="shared" si="4"/>
        <v>0</v>
      </c>
      <c r="Q25" s="10">
        <f t="shared" si="32"/>
        <v>0</v>
      </c>
      <c r="R25" s="10">
        <f t="shared" si="5"/>
        <v>0</v>
      </c>
      <c r="S25" s="10">
        <f t="shared" si="33"/>
        <v>4750</v>
      </c>
      <c r="T25" s="10">
        <f t="shared" si="6"/>
        <v>11.075446876793931</v>
      </c>
      <c r="U25" s="10">
        <f t="shared" si="34"/>
        <v>95062.5</v>
      </c>
      <c r="V25" s="10">
        <f t="shared" si="7"/>
        <v>14.474079618000074</v>
      </c>
      <c r="W25" s="101"/>
      <c r="X25" s="10"/>
      <c r="Y25" s="10"/>
      <c r="Z25" s="10"/>
      <c r="AA25" s="101"/>
      <c r="AB25" s="10">
        <f t="shared" si="8"/>
        <v>0</v>
      </c>
      <c r="AC25" s="10">
        <f t="shared" si="35"/>
        <v>0</v>
      </c>
      <c r="AD25" s="10">
        <f t="shared" si="9"/>
        <v>0</v>
      </c>
      <c r="AE25" s="101"/>
      <c r="AF25" s="10">
        <f t="shared" si="10"/>
        <v>0</v>
      </c>
      <c r="AG25" s="10">
        <f t="shared" si="36"/>
        <v>0</v>
      </c>
      <c r="AH25" s="10">
        <f t="shared" si="11"/>
        <v>0</v>
      </c>
      <c r="AI25" s="101"/>
      <c r="AJ25" s="10">
        <f t="shared" si="12"/>
        <v>0</v>
      </c>
      <c r="AK25" s="10">
        <f t="shared" si="37"/>
        <v>0</v>
      </c>
      <c r="AL25" s="10">
        <f t="shared" si="13"/>
        <v>0</v>
      </c>
      <c r="AM25" s="10">
        <f t="shared" si="46"/>
        <v>0</v>
      </c>
      <c r="AN25" s="10">
        <f t="shared" si="14"/>
        <v>0</v>
      </c>
      <c r="AO25" s="10">
        <f t="shared" si="38"/>
        <v>0</v>
      </c>
      <c r="AP25" s="10">
        <f t="shared" si="15"/>
        <v>0</v>
      </c>
      <c r="AQ25" s="101">
        <f>116*AQ7</f>
        <v>29177.944</v>
      </c>
      <c r="AR25" s="10">
        <f t="shared" si="16"/>
        <v>68.033424999172254</v>
      </c>
      <c r="AS25" s="10">
        <f t="shared" si="39"/>
        <v>305865.34399999998</v>
      </c>
      <c r="AT25" s="10">
        <f t="shared" si="17"/>
        <v>46.570617661464624</v>
      </c>
      <c r="AU25" s="101">
        <f>36*AU7</f>
        <v>8959.7160000000003</v>
      </c>
      <c r="AV25" s="10">
        <f t="shared" si="18"/>
        <v>20.891128124033813</v>
      </c>
      <c r="AW25" s="10">
        <f t="shared" si="40"/>
        <v>255849.66800000001</v>
      </c>
      <c r="AX25" s="10">
        <f t="shared" si="19"/>
        <v>38.955302720535286</v>
      </c>
      <c r="AY25" s="101"/>
      <c r="AZ25" s="15">
        <f t="shared" si="20"/>
        <v>0</v>
      </c>
      <c r="BA25" s="10">
        <f t="shared" si="41"/>
        <v>0</v>
      </c>
      <c r="BB25" s="10">
        <f t="shared" si="21"/>
        <v>0</v>
      </c>
      <c r="BC25" s="10">
        <f t="shared" si="42"/>
        <v>38137.660000000003</v>
      </c>
      <c r="BD25" s="10">
        <f t="shared" si="22"/>
        <v>88.924553123206067</v>
      </c>
      <c r="BE25" s="10">
        <f t="shared" si="43"/>
        <v>561715.01199999987</v>
      </c>
      <c r="BF25" s="10">
        <f t="shared" si="23"/>
        <v>85.525920381999882</v>
      </c>
      <c r="BG25" s="101"/>
      <c r="BH25" s="10">
        <f t="shared" si="24"/>
        <v>0</v>
      </c>
      <c r="BI25" s="10">
        <f t="shared" si="44"/>
        <v>0</v>
      </c>
      <c r="BJ25" s="10">
        <f t="shared" si="25"/>
        <v>0</v>
      </c>
      <c r="BK25" s="10">
        <f t="shared" si="26"/>
        <v>42887.66</v>
      </c>
      <c r="BL25" s="10">
        <f t="shared" si="45"/>
        <v>656777.5120000001</v>
      </c>
      <c r="BM25" s="518">
        <f t="shared" si="27"/>
        <v>1.1160233157251034</v>
      </c>
      <c r="BN25" s="10">
        <f t="shared" si="28"/>
        <v>1.1102466562986006</v>
      </c>
      <c r="BV25" s="14"/>
      <c r="BW25" s="14"/>
    </row>
    <row r="26" spans="1:75">
      <c r="A26" s="16">
        <f>+Chem!A25</f>
        <v>45947</v>
      </c>
      <c r="B26" s="6" t="str">
        <f>+Chem!B25</f>
        <v>Facial</v>
      </c>
      <c r="C26" s="16" t="str">
        <f>+Chem!C25</f>
        <v>13/11/12</v>
      </c>
      <c r="D26" s="8">
        <f>+Chem!D25</f>
        <v>37.143000000000001</v>
      </c>
      <c r="E26" s="7">
        <f>+Chem!E25</f>
        <v>35.892000000000003</v>
      </c>
      <c r="F26" s="7">
        <f t="shared" si="29"/>
        <v>627.452</v>
      </c>
      <c r="G26" s="101">
        <f>22*G7</f>
        <v>5500</v>
      </c>
      <c r="H26" s="10">
        <f t="shared" si="0"/>
        <v>14.656286107759412</v>
      </c>
      <c r="I26" s="8">
        <f t="shared" si="30"/>
        <v>100562.5</v>
      </c>
      <c r="J26" s="10">
        <f t="shared" si="1"/>
        <v>14.483927727850048</v>
      </c>
      <c r="K26" s="101"/>
      <c r="L26" s="10">
        <f t="shared" si="2"/>
        <v>0</v>
      </c>
      <c r="M26" s="10">
        <f t="shared" si="31"/>
        <v>0</v>
      </c>
      <c r="N26" s="10">
        <f t="shared" si="3"/>
        <v>0</v>
      </c>
      <c r="O26" s="101"/>
      <c r="P26" s="10">
        <f t="shared" si="4"/>
        <v>0</v>
      </c>
      <c r="Q26" s="10">
        <f t="shared" si="32"/>
        <v>0</v>
      </c>
      <c r="R26" s="10">
        <f t="shared" si="5"/>
        <v>0</v>
      </c>
      <c r="S26" s="10">
        <f t="shared" si="33"/>
        <v>5500</v>
      </c>
      <c r="T26" s="10">
        <f t="shared" si="6"/>
        <v>14.656286107759412</v>
      </c>
      <c r="U26" s="10">
        <f t="shared" si="34"/>
        <v>100562.5</v>
      </c>
      <c r="V26" s="10">
        <f t="shared" si="7"/>
        <v>14.483927727850048</v>
      </c>
      <c r="W26" s="101"/>
      <c r="X26" s="10"/>
      <c r="Y26" s="10"/>
      <c r="Z26" s="10"/>
      <c r="AA26" s="101"/>
      <c r="AB26" s="10">
        <f t="shared" si="8"/>
        <v>0</v>
      </c>
      <c r="AC26" s="10">
        <f t="shared" si="35"/>
        <v>0</v>
      </c>
      <c r="AD26" s="10">
        <f t="shared" si="9"/>
        <v>0</v>
      </c>
      <c r="AE26" s="101"/>
      <c r="AF26" s="10">
        <f t="shared" si="10"/>
        <v>0</v>
      </c>
      <c r="AG26" s="10">
        <f t="shared" si="36"/>
        <v>0</v>
      </c>
      <c r="AH26" s="10">
        <f t="shared" si="11"/>
        <v>0</v>
      </c>
      <c r="AI26" s="101"/>
      <c r="AJ26" s="10">
        <f t="shared" si="12"/>
        <v>0</v>
      </c>
      <c r="AK26" s="10">
        <f t="shared" si="37"/>
        <v>0</v>
      </c>
      <c r="AL26" s="10">
        <f t="shared" si="13"/>
        <v>0</v>
      </c>
      <c r="AM26" s="10">
        <f t="shared" si="46"/>
        <v>0</v>
      </c>
      <c r="AN26" s="10">
        <f t="shared" si="14"/>
        <v>0</v>
      </c>
      <c r="AO26" s="10">
        <f t="shared" si="38"/>
        <v>0</v>
      </c>
      <c r="AP26" s="10">
        <f t="shared" si="15"/>
        <v>0</v>
      </c>
      <c r="AQ26" s="101">
        <f>64*AQ7</f>
        <v>16098.175999999999</v>
      </c>
      <c r="AR26" s="10">
        <f t="shared" si="16"/>
        <v>42.898086048921087</v>
      </c>
      <c r="AS26" s="10">
        <f t="shared" si="39"/>
        <v>321963.51999999996</v>
      </c>
      <c r="AT26" s="10">
        <f t="shared" si="17"/>
        <v>46.372120369762129</v>
      </c>
      <c r="AU26" s="101">
        <f>64*AU7</f>
        <v>15928.384</v>
      </c>
      <c r="AV26" s="10">
        <f t="shared" si="18"/>
        <v>42.445627843319507</v>
      </c>
      <c r="AW26" s="10">
        <f t="shared" si="40"/>
        <v>271778.05200000003</v>
      </c>
      <c r="AX26" s="10">
        <f t="shared" si="19"/>
        <v>39.143951902387805</v>
      </c>
      <c r="AY26" s="101"/>
      <c r="AZ26" s="15">
        <f t="shared" si="20"/>
        <v>0</v>
      </c>
      <c r="BA26" s="10">
        <f t="shared" si="41"/>
        <v>0</v>
      </c>
      <c r="BB26" s="10">
        <f t="shared" si="21"/>
        <v>0</v>
      </c>
      <c r="BC26" s="10">
        <f t="shared" si="42"/>
        <v>32026.559999999998</v>
      </c>
      <c r="BD26" s="10">
        <f t="shared" si="22"/>
        <v>85.343713892240586</v>
      </c>
      <c r="BE26" s="10">
        <f t="shared" si="43"/>
        <v>593741.57199999993</v>
      </c>
      <c r="BF26" s="10">
        <f t="shared" si="23"/>
        <v>85.516072272149913</v>
      </c>
      <c r="BG26" s="101"/>
      <c r="BH26" s="10">
        <f t="shared" si="24"/>
        <v>0</v>
      </c>
      <c r="BI26" s="10">
        <f t="shared" si="44"/>
        <v>0</v>
      </c>
      <c r="BJ26" s="10">
        <f t="shared" si="25"/>
        <v>0</v>
      </c>
      <c r="BK26" s="10">
        <f t="shared" si="26"/>
        <v>37526.559999999998</v>
      </c>
      <c r="BL26" s="10">
        <f t="shared" si="45"/>
        <v>694304.07200000016</v>
      </c>
      <c r="BM26" s="518">
        <f t="shared" si="27"/>
        <v>1.0455410676473864</v>
      </c>
      <c r="BN26" s="10">
        <f t="shared" si="28"/>
        <v>1.1065453166138608</v>
      </c>
      <c r="BP26" s="14"/>
      <c r="BV26" s="14"/>
    </row>
    <row r="27" spans="1:75">
      <c r="A27" s="16">
        <f>+Chem!A26</f>
        <v>45948</v>
      </c>
      <c r="B27" s="6" t="str">
        <f>+Chem!B26</f>
        <v>Facial</v>
      </c>
      <c r="C27" s="16" t="str">
        <f>+Chem!C26</f>
        <v>12</v>
      </c>
      <c r="D27" s="8">
        <f>+Chem!D26</f>
        <v>37.339999999999996</v>
      </c>
      <c r="E27" s="7">
        <f>+Chem!E26</f>
        <v>35.277999999999999</v>
      </c>
      <c r="F27" s="7">
        <f t="shared" si="29"/>
        <v>662.73</v>
      </c>
      <c r="G27" s="101">
        <f>16.5*G7</f>
        <v>4125</v>
      </c>
      <c r="H27" s="10">
        <f t="shared" si="0"/>
        <v>11.10291962374426</v>
      </c>
      <c r="I27" s="8">
        <f t="shared" si="30"/>
        <v>104687.5</v>
      </c>
      <c r="J27" s="10">
        <f t="shared" si="1"/>
        <v>14.312198393019321</v>
      </c>
      <c r="K27" s="101"/>
      <c r="L27" s="10">
        <f t="shared" si="2"/>
        <v>0</v>
      </c>
      <c r="M27" s="10">
        <f t="shared" si="31"/>
        <v>0</v>
      </c>
      <c r="N27" s="10">
        <f t="shared" si="3"/>
        <v>0</v>
      </c>
      <c r="O27" s="101"/>
      <c r="P27" s="10">
        <f t="shared" si="4"/>
        <v>0</v>
      </c>
      <c r="Q27" s="10">
        <f t="shared" si="32"/>
        <v>0</v>
      </c>
      <c r="R27" s="10">
        <f t="shared" si="5"/>
        <v>0</v>
      </c>
      <c r="S27" s="10">
        <f t="shared" si="33"/>
        <v>4125</v>
      </c>
      <c r="T27" s="10">
        <f t="shared" si="6"/>
        <v>11.10291962374426</v>
      </c>
      <c r="U27" s="10">
        <f t="shared" si="34"/>
        <v>104687.5</v>
      </c>
      <c r="V27" s="10">
        <f t="shared" si="7"/>
        <v>14.312198393019321</v>
      </c>
      <c r="W27" s="101"/>
      <c r="X27" s="10"/>
      <c r="Y27" s="10"/>
      <c r="Z27" s="10"/>
      <c r="AA27" s="101"/>
      <c r="AB27" s="10">
        <f t="shared" si="8"/>
        <v>0</v>
      </c>
      <c r="AC27" s="10">
        <f t="shared" si="35"/>
        <v>0</v>
      </c>
      <c r="AD27" s="10">
        <f t="shared" si="9"/>
        <v>0</v>
      </c>
      <c r="AE27" s="101"/>
      <c r="AF27" s="10">
        <f t="shared" si="10"/>
        <v>0</v>
      </c>
      <c r="AG27" s="10">
        <f t="shared" si="36"/>
        <v>0</v>
      </c>
      <c r="AH27" s="10">
        <f t="shared" si="11"/>
        <v>0</v>
      </c>
      <c r="AI27" s="101"/>
      <c r="AJ27" s="10">
        <f t="shared" si="12"/>
        <v>0</v>
      </c>
      <c r="AK27" s="10">
        <f t="shared" si="37"/>
        <v>0</v>
      </c>
      <c r="AL27" s="10">
        <f t="shared" si="13"/>
        <v>0</v>
      </c>
      <c r="AM27" s="10">
        <f t="shared" si="46"/>
        <v>0</v>
      </c>
      <c r="AN27" s="10">
        <f t="shared" si="14"/>
        <v>0</v>
      </c>
      <c r="AO27" s="10">
        <f t="shared" si="38"/>
        <v>0</v>
      </c>
      <c r="AP27" s="10">
        <f t="shared" si="15"/>
        <v>0</v>
      </c>
      <c r="AQ27" s="101">
        <f>66*AQ7</f>
        <v>16601.243999999999</v>
      </c>
      <c r="AR27" s="10">
        <f t="shared" si="16"/>
        <v>44.684188554222217</v>
      </c>
      <c r="AS27" s="10">
        <f t="shared" si="39"/>
        <v>338564.76399999997</v>
      </c>
      <c r="AT27" s="10">
        <f t="shared" si="17"/>
        <v>46.286386352274775</v>
      </c>
      <c r="AU27" s="101">
        <f>66*AU7</f>
        <v>16426.146000000001</v>
      </c>
      <c r="AV27" s="10">
        <f t="shared" si="18"/>
        <v>44.212891822033527</v>
      </c>
      <c r="AW27" s="10">
        <f t="shared" si="40"/>
        <v>288204.19800000003</v>
      </c>
      <c r="AX27" s="10">
        <f t="shared" si="19"/>
        <v>39.401415254705881</v>
      </c>
      <c r="AY27" s="101"/>
      <c r="AZ27" s="15">
        <f t="shared" si="20"/>
        <v>0</v>
      </c>
      <c r="BA27" s="10">
        <f t="shared" si="41"/>
        <v>0</v>
      </c>
      <c r="BB27" s="10">
        <f t="shared" si="21"/>
        <v>0</v>
      </c>
      <c r="BC27" s="10">
        <f t="shared" si="42"/>
        <v>33027.39</v>
      </c>
      <c r="BD27" s="10">
        <f t="shared" si="22"/>
        <v>88.897080376255744</v>
      </c>
      <c r="BE27" s="10">
        <f t="shared" si="43"/>
        <v>626768.96199999994</v>
      </c>
      <c r="BF27" s="10">
        <f t="shared" si="23"/>
        <v>85.687801606980656</v>
      </c>
      <c r="BG27" s="101"/>
      <c r="BH27" s="10">
        <f t="shared" si="24"/>
        <v>0</v>
      </c>
      <c r="BI27" s="10">
        <f t="shared" si="44"/>
        <v>0</v>
      </c>
      <c r="BJ27" s="10">
        <f t="shared" si="25"/>
        <v>0</v>
      </c>
      <c r="BK27" s="10">
        <f t="shared" si="26"/>
        <v>37152.39</v>
      </c>
      <c r="BL27" s="10">
        <f t="shared" si="45"/>
        <v>731456.46200000017</v>
      </c>
      <c r="BM27" s="518">
        <f t="shared" si="27"/>
        <v>1.0531319802709904</v>
      </c>
      <c r="BN27" s="10">
        <f t="shared" si="28"/>
        <v>1.1037020536266657</v>
      </c>
      <c r="BV27" s="14"/>
    </row>
    <row r="28" spans="1:75">
      <c r="A28" s="16">
        <f>+Chem!A27</f>
        <v>45949</v>
      </c>
      <c r="B28" s="6" t="str">
        <f>+Chem!B27</f>
        <v>Facial</v>
      </c>
      <c r="C28" s="16" t="str">
        <f>+Chem!C27</f>
        <v>12</v>
      </c>
      <c r="D28" s="8">
        <f>+Chem!D27</f>
        <v>1.0549999999999999</v>
      </c>
      <c r="E28" s="7">
        <f>+Chem!E27</f>
        <v>2.8210000000000002</v>
      </c>
      <c r="F28" s="7">
        <f t="shared" si="29"/>
        <v>665.55100000000004</v>
      </c>
      <c r="G28" s="101"/>
      <c r="H28" s="10" t="e">
        <f t="shared" si="0"/>
        <v>#DIV/0!</v>
      </c>
      <c r="I28" s="8">
        <f t="shared" si="30"/>
        <v>104687.5</v>
      </c>
      <c r="J28" s="10">
        <f t="shared" si="1"/>
        <v>14.312198393019321</v>
      </c>
      <c r="K28" s="101"/>
      <c r="L28" s="10" t="e">
        <f t="shared" si="2"/>
        <v>#DIV/0!</v>
      </c>
      <c r="M28" s="10">
        <f t="shared" si="31"/>
        <v>0</v>
      </c>
      <c r="N28" s="10">
        <f t="shared" si="3"/>
        <v>0</v>
      </c>
      <c r="O28" s="101"/>
      <c r="P28" s="10" t="e">
        <f t="shared" si="4"/>
        <v>#DIV/0!</v>
      </c>
      <c r="Q28" s="10">
        <f t="shared" si="32"/>
        <v>0</v>
      </c>
      <c r="R28" s="10">
        <f t="shared" si="5"/>
        <v>0</v>
      </c>
      <c r="S28" s="10">
        <f t="shared" si="33"/>
        <v>0</v>
      </c>
      <c r="T28" s="10" t="e">
        <f t="shared" si="6"/>
        <v>#DIV/0!</v>
      </c>
      <c r="U28" s="10">
        <f t="shared" si="34"/>
        <v>104687.5</v>
      </c>
      <c r="V28" s="10">
        <f t="shared" si="7"/>
        <v>14.312198393019321</v>
      </c>
      <c r="W28" s="101"/>
      <c r="X28" s="10"/>
      <c r="Y28" s="10"/>
      <c r="Z28" s="10"/>
      <c r="AA28" s="101"/>
      <c r="AB28" s="10" t="e">
        <f t="shared" si="8"/>
        <v>#DIV/0!</v>
      </c>
      <c r="AC28" s="10">
        <f t="shared" si="35"/>
        <v>0</v>
      </c>
      <c r="AD28" s="10">
        <f t="shared" si="9"/>
        <v>0</v>
      </c>
      <c r="AE28" s="101"/>
      <c r="AF28" s="10" t="e">
        <f t="shared" si="10"/>
        <v>#DIV/0!</v>
      </c>
      <c r="AG28" s="10">
        <f t="shared" si="36"/>
        <v>0</v>
      </c>
      <c r="AH28" s="10">
        <f t="shared" si="11"/>
        <v>0</v>
      </c>
      <c r="AI28" s="101"/>
      <c r="AJ28" s="10" t="e">
        <f t="shared" si="12"/>
        <v>#DIV/0!</v>
      </c>
      <c r="AK28" s="10">
        <f t="shared" si="37"/>
        <v>0</v>
      </c>
      <c r="AL28" s="10">
        <f t="shared" si="13"/>
        <v>0</v>
      </c>
      <c r="AM28" s="10">
        <f t="shared" si="46"/>
        <v>0</v>
      </c>
      <c r="AN28" s="10" t="e">
        <f t="shared" si="14"/>
        <v>#DIV/0!</v>
      </c>
      <c r="AO28" s="10">
        <f t="shared" si="38"/>
        <v>0</v>
      </c>
      <c r="AP28" s="10">
        <f t="shared" si="15"/>
        <v>0</v>
      </c>
      <c r="AQ28" s="101"/>
      <c r="AR28" s="10" t="e">
        <f t="shared" si="16"/>
        <v>#DIV/0!</v>
      </c>
      <c r="AS28" s="10">
        <f t="shared" si="39"/>
        <v>338564.76399999997</v>
      </c>
      <c r="AT28" s="10">
        <f t="shared" si="17"/>
        <v>46.286386352274775</v>
      </c>
      <c r="AU28" s="101"/>
      <c r="AV28" s="10" t="e">
        <f t="shared" si="18"/>
        <v>#DIV/0!</v>
      </c>
      <c r="AW28" s="10">
        <f t="shared" si="40"/>
        <v>288204.19800000003</v>
      </c>
      <c r="AX28" s="10">
        <f t="shared" si="19"/>
        <v>39.401415254705881</v>
      </c>
      <c r="AY28" s="101"/>
      <c r="AZ28" s="15" t="e">
        <f t="shared" si="20"/>
        <v>#DIV/0!</v>
      </c>
      <c r="BA28" s="10">
        <f t="shared" si="41"/>
        <v>0</v>
      </c>
      <c r="BB28" s="10">
        <f t="shared" si="21"/>
        <v>0</v>
      </c>
      <c r="BC28" s="10">
        <f t="shared" si="42"/>
        <v>0</v>
      </c>
      <c r="BD28" s="10" t="e">
        <f t="shared" si="22"/>
        <v>#DIV/0!</v>
      </c>
      <c r="BE28" s="10">
        <f t="shared" si="43"/>
        <v>626768.96199999994</v>
      </c>
      <c r="BF28" s="10">
        <f t="shared" si="23"/>
        <v>85.687801606980656</v>
      </c>
      <c r="BG28" s="101"/>
      <c r="BH28" s="10" t="e">
        <f t="shared" si="24"/>
        <v>#DIV/0!</v>
      </c>
      <c r="BI28" s="10">
        <f t="shared" si="44"/>
        <v>0</v>
      </c>
      <c r="BJ28" s="10">
        <f t="shared" si="25"/>
        <v>0</v>
      </c>
      <c r="BK28" s="10">
        <f t="shared" si="26"/>
        <v>0</v>
      </c>
      <c r="BL28" s="10">
        <f t="shared" si="45"/>
        <v>731456.46200000017</v>
      </c>
      <c r="BM28" s="518">
        <f t="shared" si="27"/>
        <v>0</v>
      </c>
      <c r="BN28" s="10">
        <f t="shared" si="28"/>
        <v>1.0990239095125696</v>
      </c>
      <c r="BV28" s="14"/>
    </row>
    <row r="29" spans="1:75">
      <c r="A29" s="16">
        <f>+Chem!A28</f>
        <v>45950</v>
      </c>
      <c r="B29" s="6" t="str">
        <f>+Chem!B28</f>
        <v>Facial</v>
      </c>
      <c r="C29" s="16" t="str">
        <f>+Chem!C28</f>
        <v>12</v>
      </c>
      <c r="D29" s="8">
        <f>+Chem!D28</f>
        <v>0</v>
      </c>
      <c r="E29" s="7">
        <f>+Chem!E28</f>
        <v>0</v>
      </c>
      <c r="F29" s="7">
        <f t="shared" si="29"/>
        <v>665.55100000000004</v>
      </c>
      <c r="G29" s="101"/>
      <c r="H29" s="10" t="e">
        <f t="shared" si="0"/>
        <v>#DIV/0!</v>
      </c>
      <c r="I29" s="8">
        <f t="shared" si="30"/>
        <v>104687.5</v>
      </c>
      <c r="J29" s="10">
        <f t="shared" si="1"/>
        <v>14.312198393019321</v>
      </c>
      <c r="K29" s="101"/>
      <c r="L29" s="10" t="e">
        <f t="shared" si="2"/>
        <v>#DIV/0!</v>
      </c>
      <c r="M29" s="10">
        <f t="shared" si="31"/>
        <v>0</v>
      </c>
      <c r="N29" s="10">
        <f t="shared" si="3"/>
        <v>0</v>
      </c>
      <c r="O29" s="101"/>
      <c r="P29" s="10" t="e">
        <f t="shared" si="4"/>
        <v>#DIV/0!</v>
      </c>
      <c r="Q29" s="10">
        <f t="shared" si="32"/>
        <v>0</v>
      </c>
      <c r="R29" s="10">
        <f t="shared" si="5"/>
        <v>0</v>
      </c>
      <c r="S29" s="10">
        <f t="shared" si="33"/>
        <v>0</v>
      </c>
      <c r="T29" s="10" t="e">
        <f t="shared" si="6"/>
        <v>#DIV/0!</v>
      </c>
      <c r="U29" s="10">
        <f t="shared" si="34"/>
        <v>104687.5</v>
      </c>
      <c r="V29" s="10">
        <f t="shared" si="7"/>
        <v>14.312198393019321</v>
      </c>
      <c r="W29" s="101"/>
      <c r="X29" s="10"/>
      <c r="Y29" s="10"/>
      <c r="Z29" s="10"/>
      <c r="AA29" s="101"/>
      <c r="AB29" s="10" t="e">
        <f t="shared" si="8"/>
        <v>#DIV/0!</v>
      </c>
      <c r="AC29" s="10">
        <f t="shared" si="35"/>
        <v>0</v>
      </c>
      <c r="AD29" s="10">
        <f t="shared" si="9"/>
        <v>0</v>
      </c>
      <c r="AE29" s="101"/>
      <c r="AF29" s="10" t="e">
        <f t="shared" si="10"/>
        <v>#DIV/0!</v>
      </c>
      <c r="AG29" s="10">
        <f t="shared" si="36"/>
        <v>0</v>
      </c>
      <c r="AH29" s="10">
        <f t="shared" si="11"/>
        <v>0</v>
      </c>
      <c r="AI29" s="101"/>
      <c r="AJ29" s="10" t="e">
        <f t="shared" si="12"/>
        <v>#DIV/0!</v>
      </c>
      <c r="AK29" s="10">
        <f t="shared" si="37"/>
        <v>0</v>
      </c>
      <c r="AL29" s="10">
        <f t="shared" si="13"/>
        <v>0</v>
      </c>
      <c r="AM29" s="10">
        <f t="shared" si="46"/>
        <v>0</v>
      </c>
      <c r="AN29" s="10" t="e">
        <f t="shared" si="14"/>
        <v>#DIV/0!</v>
      </c>
      <c r="AO29" s="10">
        <f t="shared" si="38"/>
        <v>0</v>
      </c>
      <c r="AP29" s="10">
        <f t="shared" si="15"/>
        <v>0</v>
      </c>
      <c r="AQ29" s="101"/>
      <c r="AR29" s="10" t="e">
        <f t="shared" si="16"/>
        <v>#DIV/0!</v>
      </c>
      <c r="AS29" s="10">
        <f t="shared" si="39"/>
        <v>338564.76399999997</v>
      </c>
      <c r="AT29" s="10">
        <f t="shared" si="17"/>
        <v>46.286386352274775</v>
      </c>
      <c r="AU29" s="101"/>
      <c r="AV29" s="10" t="e">
        <f t="shared" si="18"/>
        <v>#DIV/0!</v>
      </c>
      <c r="AW29" s="10">
        <f t="shared" si="40"/>
        <v>288204.19800000003</v>
      </c>
      <c r="AX29" s="10">
        <f t="shared" si="19"/>
        <v>39.401415254705881</v>
      </c>
      <c r="AY29" s="101"/>
      <c r="AZ29" s="15" t="e">
        <f t="shared" si="20"/>
        <v>#DIV/0!</v>
      </c>
      <c r="BA29" s="10">
        <f t="shared" si="41"/>
        <v>0</v>
      </c>
      <c r="BB29" s="10">
        <f t="shared" si="21"/>
        <v>0</v>
      </c>
      <c r="BC29" s="10">
        <f t="shared" si="42"/>
        <v>0</v>
      </c>
      <c r="BD29" s="10" t="e">
        <f t="shared" si="22"/>
        <v>#DIV/0!</v>
      </c>
      <c r="BE29" s="10">
        <f t="shared" si="43"/>
        <v>626768.96199999994</v>
      </c>
      <c r="BF29" s="10">
        <f t="shared" si="23"/>
        <v>85.687801606980656</v>
      </c>
      <c r="BG29" s="101"/>
      <c r="BH29" s="10" t="e">
        <f t="shared" si="24"/>
        <v>#DIV/0!</v>
      </c>
      <c r="BI29" s="10">
        <f t="shared" si="44"/>
        <v>0</v>
      </c>
      <c r="BJ29" s="10">
        <f t="shared" si="25"/>
        <v>0</v>
      </c>
      <c r="BK29" s="10">
        <f t="shared" si="26"/>
        <v>0</v>
      </c>
      <c r="BL29" s="10">
        <f t="shared" si="45"/>
        <v>731456.46200000017</v>
      </c>
      <c r="BM29" s="518" t="e">
        <f t="shared" si="27"/>
        <v>#DIV/0!</v>
      </c>
      <c r="BN29" s="10">
        <f t="shared" si="28"/>
        <v>1.0990239095125696</v>
      </c>
      <c r="BV29" s="14"/>
    </row>
    <row r="30" spans="1:75">
      <c r="A30" s="16">
        <f>+Chem!A29</f>
        <v>45951</v>
      </c>
      <c r="B30" s="6" t="str">
        <f>+Chem!B29</f>
        <v>Facial</v>
      </c>
      <c r="C30" s="16" t="str">
        <f>+Chem!C29</f>
        <v>12</v>
      </c>
      <c r="D30" s="8">
        <f>+Chem!D29</f>
        <v>0</v>
      </c>
      <c r="E30" s="7">
        <f>+Chem!E29</f>
        <v>0</v>
      </c>
      <c r="F30" s="7">
        <f t="shared" si="29"/>
        <v>665.55100000000004</v>
      </c>
      <c r="G30" s="101"/>
      <c r="H30" s="10" t="e">
        <f t="shared" si="0"/>
        <v>#DIV/0!</v>
      </c>
      <c r="I30" s="8">
        <f t="shared" si="30"/>
        <v>104687.5</v>
      </c>
      <c r="J30" s="10">
        <f t="shared" si="1"/>
        <v>14.312198393019321</v>
      </c>
      <c r="K30" s="101"/>
      <c r="L30" s="10" t="e">
        <f t="shared" si="2"/>
        <v>#DIV/0!</v>
      </c>
      <c r="M30" s="10">
        <f t="shared" si="31"/>
        <v>0</v>
      </c>
      <c r="N30" s="10">
        <f t="shared" si="3"/>
        <v>0</v>
      </c>
      <c r="O30" s="101"/>
      <c r="P30" s="10" t="e">
        <f t="shared" si="4"/>
        <v>#DIV/0!</v>
      </c>
      <c r="Q30" s="10">
        <f t="shared" si="32"/>
        <v>0</v>
      </c>
      <c r="R30" s="10">
        <f t="shared" si="5"/>
        <v>0</v>
      </c>
      <c r="S30" s="10">
        <f t="shared" si="33"/>
        <v>0</v>
      </c>
      <c r="T30" s="10" t="e">
        <f t="shared" si="6"/>
        <v>#DIV/0!</v>
      </c>
      <c r="U30" s="10">
        <f t="shared" si="34"/>
        <v>104687.5</v>
      </c>
      <c r="V30" s="10">
        <f t="shared" si="7"/>
        <v>14.312198393019321</v>
      </c>
      <c r="W30" s="101"/>
      <c r="X30" s="10"/>
      <c r="Y30" s="10"/>
      <c r="Z30" s="10"/>
      <c r="AA30" s="101"/>
      <c r="AB30" s="10" t="e">
        <f t="shared" si="8"/>
        <v>#DIV/0!</v>
      </c>
      <c r="AC30" s="10">
        <f t="shared" si="35"/>
        <v>0</v>
      </c>
      <c r="AD30" s="10">
        <f t="shared" si="9"/>
        <v>0</v>
      </c>
      <c r="AE30" s="101"/>
      <c r="AF30" s="10" t="e">
        <f t="shared" si="10"/>
        <v>#DIV/0!</v>
      </c>
      <c r="AG30" s="10">
        <f t="shared" si="36"/>
        <v>0</v>
      </c>
      <c r="AH30" s="10">
        <f t="shared" si="11"/>
        <v>0</v>
      </c>
      <c r="AI30" s="101"/>
      <c r="AJ30" s="10" t="e">
        <f t="shared" si="12"/>
        <v>#DIV/0!</v>
      </c>
      <c r="AK30" s="10">
        <f t="shared" si="37"/>
        <v>0</v>
      </c>
      <c r="AL30" s="10">
        <f t="shared" si="13"/>
        <v>0</v>
      </c>
      <c r="AM30" s="10">
        <f t="shared" si="46"/>
        <v>0</v>
      </c>
      <c r="AN30" s="10" t="e">
        <f t="shared" si="14"/>
        <v>#DIV/0!</v>
      </c>
      <c r="AO30" s="10">
        <f t="shared" si="38"/>
        <v>0</v>
      </c>
      <c r="AP30" s="10">
        <f t="shared" si="15"/>
        <v>0</v>
      </c>
      <c r="AQ30" s="101"/>
      <c r="AR30" s="10" t="e">
        <f t="shared" si="16"/>
        <v>#DIV/0!</v>
      </c>
      <c r="AS30" s="10">
        <f t="shared" si="39"/>
        <v>338564.76399999997</v>
      </c>
      <c r="AT30" s="10">
        <f t="shared" si="17"/>
        <v>46.286386352274775</v>
      </c>
      <c r="AU30" s="101"/>
      <c r="AV30" s="10" t="e">
        <f t="shared" si="18"/>
        <v>#DIV/0!</v>
      </c>
      <c r="AW30" s="10">
        <f t="shared" si="40"/>
        <v>288204.19800000003</v>
      </c>
      <c r="AX30" s="10">
        <f t="shared" si="19"/>
        <v>39.401415254705881</v>
      </c>
      <c r="AY30" s="101"/>
      <c r="AZ30" s="15" t="e">
        <f t="shared" si="20"/>
        <v>#DIV/0!</v>
      </c>
      <c r="BA30" s="10">
        <f t="shared" si="41"/>
        <v>0</v>
      </c>
      <c r="BB30" s="10">
        <f t="shared" si="21"/>
        <v>0</v>
      </c>
      <c r="BC30" s="10">
        <f t="shared" si="42"/>
        <v>0</v>
      </c>
      <c r="BD30" s="10" t="e">
        <f t="shared" si="22"/>
        <v>#DIV/0!</v>
      </c>
      <c r="BE30" s="10">
        <f t="shared" si="43"/>
        <v>626768.96199999994</v>
      </c>
      <c r="BF30" s="10">
        <f t="shared" si="23"/>
        <v>85.687801606980656</v>
      </c>
      <c r="BG30" s="101"/>
      <c r="BH30" s="10" t="e">
        <f t="shared" si="24"/>
        <v>#DIV/0!</v>
      </c>
      <c r="BI30" s="10">
        <f t="shared" si="44"/>
        <v>0</v>
      </c>
      <c r="BJ30" s="10">
        <f t="shared" si="25"/>
        <v>0</v>
      </c>
      <c r="BK30" s="10">
        <f t="shared" si="26"/>
        <v>0</v>
      </c>
      <c r="BL30" s="10">
        <f t="shared" si="45"/>
        <v>731456.46200000017</v>
      </c>
      <c r="BM30" s="518" t="e">
        <f t="shared" si="27"/>
        <v>#DIV/0!</v>
      </c>
      <c r="BN30" s="10">
        <f t="shared" si="28"/>
        <v>1.0990239095125696</v>
      </c>
    </row>
    <row r="31" spans="1:75">
      <c r="A31" s="16">
        <f>+Chem!A30</f>
        <v>45952</v>
      </c>
      <c r="B31" s="6" t="str">
        <f>+Chem!B30</f>
        <v>Facial</v>
      </c>
      <c r="C31" s="16" t="str">
        <f>+Chem!C30</f>
        <v>12</v>
      </c>
      <c r="D31" s="8">
        <f>+Chem!D30</f>
        <v>0</v>
      </c>
      <c r="E31" s="7">
        <f>+Chem!E30</f>
        <v>0</v>
      </c>
      <c r="F31" s="7">
        <f t="shared" si="29"/>
        <v>665.55100000000004</v>
      </c>
      <c r="G31" s="101"/>
      <c r="H31" s="10" t="e">
        <f t="shared" si="0"/>
        <v>#DIV/0!</v>
      </c>
      <c r="I31" s="8">
        <f t="shared" si="30"/>
        <v>104687.5</v>
      </c>
      <c r="J31" s="10">
        <f t="shared" si="1"/>
        <v>14.312198393019321</v>
      </c>
      <c r="K31" s="101"/>
      <c r="L31" s="10" t="e">
        <f t="shared" si="2"/>
        <v>#DIV/0!</v>
      </c>
      <c r="M31" s="10">
        <f t="shared" si="31"/>
        <v>0</v>
      </c>
      <c r="N31" s="10">
        <f t="shared" si="3"/>
        <v>0</v>
      </c>
      <c r="O31" s="101"/>
      <c r="P31" s="10" t="e">
        <f t="shared" si="4"/>
        <v>#DIV/0!</v>
      </c>
      <c r="Q31" s="10">
        <f t="shared" si="32"/>
        <v>0</v>
      </c>
      <c r="R31" s="10">
        <f t="shared" si="5"/>
        <v>0</v>
      </c>
      <c r="S31" s="10">
        <f t="shared" si="33"/>
        <v>0</v>
      </c>
      <c r="T31" s="10" t="e">
        <f t="shared" si="6"/>
        <v>#DIV/0!</v>
      </c>
      <c r="U31" s="10">
        <f t="shared" si="34"/>
        <v>104687.5</v>
      </c>
      <c r="V31" s="10">
        <f t="shared" si="7"/>
        <v>14.312198393019321</v>
      </c>
      <c r="W31" s="101"/>
      <c r="X31" s="10"/>
      <c r="Y31" s="10"/>
      <c r="Z31" s="10"/>
      <c r="AA31" s="101"/>
      <c r="AB31" s="10" t="e">
        <f t="shared" si="8"/>
        <v>#DIV/0!</v>
      </c>
      <c r="AC31" s="10">
        <f t="shared" si="35"/>
        <v>0</v>
      </c>
      <c r="AD31" s="10">
        <f t="shared" si="9"/>
        <v>0</v>
      </c>
      <c r="AE31" s="101"/>
      <c r="AF31" s="10" t="e">
        <f t="shared" si="10"/>
        <v>#DIV/0!</v>
      </c>
      <c r="AG31" s="10">
        <f t="shared" si="36"/>
        <v>0</v>
      </c>
      <c r="AH31" s="10">
        <f t="shared" si="11"/>
        <v>0</v>
      </c>
      <c r="AI31" s="101"/>
      <c r="AJ31" s="10" t="e">
        <f t="shared" si="12"/>
        <v>#DIV/0!</v>
      </c>
      <c r="AK31" s="10">
        <f t="shared" si="37"/>
        <v>0</v>
      </c>
      <c r="AL31" s="10">
        <f t="shared" si="13"/>
        <v>0</v>
      </c>
      <c r="AM31" s="10">
        <f t="shared" si="46"/>
        <v>0</v>
      </c>
      <c r="AN31" s="10" t="e">
        <f t="shared" si="14"/>
        <v>#DIV/0!</v>
      </c>
      <c r="AO31" s="10">
        <f t="shared" si="38"/>
        <v>0</v>
      </c>
      <c r="AP31" s="10">
        <f t="shared" si="15"/>
        <v>0</v>
      </c>
      <c r="AQ31" s="101"/>
      <c r="AR31" s="10" t="e">
        <f t="shared" si="16"/>
        <v>#DIV/0!</v>
      </c>
      <c r="AS31" s="10">
        <f t="shared" si="39"/>
        <v>338564.76399999997</v>
      </c>
      <c r="AT31" s="10">
        <f t="shared" si="17"/>
        <v>46.286386352274775</v>
      </c>
      <c r="AU31" s="101"/>
      <c r="AV31" s="10" t="e">
        <f t="shared" si="18"/>
        <v>#DIV/0!</v>
      </c>
      <c r="AW31" s="10">
        <f t="shared" si="40"/>
        <v>288204.19800000003</v>
      </c>
      <c r="AX31" s="10">
        <f t="shared" si="19"/>
        <v>39.401415254705881</v>
      </c>
      <c r="AY31" s="101"/>
      <c r="AZ31" s="15" t="e">
        <f t="shared" si="20"/>
        <v>#DIV/0!</v>
      </c>
      <c r="BA31" s="10">
        <f t="shared" si="41"/>
        <v>0</v>
      </c>
      <c r="BB31" s="10">
        <f t="shared" si="21"/>
        <v>0</v>
      </c>
      <c r="BC31" s="10">
        <f t="shared" si="42"/>
        <v>0</v>
      </c>
      <c r="BD31" s="10" t="e">
        <f t="shared" si="22"/>
        <v>#DIV/0!</v>
      </c>
      <c r="BE31" s="10">
        <f t="shared" si="43"/>
        <v>626768.96199999994</v>
      </c>
      <c r="BF31" s="10">
        <f t="shared" si="23"/>
        <v>85.687801606980656</v>
      </c>
      <c r="BG31" s="101"/>
      <c r="BH31" s="10" t="e">
        <f t="shared" si="24"/>
        <v>#DIV/0!</v>
      </c>
      <c r="BI31" s="10">
        <f t="shared" si="44"/>
        <v>0</v>
      </c>
      <c r="BJ31" s="10">
        <f t="shared" si="25"/>
        <v>0</v>
      </c>
      <c r="BK31" s="10">
        <f t="shared" si="26"/>
        <v>0</v>
      </c>
      <c r="BL31" s="10">
        <f t="shared" si="45"/>
        <v>731456.46200000017</v>
      </c>
      <c r="BM31" s="518" t="e">
        <f t="shared" si="27"/>
        <v>#DIV/0!</v>
      </c>
      <c r="BN31" s="10">
        <f t="shared" si="28"/>
        <v>1.0990239095125696</v>
      </c>
    </row>
    <row r="32" spans="1:75">
      <c r="A32" s="16">
        <f>+Chem!A31</f>
        <v>45953</v>
      </c>
      <c r="B32" s="6" t="str">
        <f>+Chem!B31</f>
        <v>Facial</v>
      </c>
      <c r="C32" s="16" t="str">
        <f>+Chem!C31</f>
        <v>12</v>
      </c>
      <c r="D32" s="8">
        <f>+Chem!D31</f>
        <v>0</v>
      </c>
      <c r="E32" s="7">
        <f>+Chem!E31</f>
        <v>0</v>
      </c>
      <c r="F32" s="7">
        <f t="shared" si="29"/>
        <v>665.55100000000004</v>
      </c>
      <c r="G32" s="101"/>
      <c r="H32" s="10" t="e">
        <f t="shared" si="0"/>
        <v>#DIV/0!</v>
      </c>
      <c r="I32" s="8">
        <f t="shared" si="30"/>
        <v>104687.5</v>
      </c>
      <c r="J32" s="10">
        <f t="shared" si="1"/>
        <v>14.312198393019321</v>
      </c>
      <c r="K32" s="101"/>
      <c r="L32" s="10" t="e">
        <f t="shared" si="2"/>
        <v>#DIV/0!</v>
      </c>
      <c r="M32" s="10">
        <f t="shared" si="31"/>
        <v>0</v>
      </c>
      <c r="N32" s="10">
        <f t="shared" si="3"/>
        <v>0</v>
      </c>
      <c r="O32" s="101"/>
      <c r="P32" s="10" t="e">
        <f t="shared" si="4"/>
        <v>#DIV/0!</v>
      </c>
      <c r="Q32" s="10">
        <f t="shared" si="32"/>
        <v>0</v>
      </c>
      <c r="R32" s="10">
        <f t="shared" si="5"/>
        <v>0</v>
      </c>
      <c r="S32" s="10">
        <f t="shared" si="33"/>
        <v>0</v>
      </c>
      <c r="T32" s="10" t="e">
        <f t="shared" si="6"/>
        <v>#DIV/0!</v>
      </c>
      <c r="U32" s="10">
        <f t="shared" si="34"/>
        <v>104687.5</v>
      </c>
      <c r="V32" s="10">
        <f t="shared" si="7"/>
        <v>14.312198393019321</v>
      </c>
      <c r="W32" s="101"/>
      <c r="X32" s="10"/>
      <c r="Y32" s="10"/>
      <c r="Z32" s="10"/>
      <c r="AA32" s="101"/>
      <c r="AB32" s="10" t="e">
        <f t="shared" si="8"/>
        <v>#DIV/0!</v>
      </c>
      <c r="AC32" s="10">
        <f t="shared" si="35"/>
        <v>0</v>
      </c>
      <c r="AD32" s="10">
        <f t="shared" si="9"/>
        <v>0</v>
      </c>
      <c r="AE32" s="101"/>
      <c r="AF32" s="10" t="e">
        <f t="shared" si="10"/>
        <v>#DIV/0!</v>
      </c>
      <c r="AG32" s="10">
        <f t="shared" si="36"/>
        <v>0</v>
      </c>
      <c r="AH32" s="10">
        <f t="shared" si="11"/>
        <v>0</v>
      </c>
      <c r="AI32" s="101"/>
      <c r="AJ32" s="10" t="e">
        <f t="shared" si="12"/>
        <v>#DIV/0!</v>
      </c>
      <c r="AK32" s="10">
        <f t="shared" si="37"/>
        <v>0</v>
      </c>
      <c r="AL32" s="10">
        <f t="shared" si="13"/>
        <v>0</v>
      </c>
      <c r="AM32" s="10">
        <f t="shared" si="46"/>
        <v>0</v>
      </c>
      <c r="AN32" s="10" t="e">
        <f t="shared" si="14"/>
        <v>#DIV/0!</v>
      </c>
      <c r="AO32" s="10">
        <f t="shared" si="38"/>
        <v>0</v>
      </c>
      <c r="AP32" s="10">
        <f t="shared" si="15"/>
        <v>0</v>
      </c>
      <c r="AQ32" s="101"/>
      <c r="AR32" s="10" t="e">
        <f t="shared" si="16"/>
        <v>#DIV/0!</v>
      </c>
      <c r="AS32" s="10">
        <f t="shared" si="39"/>
        <v>338564.76399999997</v>
      </c>
      <c r="AT32" s="10">
        <f t="shared" si="17"/>
        <v>46.286386352274775</v>
      </c>
      <c r="AU32" s="101"/>
      <c r="AV32" s="10" t="e">
        <f t="shared" si="18"/>
        <v>#DIV/0!</v>
      </c>
      <c r="AW32" s="10">
        <f t="shared" si="40"/>
        <v>288204.19800000003</v>
      </c>
      <c r="AX32" s="10">
        <f t="shared" si="19"/>
        <v>39.401415254705881</v>
      </c>
      <c r="AY32" s="101"/>
      <c r="AZ32" s="15" t="e">
        <f t="shared" si="20"/>
        <v>#DIV/0!</v>
      </c>
      <c r="BA32" s="10">
        <f t="shared" si="41"/>
        <v>0</v>
      </c>
      <c r="BB32" s="10">
        <f t="shared" si="21"/>
        <v>0</v>
      </c>
      <c r="BC32" s="10">
        <f t="shared" si="42"/>
        <v>0</v>
      </c>
      <c r="BD32" s="10" t="e">
        <f t="shared" si="22"/>
        <v>#DIV/0!</v>
      </c>
      <c r="BE32" s="10">
        <f t="shared" si="43"/>
        <v>626768.96199999994</v>
      </c>
      <c r="BF32" s="10">
        <f t="shared" si="23"/>
        <v>85.687801606980656</v>
      </c>
      <c r="BG32" s="101"/>
      <c r="BH32" s="10" t="e">
        <f t="shared" si="24"/>
        <v>#DIV/0!</v>
      </c>
      <c r="BI32" s="10">
        <f t="shared" si="44"/>
        <v>0</v>
      </c>
      <c r="BJ32" s="10">
        <f t="shared" si="25"/>
        <v>0</v>
      </c>
      <c r="BK32" s="10">
        <f t="shared" si="26"/>
        <v>0</v>
      </c>
      <c r="BL32" s="10">
        <f t="shared" si="45"/>
        <v>731456.46200000017</v>
      </c>
      <c r="BM32" s="518" t="e">
        <f t="shared" si="27"/>
        <v>#DIV/0!</v>
      </c>
      <c r="BN32" s="10">
        <f t="shared" si="28"/>
        <v>1.0990239095125696</v>
      </c>
    </row>
    <row r="33" spans="1:66">
      <c r="A33" s="16">
        <f>+Chem!A32</f>
        <v>45954</v>
      </c>
      <c r="B33" s="6" t="str">
        <f>+Chem!B32</f>
        <v>Facial</v>
      </c>
      <c r="C33" s="16" t="str">
        <f>+Chem!C32</f>
        <v>12</v>
      </c>
      <c r="D33" s="8">
        <f>+Chem!D32</f>
        <v>0</v>
      </c>
      <c r="E33" s="7">
        <f>+Chem!E32</f>
        <v>0</v>
      </c>
      <c r="F33" s="7">
        <f t="shared" si="29"/>
        <v>665.55100000000004</v>
      </c>
      <c r="G33" s="101"/>
      <c r="H33" s="10" t="e">
        <f t="shared" si="0"/>
        <v>#DIV/0!</v>
      </c>
      <c r="I33" s="8">
        <f t="shared" si="30"/>
        <v>104687.5</v>
      </c>
      <c r="J33" s="10">
        <f t="shared" si="1"/>
        <v>14.312198393019321</v>
      </c>
      <c r="K33" s="101"/>
      <c r="L33" s="10" t="e">
        <f t="shared" si="2"/>
        <v>#DIV/0!</v>
      </c>
      <c r="M33" s="10">
        <f t="shared" si="31"/>
        <v>0</v>
      </c>
      <c r="N33" s="10">
        <f t="shared" si="3"/>
        <v>0</v>
      </c>
      <c r="O33" s="101"/>
      <c r="P33" s="10" t="e">
        <f t="shared" si="4"/>
        <v>#DIV/0!</v>
      </c>
      <c r="Q33" s="10">
        <f t="shared" si="32"/>
        <v>0</v>
      </c>
      <c r="R33" s="10">
        <f t="shared" si="5"/>
        <v>0</v>
      </c>
      <c r="S33" s="10">
        <f t="shared" si="33"/>
        <v>0</v>
      </c>
      <c r="T33" s="10" t="e">
        <f t="shared" si="6"/>
        <v>#DIV/0!</v>
      </c>
      <c r="U33" s="10">
        <f t="shared" si="34"/>
        <v>104687.5</v>
      </c>
      <c r="V33" s="10">
        <f t="shared" si="7"/>
        <v>14.312198393019321</v>
      </c>
      <c r="W33" s="101"/>
      <c r="X33" s="10"/>
      <c r="Y33" s="10"/>
      <c r="Z33" s="10"/>
      <c r="AA33" s="101"/>
      <c r="AB33" s="10" t="e">
        <f t="shared" si="8"/>
        <v>#DIV/0!</v>
      </c>
      <c r="AC33" s="10">
        <f>AA33+AC32</f>
        <v>0</v>
      </c>
      <c r="AD33" s="10">
        <f t="shared" si="9"/>
        <v>0</v>
      </c>
      <c r="AE33" s="101"/>
      <c r="AF33" s="10" t="e">
        <f t="shared" si="10"/>
        <v>#DIV/0!</v>
      </c>
      <c r="AG33" s="10">
        <f t="shared" si="36"/>
        <v>0</v>
      </c>
      <c r="AH33" s="10">
        <f t="shared" si="11"/>
        <v>0</v>
      </c>
      <c r="AI33" s="101"/>
      <c r="AJ33" s="10" t="e">
        <f t="shared" si="12"/>
        <v>#DIV/0!</v>
      </c>
      <c r="AK33" s="10">
        <f t="shared" si="37"/>
        <v>0</v>
      </c>
      <c r="AL33" s="10">
        <f t="shared" si="13"/>
        <v>0</v>
      </c>
      <c r="AM33" s="10">
        <f t="shared" si="46"/>
        <v>0</v>
      </c>
      <c r="AN33" s="10" t="e">
        <f t="shared" si="14"/>
        <v>#DIV/0!</v>
      </c>
      <c r="AO33" s="10">
        <f t="shared" si="38"/>
        <v>0</v>
      </c>
      <c r="AP33" s="10">
        <f t="shared" si="15"/>
        <v>0</v>
      </c>
      <c r="AQ33" s="101"/>
      <c r="AR33" s="10" t="e">
        <f t="shared" si="16"/>
        <v>#DIV/0!</v>
      </c>
      <c r="AS33" s="10">
        <f t="shared" si="39"/>
        <v>338564.76399999997</v>
      </c>
      <c r="AT33" s="10">
        <f t="shared" si="17"/>
        <v>46.286386352274775</v>
      </c>
      <c r="AU33" s="101"/>
      <c r="AV33" s="10" t="e">
        <f t="shared" si="18"/>
        <v>#DIV/0!</v>
      </c>
      <c r="AW33" s="10">
        <f t="shared" si="40"/>
        <v>288204.19800000003</v>
      </c>
      <c r="AX33" s="10">
        <f t="shared" si="19"/>
        <v>39.401415254705881</v>
      </c>
      <c r="AY33" s="101"/>
      <c r="AZ33" s="15" t="e">
        <f t="shared" si="20"/>
        <v>#DIV/0!</v>
      </c>
      <c r="BA33" s="10">
        <f t="shared" si="41"/>
        <v>0</v>
      </c>
      <c r="BB33" s="10">
        <f t="shared" si="21"/>
        <v>0</v>
      </c>
      <c r="BC33" s="10">
        <f t="shared" si="42"/>
        <v>0</v>
      </c>
      <c r="BD33" s="10" t="e">
        <f t="shared" si="22"/>
        <v>#DIV/0!</v>
      </c>
      <c r="BE33" s="10">
        <f t="shared" si="43"/>
        <v>626768.96199999994</v>
      </c>
      <c r="BF33" s="10">
        <f t="shared" si="23"/>
        <v>85.687801606980656</v>
      </c>
      <c r="BG33" s="101"/>
      <c r="BH33" s="10" t="e">
        <f t="shared" si="24"/>
        <v>#DIV/0!</v>
      </c>
      <c r="BI33" s="10">
        <f t="shared" si="44"/>
        <v>0</v>
      </c>
      <c r="BJ33" s="10">
        <f t="shared" si="25"/>
        <v>0</v>
      </c>
      <c r="BK33" s="10">
        <f t="shared" si="26"/>
        <v>0</v>
      </c>
      <c r="BL33" s="10">
        <f t="shared" si="45"/>
        <v>731456.46200000017</v>
      </c>
      <c r="BM33" s="518" t="e">
        <f t="shared" si="27"/>
        <v>#DIV/0!</v>
      </c>
      <c r="BN33" s="10">
        <f t="shared" si="28"/>
        <v>1.0990239095125696</v>
      </c>
    </row>
    <row r="34" spans="1:66">
      <c r="A34" s="16">
        <f>+Chem!A33</f>
        <v>45955</v>
      </c>
      <c r="B34" s="6" t="str">
        <f>+Chem!B33</f>
        <v>Facial</v>
      </c>
      <c r="C34" s="16" t="str">
        <f>+Chem!C33</f>
        <v>12</v>
      </c>
      <c r="D34" s="8">
        <f>+Chem!D33</f>
        <v>0</v>
      </c>
      <c r="E34" s="7">
        <f>+Chem!E33</f>
        <v>0</v>
      </c>
      <c r="F34" s="7">
        <f t="shared" si="29"/>
        <v>665.55100000000004</v>
      </c>
      <c r="G34" s="101"/>
      <c r="H34" s="10" t="e">
        <f t="shared" si="0"/>
        <v>#DIV/0!</v>
      </c>
      <c r="I34" s="8">
        <f t="shared" si="30"/>
        <v>104687.5</v>
      </c>
      <c r="J34" s="10">
        <f t="shared" si="1"/>
        <v>14.312198393019321</v>
      </c>
      <c r="K34" s="101"/>
      <c r="L34" s="10" t="e">
        <f t="shared" si="2"/>
        <v>#DIV/0!</v>
      </c>
      <c r="M34" s="10">
        <f t="shared" si="31"/>
        <v>0</v>
      </c>
      <c r="N34" s="10">
        <f t="shared" si="3"/>
        <v>0</v>
      </c>
      <c r="O34" s="101"/>
      <c r="P34" s="10" t="e">
        <f t="shared" si="4"/>
        <v>#DIV/0!</v>
      </c>
      <c r="Q34" s="10">
        <f t="shared" si="32"/>
        <v>0</v>
      </c>
      <c r="R34" s="10">
        <f t="shared" si="5"/>
        <v>0</v>
      </c>
      <c r="S34" s="10">
        <f t="shared" si="33"/>
        <v>0</v>
      </c>
      <c r="T34" s="10" t="e">
        <f t="shared" si="6"/>
        <v>#DIV/0!</v>
      </c>
      <c r="U34" s="10">
        <f t="shared" si="34"/>
        <v>104687.5</v>
      </c>
      <c r="V34" s="10">
        <f t="shared" si="7"/>
        <v>14.312198393019321</v>
      </c>
      <c r="W34" s="101"/>
      <c r="X34" s="10"/>
      <c r="Y34" s="10"/>
      <c r="Z34" s="10"/>
      <c r="AA34" s="101"/>
      <c r="AB34" s="10" t="e">
        <f t="shared" si="8"/>
        <v>#DIV/0!</v>
      </c>
      <c r="AC34" s="10">
        <f>AA34+AC33</f>
        <v>0</v>
      </c>
      <c r="AD34" s="10">
        <f t="shared" si="9"/>
        <v>0</v>
      </c>
      <c r="AE34" s="101"/>
      <c r="AF34" s="10" t="e">
        <f t="shared" si="10"/>
        <v>#DIV/0!</v>
      </c>
      <c r="AG34" s="10">
        <f t="shared" si="36"/>
        <v>0</v>
      </c>
      <c r="AH34" s="10">
        <f t="shared" si="11"/>
        <v>0</v>
      </c>
      <c r="AI34" s="101"/>
      <c r="AJ34" s="10" t="e">
        <f t="shared" si="12"/>
        <v>#DIV/0!</v>
      </c>
      <c r="AK34" s="10">
        <f t="shared" si="37"/>
        <v>0</v>
      </c>
      <c r="AL34" s="10">
        <f t="shared" si="13"/>
        <v>0</v>
      </c>
      <c r="AM34" s="10">
        <f t="shared" si="46"/>
        <v>0</v>
      </c>
      <c r="AN34" s="10" t="e">
        <f t="shared" si="14"/>
        <v>#DIV/0!</v>
      </c>
      <c r="AO34" s="10">
        <f t="shared" si="38"/>
        <v>0</v>
      </c>
      <c r="AP34" s="10">
        <f t="shared" si="15"/>
        <v>0</v>
      </c>
      <c r="AQ34" s="101"/>
      <c r="AR34" s="10" t="e">
        <f t="shared" si="16"/>
        <v>#DIV/0!</v>
      </c>
      <c r="AS34" s="10">
        <f t="shared" si="39"/>
        <v>338564.76399999997</v>
      </c>
      <c r="AT34" s="10">
        <f t="shared" si="17"/>
        <v>46.286386352274775</v>
      </c>
      <c r="AU34" s="101"/>
      <c r="AV34" s="10" t="e">
        <f t="shared" si="18"/>
        <v>#DIV/0!</v>
      </c>
      <c r="AW34" s="10">
        <f t="shared" si="40"/>
        <v>288204.19800000003</v>
      </c>
      <c r="AX34" s="10">
        <f t="shared" si="19"/>
        <v>39.401415254705881</v>
      </c>
      <c r="AY34" s="101"/>
      <c r="AZ34" s="15" t="e">
        <f t="shared" si="20"/>
        <v>#DIV/0!</v>
      </c>
      <c r="BA34" s="10">
        <f t="shared" si="41"/>
        <v>0</v>
      </c>
      <c r="BB34" s="10">
        <f t="shared" si="21"/>
        <v>0</v>
      </c>
      <c r="BC34" s="10">
        <f t="shared" si="42"/>
        <v>0</v>
      </c>
      <c r="BD34" s="10" t="e">
        <f t="shared" si="22"/>
        <v>#DIV/0!</v>
      </c>
      <c r="BE34" s="10">
        <f t="shared" si="43"/>
        <v>626768.96199999994</v>
      </c>
      <c r="BF34" s="10">
        <f t="shared" si="23"/>
        <v>85.687801606980656</v>
      </c>
      <c r="BG34" s="101"/>
      <c r="BH34" s="10" t="e">
        <f t="shared" si="24"/>
        <v>#DIV/0!</v>
      </c>
      <c r="BI34" s="10">
        <f t="shared" si="44"/>
        <v>0</v>
      </c>
      <c r="BJ34" s="10">
        <f t="shared" si="25"/>
        <v>0</v>
      </c>
      <c r="BK34" s="10">
        <f t="shared" si="26"/>
        <v>0</v>
      </c>
      <c r="BL34" s="10">
        <f t="shared" si="45"/>
        <v>731456.46200000017</v>
      </c>
      <c r="BM34" s="518" t="e">
        <f t="shared" si="27"/>
        <v>#DIV/0!</v>
      </c>
      <c r="BN34" s="10">
        <f t="shared" si="28"/>
        <v>1.0990239095125696</v>
      </c>
    </row>
    <row r="35" spans="1:66">
      <c r="A35" s="16">
        <f>+Chem!A34</f>
        <v>45956</v>
      </c>
      <c r="B35" s="6" t="str">
        <f>+Chem!B34</f>
        <v>Facial</v>
      </c>
      <c r="C35" s="16" t="str">
        <f>+Chem!C34</f>
        <v>12</v>
      </c>
      <c r="D35" s="8">
        <f>+Chem!D34</f>
        <v>0</v>
      </c>
      <c r="E35" s="7">
        <f>+Chem!E34</f>
        <v>0</v>
      </c>
      <c r="F35" s="7">
        <f t="shared" si="29"/>
        <v>665.55100000000004</v>
      </c>
      <c r="G35" s="101">
        <f>1*G7</f>
        <v>250</v>
      </c>
      <c r="H35" s="10">
        <f t="shared" si="0"/>
        <v>19.986728812068787</v>
      </c>
      <c r="I35" s="8">
        <f t="shared" si="30"/>
        <v>104937.5</v>
      </c>
      <c r="J35" s="10">
        <f t="shared" si="1"/>
        <v>14.321885580469967</v>
      </c>
      <c r="K35" s="101"/>
      <c r="L35" s="10">
        <f t="shared" si="2"/>
        <v>0</v>
      </c>
      <c r="M35" s="10">
        <f t="shared" si="31"/>
        <v>0</v>
      </c>
      <c r="N35" s="10">
        <f t="shared" si="3"/>
        <v>0</v>
      </c>
      <c r="O35" s="101"/>
      <c r="P35" s="10">
        <f t="shared" si="4"/>
        <v>0</v>
      </c>
      <c r="Q35" s="10">
        <f t="shared" si="32"/>
        <v>0</v>
      </c>
      <c r="R35" s="10">
        <f t="shared" si="5"/>
        <v>0</v>
      </c>
      <c r="S35" s="10">
        <f t="shared" si="33"/>
        <v>250</v>
      </c>
      <c r="T35" s="10">
        <f t="shared" si="6"/>
        <v>19.986728812068787</v>
      </c>
      <c r="U35" s="10">
        <f t="shared" si="34"/>
        <v>104937.5</v>
      </c>
      <c r="V35" s="10">
        <f t="shared" si="7"/>
        <v>14.321885580469967</v>
      </c>
      <c r="W35" s="101"/>
      <c r="X35" s="10"/>
      <c r="Y35" s="10"/>
      <c r="Z35" s="10"/>
      <c r="AA35" s="101"/>
      <c r="AB35" s="10">
        <f t="shared" si="8"/>
        <v>0</v>
      </c>
      <c r="AC35" s="10">
        <f>AA35+AC34</f>
        <v>0</v>
      </c>
      <c r="AD35" s="10">
        <f t="shared" si="9"/>
        <v>0</v>
      </c>
      <c r="AE35" s="101"/>
      <c r="AF35" s="10">
        <f t="shared" si="10"/>
        <v>0</v>
      </c>
      <c r="AG35" s="10">
        <f t="shared" si="36"/>
        <v>0</v>
      </c>
      <c r="AH35" s="10">
        <f t="shared" si="11"/>
        <v>0</v>
      </c>
      <c r="AI35" s="101"/>
      <c r="AJ35" s="10">
        <f t="shared" si="12"/>
        <v>0</v>
      </c>
      <c r="AK35" s="10">
        <f t="shared" si="37"/>
        <v>0</v>
      </c>
      <c r="AL35" s="10">
        <f t="shared" si="13"/>
        <v>0</v>
      </c>
      <c r="AM35" s="10">
        <f t="shared" si="46"/>
        <v>0</v>
      </c>
      <c r="AN35" s="10">
        <f t="shared" si="14"/>
        <v>0</v>
      </c>
      <c r="AO35" s="10">
        <f t="shared" si="38"/>
        <v>0</v>
      </c>
      <c r="AP35" s="10">
        <f t="shared" si="15"/>
        <v>0</v>
      </c>
      <c r="AQ35" s="101">
        <f>2*AQ7</f>
        <v>503.06799999999998</v>
      </c>
      <c r="AR35" s="10">
        <f t="shared" si="16"/>
        <v>40.218734760119276</v>
      </c>
      <c r="AS35" s="10">
        <f t="shared" si="39"/>
        <v>339067.83199999999</v>
      </c>
      <c r="AT35" s="10">
        <f t="shared" si="17"/>
        <v>46.276028054051352</v>
      </c>
      <c r="AU35" s="101">
        <f>2*AU7</f>
        <v>497.762</v>
      </c>
      <c r="AV35" s="10">
        <f t="shared" si="18"/>
        <v>39.794536427811934</v>
      </c>
      <c r="AW35" s="10">
        <f t="shared" si="40"/>
        <v>288701.96000000002</v>
      </c>
      <c r="AX35" s="10">
        <f t="shared" si="19"/>
        <v>39.402086365478667</v>
      </c>
      <c r="AY35" s="101"/>
      <c r="AZ35" s="15">
        <f t="shared" si="20"/>
        <v>0</v>
      </c>
      <c r="BA35" s="10">
        <f t="shared" si="41"/>
        <v>0</v>
      </c>
      <c r="BB35" s="10">
        <f t="shared" si="21"/>
        <v>0</v>
      </c>
      <c r="BC35" s="10">
        <f t="shared" si="42"/>
        <v>1000.8299999999999</v>
      </c>
      <c r="BD35" s="10">
        <f t="shared" si="22"/>
        <v>80.01327118793121</v>
      </c>
      <c r="BE35" s="10">
        <f t="shared" si="43"/>
        <v>627769.7919999999</v>
      </c>
      <c r="BF35" s="10">
        <f t="shared" si="23"/>
        <v>85.678114419530004</v>
      </c>
      <c r="BG35" s="101"/>
      <c r="BH35" s="10">
        <f t="shared" si="24"/>
        <v>0</v>
      </c>
      <c r="BI35" s="10">
        <f t="shared" si="44"/>
        <v>0</v>
      </c>
      <c r="BJ35" s="10">
        <f t="shared" si="25"/>
        <v>0</v>
      </c>
      <c r="BK35" s="10">
        <f t="shared" si="26"/>
        <v>1250.83</v>
      </c>
      <c r="BL35" s="10">
        <f t="shared" si="45"/>
        <v>732707.29200000013</v>
      </c>
      <c r="BM35" s="518" t="e">
        <f t="shared" si="27"/>
        <v>#DIV/0!</v>
      </c>
      <c r="BN35" s="10">
        <f t="shared" si="28"/>
        <v>1.1009032996720012</v>
      </c>
    </row>
    <row r="36" spans="1:66">
      <c r="A36" s="16">
        <f>+Chem!A35</f>
        <v>45957</v>
      </c>
      <c r="B36" s="6" t="str">
        <f>+Chem!B35</f>
        <v>Facial</v>
      </c>
      <c r="C36" s="16" t="str">
        <f>+Chem!C35</f>
        <v>14</v>
      </c>
      <c r="D36" s="8">
        <f>+Chem!D35</f>
        <v>20.222000000000001</v>
      </c>
      <c r="E36" s="7">
        <f>+Chem!E35</f>
        <v>14.464</v>
      </c>
      <c r="F36" s="7">
        <f t="shared" si="29"/>
        <v>680.0150000000001</v>
      </c>
      <c r="G36" s="101">
        <f>11.5*G7</f>
        <v>2875</v>
      </c>
      <c r="H36" s="10">
        <f t="shared" si="0"/>
        <v>12.033100023731366</v>
      </c>
      <c r="I36" s="8">
        <f t="shared" si="30"/>
        <v>107812.5</v>
      </c>
      <c r="J36" s="10">
        <f t="shared" si="1"/>
        <v>14.249608725074308</v>
      </c>
      <c r="K36" s="101"/>
      <c r="L36" s="10">
        <f t="shared" si="2"/>
        <v>0</v>
      </c>
      <c r="M36" s="10">
        <f t="shared" si="31"/>
        <v>0</v>
      </c>
      <c r="N36" s="10">
        <f t="shared" si="3"/>
        <v>0</v>
      </c>
      <c r="O36" s="101"/>
      <c r="P36" s="10">
        <f t="shared" si="4"/>
        <v>0</v>
      </c>
      <c r="Q36" s="10">
        <f t="shared" si="32"/>
        <v>0</v>
      </c>
      <c r="R36" s="10">
        <f t="shared" si="5"/>
        <v>0</v>
      </c>
      <c r="S36" s="10">
        <f t="shared" si="33"/>
        <v>2875</v>
      </c>
      <c r="T36" s="10">
        <f t="shared" si="6"/>
        <v>12.033100023731366</v>
      </c>
      <c r="U36" s="10">
        <f t="shared" si="34"/>
        <v>107812.5</v>
      </c>
      <c r="V36" s="10">
        <f t="shared" si="7"/>
        <v>14.249608725074308</v>
      </c>
      <c r="W36" s="101"/>
      <c r="X36" s="10"/>
      <c r="Y36" s="10"/>
      <c r="Z36" s="10"/>
      <c r="AA36" s="101"/>
      <c r="AB36" s="10">
        <f t="shared" si="8"/>
        <v>0</v>
      </c>
      <c r="AC36" s="10">
        <f t="shared" si="35"/>
        <v>0</v>
      </c>
      <c r="AD36" s="10">
        <f t="shared" si="9"/>
        <v>0</v>
      </c>
      <c r="AE36" s="101"/>
      <c r="AF36" s="10">
        <f t="shared" si="10"/>
        <v>0</v>
      </c>
      <c r="AG36" s="10">
        <f t="shared" si="36"/>
        <v>0</v>
      </c>
      <c r="AH36" s="10">
        <f t="shared" si="11"/>
        <v>0</v>
      </c>
      <c r="AI36" s="101"/>
      <c r="AJ36" s="10">
        <f t="shared" si="12"/>
        <v>0</v>
      </c>
      <c r="AK36" s="10">
        <f t="shared" si="37"/>
        <v>0</v>
      </c>
      <c r="AL36" s="10">
        <f t="shared" si="13"/>
        <v>0</v>
      </c>
      <c r="AM36" s="10">
        <f t="shared" si="46"/>
        <v>0</v>
      </c>
      <c r="AN36" s="10">
        <f t="shared" si="14"/>
        <v>0</v>
      </c>
      <c r="AO36" s="10">
        <f t="shared" si="38"/>
        <v>0</v>
      </c>
      <c r="AP36" s="10">
        <f t="shared" si="15"/>
        <v>0</v>
      </c>
      <c r="AQ36" s="101">
        <f>42*AQ7</f>
        <v>10564.428</v>
      </c>
      <c r="AR36" s="10">
        <f t="shared" si="16"/>
        <v>44.216632632176797</v>
      </c>
      <c r="AS36" s="10">
        <f t="shared" si="39"/>
        <v>349632.26</v>
      </c>
      <c r="AT36" s="10">
        <f t="shared" si="17"/>
        <v>46.210995039197215</v>
      </c>
      <c r="AU36" s="101">
        <f>42*AU7</f>
        <v>10453.002</v>
      </c>
      <c r="AV36" s="10">
        <f t="shared" si="18"/>
        <v>43.750267344091831</v>
      </c>
      <c r="AW36" s="10">
        <f t="shared" si="40"/>
        <v>299154.962</v>
      </c>
      <c r="AX36" s="10">
        <f t="shared" si="19"/>
        <v>39.539396235728454</v>
      </c>
      <c r="AY36" s="101"/>
      <c r="AZ36" s="15">
        <f t="shared" si="20"/>
        <v>0</v>
      </c>
      <c r="BA36" s="10">
        <f t="shared" si="41"/>
        <v>0</v>
      </c>
      <c r="BB36" s="10">
        <f t="shared" si="21"/>
        <v>0</v>
      </c>
      <c r="BC36" s="10">
        <f t="shared" si="42"/>
        <v>21017.43</v>
      </c>
      <c r="BD36" s="10">
        <f t="shared" si="22"/>
        <v>87.966899976268635</v>
      </c>
      <c r="BE36" s="10">
        <f t="shared" si="43"/>
        <v>648787.22199999995</v>
      </c>
      <c r="BF36" s="10">
        <f t="shared" si="23"/>
        <v>85.750391274925661</v>
      </c>
      <c r="BG36" s="101"/>
      <c r="BH36" s="10">
        <f t="shared" si="24"/>
        <v>0</v>
      </c>
      <c r="BI36" s="10">
        <f t="shared" si="44"/>
        <v>0</v>
      </c>
      <c r="BJ36" s="10">
        <f t="shared" si="25"/>
        <v>0</v>
      </c>
      <c r="BK36" s="10">
        <f t="shared" si="26"/>
        <v>23892.43</v>
      </c>
      <c r="BL36" s="10">
        <f t="shared" si="45"/>
        <v>756599.72200000018</v>
      </c>
      <c r="BM36" s="518">
        <f t="shared" si="27"/>
        <v>1.651854950221239</v>
      </c>
      <c r="BN36" s="10">
        <f t="shared" si="28"/>
        <v>1.1126221068652897</v>
      </c>
    </row>
    <row r="37" spans="1:66">
      <c r="A37" s="16">
        <f>+Chem!A36</f>
        <v>45958</v>
      </c>
      <c r="B37" s="6" t="str">
        <f>+Chem!B36</f>
        <v>Facial</v>
      </c>
      <c r="C37" s="16" t="str">
        <f>+Chem!C36</f>
        <v>14/12</v>
      </c>
      <c r="D37" s="8">
        <f>+Chem!D36</f>
        <v>16.829999999999998</v>
      </c>
      <c r="E37" s="7">
        <f>+Chem!E36</f>
        <v>10.173</v>
      </c>
      <c r="F37" s="7">
        <f t="shared" si="29"/>
        <v>690.1880000000001</v>
      </c>
      <c r="G37" s="101">
        <f>7.5*G7</f>
        <v>1875</v>
      </c>
      <c r="H37" s="10">
        <f t="shared" si="0"/>
        <v>11.10291962374426</v>
      </c>
      <c r="I37" s="8">
        <f t="shared" si="30"/>
        <v>109687.5</v>
      </c>
      <c r="J37" s="10">
        <f t="shared" si="1"/>
        <v>14.18090745013674</v>
      </c>
      <c r="K37" s="101"/>
      <c r="L37" s="10">
        <f t="shared" si="2"/>
        <v>0</v>
      </c>
      <c r="M37" s="10">
        <f t="shared" si="31"/>
        <v>0</v>
      </c>
      <c r="N37" s="10">
        <f t="shared" si="3"/>
        <v>0</v>
      </c>
      <c r="O37" s="101"/>
      <c r="P37" s="10">
        <f t="shared" si="4"/>
        <v>0</v>
      </c>
      <c r="Q37" s="10">
        <f t="shared" si="32"/>
        <v>0</v>
      </c>
      <c r="R37" s="10">
        <f t="shared" si="5"/>
        <v>0</v>
      </c>
      <c r="S37" s="10">
        <f t="shared" si="33"/>
        <v>1875</v>
      </c>
      <c r="T37" s="10">
        <f t="shared" si="6"/>
        <v>11.10291962374426</v>
      </c>
      <c r="U37" s="10">
        <f t="shared" si="34"/>
        <v>109687.5</v>
      </c>
      <c r="V37" s="10">
        <f t="shared" si="7"/>
        <v>14.18090745013674</v>
      </c>
      <c r="W37" s="101"/>
      <c r="X37" s="10"/>
      <c r="Y37" s="10"/>
      <c r="Z37" s="10"/>
      <c r="AA37" s="101"/>
      <c r="AB37" s="10">
        <f t="shared" si="8"/>
        <v>0</v>
      </c>
      <c r="AC37" s="10">
        <f t="shared" si="35"/>
        <v>0</v>
      </c>
      <c r="AD37" s="10">
        <f t="shared" si="9"/>
        <v>0</v>
      </c>
      <c r="AE37" s="101"/>
      <c r="AF37" s="10">
        <f t="shared" si="10"/>
        <v>0</v>
      </c>
      <c r="AG37" s="10">
        <f t="shared" si="36"/>
        <v>0</v>
      </c>
      <c r="AH37" s="10">
        <f t="shared" si="11"/>
        <v>0</v>
      </c>
      <c r="AI37" s="101"/>
      <c r="AJ37" s="10">
        <f t="shared" si="12"/>
        <v>0</v>
      </c>
      <c r="AK37" s="10">
        <f t="shared" si="37"/>
        <v>0</v>
      </c>
      <c r="AL37" s="10">
        <f t="shared" si="13"/>
        <v>0</v>
      </c>
      <c r="AM37" s="10">
        <f t="shared" si="46"/>
        <v>0</v>
      </c>
      <c r="AN37" s="10">
        <f t="shared" si="14"/>
        <v>0</v>
      </c>
      <c r="AO37" s="10">
        <f t="shared" si="38"/>
        <v>0</v>
      </c>
      <c r="AP37" s="10">
        <f t="shared" si="15"/>
        <v>0</v>
      </c>
      <c r="AQ37" s="101">
        <f>30*AQ7</f>
        <v>7546.0199999999995</v>
      </c>
      <c r="AR37" s="10">
        <f t="shared" si="16"/>
        <v>44.684188554222217</v>
      </c>
      <c r="AS37" s="10">
        <f t="shared" si="39"/>
        <v>357178.28</v>
      </c>
      <c r="AT37" s="10">
        <f t="shared" si="17"/>
        <v>46.177660461575179</v>
      </c>
      <c r="AU37" s="101">
        <f>30*AU7</f>
        <v>7466.43</v>
      </c>
      <c r="AV37" s="10">
        <f t="shared" si="18"/>
        <v>44.212891822033527</v>
      </c>
      <c r="AW37" s="10">
        <f t="shared" si="40"/>
        <v>306621.39199999999</v>
      </c>
      <c r="AX37" s="10">
        <f t="shared" si="19"/>
        <v>39.64143208828807</v>
      </c>
      <c r="AY37" s="101"/>
      <c r="AZ37" s="15">
        <f t="shared" si="20"/>
        <v>0</v>
      </c>
      <c r="BA37" s="10">
        <f t="shared" si="41"/>
        <v>0</v>
      </c>
      <c r="BB37" s="10">
        <f t="shared" si="21"/>
        <v>0</v>
      </c>
      <c r="BC37" s="10">
        <f t="shared" si="42"/>
        <v>15012.45</v>
      </c>
      <c r="BD37" s="10">
        <f t="shared" si="22"/>
        <v>88.897080376255744</v>
      </c>
      <c r="BE37" s="10">
        <f t="shared" si="43"/>
        <v>663799.6719999999</v>
      </c>
      <c r="BF37" s="10">
        <f t="shared" si="23"/>
        <v>85.819092549863228</v>
      </c>
      <c r="BG37" s="101"/>
      <c r="BH37" s="10">
        <f t="shared" si="24"/>
        <v>0</v>
      </c>
      <c r="BI37" s="10">
        <f t="shared" si="44"/>
        <v>0</v>
      </c>
      <c r="BJ37" s="10">
        <f t="shared" si="25"/>
        <v>0</v>
      </c>
      <c r="BK37" s="10">
        <f t="shared" si="26"/>
        <v>16887.45</v>
      </c>
      <c r="BL37" s="10">
        <f t="shared" si="45"/>
        <v>773487.17200000014</v>
      </c>
      <c r="BM37" s="518">
        <f t="shared" si="27"/>
        <v>1.6600265408434092</v>
      </c>
      <c r="BN37" s="10">
        <f t="shared" si="28"/>
        <v>1.1206905538780738</v>
      </c>
    </row>
    <row r="38" spans="1:66">
      <c r="A38" s="16">
        <f>+Chem!A37</f>
        <v>45959</v>
      </c>
      <c r="B38" s="6" t="str">
        <f>+Chem!B37</f>
        <v>Facial</v>
      </c>
      <c r="C38" s="16" t="str">
        <f>+Chem!C37</f>
        <v>12</v>
      </c>
      <c r="D38" s="8">
        <f>+Chem!D37</f>
        <v>7.3259999999999996</v>
      </c>
      <c r="E38" s="7">
        <f>+Chem!E37</f>
        <v>10.403</v>
      </c>
      <c r="F38" s="7">
        <f t="shared" si="29"/>
        <v>700.59100000000012</v>
      </c>
      <c r="G38" s="101">
        <f>3*G7</f>
        <v>750</v>
      </c>
      <c r="H38" s="10">
        <f t="shared" si="0"/>
        <v>11.10291962374426</v>
      </c>
      <c r="I38" s="8">
        <f t="shared" si="30"/>
        <v>110437.5</v>
      </c>
      <c r="J38" s="10">
        <f t="shared" si="1"/>
        <v>14.15425963810271</v>
      </c>
      <c r="K38" s="101"/>
      <c r="L38" s="10">
        <f t="shared" si="2"/>
        <v>0</v>
      </c>
      <c r="M38" s="10">
        <f t="shared" si="31"/>
        <v>0</v>
      </c>
      <c r="N38" s="10">
        <f t="shared" si="3"/>
        <v>0</v>
      </c>
      <c r="O38" s="101"/>
      <c r="P38" s="10">
        <f t="shared" si="4"/>
        <v>0</v>
      </c>
      <c r="Q38" s="10">
        <f t="shared" si="32"/>
        <v>0</v>
      </c>
      <c r="R38" s="10">
        <f t="shared" si="5"/>
        <v>0</v>
      </c>
      <c r="S38" s="10">
        <f t="shared" si="33"/>
        <v>750</v>
      </c>
      <c r="T38" s="10">
        <f t="shared" si="6"/>
        <v>11.10291962374426</v>
      </c>
      <c r="U38" s="10">
        <f t="shared" si="34"/>
        <v>110437.5</v>
      </c>
      <c r="V38" s="10">
        <f t="shared" si="7"/>
        <v>14.15425963810271</v>
      </c>
      <c r="W38" s="101"/>
      <c r="X38" s="10"/>
      <c r="Y38" s="10"/>
      <c r="Z38" s="10"/>
      <c r="AA38" s="101"/>
      <c r="AB38" s="10">
        <f t="shared" si="8"/>
        <v>0</v>
      </c>
      <c r="AC38" s="10">
        <f t="shared" si="35"/>
        <v>0</v>
      </c>
      <c r="AD38" s="10">
        <f t="shared" si="9"/>
        <v>0</v>
      </c>
      <c r="AE38" s="101"/>
      <c r="AF38" s="10">
        <f t="shared" si="10"/>
        <v>0</v>
      </c>
      <c r="AG38" s="10">
        <f t="shared" si="36"/>
        <v>0</v>
      </c>
      <c r="AH38" s="10">
        <f t="shared" si="11"/>
        <v>0</v>
      </c>
      <c r="AI38" s="101"/>
      <c r="AJ38" s="10">
        <f t="shared" si="12"/>
        <v>0</v>
      </c>
      <c r="AK38" s="10">
        <f t="shared" si="37"/>
        <v>0</v>
      </c>
      <c r="AL38" s="10">
        <f t="shared" si="13"/>
        <v>0</v>
      </c>
      <c r="AM38" s="10">
        <f t="shared" si="46"/>
        <v>0</v>
      </c>
      <c r="AN38" s="10">
        <f t="shared" si="14"/>
        <v>0</v>
      </c>
      <c r="AO38" s="10">
        <f t="shared" si="38"/>
        <v>0</v>
      </c>
      <c r="AP38" s="10">
        <f t="shared" si="15"/>
        <v>0</v>
      </c>
      <c r="AQ38" s="101">
        <f>12*AQ7</f>
        <v>3018.4079999999999</v>
      </c>
      <c r="AR38" s="10">
        <f t="shared" si="16"/>
        <v>44.684188554222217</v>
      </c>
      <c r="AS38" s="10">
        <f t="shared" si="39"/>
        <v>360196.68800000002</v>
      </c>
      <c r="AT38" s="10">
        <f t="shared" si="17"/>
        <v>46.164730664282281</v>
      </c>
      <c r="AU38" s="101">
        <f>12*AU7</f>
        <v>2986.5720000000001</v>
      </c>
      <c r="AV38" s="10">
        <f t="shared" si="18"/>
        <v>44.212891822033527</v>
      </c>
      <c r="AW38" s="10">
        <f t="shared" si="40"/>
        <v>309607.96399999998</v>
      </c>
      <c r="AX38" s="10">
        <f t="shared" si="19"/>
        <v>39.681009697614996</v>
      </c>
      <c r="AY38" s="101"/>
      <c r="AZ38" s="15">
        <f t="shared" si="20"/>
        <v>0</v>
      </c>
      <c r="BA38" s="10">
        <f t="shared" si="41"/>
        <v>0</v>
      </c>
      <c r="BB38" s="10">
        <f t="shared" si="21"/>
        <v>0</v>
      </c>
      <c r="BC38" s="10">
        <f t="shared" si="42"/>
        <v>6004.98</v>
      </c>
      <c r="BD38" s="10">
        <f t="shared" si="22"/>
        <v>88.897080376255744</v>
      </c>
      <c r="BE38" s="10">
        <f t="shared" si="43"/>
        <v>669804.65199999989</v>
      </c>
      <c r="BF38" s="10">
        <f t="shared" si="23"/>
        <v>85.845740361897256</v>
      </c>
      <c r="BG38" s="101"/>
      <c r="BH38" s="10">
        <f t="shared" si="24"/>
        <v>0</v>
      </c>
      <c r="BI38" s="10">
        <f t="shared" si="44"/>
        <v>0</v>
      </c>
      <c r="BJ38" s="10">
        <f t="shared" si="25"/>
        <v>0</v>
      </c>
      <c r="BK38" s="10">
        <f t="shared" si="26"/>
        <v>6754.98</v>
      </c>
      <c r="BL38" s="10">
        <f t="shared" si="45"/>
        <v>780242.15200000012</v>
      </c>
      <c r="BM38" s="518">
        <f t="shared" si="27"/>
        <v>0.64933000096126114</v>
      </c>
      <c r="BN38" s="10">
        <f t="shared" si="28"/>
        <v>1.113691371998784</v>
      </c>
    </row>
    <row r="39" spans="1:66">
      <c r="A39" s="16">
        <f>+Chem!A38</f>
        <v>45960</v>
      </c>
      <c r="B39" s="6" t="str">
        <f>+Chem!B38</f>
        <v>Facial</v>
      </c>
      <c r="C39" s="16" t="str">
        <f>+Chem!C38</f>
        <v>12</v>
      </c>
      <c r="D39" s="8">
        <f>+Chem!D38</f>
        <v>0</v>
      </c>
      <c r="E39" s="7">
        <f>+Chem!E38</f>
        <v>0</v>
      </c>
      <c r="F39" s="7">
        <f t="shared" si="29"/>
        <v>700.59100000000012</v>
      </c>
      <c r="G39" s="101"/>
      <c r="H39" s="10" t="e">
        <f t="shared" si="0"/>
        <v>#DIV/0!</v>
      </c>
      <c r="I39" s="8">
        <f t="shared" si="30"/>
        <v>110437.5</v>
      </c>
      <c r="J39" s="10">
        <f t="shared" si="1"/>
        <v>14.15425963810271</v>
      </c>
      <c r="K39" s="101"/>
      <c r="L39" s="10" t="e">
        <f t="shared" si="2"/>
        <v>#DIV/0!</v>
      </c>
      <c r="M39" s="10">
        <f t="shared" si="31"/>
        <v>0</v>
      </c>
      <c r="N39" s="10">
        <f t="shared" si="3"/>
        <v>0</v>
      </c>
      <c r="O39" s="101"/>
      <c r="P39" s="10" t="e">
        <f t="shared" si="4"/>
        <v>#DIV/0!</v>
      </c>
      <c r="Q39" s="10">
        <f t="shared" si="32"/>
        <v>0</v>
      </c>
      <c r="R39" s="10">
        <f t="shared" si="5"/>
        <v>0</v>
      </c>
      <c r="S39" s="10">
        <f t="shared" si="33"/>
        <v>0</v>
      </c>
      <c r="T39" s="10" t="e">
        <f t="shared" si="6"/>
        <v>#DIV/0!</v>
      </c>
      <c r="U39" s="10">
        <f t="shared" si="34"/>
        <v>110437.5</v>
      </c>
      <c r="V39" s="10">
        <f t="shared" si="7"/>
        <v>14.15425963810271</v>
      </c>
      <c r="W39" s="101"/>
      <c r="X39" s="10"/>
      <c r="Y39" s="10"/>
      <c r="Z39" s="10"/>
      <c r="AA39" s="101"/>
      <c r="AB39" s="10" t="e">
        <f t="shared" si="8"/>
        <v>#DIV/0!</v>
      </c>
      <c r="AC39" s="10">
        <f t="shared" si="35"/>
        <v>0</v>
      </c>
      <c r="AD39" s="10">
        <f t="shared" si="9"/>
        <v>0</v>
      </c>
      <c r="AE39" s="101"/>
      <c r="AF39" s="10" t="e">
        <f t="shared" si="10"/>
        <v>#DIV/0!</v>
      </c>
      <c r="AG39" s="10">
        <f t="shared" si="36"/>
        <v>0</v>
      </c>
      <c r="AH39" s="10">
        <f t="shared" si="11"/>
        <v>0</v>
      </c>
      <c r="AI39" s="101"/>
      <c r="AJ39" s="10" t="e">
        <f t="shared" si="12"/>
        <v>#DIV/0!</v>
      </c>
      <c r="AK39" s="10">
        <f t="shared" si="37"/>
        <v>0</v>
      </c>
      <c r="AL39" s="10">
        <f t="shared" si="13"/>
        <v>0</v>
      </c>
      <c r="AM39" s="10">
        <f t="shared" si="46"/>
        <v>0</v>
      </c>
      <c r="AN39" s="10" t="e">
        <f t="shared" si="14"/>
        <v>#DIV/0!</v>
      </c>
      <c r="AO39" s="10">
        <f t="shared" si="38"/>
        <v>0</v>
      </c>
      <c r="AP39" s="10">
        <f t="shared" si="15"/>
        <v>0</v>
      </c>
      <c r="AQ39" s="101"/>
      <c r="AR39" s="10" t="e">
        <f t="shared" si="16"/>
        <v>#DIV/0!</v>
      </c>
      <c r="AS39" s="10">
        <f t="shared" si="39"/>
        <v>360196.68800000002</v>
      </c>
      <c r="AT39" s="10">
        <f t="shared" si="17"/>
        <v>46.164730664282281</v>
      </c>
      <c r="AU39" s="101"/>
      <c r="AV39" s="10" t="e">
        <f t="shared" si="18"/>
        <v>#DIV/0!</v>
      </c>
      <c r="AW39" s="10">
        <f t="shared" si="40"/>
        <v>309607.96399999998</v>
      </c>
      <c r="AX39" s="10">
        <f t="shared" si="19"/>
        <v>39.681009697614996</v>
      </c>
      <c r="AY39" s="101"/>
      <c r="AZ39" s="15" t="e">
        <f t="shared" si="20"/>
        <v>#DIV/0!</v>
      </c>
      <c r="BA39" s="10">
        <f t="shared" si="41"/>
        <v>0</v>
      </c>
      <c r="BB39" s="10">
        <f t="shared" si="21"/>
        <v>0</v>
      </c>
      <c r="BC39" s="10">
        <f t="shared" si="42"/>
        <v>0</v>
      </c>
      <c r="BD39" s="10" t="e">
        <f t="shared" si="22"/>
        <v>#DIV/0!</v>
      </c>
      <c r="BE39" s="10">
        <f t="shared" si="43"/>
        <v>669804.65199999989</v>
      </c>
      <c r="BF39" s="10">
        <f t="shared" si="23"/>
        <v>85.845740361897256</v>
      </c>
      <c r="BG39" s="101"/>
      <c r="BH39" s="10" t="e">
        <f t="shared" si="24"/>
        <v>#DIV/0!</v>
      </c>
      <c r="BI39" s="10">
        <f t="shared" si="44"/>
        <v>0</v>
      </c>
      <c r="BJ39" s="10">
        <f t="shared" si="25"/>
        <v>0</v>
      </c>
      <c r="BK39" s="10">
        <f t="shared" si="26"/>
        <v>0</v>
      </c>
      <c r="BL39" s="10">
        <f t="shared" si="45"/>
        <v>780242.15200000012</v>
      </c>
      <c r="BM39" s="518" t="e">
        <f t="shared" si="27"/>
        <v>#DIV/0!</v>
      </c>
      <c r="BN39" s="10">
        <f t="shared" si="28"/>
        <v>1.113691371998784</v>
      </c>
    </row>
    <row r="40" spans="1:66">
      <c r="A40" s="16">
        <f>+Chem!A39</f>
        <v>45961</v>
      </c>
      <c r="B40" s="6" t="str">
        <f>+Chem!B39</f>
        <v>Facial</v>
      </c>
      <c r="C40" s="16" t="str">
        <f>+Chem!C39</f>
        <v>12</v>
      </c>
      <c r="D40" s="8">
        <f>+Chem!D39</f>
        <v>0</v>
      </c>
      <c r="E40" s="7">
        <f>+Chem!E39</f>
        <v>0</v>
      </c>
      <c r="F40" s="7">
        <f>+E40+F39</f>
        <v>700.59100000000012</v>
      </c>
      <c r="G40" s="101"/>
      <c r="H40" s="10" t="e">
        <f t="shared" si="0"/>
        <v>#DIV/0!</v>
      </c>
      <c r="I40" s="8">
        <f>G40+I39</f>
        <v>110437.5</v>
      </c>
      <c r="J40" s="10">
        <f t="shared" si="1"/>
        <v>14.15425963810271</v>
      </c>
      <c r="K40" s="101"/>
      <c r="L40" s="10" t="e">
        <f t="shared" si="2"/>
        <v>#DIV/0!</v>
      </c>
      <c r="M40" s="10">
        <f>+K40+M39</f>
        <v>0</v>
      </c>
      <c r="N40" s="10">
        <f t="shared" si="3"/>
        <v>0</v>
      </c>
      <c r="O40" s="101"/>
      <c r="P40" s="10" t="e">
        <f t="shared" si="4"/>
        <v>#DIV/0!</v>
      </c>
      <c r="Q40" s="10">
        <f>+O40+Q39</f>
        <v>0</v>
      </c>
      <c r="R40" s="10">
        <f t="shared" si="5"/>
        <v>0</v>
      </c>
      <c r="S40" s="10">
        <f t="shared" si="33"/>
        <v>0</v>
      </c>
      <c r="T40" s="10" t="e">
        <f t="shared" si="6"/>
        <v>#DIV/0!</v>
      </c>
      <c r="U40" s="10">
        <f>S40+U39</f>
        <v>110437.5</v>
      </c>
      <c r="V40" s="10">
        <f t="shared" si="7"/>
        <v>14.15425963810271</v>
      </c>
      <c r="W40" s="101"/>
      <c r="X40" s="10"/>
      <c r="Y40" s="10"/>
      <c r="Z40" s="10"/>
      <c r="AA40" s="101"/>
      <c r="AB40" s="10" t="e">
        <f t="shared" si="8"/>
        <v>#DIV/0!</v>
      </c>
      <c r="AC40" s="10">
        <f>AA40+AC39</f>
        <v>0</v>
      </c>
      <c r="AD40" s="10">
        <f t="shared" si="9"/>
        <v>0</v>
      </c>
      <c r="AE40" s="101"/>
      <c r="AF40" s="10" t="e">
        <f t="shared" si="10"/>
        <v>#DIV/0!</v>
      </c>
      <c r="AG40" s="10">
        <f>AE40+AG39</f>
        <v>0</v>
      </c>
      <c r="AH40" s="10">
        <f t="shared" si="11"/>
        <v>0</v>
      </c>
      <c r="AI40" s="101"/>
      <c r="AJ40" s="10" t="e">
        <f t="shared" si="12"/>
        <v>#DIV/0!</v>
      </c>
      <c r="AK40" s="10">
        <f>AI40+AK39</f>
        <v>0</v>
      </c>
      <c r="AL40" s="10">
        <f t="shared" si="13"/>
        <v>0</v>
      </c>
      <c r="AM40" s="10">
        <f t="shared" si="46"/>
        <v>0</v>
      </c>
      <c r="AN40" s="10" t="e">
        <f>AM40/BK40*100</f>
        <v>#DIV/0!</v>
      </c>
      <c r="AO40" s="10">
        <f>AM40+AO39</f>
        <v>0</v>
      </c>
      <c r="AP40" s="10">
        <f>AO40/BL40*100</f>
        <v>0</v>
      </c>
      <c r="AQ40" s="101"/>
      <c r="AR40" s="10" t="e">
        <f>+AQ40/BK40*100</f>
        <v>#DIV/0!</v>
      </c>
      <c r="AS40" s="10">
        <f>+AQ40+AS39</f>
        <v>360196.68800000002</v>
      </c>
      <c r="AT40" s="10">
        <f>+AS40/BL40*100</f>
        <v>46.164730664282281</v>
      </c>
      <c r="AU40" s="101"/>
      <c r="AV40" s="10" t="e">
        <f>AU40/BK40*100</f>
        <v>#DIV/0!</v>
      </c>
      <c r="AW40" s="10">
        <f>AU40+AW39</f>
        <v>309607.96399999998</v>
      </c>
      <c r="AX40" s="10">
        <f>AW40/BL40*100</f>
        <v>39.681009697614996</v>
      </c>
      <c r="AY40" s="101"/>
      <c r="AZ40" s="15" t="e">
        <f>AY40/BK40*100</f>
        <v>#DIV/0!</v>
      </c>
      <c r="BA40" s="10">
        <f>AY40+BA39</f>
        <v>0</v>
      </c>
      <c r="BB40" s="10">
        <f>BA40/BL40*100</f>
        <v>0</v>
      </c>
      <c r="BC40" s="10">
        <f>AQ40+AU40+AY40</f>
        <v>0</v>
      </c>
      <c r="BD40" s="10" t="e">
        <f>BC40/BK40*100</f>
        <v>#DIV/0!</v>
      </c>
      <c r="BE40" s="10">
        <f>BC40+BE39</f>
        <v>669804.65199999989</v>
      </c>
      <c r="BF40" s="10">
        <f>BE40/BL40*100</f>
        <v>85.845740361897256</v>
      </c>
      <c r="BG40" s="101"/>
      <c r="BH40" s="10" t="e">
        <f>BG40/BK40*100</f>
        <v>#DIV/0!</v>
      </c>
      <c r="BI40" s="10">
        <f>BG40+BI39</f>
        <v>0</v>
      </c>
      <c r="BJ40" s="10">
        <f>BI40/BL40*100</f>
        <v>0</v>
      </c>
      <c r="BK40" s="10">
        <f t="shared" si="26"/>
        <v>0</v>
      </c>
      <c r="BL40" s="10">
        <f>BK40+BL39</f>
        <v>780242.15200000012</v>
      </c>
      <c r="BM40" s="518" t="e">
        <f t="shared" si="27"/>
        <v>#DIV/0!</v>
      </c>
      <c r="BN40" s="10">
        <f t="shared" si="28"/>
        <v>1.113691371998784</v>
      </c>
    </row>
    <row r="41" spans="1:66">
      <c r="A41" s="16"/>
      <c r="B41" s="16"/>
      <c r="C41" s="16"/>
      <c r="D41" s="8"/>
      <c r="E41" s="7"/>
      <c r="F41" s="7"/>
      <c r="G41" s="101"/>
      <c r="H41" s="10"/>
      <c r="I41" s="8"/>
      <c r="J41" s="10"/>
      <c r="K41" s="101"/>
      <c r="L41" s="10"/>
      <c r="M41" s="10"/>
      <c r="N41" s="10"/>
      <c r="O41" s="101"/>
      <c r="P41" s="10"/>
      <c r="Q41" s="10"/>
      <c r="R41" s="10"/>
      <c r="S41" s="10"/>
      <c r="T41" s="10"/>
      <c r="U41" s="10"/>
      <c r="V41" s="10"/>
      <c r="W41" s="101"/>
      <c r="X41" s="10"/>
      <c r="Y41" s="10"/>
      <c r="Z41" s="10"/>
      <c r="AA41" s="101"/>
      <c r="AB41" s="10"/>
      <c r="AC41" s="10"/>
      <c r="AD41" s="10"/>
      <c r="AE41" s="101"/>
      <c r="AF41" s="10"/>
      <c r="AG41" s="10"/>
      <c r="AH41" s="10"/>
      <c r="AI41" s="101"/>
      <c r="AJ41" s="10"/>
      <c r="AK41" s="10"/>
      <c r="AL41" s="10"/>
      <c r="AM41" s="10"/>
      <c r="AN41" s="10"/>
      <c r="AO41" s="10"/>
      <c r="AP41" s="10"/>
      <c r="AQ41" s="101"/>
      <c r="AR41" s="10"/>
      <c r="AS41" s="10"/>
      <c r="AT41" s="10"/>
      <c r="AU41" s="101"/>
      <c r="AV41" s="10"/>
      <c r="AW41" s="10"/>
      <c r="AX41" s="10"/>
      <c r="AY41" s="101"/>
      <c r="AZ41" s="15"/>
      <c r="BA41" s="10"/>
      <c r="BB41" s="10"/>
      <c r="BC41" s="10"/>
      <c r="BD41" s="10"/>
      <c r="BE41" s="10"/>
      <c r="BF41" s="10"/>
      <c r="BG41" s="101"/>
      <c r="BH41" s="10"/>
      <c r="BI41" s="10"/>
      <c r="BJ41" s="10"/>
      <c r="BK41" s="10"/>
      <c r="BL41" s="10"/>
      <c r="BM41" s="10"/>
      <c r="BN41" s="10"/>
    </row>
    <row r="42" spans="1:66" ht="13.5" thickBot="1">
      <c r="A42" s="11" t="s">
        <v>28</v>
      </c>
      <c r="B42" s="11"/>
      <c r="C42" s="12"/>
      <c r="D42" s="12">
        <f>SUM(D10:D41)</f>
        <v>742.94600000000003</v>
      </c>
      <c r="E42" s="12">
        <f>SUM(E10:E41)</f>
        <v>700.59100000000012</v>
      </c>
      <c r="F42" s="12"/>
      <c r="G42" s="12">
        <f>SUM(G10:G41)</f>
        <v>110437.5</v>
      </c>
      <c r="H42" s="12">
        <f>G42/BK42*100</f>
        <v>14.15425963810271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>
        <f>SUM(S10:S41)</f>
        <v>110437.5</v>
      </c>
      <c r="T42" s="18">
        <f>S42/$BK$42*100</f>
        <v>14.15425963810271</v>
      </c>
      <c r="U42" s="12"/>
      <c r="V42" s="12"/>
      <c r="W42" s="12">
        <f>SUM(W10:W41)</f>
        <v>0</v>
      </c>
      <c r="X42" s="12" t="e">
        <f>W42/BG42*100</f>
        <v>#DIV/0!</v>
      </c>
      <c r="Y42" s="12"/>
      <c r="Z42" s="12"/>
      <c r="AA42" s="12">
        <f>SUM(AA10:AA41)</f>
        <v>0</v>
      </c>
      <c r="AB42" s="12">
        <f>AA42/$BK$42*100</f>
        <v>0</v>
      </c>
      <c r="AC42" s="12"/>
      <c r="AD42" s="12"/>
      <c r="AE42" s="12">
        <f>SUM(AE10:AE41)</f>
        <v>0</v>
      </c>
      <c r="AF42" s="12">
        <f>AE42/$BK$42*100</f>
        <v>0</v>
      </c>
      <c r="AG42" s="12"/>
      <c r="AH42" s="12"/>
      <c r="AI42" s="12">
        <f>SUM(AI10:AI41)</f>
        <v>0</v>
      </c>
      <c r="AJ42" s="12">
        <f>AI42/$BK$42*100</f>
        <v>0</v>
      </c>
      <c r="AK42" s="12"/>
      <c r="AL42" s="12"/>
      <c r="AM42" s="12">
        <f>SUM(AM10:AM41)</f>
        <v>0</v>
      </c>
      <c r="AN42" s="12"/>
      <c r="AO42" s="12"/>
      <c r="AP42" s="12"/>
      <c r="AQ42" s="12">
        <f>SUM(AQ10:AQ41)</f>
        <v>360196.68800000002</v>
      </c>
      <c r="AR42" s="12">
        <f>AQ42/$BK$42*100</f>
        <v>46.164730664282281</v>
      </c>
      <c r="AS42" s="12"/>
      <c r="AT42" s="12"/>
      <c r="AU42" s="12">
        <f>SUM(AU10:AU41)</f>
        <v>309607.96399999998</v>
      </c>
      <c r="AV42" s="12">
        <f>AU42/$BK$42*100</f>
        <v>39.681009697614996</v>
      </c>
      <c r="AW42" s="12"/>
      <c r="AX42" s="12"/>
      <c r="AY42" s="12">
        <f>SUM(AY10:AY41)</f>
        <v>0</v>
      </c>
      <c r="AZ42" s="12">
        <f>AY42/$BK$42*100</f>
        <v>0</v>
      </c>
      <c r="BA42" s="12"/>
      <c r="BB42" s="12"/>
      <c r="BC42" s="12">
        <f>SUM(BC10:BC41)</f>
        <v>669804.65199999989</v>
      </c>
      <c r="BD42" s="20">
        <f>BC42/$BK$42*100</f>
        <v>85.845740361897256</v>
      </c>
      <c r="BE42" s="12"/>
      <c r="BF42" s="12"/>
      <c r="BG42" s="12">
        <f>SUM(BG10:BG41)</f>
        <v>0</v>
      </c>
      <c r="BH42" s="12">
        <f>BG42/$BK$42*100</f>
        <v>0</v>
      </c>
      <c r="BI42" s="12"/>
      <c r="BJ42" s="12"/>
      <c r="BK42" s="12">
        <f>SUM(BK10:BK41)</f>
        <v>780242.15200000012</v>
      </c>
      <c r="BL42" s="12">
        <f>BK42/$BK$42*100</f>
        <v>100</v>
      </c>
      <c r="BM42" s="12">
        <f>BK42/1000/E42</f>
        <v>1.113691371998784</v>
      </c>
      <c r="BN42" s="12"/>
    </row>
    <row r="43" spans="1:66" ht="13.5" thickTop="1"/>
    <row r="44" spans="1:66">
      <c r="W44" s="14"/>
      <c r="AA44" s="14"/>
      <c r="AE44" s="14"/>
      <c r="BD44" s="14"/>
      <c r="BG44" s="14"/>
      <c r="BH44" s="14"/>
    </row>
    <row r="45" spans="1:66">
      <c r="E45" s="14"/>
      <c r="F45" s="14"/>
      <c r="G45" s="14"/>
      <c r="I45" s="14"/>
      <c r="AA45" s="14"/>
      <c r="AE45" s="14"/>
      <c r="BG45" s="14"/>
    </row>
  </sheetData>
  <mergeCells count="14">
    <mergeCell ref="G8:J8"/>
    <mergeCell ref="O8:R8"/>
    <mergeCell ref="K8:N8"/>
    <mergeCell ref="BK8:BL8"/>
    <mergeCell ref="BM8:BN8"/>
    <mergeCell ref="S8:V8"/>
    <mergeCell ref="W8:Z8"/>
    <mergeCell ref="AA8:AD8"/>
    <mergeCell ref="AE8:AH8"/>
    <mergeCell ref="AI8:AL8"/>
    <mergeCell ref="AM8:AP8"/>
    <mergeCell ref="BC8:BF8"/>
    <mergeCell ref="AQ8:AT8"/>
    <mergeCell ref="AU8:AX8"/>
  </mergeCells>
  <phoneticPr fontId="32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topLeftCell="A115" workbookViewId="0">
      <selection activeCell="C140" activeCellId="2" sqref="C130:F130 C135:F135 C140:F140"/>
    </sheetView>
  </sheetViews>
  <sheetFormatPr defaultRowHeight="12.75"/>
  <cols>
    <col min="2" max="2" width="10.85546875" style="476" bestFit="1" customWidth="1"/>
    <col min="3" max="3" width="11.85546875" style="4" customWidth="1"/>
    <col min="4" max="4" width="38.28515625" customWidth="1"/>
    <col min="5" max="6" width="23.140625" bestFit="1" customWidth="1"/>
    <col min="8" max="8" width="30.7109375" bestFit="1" customWidth="1"/>
    <col min="10" max="10" width="12" customWidth="1"/>
    <col min="13" max="13" width="10.85546875" style="476" bestFit="1" customWidth="1"/>
    <col min="14" max="14" width="11.85546875" style="4" customWidth="1"/>
    <col min="15" max="15" width="38.28515625" customWidth="1"/>
    <col min="16" max="17" width="23.140625" bestFit="1" customWidth="1"/>
    <col min="19" max="19" width="30.7109375" bestFit="1" customWidth="1"/>
    <col min="21" max="21" width="12" customWidth="1"/>
  </cols>
  <sheetData>
    <row r="1" spans="1:21" ht="30">
      <c r="A1" s="428" t="s">
        <v>187</v>
      </c>
      <c r="B1" s="469" t="s">
        <v>8</v>
      </c>
      <c r="C1" s="470" t="s">
        <v>258</v>
      </c>
      <c r="D1" s="471" t="s">
        <v>127</v>
      </c>
      <c r="E1" s="471" t="s">
        <v>259</v>
      </c>
      <c r="F1" s="471" t="s">
        <v>260</v>
      </c>
      <c r="H1" s="468" t="s">
        <v>261</v>
      </c>
      <c r="I1" s="461" t="s">
        <v>262</v>
      </c>
      <c r="J1" s="461" t="s">
        <v>263</v>
      </c>
      <c r="L1" s="428" t="s">
        <v>374</v>
      </c>
      <c r="M1" s="469" t="s">
        <v>8</v>
      </c>
      <c r="N1" s="470" t="s">
        <v>258</v>
      </c>
      <c r="O1" s="471" t="s">
        <v>127</v>
      </c>
      <c r="P1" s="471" t="s">
        <v>259</v>
      </c>
      <c r="Q1" s="471" t="s">
        <v>260</v>
      </c>
      <c r="S1" s="541" t="s">
        <v>261</v>
      </c>
      <c r="T1" s="461" t="s">
        <v>262</v>
      </c>
      <c r="U1" s="461" t="s">
        <v>263</v>
      </c>
    </row>
    <row r="2" spans="1:21">
      <c r="B2" s="334">
        <v>45931</v>
      </c>
      <c r="C2" s="4">
        <v>8</v>
      </c>
      <c r="D2" s="475" t="s">
        <v>413</v>
      </c>
      <c r="E2" t="s">
        <v>249</v>
      </c>
      <c r="F2" t="s">
        <v>246</v>
      </c>
      <c r="H2" s="6" t="s">
        <v>149</v>
      </c>
      <c r="I2" s="312">
        <f>+Efficiency1!Z189</f>
        <v>5.4690586559360073</v>
      </c>
      <c r="J2" s="463">
        <f t="shared" ref="J2:J3" si="0">I2/$I$8</f>
        <v>3.9876207973577266E-3</v>
      </c>
      <c r="M2" s="334">
        <v>45931</v>
      </c>
      <c r="N2" s="4">
        <v>8</v>
      </c>
      <c r="O2" s="475" t="s">
        <v>413</v>
      </c>
      <c r="P2" t="s">
        <v>249</v>
      </c>
      <c r="Q2" t="s">
        <v>246</v>
      </c>
      <c r="S2" s="6" t="s">
        <v>149</v>
      </c>
      <c r="T2" s="312">
        <f>+Efficiency2!Z167</f>
        <v>5.4690586559360073</v>
      </c>
      <c r="U2" s="463">
        <f>T2/$T$8</f>
        <v>6.3035376569927993E-3</v>
      </c>
    </row>
    <row r="3" spans="1:21">
      <c r="B3" s="334"/>
      <c r="C3" s="4">
        <v>0</v>
      </c>
      <c r="D3" s="475" t="s">
        <v>286</v>
      </c>
      <c r="E3" t="s">
        <v>247</v>
      </c>
      <c r="F3" t="s">
        <v>246</v>
      </c>
      <c r="H3" s="6" t="s">
        <v>240</v>
      </c>
      <c r="I3" s="312">
        <f>+Efficiency1!Y189+Efficiency1!AA189</f>
        <v>57.988768049926335</v>
      </c>
      <c r="J3" s="463">
        <f t="shared" si="0"/>
        <v>4.2280990575601023E-2</v>
      </c>
      <c r="M3" s="334"/>
      <c r="N3" s="4">
        <v>0</v>
      </c>
      <c r="O3" s="475" t="s">
        <v>286</v>
      </c>
      <c r="P3" t="s">
        <v>247</v>
      </c>
      <c r="Q3" t="s">
        <v>246</v>
      </c>
      <c r="S3" s="6" t="s">
        <v>240</v>
      </c>
      <c r="T3" s="312">
        <f>+Efficiency2!AA167+Efficiency2!Y167</f>
        <v>57.988768049926335</v>
      </c>
      <c r="U3" s="463">
        <f t="shared" ref="U3:U5" si="1">T3/$T$8</f>
        <v>6.6836800641841318E-2</v>
      </c>
    </row>
    <row r="4" spans="1:21">
      <c r="B4" s="42"/>
      <c r="C4" s="4">
        <v>20</v>
      </c>
      <c r="D4" s="475" t="s">
        <v>414</v>
      </c>
      <c r="E4" t="s">
        <v>248</v>
      </c>
      <c r="F4" t="s">
        <v>246</v>
      </c>
      <c r="H4" s="6" t="s">
        <v>264</v>
      </c>
      <c r="I4" s="312">
        <f>+Efficiency1!AB189</f>
        <v>-21.537040925069441</v>
      </c>
      <c r="J4" s="463">
        <f>I4/$I$8</f>
        <v>-1.5703168992919334E-2</v>
      </c>
      <c r="M4" s="42"/>
      <c r="N4" s="4">
        <v>20</v>
      </c>
      <c r="O4" s="475" t="s">
        <v>414</v>
      </c>
      <c r="P4" t="s">
        <v>248</v>
      </c>
      <c r="Q4" t="s">
        <v>246</v>
      </c>
      <c r="S4" s="6" t="s">
        <v>264</v>
      </c>
      <c r="T4" s="312">
        <f>+Efficiency2!AB167</f>
        <v>2.7900535693328719</v>
      </c>
      <c r="U4" s="463">
        <f t="shared" si="1"/>
        <v>3.2157650604511478E-3</v>
      </c>
    </row>
    <row r="5" spans="1:21" ht="15" customHeight="1">
      <c r="B5" s="42"/>
      <c r="C5" s="4">
        <v>720</v>
      </c>
      <c r="D5" s="475" t="s">
        <v>415</v>
      </c>
      <c r="E5" t="s">
        <v>473</v>
      </c>
      <c r="F5" t="s">
        <v>239</v>
      </c>
      <c r="H5" s="6" t="s">
        <v>243</v>
      </c>
      <c r="I5" s="312">
        <f>+Efficiency1!AC189</f>
        <v>60.028597526307607</v>
      </c>
      <c r="J5" s="463">
        <f>I5/$I$8</f>
        <v>4.3768278782732012E-2</v>
      </c>
      <c r="M5" s="42"/>
      <c r="N5" s="4">
        <v>0</v>
      </c>
      <c r="O5" s="475" t="s">
        <v>415</v>
      </c>
      <c r="P5" t="s">
        <v>473</v>
      </c>
      <c r="Q5" t="s">
        <v>239</v>
      </c>
      <c r="S5" s="6" t="s">
        <v>243</v>
      </c>
      <c r="T5" s="312">
        <f>+Efficiency2!AC167</f>
        <v>35.70150303190529</v>
      </c>
      <c r="U5" s="463">
        <f t="shared" si="1"/>
        <v>4.1148903848123364E-2</v>
      </c>
    </row>
    <row r="6" spans="1:21" ht="15" customHeight="1">
      <c r="B6" s="334"/>
      <c r="C6" s="4">
        <v>57</v>
      </c>
      <c r="D6" s="475" t="s">
        <v>416</v>
      </c>
      <c r="E6" t="s">
        <v>474</v>
      </c>
      <c r="F6" t="s">
        <v>251</v>
      </c>
      <c r="M6" s="334"/>
      <c r="N6" s="4">
        <v>57</v>
      </c>
      <c r="O6" s="475" t="s">
        <v>416</v>
      </c>
      <c r="P6" t="s">
        <v>474</v>
      </c>
      <c r="Q6" t="s">
        <v>251</v>
      </c>
    </row>
    <row r="7" spans="1:21" ht="12.75" customHeight="1">
      <c r="B7" s="334"/>
      <c r="I7" s="472"/>
      <c r="J7" s="473"/>
      <c r="M7" s="334"/>
      <c r="T7" s="472"/>
      <c r="U7" s="473"/>
    </row>
    <row r="8" spans="1:21" ht="12.75" customHeight="1">
      <c r="B8" s="334">
        <v>45932</v>
      </c>
      <c r="C8" s="4">
        <v>8</v>
      </c>
      <c r="D8" t="s">
        <v>413</v>
      </c>
      <c r="E8" t="s">
        <v>249</v>
      </c>
      <c r="F8" t="s">
        <v>246</v>
      </c>
      <c r="H8" s="474" t="s">
        <v>265</v>
      </c>
      <c r="I8" s="7">
        <f>+Efficiency1!K189</f>
        <v>1371.509211598031</v>
      </c>
      <c r="M8" s="334">
        <v>45932</v>
      </c>
      <c r="N8" s="4">
        <v>8</v>
      </c>
      <c r="O8" t="s">
        <v>413</v>
      </c>
      <c r="P8" t="s">
        <v>249</v>
      </c>
      <c r="Q8" t="s">
        <v>246</v>
      </c>
      <c r="S8" s="474" t="s">
        <v>265</v>
      </c>
      <c r="T8" s="7">
        <f>+Efficiency2!K167</f>
        <v>867.61735291117577</v>
      </c>
    </row>
    <row r="9" spans="1:21" ht="12.75" customHeight="1">
      <c r="B9" s="334"/>
      <c r="C9" s="4">
        <v>4</v>
      </c>
      <c r="D9" t="s">
        <v>388</v>
      </c>
      <c r="E9" t="s">
        <v>247</v>
      </c>
      <c r="F9" t="s">
        <v>246</v>
      </c>
      <c r="H9" s="474" t="s">
        <v>266</v>
      </c>
      <c r="I9" s="7">
        <f>+Efficiency1!AD189</f>
        <v>18678</v>
      </c>
      <c r="M9" s="334"/>
      <c r="N9" s="4">
        <v>4</v>
      </c>
      <c r="O9" t="s">
        <v>388</v>
      </c>
      <c r="P9" t="s">
        <v>247</v>
      </c>
      <c r="Q9" t="s">
        <v>246</v>
      </c>
      <c r="S9" s="474" t="s">
        <v>266</v>
      </c>
      <c r="T9" s="7">
        <f>+Efficiency2!AD167</f>
        <v>2001</v>
      </c>
    </row>
    <row r="10" spans="1:21" ht="15" customHeight="1">
      <c r="B10" s="334"/>
      <c r="C10" s="4">
        <v>25</v>
      </c>
      <c r="D10" t="s">
        <v>432</v>
      </c>
      <c r="E10" t="s">
        <v>248</v>
      </c>
      <c r="F10" t="s">
        <v>246</v>
      </c>
      <c r="H10" s="474" t="s">
        <v>267</v>
      </c>
      <c r="I10" s="7">
        <f>+Efficiency1!V189</f>
        <v>568.96882829093022</v>
      </c>
      <c r="M10" s="334"/>
      <c r="N10" s="4">
        <v>25</v>
      </c>
      <c r="O10" t="s">
        <v>432</v>
      </c>
      <c r="P10" t="s">
        <v>248</v>
      </c>
      <c r="Q10" t="s">
        <v>246</v>
      </c>
      <c r="S10" s="474" t="s">
        <v>267</v>
      </c>
      <c r="T10" s="7">
        <f>+Efficiency2!V167</f>
        <v>65.076969604075344</v>
      </c>
    </row>
    <row r="11" spans="1:21" ht="12.75" customHeight="1">
      <c r="B11" s="334"/>
      <c r="H11" s="474" t="s">
        <v>268</v>
      </c>
      <c r="I11" s="466">
        <f>I10/I8</f>
        <v>0.41484871080668068</v>
      </c>
      <c r="M11" s="334"/>
      <c r="S11" s="474" t="s">
        <v>268</v>
      </c>
      <c r="T11" s="466">
        <f>T10/T8</f>
        <v>7.5006532990284425E-2</v>
      </c>
    </row>
    <row r="12" spans="1:21">
      <c r="B12" s="334">
        <v>45933</v>
      </c>
      <c r="C12" s="4">
        <v>0</v>
      </c>
      <c r="D12" t="s">
        <v>386</v>
      </c>
      <c r="E12" t="s">
        <v>249</v>
      </c>
      <c r="F12" t="s">
        <v>246</v>
      </c>
      <c r="M12" s="334">
        <v>45933</v>
      </c>
      <c r="N12" s="4">
        <v>0</v>
      </c>
      <c r="O12" t="s">
        <v>386</v>
      </c>
      <c r="P12" t="s">
        <v>249</v>
      </c>
      <c r="Q12" t="s">
        <v>246</v>
      </c>
    </row>
    <row r="13" spans="1:21">
      <c r="B13" s="334"/>
      <c r="C13" s="4">
        <v>12</v>
      </c>
      <c r="D13" t="s">
        <v>444</v>
      </c>
      <c r="E13" t="s">
        <v>247</v>
      </c>
      <c r="F13" t="s">
        <v>246</v>
      </c>
      <c r="M13" s="334"/>
      <c r="N13" s="4">
        <v>12</v>
      </c>
      <c r="O13" t="s">
        <v>444</v>
      </c>
      <c r="P13" t="s">
        <v>247</v>
      </c>
      <c r="Q13" t="s">
        <v>246</v>
      </c>
    </row>
    <row r="14" spans="1:21" ht="15" customHeight="1">
      <c r="B14" s="334"/>
      <c r="C14" s="4">
        <v>23</v>
      </c>
      <c r="D14" t="s">
        <v>445</v>
      </c>
      <c r="E14" t="s">
        <v>248</v>
      </c>
      <c r="F14" t="s">
        <v>246</v>
      </c>
      <c r="M14" s="334"/>
      <c r="N14" s="4">
        <v>23</v>
      </c>
      <c r="O14" t="s">
        <v>445</v>
      </c>
      <c r="P14" t="s">
        <v>248</v>
      </c>
      <c r="Q14" t="s">
        <v>246</v>
      </c>
    </row>
    <row r="15" spans="1:21" ht="15" customHeight="1">
      <c r="B15" s="334"/>
      <c r="G15" s="519">
        <f>+summary!H43</f>
        <v>0.99999999999999978</v>
      </c>
      <c r="M15" s="334"/>
      <c r="R15" s="519">
        <f>+summary!Q43</f>
        <v>1.0000000000000002</v>
      </c>
    </row>
    <row r="16" spans="1:21">
      <c r="B16" s="334">
        <v>45934</v>
      </c>
      <c r="C16" s="4">
        <v>9</v>
      </c>
      <c r="D16" t="s">
        <v>458</v>
      </c>
      <c r="E16" t="s">
        <v>249</v>
      </c>
      <c r="F16" t="s">
        <v>246</v>
      </c>
      <c r="M16" s="334">
        <v>45934</v>
      </c>
      <c r="N16" s="4">
        <v>9</v>
      </c>
      <c r="O16" t="s">
        <v>458</v>
      </c>
      <c r="P16" t="s">
        <v>249</v>
      </c>
      <c r="Q16" t="s">
        <v>246</v>
      </c>
    </row>
    <row r="17" spans="2:17">
      <c r="B17" s="334"/>
      <c r="C17" s="4">
        <v>9</v>
      </c>
      <c r="D17" t="s">
        <v>471</v>
      </c>
      <c r="E17" t="s">
        <v>247</v>
      </c>
      <c r="F17" t="s">
        <v>246</v>
      </c>
      <c r="M17" s="334"/>
      <c r="N17" s="4">
        <v>9</v>
      </c>
      <c r="O17" t="s">
        <v>471</v>
      </c>
      <c r="P17" t="s">
        <v>247</v>
      </c>
      <c r="Q17" t="s">
        <v>246</v>
      </c>
    </row>
    <row r="18" spans="2:17">
      <c r="B18" s="334"/>
      <c r="C18" s="4">
        <v>36</v>
      </c>
      <c r="D18" t="s">
        <v>432</v>
      </c>
      <c r="E18" t="s">
        <v>248</v>
      </c>
      <c r="F18" t="s">
        <v>246</v>
      </c>
      <c r="M18" s="334"/>
      <c r="N18" s="4">
        <v>36</v>
      </c>
      <c r="O18" t="s">
        <v>432</v>
      </c>
      <c r="P18" t="s">
        <v>248</v>
      </c>
      <c r="Q18" t="s">
        <v>246</v>
      </c>
    </row>
    <row r="19" spans="2:17">
      <c r="B19" s="334"/>
      <c r="M19" s="334"/>
    </row>
    <row r="20" spans="2:17">
      <c r="B20" s="334">
        <v>45935</v>
      </c>
      <c r="C20" s="4">
        <v>9</v>
      </c>
      <c r="D20" t="s">
        <v>458</v>
      </c>
      <c r="E20" t="s">
        <v>249</v>
      </c>
      <c r="F20" t="s">
        <v>246</v>
      </c>
      <c r="M20" s="334">
        <v>45935</v>
      </c>
      <c r="N20" s="4">
        <v>9</v>
      </c>
      <c r="O20" t="s">
        <v>458</v>
      </c>
      <c r="P20" t="s">
        <v>249</v>
      </c>
      <c r="Q20" t="s">
        <v>246</v>
      </c>
    </row>
    <row r="21" spans="2:17">
      <c r="B21" s="334"/>
      <c r="C21" s="4">
        <v>11</v>
      </c>
      <c r="D21" t="s">
        <v>471</v>
      </c>
      <c r="E21" t="s">
        <v>247</v>
      </c>
      <c r="F21" t="s">
        <v>246</v>
      </c>
      <c r="M21" s="334"/>
      <c r="N21" s="4">
        <v>11</v>
      </c>
      <c r="O21" t="s">
        <v>471</v>
      </c>
      <c r="P21" t="s">
        <v>247</v>
      </c>
      <c r="Q21" t="s">
        <v>246</v>
      </c>
    </row>
    <row r="22" spans="2:17">
      <c r="B22" s="334"/>
      <c r="C22" s="4">
        <v>30</v>
      </c>
      <c r="D22" t="s">
        <v>472</v>
      </c>
      <c r="E22" t="s">
        <v>248</v>
      </c>
      <c r="F22" t="s">
        <v>246</v>
      </c>
      <c r="M22" s="334"/>
      <c r="N22" s="4">
        <v>30</v>
      </c>
      <c r="O22" t="s">
        <v>472</v>
      </c>
      <c r="P22" t="s">
        <v>248</v>
      </c>
      <c r="Q22" t="s">
        <v>246</v>
      </c>
    </row>
    <row r="23" spans="2:17">
      <c r="B23" s="334"/>
      <c r="M23" s="334"/>
    </row>
    <row r="24" spans="2:17">
      <c r="B24" s="334">
        <v>45936</v>
      </c>
      <c r="C24" s="4">
        <v>27</v>
      </c>
      <c r="D24" t="s">
        <v>485</v>
      </c>
      <c r="E24" t="s">
        <v>249</v>
      </c>
      <c r="F24" t="s">
        <v>246</v>
      </c>
      <c r="M24" s="334">
        <v>45936</v>
      </c>
      <c r="N24" s="4">
        <v>27</v>
      </c>
      <c r="O24" t="s">
        <v>485</v>
      </c>
      <c r="P24" t="s">
        <v>249</v>
      </c>
      <c r="Q24" t="s">
        <v>246</v>
      </c>
    </row>
    <row r="25" spans="2:17">
      <c r="B25" s="334"/>
      <c r="C25" s="4">
        <v>0</v>
      </c>
      <c r="D25" t="s">
        <v>286</v>
      </c>
      <c r="E25" t="s">
        <v>247</v>
      </c>
      <c r="F25" t="s">
        <v>246</v>
      </c>
      <c r="M25" s="334"/>
      <c r="N25" s="4">
        <v>0</v>
      </c>
      <c r="O25" t="s">
        <v>286</v>
      </c>
      <c r="P25" t="s">
        <v>247</v>
      </c>
      <c r="Q25" t="s">
        <v>246</v>
      </c>
    </row>
    <row r="26" spans="2:17">
      <c r="B26" s="334"/>
      <c r="C26" s="4">
        <v>49</v>
      </c>
      <c r="D26" t="s">
        <v>432</v>
      </c>
      <c r="E26" t="s">
        <v>248</v>
      </c>
      <c r="F26" t="s">
        <v>246</v>
      </c>
      <c r="M26" s="334"/>
      <c r="N26" s="4">
        <v>49</v>
      </c>
      <c r="O26" t="s">
        <v>432</v>
      </c>
      <c r="P26" t="s">
        <v>248</v>
      </c>
      <c r="Q26" t="s">
        <v>246</v>
      </c>
    </row>
    <row r="27" spans="2:17">
      <c r="B27" s="334"/>
      <c r="M27" s="334"/>
    </row>
    <row r="28" spans="2:17">
      <c r="B28" s="334">
        <v>45937</v>
      </c>
      <c r="C28" s="4">
        <v>24</v>
      </c>
      <c r="D28" t="s">
        <v>485</v>
      </c>
      <c r="E28" t="s">
        <v>249</v>
      </c>
      <c r="F28" t="s">
        <v>246</v>
      </c>
      <c r="M28" s="334">
        <v>45937</v>
      </c>
      <c r="N28" s="4">
        <v>24</v>
      </c>
      <c r="O28" t="s">
        <v>485</v>
      </c>
      <c r="P28" t="s">
        <v>249</v>
      </c>
      <c r="Q28" t="s">
        <v>246</v>
      </c>
    </row>
    <row r="29" spans="2:17">
      <c r="B29" s="334"/>
      <c r="C29" s="4">
        <v>0</v>
      </c>
      <c r="D29" t="s">
        <v>286</v>
      </c>
      <c r="E29" t="s">
        <v>247</v>
      </c>
      <c r="F29" t="s">
        <v>246</v>
      </c>
      <c r="M29" s="334"/>
      <c r="N29" s="4">
        <v>0</v>
      </c>
      <c r="O29" t="s">
        <v>286</v>
      </c>
      <c r="P29" t="s">
        <v>247</v>
      </c>
      <c r="Q29" t="s">
        <v>246</v>
      </c>
    </row>
    <row r="30" spans="2:17">
      <c r="B30" s="334"/>
      <c r="C30" s="4">
        <v>62</v>
      </c>
      <c r="D30" t="s">
        <v>496</v>
      </c>
      <c r="E30" t="s">
        <v>248</v>
      </c>
      <c r="F30" t="s">
        <v>246</v>
      </c>
      <c r="M30" s="334"/>
      <c r="N30" s="4">
        <v>62</v>
      </c>
      <c r="O30" t="s">
        <v>496</v>
      </c>
      <c r="P30" t="s">
        <v>248</v>
      </c>
      <c r="Q30" t="s">
        <v>246</v>
      </c>
    </row>
    <row r="31" spans="2:17">
      <c r="B31" s="334"/>
      <c r="M31" s="334"/>
    </row>
    <row r="32" spans="2:17">
      <c r="B32" s="334">
        <v>45938</v>
      </c>
      <c r="C32" s="4">
        <v>17</v>
      </c>
      <c r="D32" t="s">
        <v>501</v>
      </c>
      <c r="E32" t="s">
        <v>249</v>
      </c>
      <c r="F32" t="s">
        <v>246</v>
      </c>
      <c r="M32" s="334">
        <v>45938</v>
      </c>
      <c r="N32" s="4">
        <v>17</v>
      </c>
      <c r="O32" t="s">
        <v>501</v>
      </c>
      <c r="P32" t="s">
        <v>249</v>
      </c>
      <c r="Q32" t="s">
        <v>246</v>
      </c>
    </row>
    <row r="33" spans="2:17">
      <c r="B33" s="334"/>
      <c r="C33" s="4">
        <v>14</v>
      </c>
      <c r="D33" t="s">
        <v>460</v>
      </c>
      <c r="E33" t="s">
        <v>247</v>
      </c>
      <c r="F33" t="s">
        <v>246</v>
      </c>
      <c r="M33" s="334"/>
      <c r="N33" s="4">
        <v>14</v>
      </c>
      <c r="O33" t="s">
        <v>460</v>
      </c>
      <c r="P33" t="s">
        <v>247</v>
      </c>
      <c r="Q33" t="s">
        <v>246</v>
      </c>
    </row>
    <row r="34" spans="2:17">
      <c r="B34" s="334"/>
      <c r="C34" s="4">
        <v>49</v>
      </c>
      <c r="D34" t="s">
        <v>472</v>
      </c>
      <c r="E34" t="s">
        <v>248</v>
      </c>
      <c r="F34" t="s">
        <v>246</v>
      </c>
      <c r="M34" s="334"/>
      <c r="N34" s="4">
        <v>49</v>
      </c>
      <c r="O34" t="s">
        <v>472</v>
      </c>
      <c r="P34" t="s">
        <v>248</v>
      </c>
      <c r="Q34" t="s">
        <v>246</v>
      </c>
    </row>
    <row r="35" spans="2:17">
      <c r="B35" s="334"/>
      <c r="M35" s="334"/>
    </row>
    <row r="36" spans="2:17">
      <c r="B36" s="334">
        <v>45939</v>
      </c>
      <c r="C36" s="4">
        <v>19</v>
      </c>
      <c r="D36" t="s">
        <v>507</v>
      </c>
      <c r="E36" t="s">
        <v>249</v>
      </c>
      <c r="F36" t="s">
        <v>246</v>
      </c>
      <c r="M36" s="334">
        <v>45939</v>
      </c>
      <c r="N36" s="4">
        <v>19</v>
      </c>
      <c r="O36" t="s">
        <v>507</v>
      </c>
      <c r="P36" t="s">
        <v>249</v>
      </c>
      <c r="Q36" t="s">
        <v>246</v>
      </c>
    </row>
    <row r="37" spans="2:17">
      <c r="B37" s="334"/>
      <c r="C37" s="4">
        <v>12</v>
      </c>
      <c r="D37" t="s">
        <v>508</v>
      </c>
      <c r="E37" t="s">
        <v>247</v>
      </c>
      <c r="F37" t="s">
        <v>246</v>
      </c>
      <c r="M37" s="334"/>
      <c r="N37" s="4">
        <v>12</v>
      </c>
      <c r="O37" t="s">
        <v>508</v>
      </c>
      <c r="P37" t="s">
        <v>247</v>
      </c>
      <c r="Q37" t="s">
        <v>246</v>
      </c>
    </row>
    <row r="38" spans="2:17">
      <c r="B38" s="334"/>
      <c r="C38" s="4">
        <v>36</v>
      </c>
      <c r="D38" t="s">
        <v>472</v>
      </c>
      <c r="E38" t="s">
        <v>248</v>
      </c>
      <c r="F38" t="s">
        <v>246</v>
      </c>
      <c r="M38" s="334"/>
      <c r="N38" s="4">
        <v>36</v>
      </c>
      <c r="O38" t="s">
        <v>472</v>
      </c>
      <c r="P38" t="s">
        <v>248</v>
      </c>
      <c r="Q38" t="s">
        <v>246</v>
      </c>
    </row>
    <row r="39" spans="2:17">
      <c r="B39" s="334"/>
      <c r="M39" s="334"/>
    </row>
    <row r="40" spans="2:17">
      <c r="B40" s="334">
        <v>45940</v>
      </c>
      <c r="C40" s="4">
        <v>23</v>
      </c>
      <c r="D40" t="s">
        <v>516</v>
      </c>
      <c r="E40" t="s">
        <v>249</v>
      </c>
      <c r="F40" t="s">
        <v>246</v>
      </c>
      <c r="M40" s="334">
        <v>45940</v>
      </c>
      <c r="N40" s="4">
        <v>23</v>
      </c>
      <c r="O40" t="s">
        <v>516</v>
      </c>
      <c r="P40" t="s">
        <v>249</v>
      </c>
      <c r="Q40" t="s">
        <v>246</v>
      </c>
    </row>
    <row r="41" spans="2:17">
      <c r="B41" s="334"/>
      <c r="C41" s="4">
        <v>8</v>
      </c>
      <c r="D41" t="s">
        <v>444</v>
      </c>
      <c r="E41" t="s">
        <v>247</v>
      </c>
      <c r="F41" t="s">
        <v>246</v>
      </c>
      <c r="M41" s="334"/>
      <c r="N41" s="4">
        <v>8</v>
      </c>
      <c r="O41" t="s">
        <v>444</v>
      </c>
      <c r="P41" t="s">
        <v>247</v>
      </c>
      <c r="Q41" t="s">
        <v>246</v>
      </c>
    </row>
    <row r="42" spans="2:17">
      <c r="B42" s="334"/>
      <c r="C42" s="4">
        <v>52</v>
      </c>
      <c r="D42" t="s">
        <v>496</v>
      </c>
      <c r="E42" t="s">
        <v>248</v>
      </c>
      <c r="F42" t="s">
        <v>246</v>
      </c>
      <c r="M42" s="334"/>
      <c r="N42" s="4">
        <v>52</v>
      </c>
      <c r="O42" t="s">
        <v>496</v>
      </c>
      <c r="P42" t="s">
        <v>248</v>
      </c>
      <c r="Q42" t="s">
        <v>246</v>
      </c>
    </row>
    <row r="43" spans="2:17">
      <c r="B43" s="334"/>
      <c r="M43" s="334"/>
    </row>
    <row r="44" spans="2:17">
      <c r="B44" s="334">
        <v>45941</v>
      </c>
      <c r="C44" s="4">
        <v>6</v>
      </c>
      <c r="D44" t="s">
        <v>458</v>
      </c>
      <c r="E44" t="s">
        <v>249</v>
      </c>
      <c r="F44" t="s">
        <v>246</v>
      </c>
      <c r="M44" s="334">
        <v>45941</v>
      </c>
      <c r="N44" s="4">
        <v>6</v>
      </c>
      <c r="O44" t="s">
        <v>458</v>
      </c>
      <c r="P44" t="s">
        <v>249</v>
      </c>
      <c r="Q44" t="s">
        <v>246</v>
      </c>
    </row>
    <row r="45" spans="2:17">
      <c r="B45" s="334"/>
      <c r="C45" s="4">
        <v>14</v>
      </c>
      <c r="D45" t="s">
        <v>537</v>
      </c>
      <c r="E45" t="s">
        <v>247</v>
      </c>
      <c r="F45" t="s">
        <v>246</v>
      </c>
      <c r="M45" s="334"/>
      <c r="N45" s="4">
        <v>14</v>
      </c>
      <c r="O45" t="s">
        <v>537</v>
      </c>
      <c r="P45" t="s">
        <v>247</v>
      </c>
      <c r="Q45" t="s">
        <v>246</v>
      </c>
    </row>
    <row r="46" spans="2:17">
      <c r="B46" s="334"/>
      <c r="C46" s="4">
        <v>41</v>
      </c>
      <c r="D46" t="s">
        <v>432</v>
      </c>
      <c r="E46" t="s">
        <v>248</v>
      </c>
      <c r="F46" t="s">
        <v>246</v>
      </c>
      <c r="M46" s="334"/>
      <c r="N46" s="4">
        <v>41</v>
      </c>
      <c r="O46" t="s">
        <v>432</v>
      </c>
      <c r="P46" t="s">
        <v>248</v>
      </c>
      <c r="Q46" t="s">
        <v>246</v>
      </c>
    </row>
    <row r="47" spans="2:17">
      <c r="B47" s="334"/>
      <c r="M47" s="334"/>
    </row>
    <row r="48" spans="2:17">
      <c r="B48" s="334">
        <v>45942</v>
      </c>
      <c r="C48" s="4">
        <v>23</v>
      </c>
      <c r="D48" t="s">
        <v>485</v>
      </c>
      <c r="E48" t="s">
        <v>249</v>
      </c>
      <c r="F48" t="s">
        <v>246</v>
      </c>
      <c r="M48" s="334">
        <v>45942</v>
      </c>
      <c r="N48" s="4">
        <v>23</v>
      </c>
      <c r="O48" t="s">
        <v>485</v>
      </c>
      <c r="P48" t="s">
        <v>249</v>
      </c>
      <c r="Q48" t="s">
        <v>246</v>
      </c>
    </row>
    <row r="49" spans="2:17">
      <c r="B49" s="334"/>
      <c r="C49" s="4">
        <v>8</v>
      </c>
      <c r="D49" t="s">
        <v>286</v>
      </c>
      <c r="E49" t="s">
        <v>247</v>
      </c>
      <c r="F49" t="s">
        <v>246</v>
      </c>
      <c r="M49" s="334"/>
      <c r="N49" s="4">
        <v>8</v>
      </c>
      <c r="O49" t="s">
        <v>286</v>
      </c>
      <c r="P49" t="s">
        <v>247</v>
      </c>
      <c r="Q49" t="s">
        <v>246</v>
      </c>
    </row>
    <row r="50" spans="2:17">
      <c r="B50" s="334"/>
      <c r="C50" s="4">
        <v>52</v>
      </c>
      <c r="D50" t="s">
        <v>538</v>
      </c>
      <c r="E50" t="s">
        <v>248</v>
      </c>
      <c r="F50" t="s">
        <v>246</v>
      </c>
      <c r="M50" s="334"/>
      <c r="N50" s="4">
        <v>52</v>
      </c>
      <c r="O50" t="s">
        <v>538</v>
      </c>
      <c r="P50" t="s">
        <v>248</v>
      </c>
      <c r="Q50" t="s">
        <v>246</v>
      </c>
    </row>
    <row r="51" spans="2:17">
      <c r="B51" s="334"/>
      <c r="M51" s="334"/>
    </row>
    <row r="52" spans="2:17">
      <c r="B52" s="334">
        <v>45943</v>
      </c>
      <c r="C52" s="4">
        <v>38</v>
      </c>
      <c r="D52" t="s">
        <v>553</v>
      </c>
      <c r="E52" t="s">
        <v>249</v>
      </c>
      <c r="F52" t="s">
        <v>246</v>
      </c>
      <c r="M52" s="334">
        <v>45943</v>
      </c>
      <c r="N52" s="4">
        <v>38</v>
      </c>
      <c r="O52" t="s">
        <v>553</v>
      </c>
      <c r="P52" t="s">
        <v>249</v>
      </c>
      <c r="Q52" t="s">
        <v>246</v>
      </c>
    </row>
    <row r="53" spans="2:17">
      <c r="B53" s="334"/>
      <c r="C53" s="4">
        <v>0</v>
      </c>
      <c r="D53" t="s">
        <v>286</v>
      </c>
      <c r="E53" t="s">
        <v>247</v>
      </c>
      <c r="F53" t="s">
        <v>246</v>
      </c>
      <c r="M53" s="334"/>
      <c r="N53" s="4">
        <v>0</v>
      </c>
      <c r="O53" t="s">
        <v>286</v>
      </c>
      <c r="P53" t="s">
        <v>247</v>
      </c>
      <c r="Q53" t="s">
        <v>246</v>
      </c>
    </row>
    <row r="54" spans="2:17">
      <c r="B54" s="334"/>
      <c r="C54" s="4">
        <v>51</v>
      </c>
      <c r="D54" t="s">
        <v>472</v>
      </c>
      <c r="E54" t="s">
        <v>248</v>
      </c>
      <c r="F54" t="s">
        <v>246</v>
      </c>
      <c r="M54" s="334"/>
      <c r="N54" s="4">
        <v>51</v>
      </c>
      <c r="O54" t="s">
        <v>472</v>
      </c>
      <c r="P54" t="s">
        <v>248</v>
      </c>
      <c r="Q54" t="s">
        <v>246</v>
      </c>
    </row>
    <row r="55" spans="2:17">
      <c r="B55" s="334"/>
      <c r="M55" s="334"/>
    </row>
    <row r="56" spans="2:17">
      <c r="B56" s="334">
        <v>45944</v>
      </c>
      <c r="C56" s="4">
        <v>15</v>
      </c>
      <c r="D56" t="s">
        <v>516</v>
      </c>
      <c r="E56" t="s">
        <v>249</v>
      </c>
      <c r="F56" t="s">
        <v>246</v>
      </c>
      <c r="M56" s="334">
        <v>45944</v>
      </c>
      <c r="N56" s="4">
        <v>15</v>
      </c>
      <c r="O56" t="s">
        <v>516</v>
      </c>
      <c r="P56" t="s">
        <v>249</v>
      </c>
      <c r="Q56" t="s">
        <v>246</v>
      </c>
    </row>
    <row r="57" spans="2:17">
      <c r="B57" s="334"/>
      <c r="C57" s="4">
        <v>12</v>
      </c>
      <c r="D57" t="s">
        <v>537</v>
      </c>
      <c r="E57" t="s">
        <v>247</v>
      </c>
      <c r="F57" t="s">
        <v>246</v>
      </c>
      <c r="M57" s="334"/>
      <c r="N57" s="4">
        <v>12</v>
      </c>
      <c r="O57" t="s">
        <v>537</v>
      </c>
      <c r="P57" t="s">
        <v>247</v>
      </c>
      <c r="Q57" t="s">
        <v>246</v>
      </c>
    </row>
    <row r="58" spans="2:17">
      <c r="B58" s="334"/>
      <c r="C58" s="4">
        <v>54</v>
      </c>
      <c r="D58" t="s">
        <v>496</v>
      </c>
      <c r="E58" t="s">
        <v>248</v>
      </c>
      <c r="F58" t="s">
        <v>246</v>
      </c>
      <c r="M58" s="334"/>
      <c r="N58" s="4">
        <v>54</v>
      </c>
      <c r="O58" t="s">
        <v>496</v>
      </c>
      <c r="P58" t="s">
        <v>248</v>
      </c>
      <c r="Q58" t="s">
        <v>246</v>
      </c>
    </row>
    <row r="59" spans="2:17">
      <c r="B59" s="334"/>
      <c r="M59" s="334"/>
    </row>
    <row r="60" spans="2:17">
      <c r="B60" s="334">
        <v>45945</v>
      </c>
      <c r="C60" s="4">
        <v>18</v>
      </c>
      <c r="D60" t="s">
        <v>516</v>
      </c>
      <c r="E60" t="s">
        <v>249</v>
      </c>
      <c r="F60" t="s">
        <v>246</v>
      </c>
      <c r="M60" s="334">
        <v>45945</v>
      </c>
      <c r="N60" s="4">
        <v>18</v>
      </c>
      <c r="O60" t="s">
        <v>516</v>
      </c>
      <c r="P60" t="s">
        <v>249</v>
      </c>
      <c r="Q60" t="s">
        <v>246</v>
      </c>
    </row>
    <row r="61" spans="2:17">
      <c r="B61" s="334"/>
      <c r="C61" s="4">
        <v>6</v>
      </c>
      <c r="D61" t="s">
        <v>442</v>
      </c>
      <c r="E61" t="s">
        <v>247</v>
      </c>
      <c r="F61" t="s">
        <v>246</v>
      </c>
      <c r="M61" s="334"/>
      <c r="N61" s="4">
        <v>6</v>
      </c>
      <c r="O61" t="s">
        <v>442</v>
      </c>
      <c r="P61" t="s">
        <v>247</v>
      </c>
      <c r="Q61" t="s">
        <v>246</v>
      </c>
    </row>
    <row r="62" spans="2:17">
      <c r="B62" s="334"/>
      <c r="C62" s="4">
        <v>59</v>
      </c>
      <c r="D62" t="s">
        <v>496</v>
      </c>
      <c r="E62" t="s">
        <v>248</v>
      </c>
      <c r="F62" t="s">
        <v>246</v>
      </c>
      <c r="M62" s="334"/>
      <c r="N62" s="4">
        <v>59</v>
      </c>
      <c r="O62" t="s">
        <v>496</v>
      </c>
      <c r="P62" t="s">
        <v>248</v>
      </c>
      <c r="Q62" t="s">
        <v>246</v>
      </c>
    </row>
    <row r="63" spans="2:17">
      <c r="B63" s="334"/>
      <c r="C63" s="4">
        <v>87</v>
      </c>
      <c r="D63" t="s">
        <v>576</v>
      </c>
      <c r="E63" t="s">
        <v>622</v>
      </c>
      <c r="F63" t="s">
        <v>251</v>
      </c>
      <c r="M63" s="334"/>
      <c r="N63" s="4">
        <v>87</v>
      </c>
      <c r="O63" t="s">
        <v>576</v>
      </c>
      <c r="P63" t="s">
        <v>622</v>
      </c>
      <c r="Q63" t="s">
        <v>251</v>
      </c>
    </row>
    <row r="64" spans="2:17">
      <c r="B64" s="334"/>
      <c r="M64" s="334"/>
    </row>
    <row r="65" spans="2:17">
      <c r="B65" s="334">
        <v>45946</v>
      </c>
      <c r="C65" s="4">
        <v>21</v>
      </c>
      <c r="D65" t="s">
        <v>516</v>
      </c>
      <c r="E65" t="s">
        <v>249</v>
      </c>
      <c r="F65" t="s">
        <v>246</v>
      </c>
      <c r="M65" s="334">
        <v>45946</v>
      </c>
      <c r="N65" s="4">
        <v>21</v>
      </c>
      <c r="O65" t="s">
        <v>516</v>
      </c>
      <c r="P65" t="s">
        <v>249</v>
      </c>
      <c r="Q65" t="s">
        <v>246</v>
      </c>
    </row>
    <row r="66" spans="2:17" ht="12.75" customHeight="1">
      <c r="B66" s="334"/>
      <c r="C66" s="4">
        <v>10</v>
      </c>
      <c r="D66" t="s">
        <v>388</v>
      </c>
      <c r="E66" t="s">
        <v>247</v>
      </c>
      <c r="F66" t="s">
        <v>246</v>
      </c>
      <c r="M66" s="334"/>
      <c r="N66" s="4">
        <v>10</v>
      </c>
      <c r="O66" t="s">
        <v>388</v>
      </c>
      <c r="P66" t="s">
        <v>247</v>
      </c>
      <c r="Q66" t="s">
        <v>246</v>
      </c>
    </row>
    <row r="67" spans="2:17" ht="12.75" customHeight="1">
      <c r="B67" s="334"/>
      <c r="C67" s="4">
        <v>30</v>
      </c>
      <c r="D67" t="s">
        <v>496</v>
      </c>
      <c r="E67" t="s">
        <v>248</v>
      </c>
      <c r="F67" t="s">
        <v>246</v>
      </c>
      <c r="M67" s="334"/>
      <c r="N67" s="4">
        <v>30</v>
      </c>
      <c r="O67" t="s">
        <v>496</v>
      </c>
      <c r="P67" t="s">
        <v>248</v>
      </c>
      <c r="Q67" t="s">
        <v>246</v>
      </c>
    </row>
    <row r="68" spans="2:17" ht="12.75" customHeight="1">
      <c r="B68" s="334"/>
      <c r="M68" s="334"/>
    </row>
    <row r="69" spans="2:17" ht="12.75" customHeight="1">
      <c r="B69" s="334">
        <v>45947</v>
      </c>
      <c r="C69" s="4">
        <v>0</v>
      </c>
      <c r="D69" t="s">
        <v>386</v>
      </c>
      <c r="E69" t="s">
        <v>249</v>
      </c>
      <c r="F69" t="s">
        <v>246</v>
      </c>
      <c r="M69" s="334">
        <v>45947</v>
      </c>
      <c r="N69" s="4">
        <v>0</v>
      </c>
      <c r="O69" t="s">
        <v>386</v>
      </c>
      <c r="P69" t="s">
        <v>249</v>
      </c>
      <c r="Q69" t="s">
        <v>246</v>
      </c>
    </row>
    <row r="70" spans="2:17">
      <c r="B70" s="334"/>
      <c r="C70" s="4">
        <v>40</v>
      </c>
      <c r="D70" t="s">
        <v>603</v>
      </c>
      <c r="E70" t="s">
        <v>247</v>
      </c>
      <c r="F70" t="s">
        <v>246</v>
      </c>
      <c r="M70" s="334"/>
      <c r="N70" s="4">
        <v>40</v>
      </c>
      <c r="O70" t="s">
        <v>603</v>
      </c>
      <c r="P70" t="s">
        <v>247</v>
      </c>
      <c r="Q70" t="s">
        <v>246</v>
      </c>
    </row>
    <row r="71" spans="2:17">
      <c r="B71" s="334"/>
      <c r="C71" s="4">
        <v>51</v>
      </c>
      <c r="D71" t="s">
        <v>604</v>
      </c>
      <c r="E71" t="s">
        <v>248</v>
      </c>
      <c r="F71" t="s">
        <v>246</v>
      </c>
      <c r="M71" s="334"/>
      <c r="N71" s="4">
        <v>51</v>
      </c>
      <c r="O71" t="s">
        <v>604</v>
      </c>
      <c r="P71" t="s">
        <v>248</v>
      </c>
      <c r="Q71" t="s">
        <v>246</v>
      </c>
    </row>
    <row r="72" spans="2:17">
      <c r="B72" s="334"/>
      <c r="M72" s="334"/>
    </row>
    <row r="73" spans="2:17">
      <c r="B73" s="334">
        <v>45948</v>
      </c>
      <c r="C73" s="4">
        <v>15</v>
      </c>
      <c r="D73" t="s">
        <v>516</v>
      </c>
      <c r="E73" t="s">
        <v>249</v>
      </c>
      <c r="F73" t="s">
        <v>246</v>
      </c>
      <c r="M73" s="334">
        <v>45948</v>
      </c>
      <c r="N73" s="4">
        <v>15</v>
      </c>
      <c r="O73" t="s">
        <v>516</v>
      </c>
      <c r="P73" t="s">
        <v>249</v>
      </c>
      <c r="Q73" t="s">
        <v>246</v>
      </c>
    </row>
    <row r="74" spans="2:17">
      <c r="B74" s="334"/>
      <c r="C74" s="4">
        <v>0</v>
      </c>
      <c r="D74" t="s">
        <v>286</v>
      </c>
      <c r="E74" t="s">
        <v>247</v>
      </c>
      <c r="F74" t="s">
        <v>246</v>
      </c>
      <c r="M74" s="334"/>
      <c r="N74" s="4">
        <v>0</v>
      </c>
      <c r="O74" t="s">
        <v>286</v>
      </c>
      <c r="P74" t="s">
        <v>247</v>
      </c>
      <c r="Q74" t="s">
        <v>246</v>
      </c>
    </row>
    <row r="75" spans="2:17">
      <c r="B75" s="334"/>
      <c r="C75" s="4">
        <v>60</v>
      </c>
      <c r="D75" t="s">
        <v>432</v>
      </c>
      <c r="E75" t="s">
        <v>248</v>
      </c>
      <c r="F75" t="s">
        <v>246</v>
      </c>
      <c r="M75" s="334"/>
      <c r="N75" s="4">
        <v>60</v>
      </c>
      <c r="O75" t="s">
        <v>432</v>
      </c>
      <c r="P75" t="s">
        <v>248</v>
      </c>
      <c r="Q75" t="s">
        <v>246</v>
      </c>
    </row>
    <row r="76" spans="2:17">
      <c r="B76" s="334"/>
      <c r="M76" s="334"/>
    </row>
    <row r="77" spans="2:17">
      <c r="B77" s="334">
        <v>45949</v>
      </c>
      <c r="C77" s="4">
        <v>0</v>
      </c>
      <c r="D77" t="s">
        <v>386</v>
      </c>
      <c r="E77" t="s">
        <v>249</v>
      </c>
      <c r="F77" t="s">
        <v>246</v>
      </c>
      <c r="M77" s="334">
        <v>45949</v>
      </c>
      <c r="N77" s="4">
        <v>0</v>
      </c>
      <c r="O77" t="s">
        <v>386</v>
      </c>
      <c r="P77" t="s">
        <v>249</v>
      </c>
      <c r="Q77" t="s">
        <v>246</v>
      </c>
    </row>
    <row r="78" spans="2:17">
      <c r="B78" s="334"/>
      <c r="C78" s="4">
        <v>0</v>
      </c>
      <c r="D78" t="s">
        <v>286</v>
      </c>
      <c r="E78" t="s">
        <v>247</v>
      </c>
      <c r="F78" t="s">
        <v>246</v>
      </c>
      <c r="M78" s="334"/>
      <c r="N78" s="4">
        <v>0</v>
      </c>
      <c r="O78" t="s">
        <v>286</v>
      </c>
      <c r="P78" t="s">
        <v>247</v>
      </c>
      <c r="Q78" t="s">
        <v>246</v>
      </c>
    </row>
    <row r="79" spans="2:17">
      <c r="B79" s="334"/>
      <c r="C79" s="4">
        <v>0</v>
      </c>
      <c r="D79" t="s">
        <v>400</v>
      </c>
      <c r="E79" t="s">
        <v>248</v>
      </c>
      <c r="F79" t="s">
        <v>246</v>
      </c>
      <c r="M79" s="334"/>
      <c r="N79" s="4">
        <v>0</v>
      </c>
      <c r="O79" t="s">
        <v>400</v>
      </c>
      <c r="P79" t="s">
        <v>248</v>
      </c>
      <c r="Q79" t="s">
        <v>246</v>
      </c>
    </row>
    <row r="80" spans="2:17">
      <c r="B80" s="334"/>
      <c r="C80" s="4">
        <v>1414</v>
      </c>
      <c r="D80" t="s">
        <v>618</v>
      </c>
      <c r="E80" t="s">
        <v>621</v>
      </c>
      <c r="F80" t="s">
        <v>633</v>
      </c>
      <c r="M80" s="334"/>
      <c r="N80" s="4">
        <v>0</v>
      </c>
      <c r="O80" t="s">
        <v>618</v>
      </c>
      <c r="P80" t="s">
        <v>621</v>
      </c>
      <c r="Q80" t="s">
        <v>633</v>
      </c>
    </row>
    <row r="81" spans="2:17">
      <c r="B81" s="334"/>
      <c r="M81" s="334"/>
    </row>
    <row r="82" spans="2:17">
      <c r="B82" s="334">
        <v>45950</v>
      </c>
      <c r="C82" s="4">
        <v>0</v>
      </c>
      <c r="D82" t="s">
        <v>386</v>
      </c>
      <c r="E82" t="s">
        <v>249</v>
      </c>
      <c r="F82" t="s">
        <v>246</v>
      </c>
      <c r="M82" s="334">
        <v>45950</v>
      </c>
      <c r="N82" s="4">
        <v>0</v>
      </c>
      <c r="O82" t="s">
        <v>386</v>
      </c>
      <c r="P82" t="s">
        <v>249</v>
      </c>
      <c r="Q82" t="s">
        <v>246</v>
      </c>
    </row>
    <row r="83" spans="2:17">
      <c r="B83" s="334"/>
      <c r="C83" s="4">
        <v>0</v>
      </c>
      <c r="D83" t="s">
        <v>286</v>
      </c>
      <c r="E83" t="s">
        <v>247</v>
      </c>
      <c r="F83" t="s">
        <v>246</v>
      </c>
      <c r="M83" s="334"/>
      <c r="N83" s="4">
        <v>0</v>
      </c>
      <c r="O83" t="s">
        <v>286</v>
      </c>
      <c r="P83" t="s">
        <v>247</v>
      </c>
      <c r="Q83" t="s">
        <v>246</v>
      </c>
    </row>
    <row r="84" spans="2:17">
      <c r="B84" s="334"/>
      <c r="C84" s="4">
        <v>0</v>
      </c>
      <c r="D84" t="s">
        <v>400</v>
      </c>
      <c r="E84" t="s">
        <v>248</v>
      </c>
      <c r="F84" t="s">
        <v>246</v>
      </c>
      <c r="M84" s="334"/>
      <c r="N84" s="4">
        <v>0</v>
      </c>
      <c r="O84" t="s">
        <v>400</v>
      </c>
      <c r="P84" t="s">
        <v>248</v>
      </c>
      <c r="Q84" t="s">
        <v>246</v>
      </c>
    </row>
    <row r="85" spans="2:17">
      <c r="B85" s="334"/>
      <c r="C85" s="4">
        <v>1440</v>
      </c>
      <c r="D85" t="s">
        <v>618</v>
      </c>
      <c r="E85" t="s">
        <v>621</v>
      </c>
      <c r="F85" t="s">
        <v>633</v>
      </c>
      <c r="M85" s="334"/>
      <c r="N85" s="4">
        <v>0</v>
      </c>
      <c r="O85" t="s">
        <v>618</v>
      </c>
      <c r="P85" t="s">
        <v>621</v>
      </c>
      <c r="Q85" t="s">
        <v>633</v>
      </c>
    </row>
    <row r="86" spans="2:17">
      <c r="B86" s="334"/>
      <c r="M86" s="334"/>
    </row>
    <row r="87" spans="2:17">
      <c r="B87" s="334">
        <v>45951</v>
      </c>
      <c r="C87" s="4">
        <v>0</v>
      </c>
      <c r="D87" t="s">
        <v>386</v>
      </c>
      <c r="E87" t="s">
        <v>249</v>
      </c>
      <c r="F87" t="s">
        <v>246</v>
      </c>
      <c r="M87" s="334">
        <v>45951</v>
      </c>
      <c r="N87" s="4">
        <v>0</v>
      </c>
      <c r="O87" t="s">
        <v>386</v>
      </c>
      <c r="P87" t="s">
        <v>249</v>
      </c>
      <c r="Q87" t="s">
        <v>246</v>
      </c>
    </row>
    <row r="88" spans="2:17">
      <c r="B88" s="334"/>
      <c r="C88" s="4">
        <v>0</v>
      </c>
      <c r="D88" t="s">
        <v>286</v>
      </c>
      <c r="E88" t="s">
        <v>247</v>
      </c>
      <c r="F88" t="s">
        <v>246</v>
      </c>
      <c r="M88" s="334"/>
      <c r="N88" s="4">
        <v>0</v>
      </c>
      <c r="O88" t="s">
        <v>286</v>
      </c>
      <c r="P88" t="s">
        <v>247</v>
      </c>
      <c r="Q88" t="s">
        <v>246</v>
      </c>
    </row>
    <row r="89" spans="2:17">
      <c r="B89" s="334"/>
      <c r="C89" s="4">
        <v>0</v>
      </c>
      <c r="D89" t="s">
        <v>400</v>
      </c>
      <c r="E89" t="s">
        <v>248</v>
      </c>
      <c r="F89" t="s">
        <v>246</v>
      </c>
      <c r="M89" s="334"/>
      <c r="N89" s="4">
        <v>0</v>
      </c>
      <c r="O89" t="s">
        <v>400</v>
      </c>
      <c r="P89" t="s">
        <v>248</v>
      </c>
      <c r="Q89" t="s">
        <v>246</v>
      </c>
    </row>
    <row r="90" spans="2:17">
      <c r="B90" s="334"/>
      <c r="C90" s="4">
        <v>1440</v>
      </c>
      <c r="D90" t="s">
        <v>625</v>
      </c>
      <c r="E90" t="s">
        <v>621</v>
      </c>
      <c r="F90" t="s">
        <v>633</v>
      </c>
      <c r="M90" s="334"/>
      <c r="N90" s="4">
        <v>0</v>
      </c>
      <c r="O90" t="s">
        <v>625</v>
      </c>
      <c r="P90" t="s">
        <v>621</v>
      </c>
      <c r="Q90" t="s">
        <v>633</v>
      </c>
    </row>
    <row r="91" spans="2:17">
      <c r="B91" s="334"/>
      <c r="M91" s="334"/>
    </row>
    <row r="92" spans="2:17">
      <c r="B92" s="334">
        <v>45952</v>
      </c>
      <c r="C92" s="4">
        <v>0</v>
      </c>
      <c r="D92" t="s">
        <v>386</v>
      </c>
      <c r="E92" t="s">
        <v>249</v>
      </c>
      <c r="F92" t="s">
        <v>246</v>
      </c>
      <c r="M92" s="334">
        <v>45952</v>
      </c>
      <c r="N92" s="4">
        <v>0</v>
      </c>
      <c r="O92" t="s">
        <v>386</v>
      </c>
      <c r="P92" t="s">
        <v>249</v>
      </c>
      <c r="Q92" t="s">
        <v>246</v>
      </c>
    </row>
    <row r="93" spans="2:17">
      <c r="B93" s="334"/>
      <c r="C93" s="4">
        <v>0</v>
      </c>
      <c r="D93" t="s">
        <v>286</v>
      </c>
      <c r="E93" t="s">
        <v>247</v>
      </c>
      <c r="F93" t="s">
        <v>246</v>
      </c>
      <c r="M93" s="334"/>
      <c r="N93" s="4">
        <v>0</v>
      </c>
      <c r="O93" t="s">
        <v>286</v>
      </c>
      <c r="P93" t="s">
        <v>247</v>
      </c>
      <c r="Q93" t="s">
        <v>246</v>
      </c>
    </row>
    <row r="94" spans="2:17">
      <c r="B94" s="334"/>
      <c r="C94" s="4">
        <v>0</v>
      </c>
      <c r="D94" t="s">
        <v>400</v>
      </c>
      <c r="E94" t="s">
        <v>248</v>
      </c>
      <c r="F94" t="s">
        <v>246</v>
      </c>
      <c r="M94" s="334"/>
      <c r="N94" s="4">
        <v>0</v>
      </c>
      <c r="O94" t="s">
        <v>400</v>
      </c>
      <c r="P94" t="s">
        <v>248</v>
      </c>
      <c r="Q94" t="s">
        <v>246</v>
      </c>
    </row>
    <row r="95" spans="2:17">
      <c r="B95" s="334"/>
      <c r="C95" s="4">
        <v>1440</v>
      </c>
      <c r="D95" t="s">
        <v>625</v>
      </c>
      <c r="E95" t="s">
        <v>621</v>
      </c>
      <c r="F95" t="s">
        <v>633</v>
      </c>
      <c r="M95" s="334"/>
      <c r="N95" s="4">
        <v>0</v>
      </c>
      <c r="O95" t="s">
        <v>625</v>
      </c>
      <c r="P95" t="s">
        <v>621</v>
      </c>
      <c r="Q95" t="s">
        <v>633</v>
      </c>
    </row>
    <row r="96" spans="2:17">
      <c r="B96" s="334"/>
      <c r="M96" s="334"/>
    </row>
    <row r="97" spans="2:17">
      <c r="B97" s="334">
        <v>45953</v>
      </c>
      <c r="C97" s="4">
        <v>0</v>
      </c>
      <c r="D97" t="s">
        <v>386</v>
      </c>
      <c r="E97" t="s">
        <v>249</v>
      </c>
      <c r="F97" t="s">
        <v>246</v>
      </c>
      <c r="M97" s="334">
        <v>45953</v>
      </c>
      <c r="N97" s="4">
        <v>0</v>
      </c>
      <c r="O97" t="s">
        <v>386</v>
      </c>
      <c r="P97" t="s">
        <v>249</v>
      </c>
      <c r="Q97" t="s">
        <v>246</v>
      </c>
    </row>
    <row r="98" spans="2:17">
      <c r="B98" s="334"/>
      <c r="C98" s="4">
        <v>0</v>
      </c>
      <c r="D98" t="s">
        <v>286</v>
      </c>
      <c r="E98" t="s">
        <v>247</v>
      </c>
      <c r="F98" t="s">
        <v>246</v>
      </c>
      <c r="M98" s="334"/>
      <c r="N98" s="4">
        <v>0</v>
      </c>
      <c r="O98" t="s">
        <v>286</v>
      </c>
      <c r="P98" t="s">
        <v>247</v>
      </c>
      <c r="Q98" t="s">
        <v>246</v>
      </c>
    </row>
    <row r="99" spans="2:17">
      <c r="B99" s="334"/>
      <c r="C99" s="4">
        <v>0</v>
      </c>
      <c r="D99" t="s">
        <v>400</v>
      </c>
      <c r="E99" t="s">
        <v>248</v>
      </c>
      <c r="F99" t="s">
        <v>246</v>
      </c>
      <c r="M99" s="334"/>
      <c r="N99" s="4">
        <v>0</v>
      </c>
      <c r="O99" t="s">
        <v>400</v>
      </c>
      <c r="P99" t="s">
        <v>248</v>
      </c>
      <c r="Q99" t="s">
        <v>246</v>
      </c>
    </row>
    <row r="100" spans="2:17">
      <c r="B100" s="334"/>
      <c r="C100" s="4">
        <v>1440</v>
      </c>
      <c r="D100" t="s">
        <v>625</v>
      </c>
      <c r="E100" t="s">
        <v>621</v>
      </c>
      <c r="F100" t="s">
        <v>633</v>
      </c>
      <c r="M100" s="334"/>
      <c r="N100" s="4">
        <v>0</v>
      </c>
      <c r="O100" t="s">
        <v>625</v>
      </c>
      <c r="P100" t="s">
        <v>621</v>
      </c>
      <c r="Q100" t="s">
        <v>633</v>
      </c>
    </row>
    <row r="101" spans="2:17">
      <c r="B101" s="334"/>
      <c r="M101" s="334"/>
    </row>
    <row r="102" spans="2:17">
      <c r="B102" s="334">
        <v>45954</v>
      </c>
      <c r="C102" s="4">
        <v>0</v>
      </c>
      <c r="D102" t="s">
        <v>386</v>
      </c>
      <c r="E102" t="s">
        <v>249</v>
      </c>
      <c r="F102" t="s">
        <v>246</v>
      </c>
      <c r="M102" s="334">
        <v>45954</v>
      </c>
      <c r="N102" s="4">
        <v>0</v>
      </c>
      <c r="O102" t="s">
        <v>386</v>
      </c>
      <c r="P102" t="s">
        <v>249</v>
      </c>
      <c r="Q102" t="s">
        <v>246</v>
      </c>
    </row>
    <row r="103" spans="2:17">
      <c r="B103" s="334"/>
      <c r="C103" s="4">
        <v>0</v>
      </c>
      <c r="D103" t="s">
        <v>286</v>
      </c>
      <c r="E103" t="s">
        <v>247</v>
      </c>
      <c r="F103" t="s">
        <v>246</v>
      </c>
      <c r="M103" s="334"/>
      <c r="N103" s="4">
        <v>0</v>
      </c>
      <c r="O103" t="s">
        <v>286</v>
      </c>
      <c r="P103" t="s">
        <v>247</v>
      </c>
      <c r="Q103" t="s">
        <v>246</v>
      </c>
    </row>
    <row r="104" spans="2:17">
      <c r="B104" s="334"/>
      <c r="C104" s="4">
        <v>0</v>
      </c>
      <c r="D104" t="s">
        <v>400</v>
      </c>
      <c r="E104" t="s">
        <v>248</v>
      </c>
      <c r="F104" t="s">
        <v>246</v>
      </c>
      <c r="M104" s="334"/>
      <c r="N104" s="4">
        <v>0</v>
      </c>
      <c r="O104" t="s">
        <v>400</v>
      </c>
      <c r="P104" t="s">
        <v>248</v>
      </c>
      <c r="Q104" t="s">
        <v>246</v>
      </c>
    </row>
    <row r="105" spans="2:17">
      <c r="B105" s="334"/>
      <c r="C105" s="4">
        <v>1440</v>
      </c>
      <c r="D105" t="s">
        <v>625</v>
      </c>
      <c r="E105" t="s">
        <v>621</v>
      </c>
      <c r="F105" t="s">
        <v>633</v>
      </c>
      <c r="M105" s="334"/>
      <c r="N105" s="4">
        <v>0</v>
      </c>
      <c r="O105" t="s">
        <v>625</v>
      </c>
      <c r="P105" t="s">
        <v>621</v>
      </c>
      <c r="Q105" t="s">
        <v>633</v>
      </c>
    </row>
    <row r="106" spans="2:17">
      <c r="B106" s="334"/>
      <c r="M106" s="334"/>
    </row>
    <row r="107" spans="2:17">
      <c r="B107" s="334">
        <v>45955</v>
      </c>
      <c r="C107" s="4">
        <v>0</v>
      </c>
      <c r="D107" t="s">
        <v>386</v>
      </c>
      <c r="E107" t="s">
        <v>249</v>
      </c>
      <c r="F107" t="s">
        <v>246</v>
      </c>
      <c r="M107" s="334">
        <v>45955</v>
      </c>
      <c r="N107" s="4">
        <v>0</v>
      </c>
      <c r="O107" t="s">
        <v>386</v>
      </c>
      <c r="P107" t="s">
        <v>249</v>
      </c>
      <c r="Q107" t="s">
        <v>246</v>
      </c>
    </row>
    <row r="108" spans="2:17">
      <c r="B108" s="334"/>
      <c r="C108" s="4">
        <v>0</v>
      </c>
      <c r="D108" t="s">
        <v>286</v>
      </c>
      <c r="E108" t="s">
        <v>247</v>
      </c>
      <c r="F108" t="s">
        <v>246</v>
      </c>
      <c r="M108" s="334"/>
      <c r="N108" s="4">
        <v>0</v>
      </c>
      <c r="O108" t="s">
        <v>286</v>
      </c>
      <c r="P108" t="s">
        <v>247</v>
      </c>
      <c r="Q108" t="s">
        <v>246</v>
      </c>
    </row>
    <row r="109" spans="2:17">
      <c r="B109" s="334"/>
      <c r="C109" s="4">
        <v>0</v>
      </c>
      <c r="D109" t="s">
        <v>400</v>
      </c>
      <c r="E109" t="s">
        <v>248</v>
      </c>
      <c r="F109" t="s">
        <v>246</v>
      </c>
      <c r="M109" s="334"/>
      <c r="N109" s="4">
        <v>0</v>
      </c>
      <c r="O109" t="s">
        <v>400</v>
      </c>
      <c r="P109" t="s">
        <v>248</v>
      </c>
      <c r="Q109" t="s">
        <v>246</v>
      </c>
    </row>
    <row r="110" spans="2:17">
      <c r="B110" s="334"/>
      <c r="C110" s="4">
        <v>1440</v>
      </c>
      <c r="D110" t="s">
        <v>625</v>
      </c>
      <c r="E110" t="s">
        <v>621</v>
      </c>
      <c r="F110" t="s">
        <v>633</v>
      </c>
      <c r="M110" s="334"/>
      <c r="N110" s="4">
        <v>0</v>
      </c>
      <c r="O110" t="s">
        <v>625</v>
      </c>
      <c r="P110" t="s">
        <v>621</v>
      </c>
      <c r="Q110" t="s">
        <v>633</v>
      </c>
    </row>
    <row r="111" spans="2:17">
      <c r="B111" s="334"/>
      <c r="M111" s="334"/>
    </row>
    <row r="112" spans="2:17">
      <c r="B112" s="334">
        <v>45956</v>
      </c>
      <c r="C112" s="4">
        <v>0</v>
      </c>
      <c r="D112" t="s">
        <v>386</v>
      </c>
      <c r="E112" t="s">
        <v>249</v>
      </c>
      <c r="F112" t="s">
        <v>246</v>
      </c>
      <c r="M112" s="334">
        <v>45956</v>
      </c>
      <c r="N112" s="4">
        <v>0</v>
      </c>
      <c r="O112" t="s">
        <v>386</v>
      </c>
      <c r="P112" t="s">
        <v>249</v>
      </c>
      <c r="Q112" t="s">
        <v>246</v>
      </c>
    </row>
    <row r="113" spans="2:17">
      <c r="B113" s="334"/>
      <c r="C113" s="4">
        <v>0</v>
      </c>
      <c r="D113" t="s">
        <v>286</v>
      </c>
      <c r="E113" t="s">
        <v>247</v>
      </c>
      <c r="F113" t="s">
        <v>246</v>
      </c>
      <c r="M113" s="334"/>
      <c r="N113" s="4">
        <v>0</v>
      </c>
      <c r="O113" t="s">
        <v>286</v>
      </c>
      <c r="P113" t="s">
        <v>247</v>
      </c>
      <c r="Q113" t="s">
        <v>246</v>
      </c>
    </row>
    <row r="114" spans="2:17">
      <c r="B114" s="334"/>
      <c r="C114" s="4">
        <v>0</v>
      </c>
      <c r="D114" t="s">
        <v>400</v>
      </c>
      <c r="E114" t="s">
        <v>248</v>
      </c>
      <c r="F114" t="s">
        <v>246</v>
      </c>
      <c r="M114" s="334"/>
      <c r="N114" s="4">
        <v>0</v>
      </c>
      <c r="O114" t="s">
        <v>400</v>
      </c>
      <c r="P114" t="s">
        <v>248</v>
      </c>
      <c r="Q114" t="s">
        <v>246</v>
      </c>
    </row>
    <row r="115" spans="2:17">
      <c r="B115" s="334"/>
      <c r="C115" s="4">
        <v>1440</v>
      </c>
      <c r="D115" t="s">
        <v>625</v>
      </c>
      <c r="E115" t="s">
        <v>621</v>
      </c>
      <c r="F115" t="s">
        <v>633</v>
      </c>
      <c r="M115" s="334"/>
      <c r="N115" s="4">
        <v>0</v>
      </c>
      <c r="O115" t="s">
        <v>625</v>
      </c>
      <c r="P115" t="s">
        <v>621</v>
      </c>
      <c r="Q115" t="s">
        <v>633</v>
      </c>
    </row>
    <row r="116" spans="2:17">
      <c r="B116" s="334"/>
      <c r="M116" s="334"/>
    </row>
    <row r="117" spans="2:17">
      <c r="B117" s="334">
        <v>45957</v>
      </c>
      <c r="C117" s="4">
        <v>18</v>
      </c>
      <c r="D117" t="s">
        <v>650</v>
      </c>
      <c r="E117" t="s">
        <v>249</v>
      </c>
      <c r="F117" t="s">
        <v>246</v>
      </c>
      <c r="M117" s="334">
        <v>45957</v>
      </c>
      <c r="N117" s="4">
        <v>18</v>
      </c>
      <c r="O117" t="s">
        <v>650</v>
      </c>
      <c r="P117" t="s">
        <v>249</v>
      </c>
      <c r="Q117" t="s">
        <v>246</v>
      </c>
    </row>
    <row r="118" spans="2:17">
      <c r="B118" s="334"/>
      <c r="C118" s="4">
        <v>0</v>
      </c>
      <c r="D118" t="s">
        <v>286</v>
      </c>
      <c r="E118" t="s">
        <v>247</v>
      </c>
      <c r="F118" t="s">
        <v>246</v>
      </c>
      <c r="M118" s="334"/>
      <c r="N118" s="4">
        <v>0</v>
      </c>
      <c r="O118" t="s">
        <v>286</v>
      </c>
      <c r="P118" t="s">
        <v>247</v>
      </c>
      <c r="Q118" t="s">
        <v>246</v>
      </c>
    </row>
    <row r="119" spans="2:17">
      <c r="B119" s="334"/>
      <c r="C119" s="4">
        <v>39</v>
      </c>
      <c r="D119" t="s">
        <v>651</v>
      </c>
      <c r="E119" t="s">
        <v>248</v>
      </c>
      <c r="F119" t="s">
        <v>246</v>
      </c>
      <c r="M119" s="334"/>
      <c r="N119" s="4">
        <v>39</v>
      </c>
      <c r="O119" t="s">
        <v>651</v>
      </c>
      <c r="P119" t="s">
        <v>248</v>
      </c>
      <c r="Q119" t="s">
        <v>246</v>
      </c>
    </row>
    <row r="120" spans="2:17">
      <c r="B120" s="334"/>
      <c r="C120" s="4">
        <v>528</v>
      </c>
      <c r="D120" t="s">
        <v>625</v>
      </c>
      <c r="E120" t="s">
        <v>621</v>
      </c>
      <c r="F120" t="s">
        <v>633</v>
      </c>
      <c r="M120" s="334"/>
      <c r="N120" s="4">
        <v>0</v>
      </c>
      <c r="O120" t="s">
        <v>625</v>
      </c>
      <c r="P120" t="s">
        <v>621</v>
      </c>
      <c r="Q120" t="s">
        <v>633</v>
      </c>
    </row>
    <row r="121" spans="2:17">
      <c r="B121" s="334"/>
      <c r="M121" s="334"/>
    </row>
    <row r="122" spans="2:17">
      <c r="B122" s="334">
        <v>45958</v>
      </c>
      <c r="C122" s="4">
        <v>8</v>
      </c>
      <c r="D122" t="s">
        <v>650</v>
      </c>
      <c r="E122" t="s">
        <v>249</v>
      </c>
      <c r="F122" t="s">
        <v>246</v>
      </c>
      <c r="M122" s="334">
        <v>45958</v>
      </c>
      <c r="N122" s="4">
        <v>8</v>
      </c>
      <c r="O122" t="s">
        <v>650</v>
      </c>
      <c r="P122" t="s">
        <v>249</v>
      </c>
      <c r="Q122" t="s">
        <v>246</v>
      </c>
    </row>
    <row r="123" spans="2:17">
      <c r="B123" s="334"/>
      <c r="C123" s="4">
        <v>5</v>
      </c>
      <c r="D123" t="s">
        <v>286</v>
      </c>
      <c r="E123" t="s">
        <v>247</v>
      </c>
      <c r="F123" t="s">
        <v>246</v>
      </c>
      <c r="M123" s="334"/>
      <c r="N123" s="4">
        <v>5</v>
      </c>
      <c r="O123" t="s">
        <v>286</v>
      </c>
      <c r="P123" t="s">
        <v>247</v>
      </c>
      <c r="Q123" t="s">
        <v>246</v>
      </c>
    </row>
    <row r="124" spans="2:17">
      <c r="B124" s="334"/>
      <c r="C124" s="4">
        <v>16</v>
      </c>
      <c r="D124" t="s">
        <v>651</v>
      </c>
      <c r="E124" t="s">
        <v>248</v>
      </c>
      <c r="F124" t="s">
        <v>246</v>
      </c>
      <c r="M124" s="334"/>
      <c r="N124" s="4">
        <v>16</v>
      </c>
      <c r="O124" t="s">
        <v>651</v>
      </c>
      <c r="P124" t="s">
        <v>248</v>
      </c>
      <c r="Q124" t="s">
        <v>246</v>
      </c>
    </row>
    <row r="125" spans="2:17">
      <c r="B125" s="334"/>
      <c r="C125" s="4">
        <v>541</v>
      </c>
      <c r="D125" t="s">
        <v>665</v>
      </c>
      <c r="E125" t="s">
        <v>674</v>
      </c>
      <c r="F125" t="s">
        <v>252</v>
      </c>
      <c r="M125" s="334"/>
      <c r="N125" s="4">
        <v>541</v>
      </c>
      <c r="O125" t="s">
        <v>665</v>
      </c>
      <c r="P125" t="s">
        <v>674</v>
      </c>
      <c r="Q125" t="s">
        <v>252</v>
      </c>
    </row>
    <row r="126" spans="2:17">
      <c r="B126" s="334"/>
      <c r="M126" s="334"/>
    </row>
    <row r="127" spans="2:17">
      <c r="B127" s="334">
        <v>45959</v>
      </c>
      <c r="C127" s="4">
        <v>0</v>
      </c>
      <c r="D127" t="s">
        <v>386</v>
      </c>
      <c r="E127" t="s">
        <v>249</v>
      </c>
      <c r="F127" t="s">
        <v>246</v>
      </c>
      <c r="M127" s="334">
        <v>45959</v>
      </c>
      <c r="N127" s="4">
        <v>0</v>
      </c>
      <c r="O127" t="s">
        <v>386</v>
      </c>
      <c r="P127" t="s">
        <v>249</v>
      </c>
      <c r="Q127" t="s">
        <v>246</v>
      </c>
    </row>
    <row r="128" spans="2:17">
      <c r="B128" s="334"/>
      <c r="C128" s="4">
        <v>0</v>
      </c>
      <c r="D128" t="s">
        <v>286</v>
      </c>
      <c r="E128" t="s">
        <v>247</v>
      </c>
      <c r="F128" t="s">
        <v>246</v>
      </c>
      <c r="M128" s="334"/>
      <c r="N128" s="4">
        <v>0</v>
      </c>
      <c r="O128" t="s">
        <v>286</v>
      </c>
      <c r="P128" t="s">
        <v>247</v>
      </c>
      <c r="Q128" t="s">
        <v>246</v>
      </c>
    </row>
    <row r="129" spans="2:18">
      <c r="B129" s="334"/>
      <c r="C129" s="4">
        <v>10</v>
      </c>
      <c r="D129" t="s">
        <v>411</v>
      </c>
      <c r="E129" t="s">
        <v>248</v>
      </c>
      <c r="F129" t="s">
        <v>246</v>
      </c>
      <c r="M129" s="334"/>
      <c r="N129" s="4">
        <v>10</v>
      </c>
      <c r="O129" t="s">
        <v>411</v>
      </c>
      <c r="P129" t="s">
        <v>248</v>
      </c>
      <c r="Q129" t="s">
        <v>246</v>
      </c>
    </row>
    <row r="130" spans="2:18">
      <c r="B130" s="334"/>
      <c r="C130" s="4">
        <v>1055</v>
      </c>
      <c r="D130" t="s">
        <v>625</v>
      </c>
      <c r="E130" t="s">
        <v>621</v>
      </c>
      <c r="F130" t="s">
        <v>633</v>
      </c>
      <c r="M130" s="334"/>
      <c r="N130" s="4">
        <v>0</v>
      </c>
      <c r="O130" t="s">
        <v>625</v>
      </c>
      <c r="P130" t="s">
        <v>621</v>
      </c>
      <c r="Q130" t="s">
        <v>633</v>
      </c>
    </row>
    <row r="131" spans="2:18">
      <c r="B131" s="334"/>
      <c r="M131" s="334"/>
    </row>
    <row r="132" spans="2:18">
      <c r="B132" s="334">
        <v>45960</v>
      </c>
      <c r="C132" s="4">
        <v>0</v>
      </c>
      <c r="D132" t="s">
        <v>386</v>
      </c>
      <c r="E132" t="s">
        <v>249</v>
      </c>
      <c r="F132" t="s">
        <v>246</v>
      </c>
      <c r="M132" s="334">
        <v>45960</v>
      </c>
      <c r="N132" s="4">
        <v>0</v>
      </c>
      <c r="O132" t="s">
        <v>386</v>
      </c>
      <c r="P132" t="s">
        <v>249</v>
      </c>
      <c r="Q132" t="s">
        <v>246</v>
      </c>
    </row>
    <row r="133" spans="2:18">
      <c r="B133" s="334"/>
      <c r="C133" s="4">
        <v>0</v>
      </c>
      <c r="D133" t="s">
        <v>286</v>
      </c>
      <c r="E133" t="s">
        <v>247</v>
      </c>
      <c r="F133" t="s">
        <v>246</v>
      </c>
      <c r="M133" s="334"/>
      <c r="N133" s="4">
        <v>0</v>
      </c>
      <c r="O133" t="s">
        <v>286</v>
      </c>
      <c r="P133" t="s">
        <v>247</v>
      </c>
      <c r="Q133" t="s">
        <v>246</v>
      </c>
    </row>
    <row r="134" spans="2:18">
      <c r="B134" s="334"/>
      <c r="C134" s="4">
        <v>0</v>
      </c>
      <c r="D134" t="s">
        <v>400</v>
      </c>
      <c r="E134" t="s">
        <v>248</v>
      </c>
      <c r="F134" t="s">
        <v>246</v>
      </c>
      <c r="M134" s="334"/>
      <c r="N134" s="4">
        <v>0</v>
      </c>
      <c r="O134" t="s">
        <v>400</v>
      </c>
      <c r="P134" t="s">
        <v>248</v>
      </c>
      <c r="Q134" t="s">
        <v>246</v>
      </c>
    </row>
    <row r="135" spans="2:18">
      <c r="B135" s="334"/>
      <c r="C135" s="4">
        <v>1440</v>
      </c>
      <c r="D135" t="s">
        <v>625</v>
      </c>
      <c r="E135" t="s">
        <v>621</v>
      </c>
      <c r="F135" t="s">
        <v>633</v>
      </c>
      <c r="M135" s="334"/>
      <c r="N135" s="4">
        <v>0</v>
      </c>
      <c r="O135" t="s">
        <v>625</v>
      </c>
      <c r="P135" t="s">
        <v>621</v>
      </c>
      <c r="Q135" t="s">
        <v>633</v>
      </c>
    </row>
    <row r="136" spans="2:18">
      <c r="B136" s="334"/>
      <c r="M136" s="334"/>
    </row>
    <row r="137" spans="2:18">
      <c r="B137" s="334">
        <v>45961</v>
      </c>
      <c r="C137" s="4">
        <v>0</v>
      </c>
      <c r="D137" t="s">
        <v>386</v>
      </c>
      <c r="E137" t="s">
        <v>249</v>
      </c>
      <c r="F137" t="s">
        <v>246</v>
      </c>
      <c r="M137" s="334">
        <v>45961</v>
      </c>
      <c r="N137" s="4">
        <v>0</v>
      </c>
      <c r="O137" t="s">
        <v>386</v>
      </c>
      <c r="P137" t="s">
        <v>249</v>
      </c>
      <c r="Q137" t="s">
        <v>246</v>
      </c>
    </row>
    <row r="138" spans="2:18" ht="12.75" customHeight="1">
      <c r="B138" s="334"/>
      <c r="C138" s="4">
        <v>0</v>
      </c>
      <c r="D138" t="s">
        <v>286</v>
      </c>
      <c r="E138" t="s">
        <v>247</v>
      </c>
      <c r="F138" t="s">
        <v>246</v>
      </c>
      <c r="M138" s="334"/>
      <c r="N138" s="4">
        <v>0</v>
      </c>
      <c r="O138" t="s">
        <v>286</v>
      </c>
      <c r="P138" t="s">
        <v>247</v>
      </c>
      <c r="Q138" t="s">
        <v>246</v>
      </c>
    </row>
    <row r="139" spans="2:18">
      <c r="B139" s="334"/>
      <c r="C139" s="4">
        <v>0</v>
      </c>
      <c r="D139" t="s">
        <v>400</v>
      </c>
      <c r="E139" t="s">
        <v>248</v>
      </c>
      <c r="F139" t="s">
        <v>246</v>
      </c>
      <c r="M139" s="334"/>
      <c r="N139" s="4">
        <v>0</v>
      </c>
      <c r="O139" t="s">
        <v>400</v>
      </c>
      <c r="P139" t="s">
        <v>248</v>
      </c>
      <c r="Q139" t="s">
        <v>246</v>
      </c>
    </row>
    <row r="140" spans="2:18">
      <c r="B140" s="334"/>
      <c r="C140" s="4">
        <v>1440</v>
      </c>
      <c r="D140" t="s">
        <v>625</v>
      </c>
      <c r="E140" t="s">
        <v>621</v>
      </c>
      <c r="F140" t="s">
        <v>633</v>
      </c>
      <c r="M140" s="334"/>
      <c r="N140" s="4">
        <v>0</v>
      </c>
      <c r="O140" t="s">
        <v>625</v>
      </c>
      <c r="P140" t="s">
        <v>621</v>
      </c>
      <c r="Q140" t="s">
        <v>633</v>
      </c>
    </row>
    <row r="141" spans="2:18">
      <c r="B141" s="334"/>
      <c r="M141" s="334"/>
    </row>
    <row r="142" spans="2:18">
      <c r="B142" s="334"/>
      <c r="M142" s="334"/>
    </row>
    <row r="143" spans="2:18">
      <c r="B143" s="334"/>
      <c r="M143" s="334"/>
    </row>
    <row r="144" spans="2:18">
      <c r="B144" s="334"/>
      <c r="M144" s="334"/>
      <c r="R144" s="519">
        <f>+summary!Q53</f>
        <v>0</v>
      </c>
    </row>
    <row r="145" spans="2:13">
      <c r="B145" s="334"/>
      <c r="G145" s="519">
        <f>+summary!H53</f>
        <v>0</v>
      </c>
      <c r="M145" s="334"/>
    </row>
    <row r="146" spans="2:13">
      <c r="B146" s="334"/>
      <c r="M146" s="334"/>
    </row>
    <row r="147" spans="2:13">
      <c r="B147" s="334"/>
      <c r="M147" s="334"/>
    </row>
    <row r="148" spans="2:13">
      <c r="B148" s="334"/>
      <c r="M148" s="334"/>
    </row>
    <row r="149" spans="2:13">
      <c r="B149" s="334"/>
      <c r="M149" s="334"/>
    </row>
    <row r="150" spans="2:13">
      <c r="B150" s="334"/>
      <c r="M150" s="334"/>
    </row>
    <row r="151" spans="2:13">
      <c r="B151" s="334"/>
      <c r="M151" s="334"/>
    </row>
    <row r="152" spans="2:13">
      <c r="B152" s="334"/>
      <c r="M152" s="334"/>
    </row>
    <row r="153" spans="2:13">
      <c r="B153" s="334"/>
      <c r="M153" s="334"/>
    </row>
    <row r="154" spans="2:13">
      <c r="B154" s="334"/>
      <c r="M154" s="334"/>
    </row>
    <row r="155" spans="2:13">
      <c r="B155" s="334"/>
      <c r="M155" s="334"/>
    </row>
  </sheetData>
  <autoFilter ref="B1:F121"/>
  <conditionalFormatting sqref="G1:G7 R1:R7 R9:R76 R144 G9:G68 G70:G115 G117:G1048576">
    <cfRule type="cellIs" dxfId="13" priority="2" operator="greaterThan">
      <formula>0</formula>
    </cfRule>
  </conditionalFormatting>
  <conditionalFormatting sqref="R78:R104 R106:R143 R145:R1048576">
    <cfRule type="cellIs" dxfId="12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topLeftCell="H1" workbookViewId="0">
      <selection activeCell="P14" sqref="P14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61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61" customWidth="1"/>
    <col min="13" max="17" width="13.5703125" customWidth="1"/>
  </cols>
  <sheetData>
    <row r="1" spans="1:17" ht="15">
      <c r="A1" s="428" t="s">
        <v>269</v>
      </c>
      <c r="E1" s="459"/>
      <c r="F1" s="1"/>
      <c r="J1" s="428" t="s">
        <v>375</v>
      </c>
      <c r="N1" s="459"/>
      <c r="O1" s="1"/>
    </row>
    <row r="2" spans="1:17" ht="30">
      <c r="A2" s="744" t="s">
        <v>230</v>
      </c>
      <c r="B2" s="744" t="s">
        <v>231</v>
      </c>
      <c r="C2" s="745" t="s">
        <v>232</v>
      </c>
      <c r="D2" s="460" t="s">
        <v>233</v>
      </c>
      <c r="E2" s="560" t="s">
        <v>234</v>
      </c>
      <c r="F2" s="462" t="s">
        <v>235</v>
      </c>
      <c r="G2" s="560" t="s">
        <v>236</v>
      </c>
      <c r="H2" s="560" t="s">
        <v>237</v>
      </c>
      <c r="J2" s="744" t="s">
        <v>230</v>
      </c>
      <c r="K2" s="744" t="s">
        <v>231</v>
      </c>
      <c r="L2" s="743" t="s">
        <v>232</v>
      </c>
      <c r="M2" s="460" t="s">
        <v>233</v>
      </c>
      <c r="N2" s="560" t="s">
        <v>234</v>
      </c>
      <c r="O2" s="462" t="s">
        <v>235</v>
      </c>
      <c r="P2" s="560" t="s">
        <v>236</v>
      </c>
      <c r="Q2" s="560" t="s">
        <v>237</v>
      </c>
    </row>
    <row r="3" spans="1:17" ht="15">
      <c r="A3" s="744"/>
      <c r="B3" s="744"/>
      <c r="C3" s="746"/>
      <c r="D3" s="460" t="s">
        <v>402</v>
      </c>
      <c r="E3" s="460" t="str">
        <f>+D3</f>
        <v>OKTOBER</v>
      </c>
      <c r="F3" s="460" t="str">
        <f>+E3</f>
        <v>OKTOBER</v>
      </c>
      <c r="G3" s="460" t="str">
        <f>+F3</f>
        <v>OKTOBER</v>
      </c>
      <c r="H3" s="460" t="str">
        <f>+G3</f>
        <v>OKTOBER</v>
      </c>
      <c r="J3" s="744"/>
      <c r="K3" s="744"/>
      <c r="L3" s="743"/>
      <c r="M3" s="460" t="str">
        <f>+H3</f>
        <v>OKTOBER</v>
      </c>
      <c r="N3" s="460" t="str">
        <f>+M3</f>
        <v>OKTOBER</v>
      </c>
      <c r="O3" s="460" t="str">
        <f>+N3</f>
        <v>OKTOBER</v>
      </c>
      <c r="P3" s="460" t="str">
        <f>+O3</f>
        <v>OKTOBER</v>
      </c>
      <c r="Q3" s="460" t="str">
        <f>+P3</f>
        <v>OKTOBER</v>
      </c>
    </row>
    <row r="4" spans="1:17" ht="15">
      <c r="A4" s="737" t="s">
        <v>238</v>
      </c>
      <c r="B4" s="559" t="s">
        <v>303</v>
      </c>
      <c r="C4" s="562"/>
      <c r="D4" s="7">
        <f>SUMIFS(Sheet1!$C$2:$C$180,Sheet1!$F$2:$F$180,B4,Sheet1!$E$2:$E$180,C4)</f>
        <v>0</v>
      </c>
      <c r="E4" s="7">
        <f>D4/Sheet1!$I$9*Sheet1!$I$10</f>
        <v>0</v>
      </c>
      <c r="F4" s="477">
        <f>D4/Sheet1!$I$9*Sheet1!$I$11</f>
        <v>0</v>
      </c>
      <c r="G4" s="558">
        <f>F4</f>
        <v>0</v>
      </c>
      <c r="H4" s="740">
        <f>SUM(G4:G12)</f>
        <v>0.37040539405305783</v>
      </c>
      <c r="J4" s="737" t="s">
        <v>238</v>
      </c>
      <c r="K4" s="559" t="s">
        <v>303</v>
      </c>
      <c r="L4" s="562"/>
      <c r="M4" s="7">
        <f>SUMIFS(Sheet1!$N$2:$N$180,Sheet1!$Q$2:$Q$180,K4,Sheet1!$P$2:$P$180,L4)</f>
        <v>0</v>
      </c>
      <c r="N4" s="7">
        <f>M4/Sheet1!$T$9*Sheet1!$T$10</f>
        <v>0</v>
      </c>
      <c r="O4" s="477">
        <f>M4/Sheet1!$T$9*Sheet1!$T$11</f>
        <v>0</v>
      </c>
      <c r="P4" s="558">
        <f>O4</f>
        <v>0</v>
      </c>
      <c r="Q4" s="740">
        <f>SUM(P4:P12)</f>
        <v>0</v>
      </c>
    </row>
    <row r="5" spans="1:17" ht="15">
      <c r="A5" s="738"/>
      <c r="B5" s="559" t="s">
        <v>239</v>
      </c>
      <c r="C5" t="s">
        <v>473</v>
      </c>
      <c r="D5" s="7">
        <f>SUMIFS(Sheet1!$C$2:$C$180,Sheet1!$F$2:$F$180,B5,Sheet1!$E$2:$E$180,C5)</f>
        <v>720</v>
      </c>
      <c r="E5" s="7">
        <f>D5/Sheet1!$I$9*Sheet1!$I$10</f>
        <v>21.932624283620822</v>
      </c>
      <c r="F5" s="477">
        <f>D5/Sheet1!$I$9*Sheet1!$I$11</f>
        <v>1.5991598232188139E-2</v>
      </c>
      <c r="G5" s="563">
        <f t="shared" ref="G5:G15" si="0">F5</f>
        <v>1.5991598232188139E-2</v>
      </c>
      <c r="H5" s="741"/>
      <c r="J5" s="738"/>
      <c r="K5" s="559" t="s">
        <v>239</v>
      </c>
      <c r="L5" t="s">
        <v>473</v>
      </c>
      <c r="M5" s="7">
        <f>SUMIFS(Sheet1!$N$2:$N$180,Sheet1!$Q$2:$Q$180,K5,Sheet1!$P$2:$P$180,L5)</f>
        <v>0</v>
      </c>
      <c r="N5" s="7">
        <f>M5/Sheet1!$T$9*Sheet1!$T$10</f>
        <v>0</v>
      </c>
      <c r="O5" s="477">
        <f>M5/Sheet1!$T$9*Sheet1!$T$11</f>
        <v>0</v>
      </c>
      <c r="P5" s="563">
        <f t="shared" ref="P5:P15" si="1">O5</f>
        <v>0</v>
      </c>
      <c r="Q5" s="741"/>
    </row>
    <row r="6" spans="1:17" ht="15">
      <c r="A6" s="738"/>
      <c r="B6" s="747" t="s">
        <v>310</v>
      </c>
      <c r="C6" s="562"/>
      <c r="D6" s="7">
        <f>SUMIFS(Sheet1!$C$2:$C$180,Sheet1!$F$2:$F$180,B6,Sheet1!$E$2:$E$180,C6)</f>
        <v>0</v>
      </c>
      <c r="E6" s="7">
        <f>D6/Sheet1!$I$9*Sheet1!$I$10</f>
        <v>0</v>
      </c>
      <c r="F6" s="477">
        <f>D6/Sheet1!$I$9*Sheet1!$I$11</f>
        <v>0</v>
      </c>
      <c r="G6" s="563">
        <f t="shared" si="0"/>
        <v>0</v>
      </c>
      <c r="H6" s="741"/>
      <c r="J6" s="738"/>
      <c r="K6" s="747" t="s">
        <v>310</v>
      </c>
      <c r="L6" s="562"/>
      <c r="M6" s="7">
        <f>SUMIFS(Sheet1!$N$2:$N$180,Sheet1!$Q$2:$Q$180,K6,Sheet1!$P$2:$P$180,L6)</f>
        <v>0</v>
      </c>
      <c r="N6" s="7">
        <f>M6/Sheet1!$T$9*Sheet1!$T$10</f>
        <v>0</v>
      </c>
      <c r="O6" s="477">
        <f>M6/Sheet1!$T$9*Sheet1!$T$11</f>
        <v>0</v>
      </c>
      <c r="P6" s="563">
        <f t="shared" si="1"/>
        <v>0</v>
      </c>
      <c r="Q6" s="741"/>
    </row>
    <row r="7" spans="1:17" ht="15">
      <c r="A7" s="738"/>
      <c r="B7" s="748"/>
      <c r="C7" s="562"/>
      <c r="D7" s="7">
        <f>SUMIFS(Sheet1!$C$2:$C$180,Sheet1!$F$2:$F$180,B6,Sheet1!$E$2:$E$180,C7)</f>
        <v>0</v>
      </c>
      <c r="E7" s="7">
        <f>D7/Sheet1!$I$9*Sheet1!$I$10</f>
        <v>0</v>
      </c>
      <c r="F7" s="477">
        <f>D7/Sheet1!$I$9*Sheet1!$I$11</f>
        <v>0</v>
      </c>
      <c r="G7" s="563">
        <f t="shared" si="0"/>
        <v>0</v>
      </c>
      <c r="H7" s="741"/>
      <c r="J7" s="738"/>
      <c r="K7" s="748"/>
      <c r="L7" s="562"/>
      <c r="M7" s="7">
        <f>SUMIFS(Sheet1!$N$2:$N$180,Sheet1!$Q$2:$Q$180,K6,Sheet1!$P$2:$P$180,L7)</f>
        <v>0</v>
      </c>
      <c r="N7" s="7">
        <f>M7/Sheet1!$T$9*Sheet1!$T$10</f>
        <v>0</v>
      </c>
      <c r="O7" s="477">
        <f>M7/Sheet1!$T$9*Sheet1!$T$11</f>
        <v>0</v>
      </c>
      <c r="P7" s="563">
        <f t="shared" si="1"/>
        <v>0</v>
      </c>
      <c r="Q7" s="741"/>
    </row>
    <row r="8" spans="1:17" ht="12.75" customHeight="1">
      <c r="A8" s="738"/>
      <c r="B8" s="747" t="s">
        <v>309</v>
      </c>
      <c r="C8" s="562"/>
      <c r="D8" s="7">
        <f>SUMIFS(Sheet1!$C$2:$C$180,Sheet1!$F$2:$F$180,B8,Sheet1!$E$2:$E$180,C8)</f>
        <v>0</v>
      </c>
      <c r="E8" s="7">
        <f>D8/Sheet1!$I$9*Sheet1!$I$10</f>
        <v>0</v>
      </c>
      <c r="F8" s="477">
        <f>D8/Sheet1!$I$9*Sheet1!$I$11</f>
        <v>0</v>
      </c>
      <c r="G8" s="564">
        <f t="shared" si="0"/>
        <v>0</v>
      </c>
      <c r="H8" s="741"/>
      <c r="J8" s="738"/>
      <c r="K8" s="747" t="s">
        <v>309</v>
      </c>
      <c r="L8" s="562"/>
      <c r="M8" s="7">
        <f>SUMIFS(Sheet1!$N$2:$N$180,Sheet1!$Q$2:$Q$180,K8,Sheet1!$P$2:$P$180,L8)</f>
        <v>0</v>
      </c>
      <c r="N8" s="7">
        <f>M8/Sheet1!$T$9*Sheet1!$T$10</f>
        <v>0</v>
      </c>
      <c r="O8" s="477">
        <f>M8/Sheet1!$T$9*Sheet1!$T$11</f>
        <v>0</v>
      </c>
      <c r="P8" s="564">
        <f t="shared" si="1"/>
        <v>0</v>
      </c>
      <c r="Q8" s="741"/>
    </row>
    <row r="9" spans="1:17" ht="12.75" customHeight="1">
      <c r="A9" s="738"/>
      <c r="B9" s="748"/>
      <c r="C9" s="562"/>
      <c r="D9" s="7">
        <f>SUMIFS(Sheet1!$C$2:$C$180,Sheet1!$F$2:$F$180,B8,Sheet1!$E$2:$E$180,C9)</f>
        <v>0</v>
      </c>
      <c r="E9" s="7">
        <f>D9/Sheet1!$I$9*Sheet1!$I$10</f>
        <v>0</v>
      </c>
      <c r="F9" s="477">
        <f>D9/Sheet1!$I$9*Sheet1!$I$11</f>
        <v>0</v>
      </c>
      <c r="G9" s="564">
        <f t="shared" si="0"/>
        <v>0</v>
      </c>
      <c r="H9" s="741"/>
      <c r="J9" s="738"/>
      <c r="K9" s="748"/>
      <c r="L9" s="562"/>
      <c r="M9" s="7">
        <f>SUMIFS(Sheet1!$N$2:$N$180,Sheet1!$Q$2:$Q$180,K8,Sheet1!$P$2:$P$180,L9)</f>
        <v>0</v>
      </c>
      <c r="N9" s="7">
        <f>M9/Sheet1!$T$9*Sheet1!$T$10</f>
        <v>0</v>
      </c>
      <c r="O9" s="477">
        <f>M9/Sheet1!$T$9*Sheet1!$T$11</f>
        <v>0</v>
      </c>
      <c r="P9" s="564">
        <f t="shared" si="1"/>
        <v>0</v>
      </c>
      <c r="Q9" s="741"/>
    </row>
    <row r="10" spans="1:17" ht="15" customHeight="1">
      <c r="A10" s="738"/>
      <c r="B10" s="747" t="s">
        <v>376</v>
      </c>
      <c r="C10" s="562"/>
      <c r="D10" s="7">
        <f>SUMIFS(Sheet1!$C$2:$C$180,Sheet1!$F$2:$F$180,B10,Sheet1!$E$2:$E$180,C10)</f>
        <v>0</v>
      </c>
      <c r="E10" s="7">
        <f>D10/Sheet1!$I$9*Sheet1!$I$10</f>
        <v>0</v>
      </c>
      <c r="F10" s="477">
        <f>D10/Sheet1!$I$9*Sheet1!$I$11</f>
        <v>0</v>
      </c>
      <c r="G10" s="564">
        <f t="shared" si="0"/>
        <v>0</v>
      </c>
      <c r="H10" s="741"/>
      <c r="J10" s="738"/>
      <c r="K10" s="747" t="s">
        <v>376</v>
      </c>
      <c r="L10" s="562"/>
      <c r="M10" s="7">
        <f>SUMIFS(Sheet1!$N$2:$N$180,Sheet1!$Q$2:$Q$180,K10,Sheet1!$P$2:$P$180,L10)</f>
        <v>0</v>
      </c>
      <c r="N10" s="7">
        <f>M10/Sheet1!$T$9*Sheet1!$T$10</f>
        <v>0</v>
      </c>
      <c r="O10" s="477">
        <f>M10/Sheet1!$T$9*Sheet1!$T$11</f>
        <v>0</v>
      </c>
      <c r="P10" s="564">
        <f t="shared" si="1"/>
        <v>0</v>
      </c>
      <c r="Q10" s="741"/>
    </row>
    <row r="11" spans="1:17" ht="15" customHeight="1">
      <c r="A11" s="738"/>
      <c r="B11" s="748"/>
      <c r="C11" s="562"/>
      <c r="D11" s="7">
        <f>SUMIFS(Sheet1!$C$2:$C$180,Sheet1!$F$2:$F$180,B10,Sheet1!$E$2:$E$180,C11)</f>
        <v>0</v>
      </c>
      <c r="E11" s="7">
        <f>D11/Sheet1!$I$9*Sheet1!$I$10</f>
        <v>0</v>
      </c>
      <c r="F11" s="477">
        <f>D11/Sheet1!$I$9*Sheet1!$I$11</f>
        <v>0</v>
      </c>
      <c r="G11" s="564">
        <f t="shared" si="0"/>
        <v>0</v>
      </c>
      <c r="H11" s="741"/>
      <c r="J11" s="738"/>
      <c r="K11" s="748"/>
      <c r="L11" s="562"/>
      <c r="M11" s="7">
        <f>SUMIFS(Sheet1!$N$2:$N$180,Sheet1!$Q$2:$Q$180,K10,Sheet1!$P$2:$P$180,L11)</f>
        <v>0</v>
      </c>
      <c r="N11" s="7">
        <f>M11/Sheet1!$T$9*Sheet1!$T$10</f>
        <v>0</v>
      </c>
      <c r="O11" s="477">
        <f>M11/Sheet1!$T$9*Sheet1!$T$11</f>
        <v>0</v>
      </c>
      <c r="P11" s="564">
        <f t="shared" si="1"/>
        <v>0</v>
      </c>
      <c r="Q11" s="741"/>
    </row>
    <row r="12" spans="1:17" ht="15" customHeight="1">
      <c r="A12" s="739"/>
      <c r="B12" s="593" t="s">
        <v>633</v>
      </c>
      <c r="C12" s="562" t="s">
        <v>621</v>
      </c>
      <c r="D12" s="7">
        <f>SUMIFS(Sheet1!$C$2:$C$180,Sheet1!$F$2:$F$180,B12,Sheet1!$E$2:$E$180,C12)</f>
        <v>15957</v>
      </c>
      <c r="E12" s="7">
        <f>D12/Sheet1!$I$9*Sheet1!$I$10</f>
        <v>486.08178568574652</v>
      </c>
      <c r="F12" s="477">
        <f>D12/Sheet1!$I$9*Sheet1!$I$11</f>
        <v>0.35441379582086968</v>
      </c>
      <c r="G12" s="592">
        <f t="shared" ref="G12" si="2">F12</f>
        <v>0.35441379582086968</v>
      </c>
      <c r="H12" s="742"/>
      <c r="J12" s="739"/>
      <c r="K12" s="593" t="s">
        <v>633</v>
      </c>
      <c r="L12" s="562" t="s">
        <v>621</v>
      </c>
      <c r="M12" s="7">
        <f>SUMIFS(Sheet1!$N$2:$N$180,Sheet1!$Q$2:$Q$180,K12,Sheet1!$P$2:$P$180,L12)</f>
        <v>0</v>
      </c>
      <c r="N12" s="7">
        <f>M12/Sheet1!$T$9*Sheet1!$T$10</f>
        <v>0</v>
      </c>
      <c r="O12" s="477">
        <f>M12/Sheet1!$T$9*Sheet1!$T$11</f>
        <v>0</v>
      </c>
      <c r="P12" s="592">
        <f t="shared" ref="P12" si="3">O12</f>
        <v>0</v>
      </c>
      <c r="Q12" s="742"/>
    </row>
    <row r="13" spans="1:17" ht="15">
      <c r="A13" s="758" t="s">
        <v>10</v>
      </c>
      <c r="B13" s="559" t="s">
        <v>149</v>
      </c>
      <c r="C13" s="562" t="s">
        <v>149</v>
      </c>
      <c r="D13" s="7"/>
      <c r="E13" s="7">
        <f>+Sheet1!I2</f>
        <v>5.4690586559360073</v>
      </c>
      <c r="F13" s="477">
        <f>E13/Sheet1!$I$8</f>
        <v>3.9876207973577266E-3</v>
      </c>
      <c r="G13" s="563">
        <f t="shared" si="0"/>
        <v>3.9876207973577266E-3</v>
      </c>
      <c r="H13" s="749">
        <f>SUM(G13:G14)</f>
        <v>4.6268611372958748E-2</v>
      </c>
      <c r="J13" s="758" t="s">
        <v>10</v>
      </c>
      <c r="K13" s="559" t="s">
        <v>149</v>
      </c>
      <c r="L13" s="562" t="s">
        <v>149</v>
      </c>
      <c r="M13" s="7"/>
      <c r="N13" s="7">
        <f>+Sheet1!T2</f>
        <v>5.4690586559360073</v>
      </c>
      <c r="O13" s="477">
        <f>+Sheet1!U2</f>
        <v>6.3035376569927993E-3</v>
      </c>
      <c r="P13" s="563">
        <f t="shared" si="1"/>
        <v>6.3035376569927993E-3</v>
      </c>
      <c r="Q13" s="749">
        <f>SUM(P13:P14)</f>
        <v>7.3140338298834123E-2</v>
      </c>
    </row>
    <row r="14" spans="1:17" ht="15">
      <c r="A14" s="758"/>
      <c r="B14" s="559" t="s">
        <v>240</v>
      </c>
      <c r="C14" s="562" t="s">
        <v>241</v>
      </c>
      <c r="D14" s="7"/>
      <c r="E14" s="7">
        <f>+Sheet1!I3</f>
        <v>57.988768049926335</v>
      </c>
      <c r="F14" s="477">
        <f>E14/Sheet1!$I$8</f>
        <v>4.2280990575601023E-2</v>
      </c>
      <c r="G14" s="563">
        <f t="shared" si="0"/>
        <v>4.2280990575601023E-2</v>
      </c>
      <c r="H14" s="750"/>
      <c r="J14" s="758"/>
      <c r="K14" s="559" t="s">
        <v>240</v>
      </c>
      <c r="L14" s="562" t="s">
        <v>241</v>
      </c>
      <c r="M14" s="7"/>
      <c r="N14" s="7">
        <f>+Sheet1!T3</f>
        <v>57.988768049926335</v>
      </c>
      <c r="O14" s="477">
        <f>+Sheet1!U3</f>
        <v>6.6836800641841318E-2</v>
      </c>
      <c r="P14" s="563">
        <f t="shared" si="1"/>
        <v>6.6836800641841318E-2</v>
      </c>
      <c r="Q14" s="750"/>
    </row>
    <row r="15" spans="1:17" ht="15">
      <c r="A15" s="737" t="s">
        <v>12</v>
      </c>
      <c r="B15" s="559" t="s">
        <v>242</v>
      </c>
      <c r="C15" s="562" t="s">
        <v>242</v>
      </c>
      <c r="D15" s="7"/>
      <c r="E15" s="7">
        <f>+Sheet1!I4</f>
        <v>-21.537040925069441</v>
      </c>
      <c r="F15" s="477">
        <f>E15/Sheet1!$I$8</f>
        <v>-1.5703168992919334E-2</v>
      </c>
      <c r="G15" s="563">
        <f t="shared" si="0"/>
        <v>-1.5703168992919334E-2</v>
      </c>
      <c r="H15" s="751">
        <f>SUM(G15:G24)</f>
        <v>5.7294197669756554E-2</v>
      </c>
      <c r="J15" s="737" t="s">
        <v>12</v>
      </c>
      <c r="K15" s="559" t="s">
        <v>242</v>
      </c>
      <c r="L15" s="562" t="s">
        <v>242</v>
      </c>
      <c r="M15" s="7"/>
      <c r="N15" s="7">
        <f>+Sheet1!T4</f>
        <v>2.7900535693328719</v>
      </c>
      <c r="O15" s="477">
        <f>+Sheet1!U4</f>
        <v>3.2157650604511478E-3</v>
      </c>
      <c r="P15" s="563">
        <f t="shared" si="1"/>
        <v>3.2157650604511478E-3</v>
      </c>
      <c r="Q15" s="751">
        <f>SUM(P15:P24)</f>
        <v>9.3694302799236323E-2</v>
      </c>
    </row>
    <row r="16" spans="1:17" ht="15">
      <c r="A16" s="738"/>
      <c r="B16" s="559" t="s">
        <v>243</v>
      </c>
      <c r="C16" s="562" t="s">
        <v>243</v>
      </c>
      <c r="D16" s="7"/>
      <c r="E16" s="7">
        <f>+Sheet1!I5</f>
        <v>60.028597526307607</v>
      </c>
      <c r="F16" s="477">
        <f>E16/Sheet1!$I$8</f>
        <v>4.3768278782732012E-2</v>
      </c>
      <c r="G16" s="563">
        <f>F16</f>
        <v>4.3768278782732012E-2</v>
      </c>
      <c r="H16" s="751"/>
      <c r="J16" s="738"/>
      <c r="K16" s="559" t="s">
        <v>243</v>
      </c>
      <c r="L16" s="562" t="s">
        <v>243</v>
      </c>
      <c r="M16" s="7"/>
      <c r="N16" s="7">
        <f>+Sheet1!T5</f>
        <v>35.70150303190529</v>
      </c>
      <c r="O16" s="477">
        <f>+Sheet1!U5</f>
        <v>4.1148903848123364E-2</v>
      </c>
      <c r="P16" s="563">
        <f>O16</f>
        <v>4.1148903848123364E-2</v>
      </c>
      <c r="Q16" s="751"/>
    </row>
    <row r="17" spans="1:17">
      <c r="A17" s="738"/>
      <c r="B17" s="752" t="s">
        <v>244</v>
      </c>
      <c r="C17" s="562"/>
      <c r="D17" s="7">
        <f>SUMIFS(Sheet1!$C$2:$C$180,Sheet1!$F$2:$F$180,B17,Sheet1!$E$2:$E$180,C17)</f>
        <v>0</v>
      </c>
      <c r="E17" s="7">
        <f>D17/Sheet1!$I$9*Sheet1!$I$10</f>
        <v>0</v>
      </c>
      <c r="F17" s="477">
        <f>D17/Sheet1!$I$9*Sheet1!$I$11</f>
        <v>0</v>
      </c>
      <c r="G17" s="753">
        <f>SUM(F17:F18)</f>
        <v>0</v>
      </c>
      <c r="H17" s="751"/>
      <c r="J17" s="738"/>
      <c r="K17" s="752" t="s">
        <v>244</v>
      </c>
      <c r="L17" s="562"/>
      <c r="M17" s="7">
        <f>SUMIFS(Sheet1!$N$2:$N$180,Sheet1!$Q$2:$Q$180,K17,Sheet1!$P$2:$P$180,L17)</f>
        <v>0</v>
      </c>
      <c r="N17" s="7">
        <f>M17/Sheet1!$T$9*Sheet1!$T$10</f>
        <v>0</v>
      </c>
      <c r="O17" s="477">
        <f>M17/Sheet1!$T$9*Sheet1!$T$11</f>
        <v>0</v>
      </c>
      <c r="P17" s="753">
        <f>SUM(O17:O18)</f>
        <v>0</v>
      </c>
      <c r="Q17" s="751"/>
    </row>
    <row r="18" spans="1:17">
      <c r="A18" s="738"/>
      <c r="B18" s="752"/>
      <c r="C18" s="562"/>
      <c r="D18" s="7">
        <f>SUMIFS(Sheet1!$C$2:$C$180,Sheet1!$F$2:$F$180,B17,Sheet1!$E$2:$E$180,C18)</f>
        <v>0</v>
      </c>
      <c r="E18" s="7">
        <f>D18/Sheet1!$I$9*Sheet1!$I$10</f>
        <v>0</v>
      </c>
      <c r="F18" s="477">
        <f>D18/Sheet1!$I$9*Sheet1!$I$11</f>
        <v>0</v>
      </c>
      <c r="G18" s="753"/>
      <c r="H18" s="751"/>
      <c r="J18" s="738"/>
      <c r="K18" s="752"/>
      <c r="L18" s="562"/>
      <c r="M18" s="7">
        <f>SUMIFS(Sheet1!$N$2:$N$180,Sheet1!$Q$2:$Q$180,K17,Sheet1!$P$2:$P$180,L18)</f>
        <v>0</v>
      </c>
      <c r="N18" s="7">
        <f>M18/Sheet1!$T$9*Sheet1!$T$10</f>
        <v>0</v>
      </c>
      <c r="O18" s="477">
        <f>M18/Sheet1!$T$9*Sheet1!$T$11</f>
        <v>0</v>
      </c>
      <c r="P18" s="753"/>
      <c r="Q18" s="751"/>
    </row>
    <row r="19" spans="1:17" ht="15">
      <c r="A19" s="738"/>
      <c r="B19" s="559" t="s">
        <v>245</v>
      </c>
      <c r="C19" s="562" t="s">
        <v>222</v>
      </c>
      <c r="D19" s="7">
        <f>SUMIFS(Sheet1!$C$2:$C$180,Sheet1!$F$2:$F$180,B19,Sheet1!$E$2:$E$180,C19)</f>
        <v>0</v>
      </c>
      <c r="E19" s="7">
        <f>D19/Sheet1!$I$9*Sheet1!$I$10</f>
        <v>0</v>
      </c>
      <c r="F19" s="477">
        <f>D19/Sheet1!$I$9*Sheet1!$I$11</f>
        <v>0</v>
      </c>
      <c r="G19" s="563">
        <f>F19</f>
        <v>0</v>
      </c>
      <c r="H19" s="751"/>
      <c r="J19" s="738"/>
      <c r="K19" s="559" t="s">
        <v>245</v>
      </c>
      <c r="L19" s="562" t="s">
        <v>222</v>
      </c>
      <c r="M19" s="7">
        <f>SUMIFS(Sheet1!$N$2:$N$180,Sheet1!$Q$2:$Q$180,K19,Sheet1!$P$2:$P$180,L19)</f>
        <v>0</v>
      </c>
      <c r="N19" s="7">
        <f>M19/Sheet1!$T$9*Sheet1!$T$10</f>
        <v>0</v>
      </c>
      <c r="O19" s="477">
        <f>M19/Sheet1!$T$9*Sheet1!$T$11</f>
        <v>0</v>
      </c>
      <c r="P19" s="563">
        <f>O19</f>
        <v>0</v>
      </c>
      <c r="Q19" s="751"/>
    </row>
    <row r="20" spans="1:17">
      <c r="A20" s="738"/>
      <c r="B20" s="747" t="s">
        <v>246</v>
      </c>
      <c r="C20" s="562" t="s">
        <v>247</v>
      </c>
      <c r="D20" s="7">
        <f>SUMIFS(Sheet1!$C$2:$C$180,Sheet1!$F$2:$F$180,B20,Sheet1!$E$2:$E$180,C20)</f>
        <v>165</v>
      </c>
      <c r="E20" s="7">
        <f>D20/Sheet1!$I$9*Sheet1!$I$10</f>
        <v>5.0262263983297721</v>
      </c>
      <c r="F20" s="477">
        <f>D20/Sheet1!$I$9*Sheet1!$I$11</f>
        <v>3.6647412615431157E-3</v>
      </c>
      <c r="G20" s="755">
        <f>SUM(F20:F24)</f>
        <v>2.9229087879943876E-2</v>
      </c>
      <c r="H20" s="751"/>
      <c r="J20" s="738"/>
      <c r="K20" s="747" t="s">
        <v>246</v>
      </c>
      <c r="L20" s="562" t="s">
        <v>247</v>
      </c>
      <c r="M20" s="7">
        <f>SUMIFS(Sheet1!$N$2:$N$180,Sheet1!$Q$2:$Q$180,$K$20,Sheet1!$P$2:$P$180,L20)</f>
        <v>165</v>
      </c>
      <c r="N20" s="7">
        <f>M20/Sheet1!$T$9*Sheet1!$T$10</f>
        <v>5.3661669088817749</v>
      </c>
      <c r="O20" s="477">
        <f>M20/Sheet1!$T$9*Sheet1!$T$11</f>
        <v>6.1849464984492404E-3</v>
      </c>
      <c r="P20" s="755">
        <f>SUM(O20:O24)</f>
        <v>4.932963389066182E-2</v>
      </c>
      <c r="Q20" s="751"/>
    </row>
    <row r="21" spans="1:17">
      <c r="A21" s="738"/>
      <c r="B21" s="754"/>
      <c r="C21" s="562" t="s">
        <v>248</v>
      </c>
      <c r="D21" s="7">
        <f>SUMIFS(Sheet1!$C$2:$C$180,Sheet1!$F$2:$F$180,B20,Sheet1!$E$2:$E$180,C21)</f>
        <v>845</v>
      </c>
      <c r="E21" s="7">
        <f>D21/Sheet1!$I$9*Sheet1!$I$10</f>
        <v>25.740371555082771</v>
      </c>
      <c r="F21" s="477">
        <f>D21/Sheet1!$I$9*Sheet1!$I$11</f>
        <v>1.8767917369720801E-2</v>
      </c>
      <c r="G21" s="756"/>
      <c r="H21" s="751"/>
      <c r="J21" s="738"/>
      <c r="K21" s="754"/>
      <c r="L21" s="562" t="s">
        <v>248</v>
      </c>
      <c r="M21" s="7">
        <f>SUMIFS(Sheet1!$N$2:$N$180,Sheet1!$Q$2:$Q$180,$K$20,Sheet1!$P$2:$P$180,L21)</f>
        <v>845</v>
      </c>
      <c r="N21" s="7">
        <f>M21/Sheet1!$T$9*Sheet1!$T$10</f>
        <v>27.481279018212728</v>
      </c>
      <c r="O21" s="477">
        <f>M21/Sheet1!$T$9*Sheet1!$T$11</f>
        <v>3.1674422976906716E-2</v>
      </c>
      <c r="P21" s="756"/>
      <c r="Q21" s="751"/>
    </row>
    <row r="22" spans="1:17">
      <c r="A22" s="738"/>
      <c r="B22" s="754"/>
      <c r="C22" s="562" t="s">
        <v>249</v>
      </c>
      <c r="D22" s="7">
        <f>SUMIFS(Sheet1!$C$2:$C$180,Sheet1!$F$2:$F$180,B20,Sheet1!$E$2:$E$180,C22)</f>
        <v>306</v>
      </c>
      <c r="E22" s="7">
        <f>D22/Sheet1!$I$9*Sheet1!$I$10</f>
        <v>9.3213653205388507</v>
      </c>
      <c r="F22" s="477">
        <f>D22/Sheet1!$I$9*Sheet1!$I$11</f>
        <v>6.79642924867996E-3</v>
      </c>
      <c r="G22" s="756"/>
      <c r="H22" s="751"/>
      <c r="J22" s="738"/>
      <c r="K22" s="754"/>
      <c r="L22" s="562" t="s">
        <v>249</v>
      </c>
      <c r="M22" s="7">
        <f>SUMIFS(Sheet1!$N$2:$N$180,Sheet1!$Q$2:$Q$180,$K$20,Sheet1!$P$2:$P$180,L22)</f>
        <v>306</v>
      </c>
      <c r="N22" s="7">
        <f>M22/Sheet1!$T$9*Sheet1!$T$10</f>
        <v>9.9518004491989291</v>
      </c>
      <c r="O22" s="477">
        <f>M22/Sheet1!$T$9*Sheet1!$T$11</f>
        <v>1.1470264415305863E-2</v>
      </c>
      <c r="P22" s="756"/>
      <c r="Q22" s="751"/>
    </row>
    <row r="23" spans="1:17">
      <c r="A23" s="738"/>
      <c r="B23" s="754"/>
      <c r="C23" s="562" t="s">
        <v>13</v>
      </c>
      <c r="D23" s="7">
        <f>SUMIFS(Sheet1!$C$2:$C$180,Sheet1!$F$2:$F$180,B20,Sheet1!$E$2:$E$180,C23)</f>
        <v>0</v>
      </c>
      <c r="E23" s="7">
        <f>D23/Sheet1!$I$9*Sheet1!$I$10</f>
        <v>0</v>
      </c>
      <c r="F23" s="477">
        <f>D23/Sheet1!$I$9*Sheet1!$I$11</f>
        <v>0</v>
      </c>
      <c r="G23" s="756"/>
      <c r="H23" s="751"/>
      <c r="J23" s="738"/>
      <c r="K23" s="754"/>
      <c r="L23" s="562" t="s">
        <v>13</v>
      </c>
      <c r="M23" s="7">
        <f>SUMIFS(Sheet1!$N$2:$N$180,Sheet1!$Q$2:$Q$180,$K$20,Sheet1!$P$2:$P$180,L23)</f>
        <v>0</v>
      </c>
      <c r="N23" s="7">
        <f>M23/Sheet1!$T$9*Sheet1!$T$10</f>
        <v>0</v>
      </c>
      <c r="O23" s="477">
        <f>M23/Sheet1!$T$9*Sheet1!$T$11</f>
        <v>0</v>
      </c>
      <c r="P23" s="756"/>
      <c r="Q23" s="751"/>
    </row>
    <row r="24" spans="1:17">
      <c r="A24" s="738"/>
      <c r="B24" s="748"/>
      <c r="C24" s="562"/>
      <c r="D24" s="7">
        <f>SUMIFS(Sheet1!$C$2:$C$180,Sheet1!$F$2:$F$180,B20,Sheet1!$E$2:$E$180,C24)</f>
        <v>0</v>
      </c>
      <c r="E24" s="7">
        <f>D24/Sheet1!$I$9*Sheet1!$I$10</f>
        <v>0</v>
      </c>
      <c r="F24" s="477">
        <f>D24/Sheet1!$I$9*Sheet1!$I$11</f>
        <v>0</v>
      </c>
      <c r="G24" s="757"/>
      <c r="H24" s="751"/>
      <c r="J24" s="738"/>
      <c r="K24" s="748"/>
      <c r="L24" s="562"/>
      <c r="M24" s="7">
        <f>SUMIFS(Sheet1!$N$2:$N$180,Sheet1!$Q$2:$Q$180,$K$20,Sheet1!$P$2:$P$180,L24)</f>
        <v>0</v>
      </c>
      <c r="N24" s="7">
        <f>M24/Sheet1!$T$9*Sheet1!$T$10</f>
        <v>0</v>
      </c>
      <c r="O24" s="477">
        <f>M24/Sheet1!$T$9*Sheet1!$T$11</f>
        <v>0</v>
      </c>
      <c r="P24" s="757"/>
      <c r="Q24" s="751"/>
    </row>
    <row r="25" spans="1:17" ht="12.75" customHeight="1">
      <c r="A25" s="758" t="s">
        <v>250</v>
      </c>
      <c r="B25" s="752" t="s">
        <v>251</v>
      </c>
      <c r="C25" t="s">
        <v>474</v>
      </c>
      <c r="D25" s="7">
        <f>SUMIFS(Sheet1!$C$2:$C$180,Sheet1!$F$2:$F$180,B25,Sheet1!$E$2:$E$180,C25)</f>
        <v>57</v>
      </c>
      <c r="E25" s="7">
        <f>D25/Sheet1!$I$9*Sheet1!$I$10</f>
        <v>1.7363327557866486</v>
      </c>
      <c r="F25" s="477">
        <f>D25/Sheet1!$I$9*Sheet1!$I$11</f>
        <v>1.2660015267148945E-3</v>
      </c>
      <c r="G25" s="753">
        <f>SUM(F25:F31)</f>
        <v>3.1983196464376281E-3</v>
      </c>
      <c r="H25" s="751">
        <f>SUM(G25:G38)</f>
        <v>1.5214228873678994E-2</v>
      </c>
      <c r="J25" s="758" t="s">
        <v>250</v>
      </c>
      <c r="K25" s="752" t="s">
        <v>251</v>
      </c>
      <c r="L25" t="s">
        <v>474</v>
      </c>
      <c r="M25" s="7">
        <f>SUMIFS(Sheet1!$N$2:$N$180,Sheet1!$Q$2:$Q$180,$K$25,Sheet1!$P$2:$P$180,L25)</f>
        <v>57</v>
      </c>
      <c r="N25" s="7">
        <f>M25/Sheet1!$T$9*Sheet1!$T$10</f>
        <v>1.8537667503409767</v>
      </c>
      <c r="O25" s="477">
        <f>M25/Sheet1!$T$9*Sheet1!$T$11</f>
        <v>2.1366178812824649E-3</v>
      </c>
      <c r="P25" s="753">
        <f>SUM(O25:O31)</f>
        <v>5.3977714895557007E-3</v>
      </c>
      <c r="Q25" s="751">
        <f>SUM(P25:P38)</f>
        <v>2.5676899099622605E-2</v>
      </c>
    </row>
    <row r="26" spans="1:17" ht="12.75" customHeight="1">
      <c r="A26" s="758"/>
      <c r="B26" s="752"/>
      <c r="C26" s="565" t="s">
        <v>622</v>
      </c>
      <c r="D26" s="7">
        <f>SUMIFS(Sheet1!$C$2:$C$180,Sheet1!$F$2:$F$180,B25,Sheet1!$E$2:$E$180,C26)</f>
        <v>87</v>
      </c>
      <c r="E26" s="7">
        <f>D26/Sheet1!$I$9*Sheet1!$I$10</f>
        <v>2.6501921009375162</v>
      </c>
      <c r="F26" s="477">
        <f>D26/Sheet1!$I$9*Sheet1!$I$11</f>
        <v>1.9323181197227334E-3</v>
      </c>
      <c r="G26" s="753"/>
      <c r="H26" s="751"/>
      <c r="J26" s="758"/>
      <c r="K26" s="752"/>
      <c r="L26" s="565" t="s">
        <v>622</v>
      </c>
      <c r="M26" s="7">
        <f>SUMIFS(Sheet1!$N$2:$N$180,Sheet1!$Q$2:$Q$180,$K$25,Sheet1!$P$2:$P$180,L26)</f>
        <v>87</v>
      </c>
      <c r="N26" s="7">
        <f>M26/Sheet1!$T$9*Sheet1!$T$10</f>
        <v>2.829433461046754</v>
      </c>
      <c r="O26" s="477">
        <f>M26/Sheet1!$T$9*Sheet1!$T$11</f>
        <v>3.2611536082732357E-3</v>
      </c>
      <c r="P26" s="753"/>
      <c r="Q26" s="751"/>
    </row>
    <row r="27" spans="1:17" ht="12.75" customHeight="1">
      <c r="A27" s="758"/>
      <c r="B27" s="752"/>
      <c r="C27" s="542"/>
      <c r="D27" s="7">
        <f>SUMIFS(Sheet1!$C$2:$C$180,Sheet1!$F$2:$F$180,B25,Sheet1!$E$2:$E$180,C27)</f>
        <v>0</v>
      </c>
      <c r="E27" s="7">
        <f>D27/Sheet1!$I$9*Sheet1!$I$10</f>
        <v>0</v>
      </c>
      <c r="F27" s="477">
        <f>D27/Sheet1!$I$9*Sheet1!$I$11</f>
        <v>0</v>
      </c>
      <c r="G27" s="753"/>
      <c r="H27" s="751"/>
      <c r="J27" s="758"/>
      <c r="K27" s="752"/>
      <c r="L27" s="542"/>
      <c r="M27" s="7">
        <f>SUMIFS(Sheet1!$N$2:$N$180,Sheet1!$Q$2:$Q$180,$K$25,Sheet1!$P$2:$P$180,L27)</f>
        <v>0</v>
      </c>
      <c r="N27" s="7">
        <f>M27/Sheet1!$T$9*Sheet1!$T$10</f>
        <v>0</v>
      </c>
      <c r="O27" s="477">
        <f>M27/Sheet1!$T$9*Sheet1!$T$11</f>
        <v>0</v>
      </c>
      <c r="P27" s="753"/>
      <c r="Q27" s="751"/>
    </row>
    <row r="28" spans="1:17" ht="12.75" customHeight="1">
      <c r="A28" s="758"/>
      <c r="B28" s="752"/>
      <c r="D28" s="7">
        <f>SUMIFS(Sheet1!$C$2:$C$180,Sheet1!$F$2:$F$180,B25,Sheet1!$E$2:$E$180,C28)</f>
        <v>0</v>
      </c>
      <c r="E28" s="7">
        <f>D28/Sheet1!$I$9*Sheet1!$I$10</f>
        <v>0</v>
      </c>
      <c r="F28" s="477">
        <f>D28/Sheet1!$I$9*Sheet1!$I$11</f>
        <v>0</v>
      </c>
      <c r="G28" s="753"/>
      <c r="H28" s="751"/>
      <c r="J28" s="758"/>
      <c r="K28" s="752"/>
      <c r="M28" s="7">
        <f>SUMIFS(Sheet1!$N$2:$N$180,Sheet1!$Q$2:$Q$180,$K$25,Sheet1!$P$2:$P$180,L28)</f>
        <v>0</v>
      </c>
      <c r="N28" s="7">
        <f>M28/Sheet1!$T$9*Sheet1!$T$10</f>
        <v>0</v>
      </c>
      <c r="O28" s="477">
        <f>M28/Sheet1!$T$9*Sheet1!$T$11</f>
        <v>0</v>
      </c>
      <c r="P28" s="753"/>
      <c r="Q28" s="751"/>
    </row>
    <row r="29" spans="1:17" ht="12.75" customHeight="1">
      <c r="A29" s="758"/>
      <c r="B29" s="752"/>
      <c r="C29" s="562"/>
      <c r="D29" s="7">
        <f>SUMIFS(Sheet1!$C$2:$C$180,Sheet1!$F$2:$F$180,B25,Sheet1!$E$2:$E$180,C29)</f>
        <v>0</v>
      </c>
      <c r="E29" s="7">
        <f>D29/Sheet1!$I$9*Sheet1!$I$10</f>
        <v>0</v>
      </c>
      <c r="F29" s="477">
        <f>D29/Sheet1!$I$9*Sheet1!$I$11</f>
        <v>0</v>
      </c>
      <c r="G29" s="753"/>
      <c r="H29" s="751"/>
      <c r="J29" s="758"/>
      <c r="K29" s="752"/>
      <c r="L29" s="562"/>
      <c r="M29" s="7">
        <f>SUMIFS(Sheet1!$N$2:$N$180,Sheet1!$Q$2:$Q$180,$K$25,Sheet1!$P$2:$P$180,L29)</f>
        <v>0</v>
      </c>
      <c r="N29" s="7">
        <f>M29/Sheet1!$T$9*Sheet1!$T$10</f>
        <v>0</v>
      </c>
      <c r="O29" s="477">
        <f>M29/Sheet1!$T$9*Sheet1!$T$11</f>
        <v>0</v>
      </c>
      <c r="P29" s="753"/>
      <c r="Q29" s="751"/>
    </row>
    <row r="30" spans="1:17" ht="12.75" customHeight="1">
      <c r="A30" s="758"/>
      <c r="B30" s="752"/>
      <c r="C30" s="562"/>
      <c r="D30" s="7">
        <f>SUMIFS(Sheet1!$C$2:$C$180,Sheet1!$F$2:$F$180,B25,Sheet1!$E$2:$E$180,C30)</f>
        <v>0</v>
      </c>
      <c r="E30" s="7">
        <f>D30/Sheet1!$I$9*Sheet1!$I$10</f>
        <v>0</v>
      </c>
      <c r="F30" s="477">
        <f>D30/Sheet1!$I$9*Sheet1!$I$11</f>
        <v>0</v>
      </c>
      <c r="G30" s="753"/>
      <c r="H30" s="751"/>
      <c r="J30" s="758"/>
      <c r="K30" s="752"/>
      <c r="L30" s="562"/>
      <c r="M30" s="7">
        <f>SUMIFS(Sheet1!$N$2:$N$180,Sheet1!$Q$2:$Q$180,$K$25,Sheet1!$P$2:$P$180,L30)</f>
        <v>0</v>
      </c>
      <c r="N30" s="7">
        <f>M30/Sheet1!$T$9*Sheet1!$T$10</f>
        <v>0</v>
      </c>
      <c r="O30" s="477">
        <f>M30/Sheet1!$T$9*Sheet1!$T$11</f>
        <v>0</v>
      </c>
      <c r="P30" s="753"/>
      <c r="Q30" s="751"/>
    </row>
    <row r="31" spans="1:17" ht="12.75" customHeight="1">
      <c r="A31" s="758"/>
      <c r="B31" s="752"/>
      <c r="C31" s="562"/>
      <c r="D31" s="7">
        <f>SUMIFS(Sheet1!$C$2:$C$180,Sheet1!$F$2:$F$180,B25,Sheet1!$E$2:$E$180,C31)</f>
        <v>0</v>
      </c>
      <c r="E31" s="7">
        <f>D31/Sheet1!$I$9*Sheet1!$I$10</f>
        <v>0</v>
      </c>
      <c r="F31" s="477">
        <f>D31/Sheet1!$I$9*Sheet1!$I$11</f>
        <v>0</v>
      </c>
      <c r="G31" s="753"/>
      <c r="H31" s="751"/>
      <c r="J31" s="758"/>
      <c r="K31" s="752"/>
      <c r="L31" s="562"/>
      <c r="M31" s="7">
        <f>SUMIFS(Sheet1!$N$2:$N$180,Sheet1!$Q$2:$Q$180,$K$25,Sheet1!$P$2:$P$180,L31)</f>
        <v>0</v>
      </c>
      <c r="N31" s="7">
        <f>M31/Sheet1!$T$9*Sheet1!$T$10</f>
        <v>0</v>
      </c>
      <c r="O31" s="477">
        <f>M31/Sheet1!$T$9*Sheet1!$T$11</f>
        <v>0</v>
      </c>
      <c r="P31" s="753"/>
      <c r="Q31" s="751"/>
    </row>
    <row r="32" spans="1:17" ht="12.75" customHeight="1">
      <c r="A32" s="758"/>
      <c r="B32" s="747" t="s">
        <v>252</v>
      </c>
      <c r="C32" s="561" t="s">
        <v>674</v>
      </c>
      <c r="D32" s="7">
        <f>SUMIFS(Sheet1!$C$2:$C$180,Sheet1!$F$2:$F$180,B32,Sheet1!$E$2:$E$180,C32)</f>
        <v>541</v>
      </c>
      <c r="E32" s="7">
        <f>D32/Sheet1!$I$9*Sheet1!$I$10</f>
        <v>16.479930190887313</v>
      </c>
      <c r="F32" s="477">
        <f>D32/Sheet1!$I$9*Sheet1!$I$11</f>
        <v>1.2015909227241366E-2</v>
      </c>
      <c r="G32" s="755">
        <f>SUM(F32:F33)</f>
        <v>1.2015909227241366E-2</v>
      </c>
      <c r="H32" s="751"/>
      <c r="J32" s="758"/>
      <c r="K32" s="747" t="s">
        <v>252</v>
      </c>
      <c r="L32" s="561" t="s">
        <v>674</v>
      </c>
      <c r="M32" s="7">
        <f>SUMIFS(Sheet1!$N$2:$N$180,Sheet1!$Q$2:$Q$180,$K$32,Sheet1!$P$2:$P$180,L32)</f>
        <v>541</v>
      </c>
      <c r="N32" s="7">
        <f>M32/Sheet1!$T$9*Sheet1!$T$10</f>
        <v>17.594523016394184</v>
      </c>
      <c r="O32" s="477">
        <f>M32/Sheet1!$T$9*Sheet1!$T$11</f>
        <v>2.0279127610066904E-2</v>
      </c>
      <c r="P32" s="755">
        <f>SUM(O32:O33)</f>
        <v>2.0279127610066904E-2</v>
      </c>
      <c r="Q32" s="751"/>
    </row>
    <row r="33" spans="1:17" ht="12.75" customHeight="1">
      <c r="A33" s="758"/>
      <c r="B33" s="748"/>
      <c r="C33" s="562"/>
      <c r="D33" s="7">
        <f>SUMIFS(Sheet1!$C$2:$C$180,Sheet1!$F$2:$F$180,B32,Sheet1!$E$2:$E$180,C33)</f>
        <v>0</v>
      </c>
      <c r="E33" s="7">
        <f>D33/Sheet1!$I$9*Sheet1!$I$10</f>
        <v>0</v>
      </c>
      <c r="F33" s="477">
        <f>D33/Sheet1!$I$9*Sheet1!$I$11</f>
        <v>0</v>
      </c>
      <c r="G33" s="757"/>
      <c r="H33" s="751"/>
      <c r="J33" s="758"/>
      <c r="K33" s="748"/>
      <c r="L33" s="562"/>
      <c r="M33" s="7">
        <f>SUMIFS(Sheet1!$N$2:$N$180,Sheet1!$Q$2:$Q$180,$K$32,Sheet1!$P$2:$P$180,L33)</f>
        <v>0</v>
      </c>
      <c r="N33" s="7">
        <f>M33/Sheet1!$T$9*Sheet1!$T$10</f>
        <v>0</v>
      </c>
      <c r="O33" s="477">
        <f>M33/Sheet1!$T$9*Sheet1!$T$11</f>
        <v>0</v>
      </c>
      <c r="P33" s="757"/>
      <c r="Q33" s="751"/>
    </row>
    <row r="34" spans="1:17" ht="12.75" customHeight="1">
      <c r="A34" s="758"/>
      <c r="B34" s="752" t="s">
        <v>253</v>
      </c>
      <c r="C34" s="562"/>
      <c r="D34" s="7">
        <f>SUMIFS(Sheet1!$C$2:$C$180,Sheet1!$F$2:$F$180,B34,Sheet1!$E$2:$E$180,C34)</f>
        <v>0</v>
      </c>
      <c r="E34" s="7">
        <f>D34/Sheet1!$I$9*Sheet1!$I$10</f>
        <v>0</v>
      </c>
      <c r="F34" s="477">
        <f>D34/Sheet1!$I$9*Sheet1!$I$11</f>
        <v>0</v>
      </c>
      <c r="G34" s="753">
        <f>SUM(F34:F36)</f>
        <v>0</v>
      </c>
      <c r="H34" s="751"/>
      <c r="J34" s="758"/>
      <c r="K34" s="752" t="s">
        <v>253</v>
      </c>
      <c r="L34" s="562"/>
      <c r="M34" s="7">
        <f>SUMIFS(Sheet1!$N$2:$N$180,Sheet1!$Q$2:$Q$180,$K$34,Sheet1!$P$2:$P$180,L34)</f>
        <v>0</v>
      </c>
      <c r="N34" s="7">
        <f>M34/Sheet1!$T$9*Sheet1!$T$10</f>
        <v>0</v>
      </c>
      <c r="O34" s="477">
        <f>M34/Sheet1!$T$9*Sheet1!$T$11</f>
        <v>0</v>
      </c>
      <c r="P34" s="753">
        <f>SUM(O34:O36)</f>
        <v>0</v>
      </c>
      <c r="Q34" s="751"/>
    </row>
    <row r="35" spans="1:17" ht="12.75" customHeight="1">
      <c r="A35" s="758"/>
      <c r="B35" s="752"/>
      <c r="C35" s="562"/>
      <c r="D35" s="7">
        <f>SUMIFS(Sheet1!$C$2:$C$180,Sheet1!$F$2:$F$180,B34,Sheet1!$E$2:$E$180,C35)</f>
        <v>0</v>
      </c>
      <c r="E35" s="7">
        <f>D35/Sheet1!$I$9*Sheet1!$I$10</f>
        <v>0</v>
      </c>
      <c r="F35" s="477">
        <f>D35/Sheet1!$I$9*Sheet1!$I$11</f>
        <v>0</v>
      </c>
      <c r="G35" s="753"/>
      <c r="H35" s="751"/>
      <c r="J35" s="758"/>
      <c r="K35" s="752"/>
      <c r="L35" s="562"/>
      <c r="M35" s="7">
        <f>SUMIFS(Sheet1!$N$2:$N$180,Sheet1!$Q$2:$Q$180,$K$34,Sheet1!$P$2:$P$180,L35)</f>
        <v>0</v>
      </c>
      <c r="N35" s="7">
        <f>M35/Sheet1!$T$9*Sheet1!$T$10</f>
        <v>0</v>
      </c>
      <c r="O35" s="477">
        <f>M35/Sheet1!$T$9*Sheet1!$T$11</f>
        <v>0</v>
      </c>
      <c r="P35" s="753"/>
      <c r="Q35" s="751"/>
    </row>
    <row r="36" spans="1:17" ht="12.75" customHeight="1">
      <c r="A36" s="758"/>
      <c r="B36" s="752"/>
      <c r="C36" s="562"/>
      <c r="D36" s="7">
        <f>SUMIFS(Sheet1!$C$2:$C$180,Sheet1!$F$2:$F$180,B34,Sheet1!$E$2:$E$180,C36)</f>
        <v>0</v>
      </c>
      <c r="E36" s="7">
        <f>D36/Sheet1!$I$9*Sheet1!$I$10</f>
        <v>0</v>
      </c>
      <c r="F36" s="477">
        <f>D36/Sheet1!$I$9*Sheet1!$I$11</f>
        <v>0</v>
      </c>
      <c r="G36" s="753"/>
      <c r="H36" s="751"/>
      <c r="J36" s="758"/>
      <c r="K36" s="752"/>
      <c r="L36" s="562"/>
      <c r="M36" s="7">
        <f>SUMIFS(Sheet1!$N$2:$N$180,Sheet1!$Q$2:$Q$180,$K$34,Sheet1!$P$2:$P$180,L36)</f>
        <v>0</v>
      </c>
      <c r="N36" s="7">
        <f>M36/Sheet1!$T$9*Sheet1!$T$10</f>
        <v>0</v>
      </c>
      <c r="O36" s="477">
        <f>M36/Sheet1!$T$9*Sheet1!$T$11</f>
        <v>0</v>
      </c>
      <c r="P36" s="753"/>
      <c r="Q36" s="751"/>
    </row>
    <row r="37" spans="1:17" ht="12.75" customHeight="1">
      <c r="A37" s="758"/>
      <c r="B37" s="747" t="s">
        <v>254</v>
      </c>
      <c r="C37" s="562"/>
      <c r="D37" s="7">
        <f>SUMIFS(Sheet1!$C$2:$C$180,Sheet1!$F$2:$F$180,B37,Sheet1!$E$2:$E$180,C37)</f>
        <v>0</v>
      </c>
      <c r="E37" s="7">
        <f>D37/Sheet1!$I$9*Sheet1!$I$10</f>
        <v>0</v>
      </c>
      <c r="F37" s="477">
        <f>D37/Sheet1!$I$9*Sheet1!$I$11</f>
        <v>0</v>
      </c>
      <c r="G37" s="755">
        <f>SUM(F37:F38)</f>
        <v>0</v>
      </c>
      <c r="H37" s="751"/>
      <c r="J37" s="758"/>
      <c r="K37" s="747" t="s">
        <v>254</v>
      </c>
      <c r="L37" s="562"/>
      <c r="M37" s="7">
        <f>SUMIFS(Sheet1!$N$2:$N$180,Sheet1!$Q$2:$Q$180,$K$37,Sheet1!$P$2:$P$180,L37)</f>
        <v>0</v>
      </c>
      <c r="N37" s="7">
        <f>M37/Sheet1!$T$9*Sheet1!$T$10</f>
        <v>0</v>
      </c>
      <c r="O37" s="477">
        <f>M37/Sheet1!$T$9*Sheet1!$T$11</f>
        <v>0</v>
      </c>
      <c r="P37" s="755">
        <f>SUM(O37:O38)</f>
        <v>0</v>
      </c>
      <c r="Q37" s="751"/>
    </row>
    <row r="38" spans="1:17" ht="12.75" customHeight="1">
      <c r="A38" s="758"/>
      <c r="B38" s="748"/>
      <c r="C38" s="562"/>
      <c r="D38" s="7">
        <f>SUMIFS(Sheet1!$C$2:$C$180,Sheet1!$F$2:$F$180,B37,Sheet1!$E$2:$E$180,C38)</f>
        <v>0</v>
      </c>
      <c r="E38" s="7">
        <f>D38/Sheet1!$I$9*Sheet1!$I$10</f>
        <v>0</v>
      </c>
      <c r="F38" s="477">
        <f>D38/Sheet1!$I$9*Sheet1!$I$11</f>
        <v>0</v>
      </c>
      <c r="G38" s="757"/>
      <c r="H38" s="751"/>
      <c r="J38" s="758"/>
      <c r="K38" s="748"/>
      <c r="L38" s="562"/>
      <c r="M38" s="7">
        <f>SUMIFS(Sheet1!$N$2:$N$180,Sheet1!$Q$2:$Q$180,$K$37,Sheet1!$P$2:$P$180,L38)</f>
        <v>0</v>
      </c>
      <c r="N38" s="7">
        <f>M38/Sheet1!$T$9*Sheet1!$T$10</f>
        <v>0</v>
      </c>
      <c r="O38" s="477">
        <f>M38/Sheet1!$T$9*Sheet1!$T$11</f>
        <v>0</v>
      </c>
      <c r="P38" s="757"/>
      <c r="Q38" s="751"/>
    </row>
    <row r="39" spans="1:17" ht="12.75" customHeight="1">
      <c r="A39" s="758" t="s">
        <v>392</v>
      </c>
      <c r="B39" s="747" t="s">
        <v>255</v>
      </c>
      <c r="C39"/>
      <c r="D39" s="7">
        <f>SUMIFS(Sheet1!$C$2:$C$180,Sheet1!$F$2:$F$180,B39,Sheet1!$E$2:$E$180,C39)</f>
        <v>0</v>
      </c>
      <c r="E39" s="7">
        <f>D39/Sheet1!$I$9*Sheet1!$I$10</f>
        <v>0</v>
      </c>
      <c r="F39" s="477">
        <f>D39/Sheet1!$I$9*Sheet1!$I$11</f>
        <v>0</v>
      </c>
      <c r="G39" s="755">
        <f>SUM(F39:F40)</f>
        <v>0</v>
      </c>
      <c r="H39" s="760">
        <f>SUM(G39:G40)</f>
        <v>0</v>
      </c>
      <c r="J39" s="758" t="s">
        <v>392</v>
      </c>
      <c r="K39" s="747" t="s">
        <v>255</v>
      </c>
      <c r="L39"/>
      <c r="M39" s="7">
        <f>SUMIFS(Sheet1!$N$2:$N$180,Sheet1!$Q$2:$Q$180,K39,Sheet1!$P$2:$P$180,L39)</f>
        <v>0</v>
      </c>
      <c r="N39" s="7">
        <f>M39/Sheet1!$T$9*Sheet1!$T$10</f>
        <v>0</v>
      </c>
      <c r="O39" s="477">
        <f>M39/Sheet1!$T$9*Sheet1!$T$11</f>
        <v>0</v>
      </c>
      <c r="P39" s="755">
        <f>SUM(O39:O40)</f>
        <v>0</v>
      </c>
      <c r="Q39" s="760">
        <f>SUM(P39:P40)</f>
        <v>0</v>
      </c>
    </row>
    <row r="40" spans="1:17" ht="12.75" customHeight="1">
      <c r="A40" s="758"/>
      <c r="B40" s="748"/>
      <c r="C40" s="565"/>
      <c r="D40" s="7">
        <f>SUMIFS(Sheet1!$C$2:$C$180,Sheet1!$F$2:$F$180,B39,Sheet1!$E$2:$E$180,C40)</f>
        <v>0</v>
      </c>
      <c r="E40" s="7">
        <f>D40/Sheet1!$I$9*Sheet1!$I$10</f>
        <v>0</v>
      </c>
      <c r="F40" s="477">
        <f>D40/Sheet1!$I$9*Sheet1!$I$11</f>
        <v>0</v>
      </c>
      <c r="G40" s="757"/>
      <c r="H40" s="761"/>
      <c r="J40" s="758"/>
      <c r="K40" s="748"/>
      <c r="L40" s="565"/>
      <c r="M40" s="7">
        <f>SUMIFS(Sheet1!$N$2:$N$180,Sheet1!$Q$2:$Q$180,K39,Sheet1!$P$2:$P$180,L40)</f>
        <v>0</v>
      </c>
      <c r="N40" s="7">
        <f>M40/Sheet1!$T$9*Sheet1!$T$10</f>
        <v>0</v>
      </c>
      <c r="O40" s="477">
        <f>M40/Sheet1!$T$9*Sheet1!$T$11</f>
        <v>0</v>
      </c>
      <c r="P40" s="757"/>
      <c r="Q40" s="761"/>
    </row>
    <row r="41" spans="1:17" ht="15">
      <c r="A41" s="566"/>
      <c r="B41" s="759" t="s">
        <v>2</v>
      </c>
      <c r="C41" s="759"/>
      <c r="D41" s="312">
        <f>SUM(D4:D40)</f>
        <v>18678</v>
      </c>
      <c r="E41" s="312">
        <f>SUM(E4:E40)</f>
        <v>670.91821159803067</v>
      </c>
      <c r="F41" s="463">
        <f>SUM(F4:F40)</f>
        <v>0.48918243196945205</v>
      </c>
      <c r="G41" s="463">
        <f>SUM(G4:G40)</f>
        <v>0.4891824319694521</v>
      </c>
      <c r="H41" s="463">
        <f>SUM(H4:H40)</f>
        <v>0.48918243196945216</v>
      </c>
      <c r="J41" s="566"/>
      <c r="K41" s="759" t="s">
        <v>2</v>
      </c>
      <c r="L41" s="759"/>
      <c r="M41" s="312">
        <f>SUM(M4:M40)</f>
        <v>2001</v>
      </c>
      <c r="N41" s="312">
        <f>SUM(N4:N40)</f>
        <v>167.02635291117588</v>
      </c>
      <c r="O41" s="463">
        <f>SUM(O4:O40)</f>
        <v>0.19251154019769304</v>
      </c>
      <c r="P41" s="463">
        <f>SUM(P4:P40)</f>
        <v>0.19251154019769304</v>
      </c>
      <c r="Q41" s="463">
        <f>SUM(Q4:Q40)</f>
        <v>0.19251154019769307</v>
      </c>
    </row>
    <row r="42" spans="1:17" ht="15">
      <c r="A42" s="566"/>
      <c r="B42" s="759" t="s">
        <v>1</v>
      </c>
      <c r="C42" s="759"/>
      <c r="D42" s="759"/>
      <c r="E42" s="759"/>
      <c r="F42" s="567">
        <f>+Efficiency1!X189</f>
        <v>0.51081756803054768</v>
      </c>
      <c r="G42" s="567">
        <f>+F42</f>
        <v>0.51081756803054768</v>
      </c>
      <c r="H42" s="567">
        <f>+G42</f>
        <v>0.51081756803054768</v>
      </c>
      <c r="J42" s="566"/>
      <c r="K42" s="759" t="s">
        <v>1</v>
      </c>
      <c r="L42" s="759"/>
      <c r="M42" s="759"/>
      <c r="N42" s="759"/>
      <c r="O42" s="567">
        <f>+Efficiency2!X167</f>
        <v>0.8074884598023071</v>
      </c>
      <c r="P42" s="567">
        <f>+O42</f>
        <v>0.8074884598023071</v>
      </c>
      <c r="Q42" s="567">
        <f>+P42</f>
        <v>0.8074884598023071</v>
      </c>
    </row>
    <row r="43" spans="1:17" ht="15">
      <c r="A43" s="566"/>
      <c r="B43" s="759" t="s">
        <v>57</v>
      </c>
      <c r="C43" s="759"/>
      <c r="D43" s="759"/>
      <c r="E43" s="759"/>
      <c r="F43" s="479">
        <f>SUM(F41:F42)</f>
        <v>0.99999999999999978</v>
      </c>
      <c r="G43" s="479">
        <f>SUM(G41:G42)</f>
        <v>0.99999999999999978</v>
      </c>
      <c r="H43" s="558">
        <f>SUM(H41:H42)</f>
        <v>0.99999999999999978</v>
      </c>
      <c r="J43" s="566"/>
      <c r="K43" s="759" t="s">
        <v>57</v>
      </c>
      <c r="L43" s="759"/>
      <c r="M43" s="759"/>
      <c r="N43" s="759"/>
      <c r="O43" s="479">
        <f>SUM(O41:O42)</f>
        <v>1.0000000000000002</v>
      </c>
      <c r="P43" s="479">
        <f>SUM(P41:P42)</f>
        <v>1.0000000000000002</v>
      </c>
      <c r="Q43" s="558">
        <f>SUM(Q41:Q42)</f>
        <v>1.0000000000000002</v>
      </c>
    </row>
  </sheetData>
  <mergeCells count="66">
    <mergeCell ref="Q39:Q40"/>
    <mergeCell ref="B41:C41"/>
    <mergeCell ref="K41:L41"/>
    <mergeCell ref="B42:E42"/>
    <mergeCell ref="K42:N42"/>
    <mergeCell ref="J39:J40"/>
    <mergeCell ref="B43:E43"/>
    <mergeCell ref="K43:N43"/>
    <mergeCell ref="P37:P38"/>
    <mergeCell ref="B39:B40"/>
    <mergeCell ref="G39:G40"/>
    <mergeCell ref="H39:H40"/>
    <mergeCell ref="K39:K40"/>
    <mergeCell ref="P39:P40"/>
    <mergeCell ref="J25:J38"/>
    <mergeCell ref="P25:P31"/>
    <mergeCell ref="Q25:Q38"/>
    <mergeCell ref="B32:B33"/>
    <mergeCell ref="G32:G33"/>
    <mergeCell ref="K32:K33"/>
    <mergeCell ref="P32:P33"/>
    <mergeCell ref="B34:B36"/>
    <mergeCell ref="G34:G36"/>
    <mergeCell ref="K34:K36"/>
    <mergeCell ref="P34:P36"/>
    <mergeCell ref="K25:K31"/>
    <mergeCell ref="K37:K38"/>
    <mergeCell ref="B25:B31"/>
    <mergeCell ref="G25:G31"/>
    <mergeCell ref="H25:H38"/>
    <mergeCell ref="B37:B38"/>
    <mergeCell ref="G37:G38"/>
    <mergeCell ref="A25:A38"/>
    <mergeCell ref="A39:A40"/>
    <mergeCell ref="A13:A14"/>
    <mergeCell ref="H13:H14"/>
    <mergeCell ref="J13:J14"/>
    <mergeCell ref="Q13:Q14"/>
    <mergeCell ref="A15:A24"/>
    <mergeCell ref="H15:H24"/>
    <mergeCell ref="J15:J24"/>
    <mergeCell ref="Q15:Q24"/>
    <mergeCell ref="B17:B18"/>
    <mergeCell ref="G17:G18"/>
    <mergeCell ref="K17:K18"/>
    <mergeCell ref="P17:P18"/>
    <mergeCell ref="B20:B24"/>
    <mergeCell ref="G20:G24"/>
    <mergeCell ref="K20:K24"/>
    <mergeCell ref="P20:P24"/>
    <mergeCell ref="A4:A12"/>
    <mergeCell ref="Q4:Q12"/>
    <mergeCell ref="L2:L3"/>
    <mergeCell ref="A2:A3"/>
    <mergeCell ref="B2:B3"/>
    <mergeCell ref="C2:C3"/>
    <mergeCell ref="J2:J3"/>
    <mergeCell ref="K2:K3"/>
    <mergeCell ref="K6:K7"/>
    <mergeCell ref="B8:B9"/>
    <mergeCell ref="K8:K9"/>
    <mergeCell ref="B10:B11"/>
    <mergeCell ref="K10:K11"/>
    <mergeCell ref="H4:H12"/>
    <mergeCell ref="J4:J12"/>
    <mergeCell ref="B6:B7"/>
  </mergeCells>
  <conditionalFormatting sqref="D4:D11 D13:D40">
    <cfRule type="cellIs" dxfId="11" priority="11" operator="between">
      <formula>180</formula>
      <formula>360</formula>
    </cfRule>
    <cfRule type="cellIs" dxfId="10" priority="12" operator="greaterThan">
      <formula>360</formula>
    </cfRule>
  </conditionalFormatting>
  <conditionalFormatting sqref="M5:M11 M13:M40">
    <cfRule type="cellIs" dxfId="9" priority="9" operator="between">
      <formula>180</formula>
      <formula>360</formula>
    </cfRule>
    <cfRule type="cellIs" dxfId="8" priority="10" operator="greaterThan">
      <formula>360</formula>
    </cfRule>
  </conditionalFormatting>
  <conditionalFormatting sqref="M4:M11 M13:M40">
    <cfRule type="cellIs" dxfId="7" priority="7" operator="between">
      <formula>180</formula>
      <formula>360</formula>
    </cfRule>
    <cfRule type="cellIs" dxfId="6" priority="8" operator="greaterThan">
      <formula>360</formula>
    </cfRule>
  </conditionalFormatting>
  <conditionalFormatting sqref="D12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12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12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opLeftCell="D1" zoomScale="80" zoomScaleNormal="80" workbookViewId="0">
      <selection activeCell="J19" sqref="J1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4.42578125" style="154" customWidth="1"/>
    <col min="14" max="15" width="9.140625" style="154"/>
    <col min="16" max="16" width="10.28515625" style="154" bestFit="1" customWidth="1"/>
    <col min="17" max="17" width="9.28515625" style="154" bestFit="1" customWidth="1"/>
    <col min="18" max="16384" width="9.140625" style="154"/>
  </cols>
  <sheetData>
    <row r="1" spans="1:23" ht="15.75">
      <c r="A1" s="153"/>
    </row>
    <row r="2" spans="1:23" ht="15.75">
      <c r="A2" s="153" t="s">
        <v>184</v>
      </c>
    </row>
    <row r="3" spans="1:23" ht="15">
      <c r="A3" s="155"/>
    </row>
    <row r="4" spans="1:23" ht="20.25">
      <c r="A4" s="156" t="s">
        <v>3</v>
      </c>
      <c r="B4" s="157"/>
      <c r="F4" s="158" t="s">
        <v>29</v>
      </c>
      <c r="G4" s="159">
        <v>31</v>
      </c>
      <c r="H4" s="159" t="str">
        <f>+'1'!H4</f>
        <v>.10.25</v>
      </c>
    </row>
    <row r="5" spans="1:23" ht="13.5" thickBot="1">
      <c r="C5" s="160"/>
      <c r="D5" s="160"/>
    </row>
    <row r="6" spans="1:2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86" t="s">
        <v>92</v>
      </c>
      <c r="O6" s="429" t="s">
        <v>191</v>
      </c>
      <c r="P6" s="429" t="s">
        <v>191</v>
      </c>
      <c r="Q6" s="429" t="s">
        <v>192</v>
      </c>
      <c r="R6" s="429" t="s">
        <v>193</v>
      </c>
      <c r="S6" s="429" t="s">
        <v>194</v>
      </c>
      <c r="T6" s="429" t="s">
        <v>189</v>
      </c>
      <c r="U6" s="430" t="s">
        <v>195</v>
      </c>
      <c r="V6" s="429" t="s">
        <v>196</v>
      </c>
      <c r="W6" s="429" t="s">
        <v>190</v>
      </c>
    </row>
    <row r="7" spans="1:23" ht="13.5" customHeight="1" thickBot="1">
      <c r="A7" s="762"/>
      <c r="B7" s="220"/>
      <c r="C7" s="221"/>
      <c r="D7" s="222"/>
      <c r="E7" s="223"/>
      <c r="F7" s="241"/>
      <c r="G7" s="234" t="s">
        <v>12</v>
      </c>
      <c r="H7" s="235" t="s">
        <v>386</v>
      </c>
      <c r="I7" s="765"/>
      <c r="J7" s="219" t="str">
        <f>+'30'!J7</f>
        <v>F 12 VP OW</v>
      </c>
      <c r="K7" s="243"/>
      <c r="L7" s="247"/>
      <c r="M7" s="122">
        <f>+L7+'30'!M7+K7</f>
        <v>148323</v>
      </c>
      <c r="N7" s="431">
        <v>14.5</v>
      </c>
      <c r="O7" s="204">
        <v>1200</v>
      </c>
      <c r="P7" s="204">
        <v>1120</v>
      </c>
      <c r="Q7" s="204">
        <v>896</v>
      </c>
      <c r="R7" s="432">
        <f>1-(Q7/P7)</f>
        <v>0.19999999999999996</v>
      </c>
      <c r="S7" s="433">
        <v>45</v>
      </c>
      <c r="T7" s="434">
        <v>256.5</v>
      </c>
      <c r="U7" s="435">
        <f>(O7*(1-R7)*N7*T7*S7)/100000000</f>
        <v>1.606716</v>
      </c>
      <c r="V7" s="436">
        <f>+C14/1000</f>
        <v>0</v>
      </c>
      <c r="W7" s="437">
        <f>SUM(V7:V9)/SUM(U7:U9)</f>
        <v>0</v>
      </c>
    </row>
    <row r="8" spans="1:2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+'30'!J8</f>
        <v>F 12,5 VP OW</v>
      </c>
      <c r="K8" s="244"/>
      <c r="L8" s="244"/>
      <c r="M8" s="122">
        <f>+L8+'30'!M8+K8</f>
        <v>54352</v>
      </c>
      <c r="N8" s="431">
        <v>18</v>
      </c>
      <c r="O8" s="204">
        <v>1200</v>
      </c>
      <c r="P8" s="204">
        <v>930</v>
      </c>
      <c r="Q8" s="204">
        <v>744</v>
      </c>
      <c r="R8" s="432">
        <f>1-(Q8/P8)</f>
        <v>0.19999999999999996</v>
      </c>
      <c r="S8" s="433">
        <f>480-S7</f>
        <v>435</v>
      </c>
      <c r="T8" s="434">
        <v>256.5</v>
      </c>
      <c r="U8" s="435">
        <f>(O8*(1-R8)*N8*T8*S8)/100000000</f>
        <v>19.280591999999999</v>
      </c>
      <c r="V8" s="436"/>
      <c r="W8" s="438"/>
    </row>
    <row r="9" spans="1:23" ht="13.5" thickBot="1">
      <c r="A9" s="763"/>
      <c r="B9" s="220"/>
      <c r="C9" s="221"/>
      <c r="D9" s="222"/>
      <c r="E9" s="225"/>
      <c r="F9" s="236"/>
      <c r="G9" s="574" t="s">
        <v>12</v>
      </c>
      <c r="H9" s="238" t="s">
        <v>411</v>
      </c>
      <c r="I9" s="766"/>
      <c r="J9" s="219" t="str">
        <f>+'30'!J9</f>
        <v>T 13 VP OW</v>
      </c>
      <c r="K9" s="244"/>
      <c r="L9" s="244"/>
      <c r="M9" s="122">
        <f>+L9+'30'!M9+K9</f>
        <v>112205</v>
      </c>
      <c r="N9" s="439"/>
    </row>
    <row r="10" spans="1:23" ht="102.75" thickBot="1">
      <c r="A10" s="763"/>
      <c r="B10" s="220"/>
      <c r="C10" s="221"/>
      <c r="D10" s="222"/>
      <c r="E10" s="224"/>
      <c r="F10" s="233">
        <v>480</v>
      </c>
      <c r="G10" s="242" t="s">
        <v>20</v>
      </c>
      <c r="H10" s="238" t="s">
        <v>676</v>
      </c>
      <c r="I10" s="766"/>
      <c r="J10" s="219" t="str">
        <f>+'30'!J10</f>
        <v>T 12,5 VP OW</v>
      </c>
      <c r="K10" s="244"/>
      <c r="L10" s="244"/>
      <c r="M10" s="122">
        <f>+L10+'30'!M10+K10</f>
        <v>310471</v>
      </c>
      <c r="N10" s="439"/>
    </row>
    <row r="11" spans="1:2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+'30'!J11</f>
        <v>T 12 VP OW</v>
      </c>
      <c r="K11" s="244"/>
      <c r="L11" s="244"/>
      <c r="M11" s="122">
        <f>+L11+'30'!M11+K11</f>
        <v>11128</v>
      </c>
      <c r="N11" s="439"/>
    </row>
    <row r="12" spans="1:2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+'30'!J12</f>
        <v>F 13 VP OW</v>
      </c>
      <c r="K12" s="244"/>
      <c r="L12" s="244"/>
      <c r="M12" s="122">
        <f>+L12+'30'!M12+K12</f>
        <v>35492</v>
      </c>
      <c r="N12" s="439"/>
    </row>
    <row r="13" spans="1:2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+'30'!J13</f>
        <v>F 11 VP OW</v>
      </c>
      <c r="K13" s="244"/>
      <c r="L13" s="244"/>
      <c r="M13" s="122">
        <f>+L13+'30'!M13+K13</f>
        <v>11154</v>
      </c>
      <c r="N13" s="440"/>
      <c r="O13" s="441"/>
      <c r="P13" s="441"/>
      <c r="Q13" s="441"/>
      <c r="R13" s="441"/>
      <c r="S13" s="441"/>
      <c r="T13" s="441"/>
      <c r="U13" s="441"/>
      <c r="V13" s="441"/>
      <c r="W13" s="441"/>
    </row>
    <row r="14" spans="1:2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 t="str">
        <f>+'30'!J14</f>
        <v>F 14 VP OW</v>
      </c>
      <c r="K14" s="244"/>
      <c r="L14" s="244"/>
      <c r="M14" s="122">
        <f>+L14+'30'!M14+K14</f>
        <v>17466</v>
      </c>
    </row>
    <row r="15" spans="1:2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41"/>
      <c r="G15" s="234" t="s">
        <v>12</v>
      </c>
      <c r="H15" s="235" t="s">
        <v>386</v>
      </c>
      <c r="I15" s="765"/>
      <c r="J15" s="219">
        <f>+'30'!J15</f>
        <v>0</v>
      </c>
      <c r="K15" s="244"/>
      <c r="L15" s="244"/>
      <c r="M15" s="122">
        <f>+L15+'30'!M15+K15</f>
        <v>0</v>
      </c>
      <c r="N15" s="431">
        <v>18</v>
      </c>
      <c r="O15" s="204">
        <v>1200</v>
      </c>
      <c r="P15" s="204">
        <v>850</v>
      </c>
      <c r="Q15" s="204">
        <v>680</v>
      </c>
      <c r="R15" s="432">
        <f>1-(Q15/P15)</f>
        <v>0.19999999999999996</v>
      </c>
      <c r="S15" s="433">
        <v>480</v>
      </c>
      <c r="T15" s="434">
        <v>256.5</v>
      </c>
      <c r="U15" s="435">
        <f>(O15*(1-R15)*N15*T15*S15)/100000000</f>
        <v>21.275136</v>
      </c>
      <c r="V15" s="436">
        <f>+C23/1000</f>
        <v>0</v>
      </c>
      <c r="W15" s="437">
        <f>SUM(V15:V17)/SUM(U15:U17)</f>
        <v>0</v>
      </c>
    </row>
    <row r="16" spans="1:2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+'30'!J16</f>
        <v>0</v>
      </c>
      <c r="K16" s="234"/>
      <c r="L16" s="234"/>
      <c r="M16" s="122">
        <f>+L16+'30'!M16+K16</f>
        <v>0</v>
      </c>
      <c r="N16" s="442"/>
      <c r="O16" s="204"/>
      <c r="P16" s="204"/>
      <c r="Q16" s="443"/>
      <c r="R16" s="432"/>
      <c r="S16" s="204"/>
      <c r="T16" s="434"/>
      <c r="U16" s="435"/>
      <c r="V16" s="436"/>
      <c r="W16" s="438"/>
    </row>
    <row r="17" spans="1:23" ht="13.5" thickBot="1">
      <c r="A17" s="768"/>
      <c r="B17" s="220"/>
      <c r="C17" s="221"/>
      <c r="D17" s="222"/>
      <c r="E17" s="230"/>
      <c r="F17" s="236"/>
      <c r="G17" s="574" t="s">
        <v>12</v>
      </c>
      <c r="H17" s="238" t="s">
        <v>411</v>
      </c>
      <c r="I17" s="766"/>
      <c r="J17" s="219">
        <f>+'30'!J17</f>
        <v>0</v>
      </c>
      <c r="K17" s="234"/>
      <c r="L17" s="234"/>
      <c r="M17" s="122">
        <f>+L17+'30'!M17+K17</f>
        <v>0</v>
      </c>
      <c r="N17" s="439"/>
      <c r="O17" s="204"/>
      <c r="R17" s="432"/>
      <c r="T17" s="434"/>
      <c r="U17" s="435"/>
    </row>
    <row r="18" spans="1:23" ht="90" thickBot="1">
      <c r="A18" s="768"/>
      <c r="B18" s="220"/>
      <c r="C18" s="221"/>
      <c r="D18" s="222"/>
      <c r="E18" s="230"/>
      <c r="F18" s="233">
        <v>480</v>
      </c>
      <c r="G18" s="242" t="s">
        <v>20</v>
      </c>
      <c r="H18" s="238" t="s">
        <v>675</v>
      </c>
      <c r="I18" s="766"/>
      <c r="J18" s="219">
        <f>+'30'!J18</f>
        <v>0</v>
      </c>
      <c r="K18" s="244"/>
      <c r="L18" s="244"/>
      <c r="M18" s="122">
        <f>+L18+'30'!M18+K18</f>
        <v>0</v>
      </c>
      <c r="N18" s="439"/>
    </row>
    <row r="19" spans="1:2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+'30'!J19</f>
        <v>0</v>
      </c>
      <c r="K19" s="244"/>
      <c r="L19" s="244"/>
      <c r="M19" s="122">
        <f>+L19+'30'!M19+K19</f>
        <v>0</v>
      </c>
      <c r="N19" s="439"/>
    </row>
    <row r="20" spans="1:2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+'30'!J20</f>
        <v>0</v>
      </c>
      <c r="K20" s="245"/>
      <c r="L20" s="245"/>
      <c r="M20" s="122">
        <f>+L20+'30'!M20+K20</f>
        <v>0</v>
      </c>
      <c r="N20" s="439"/>
    </row>
    <row r="21" spans="1:2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+'30'!J21</f>
        <v>0</v>
      </c>
      <c r="K21" s="244"/>
      <c r="L21" s="244"/>
      <c r="M21" s="122">
        <f>+L21+'30'!M21+K21</f>
        <v>0</v>
      </c>
      <c r="N21" s="440"/>
      <c r="O21" s="441"/>
      <c r="P21" s="441"/>
      <c r="Q21" s="441"/>
      <c r="R21" s="441"/>
      <c r="S21" s="441"/>
      <c r="T21" s="441"/>
      <c r="U21" s="441"/>
      <c r="V21" s="441"/>
      <c r="W21" s="441"/>
    </row>
    <row r="22" spans="1:2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+'30'!J22</f>
        <v>0</v>
      </c>
      <c r="K22" s="244"/>
      <c r="L22" s="244"/>
      <c r="M22" s="122">
        <f>+L22+'30'!M22+K22</f>
        <v>0</v>
      </c>
    </row>
    <row r="23" spans="1:2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+'30'!J23</f>
        <v>0</v>
      </c>
      <c r="K23" s="244"/>
      <c r="L23" s="244"/>
      <c r="M23" s="122">
        <f>+L23+'30'!M23+K23</f>
        <v>0</v>
      </c>
      <c r="N23" s="444"/>
      <c r="O23" s="445"/>
      <c r="P23" s="445"/>
      <c r="Q23" s="445"/>
      <c r="R23" s="445"/>
      <c r="S23" s="445"/>
      <c r="T23" s="445"/>
      <c r="U23" s="445"/>
      <c r="V23" s="445"/>
      <c r="W23" s="445"/>
    </row>
    <row r="24" spans="1:2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41"/>
      <c r="G24" s="234" t="s">
        <v>12</v>
      </c>
      <c r="H24" s="235" t="s">
        <v>386</v>
      </c>
      <c r="I24" s="765"/>
      <c r="J24" s="219">
        <f>+'30'!J24</f>
        <v>0</v>
      </c>
      <c r="K24" s="244"/>
      <c r="L24" s="244"/>
      <c r="M24" s="122">
        <f>+L24+'30'!M24+K24</f>
        <v>0</v>
      </c>
      <c r="N24" s="431">
        <v>18</v>
      </c>
      <c r="O24" s="204">
        <v>1200</v>
      </c>
      <c r="P24" s="204">
        <v>770</v>
      </c>
      <c r="Q24" s="204">
        <v>616</v>
      </c>
      <c r="R24" s="432">
        <f>1-(Q24/P24)</f>
        <v>0.19999999999999996</v>
      </c>
      <c r="S24" s="433">
        <v>480</v>
      </c>
      <c r="T24" s="434">
        <v>256.5</v>
      </c>
      <c r="U24" s="435">
        <f>(O24*(1-R24)*N24*T24*S24)/100000000</f>
        <v>21.275136</v>
      </c>
      <c r="V24" s="436">
        <f>+C32/1000</f>
        <v>0</v>
      </c>
      <c r="W24" s="437">
        <f>SUM(V24:V25)/SUM(U24:U25)</f>
        <v>0</v>
      </c>
    </row>
    <row r="25" spans="1:2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+'30'!J25</f>
        <v>0</v>
      </c>
      <c r="K25" s="244"/>
      <c r="L25" s="244"/>
      <c r="M25" s="122">
        <f>+L25+'30'!M25+K25</f>
        <v>0</v>
      </c>
      <c r="N25" s="431"/>
      <c r="O25" s="204"/>
      <c r="P25" s="204"/>
      <c r="Q25" s="204"/>
      <c r="R25" s="432"/>
      <c r="S25" s="433"/>
      <c r="T25" s="434"/>
      <c r="U25" s="435"/>
      <c r="V25" s="436"/>
      <c r="W25" s="437"/>
    </row>
    <row r="26" spans="1:23" ht="13.5" thickBot="1">
      <c r="A26" s="768"/>
      <c r="B26" s="220"/>
      <c r="C26" s="231"/>
      <c r="D26" s="222"/>
      <c r="E26" s="232"/>
      <c r="F26" s="236"/>
      <c r="G26" s="574" t="s">
        <v>12</v>
      </c>
      <c r="H26" s="238" t="s">
        <v>411</v>
      </c>
      <c r="I26" s="766"/>
      <c r="J26" s="219">
        <f>+'30'!J26</f>
        <v>0</v>
      </c>
      <c r="K26" s="244"/>
      <c r="L26" s="244"/>
      <c r="M26" s="122">
        <f>+L26+'30'!M26+K26</f>
        <v>0</v>
      </c>
    </row>
    <row r="27" spans="1:23" ht="13.5" thickBot="1">
      <c r="A27" s="768"/>
      <c r="B27" s="220"/>
      <c r="C27" s="221"/>
      <c r="D27" s="222"/>
      <c r="E27" s="230"/>
      <c r="F27" s="233">
        <v>480</v>
      </c>
      <c r="G27" s="242" t="s">
        <v>20</v>
      </c>
      <c r="H27" s="238" t="s">
        <v>677</v>
      </c>
      <c r="I27" s="766"/>
      <c r="J27" s="219">
        <f>+'30'!J27</f>
        <v>0</v>
      </c>
      <c r="K27" s="244"/>
      <c r="L27" s="244"/>
      <c r="M27" s="122">
        <f>+L27+'30'!M27+K27</f>
        <v>0</v>
      </c>
    </row>
    <row r="28" spans="1:2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+'30'!J28</f>
        <v>0</v>
      </c>
      <c r="K28" s="244"/>
      <c r="L28" s="244"/>
      <c r="M28" s="122">
        <f>+L28+'30'!M28+K28</f>
        <v>0</v>
      </c>
    </row>
    <row r="29" spans="1:2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+'30'!J29</f>
        <v>0</v>
      </c>
      <c r="K29" s="244"/>
      <c r="L29" s="244"/>
      <c r="M29" s="122">
        <f>+L29+'30'!M29+K29</f>
        <v>0</v>
      </c>
    </row>
    <row r="30" spans="1:2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+'30'!J30</f>
        <v>0</v>
      </c>
      <c r="K30" s="244"/>
      <c r="L30" s="244"/>
      <c r="M30" s="122">
        <f>+L30+'30'!M30+K30</f>
        <v>0</v>
      </c>
      <c r="N30" s="160"/>
    </row>
    <row r="31" spans="1:23" ht="13.5" thickBot="1">
      <c r="A31" s="768"/>
      <c r="B31" s="220"/>
      <c r="C31" s="231"/>
      <c r="D31" s="222"/>
      <c r="E31" s="230"/>
      <c r="F31" s="241"/>
      <c r="G31" s="242"/>
      <c r="H31" s="239"/>
      <c r="I31" s="767"/>
      <c r="J31" s="219">
        <f>+'30'!J31</f>
        <v>0</v>
      </c>
      <c r="K31" s="244"/>
      <c r="L31" s="244"/>
      <c r="M31" s="122">
        <f>+L31+'30'!M31+K31</f>
        <v>0</v>
      </c>
    </row>
    <row r="32" spans="1:2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+'30'!J32</f>
        <v>0</v>
      </c>
      <c r="K32" s="246"/>
      <c r="L32" s="248"/>
      <c r="M32" s="122">
        <f>+L32+'30'!M32+K32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700591</v>
      </c>
      <c r="N34" s="160"/>
    </row>
    <row r="35" spans="1:14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4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(15*453+18*987)/1440*G42*2.74*1440/1000000</f>
        <v>0</v>
      </c>
      <c r="J37" s="130">
        <f>+I37+'30'!J37</f>
        <v>836.20635466023384</v>
      </c>
      <c r="K37" s="131" t="s">
        <v>63</v>
      </c>
    </row>
    <row r="38" spans="1:14" ht="17.45" customHeight="1">
      <c r="A38" s="774" t="s">
        <v>12</v>
      </c>
      <c r="B38" s="775"/>
      <c r="C38" s="169">
        <f>SUMIF($G$7:$G$31,"Process",$F$7:$F$31)</f>
        <v>0</v>
      </c>
      <c r="D38" s="123">
        <f>+C38+'30'!D38</f>
        <v>1319</v>
      </c>
      <c r="E38" s="148">
        <f t="shared" ref="E38:E51" si="0">D38/60</f>
        <v>21.983333333333334</v>
      </c>
      <c r="F38" s="328"/>
      <c r="G38" s="328"/>
      <c r="H38" s="192" t="s">
        <v>64</v>
      </c>
      <c r="I38" s="250"/>
      <c r="J38" s="132">
        <f>+I38+'30'!J38</f>
        <v>742.94600000000003</v>
      </c>
      <c r="K38" s="133" t="s">
        <v>63</v>
      </c>
    </row>
    <row r="39" spans="1:14" ht="17.45" customHeight="1">
      <c r="A39" s="776" t="s">
        <v>13</v>
      </c>
      <c r="B39" s="777"/>
      <c r="C39" s="169">
        <f>SUMIF($G$7:$G$31,"Cleaning",$F$7:$F$31)</f>
        <v>0</v>
      </c>
      <c r="D39" s="123">
        <f>+C39+'30'!D39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26.974398537426897</v>
      </c>
      <c r="K39" s="135" t="s">
        <v>63</v>
      </c>
    </row>
    <row r="40" spans="1:14" ht="17.45" customHeight="1">
      <c r="A40" s="776" t="s">
        <v>66</v>
      </c>
      <c r="B40" s="777"/>
      <c r="C40" s="169">
        <f>SUMIF($G$7:$G$31,"Mechanical",$F$7:$F$31)</f>
        <v>0</v>
      </c>
      <c r="D40" s="123">
        <f>+C40+'30'!D40</f>
        <v>541</v>
      </c>
      <c r="E40" s="148">
        <f t="shared" si="0"/>
        <v>9.0166666666666675</v>
      </c>
      <c r="F40" s="328"/>
      <c r="G40" s="328"/>
      <c r="H40" s="192" t="s">
        <v>67</v>
      </c>
      <c r="I40" s="123">
        <f>(K34+L34)/1000</f>
        <v>0</v>
      </c>
      <c r="J40" s="136">
        <f>+I40+'30'!J40</f>
        <v>700.59100000000012</v>
      </c>
      <c r="K40" s="135" t="s">
        <v>63</v>
      </c>
    </row>
    <row r="41" spans="1:14" ht="17.45" customHeight="1">
      <c r="A41" s="776" t="s">
        <v>68</v>
      </c>
      <c r="B41" s="777"/>
      <c r="C41" s="169">
        <f>SUMIF($G$7:$G$31,"Electrical",$F$7:$F$31)</f>
        <v>0</v>
      </c>
      <c r="D41" s="123">
        <f>+C41+'30'!D41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22.599709677419359</v>
      </c>
      <c r="K41" s="135" t="s">
        <v>63</v>
      </c>
    </row>
    <row r="42" spans="1:14" ht="17.45" customHeight="1">
      <c r="A42" s="776" t="s">
        <v>16</v>
      </c>
      <c r="B42" s="777"/>
      <c r="C42" s="169">
        <f>SUMIF($G$7:$G$31,"Instrument",$F$7:$F$31)</f>
        <v>0</v>
      </c>
      <c r="D42" s="123">
        <f>+C42+'30'!D42</f>
        <v>0</v>
      </c>
      <c r="E42" s="148">
        <f t="shared" si="0"/>
        <v>0</v>
      </c>
      <c r="F42" s="328"/>
      <c r="G42" s="328">
        <f>+(G38*480+G39*480+G40*480)/1440</f>
        <v>0</v>
      </c>
      <c r="H42" s="192" t="s">
        <v>70</v>
      </c>
      <c r="I42" s="251"/>
      <c r="J42" s="137"/>
      <c r="K42" s="135" t="s">
        <v>71</v>
      </c>
    </row>
    <row r="43" spans="1:14" ht="17.45" customHeight="1">
      <c r="A43" s="776" t="s">
        <v>72</v>
      </c>
      <c r="B43" s="777"/>
      <c r="C43" s="169">
        <f>SUMIF($G$7:$G$31,"Water",$F$7:$F$31)</f>
        <v>0</v>
      </c>
      <c r="D43" s="123">
        <f>+C43+'30'!D43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+Report1!Z39</f>
        <v>17.2</v>
      </c>
      <c r="J43" s="138">
        <f>+I43+'30'!J43</f>
        <v>1360.4000000000005</v>
      </c>
      <c r="K43" s="135" t="s">
        <v>63</v>
      </c>
      <c r="L43" s="194"/>
    </row>
    <row r="44" spans="1:14" ht="17.45" customHeight="1">
      <c r="A44" s="776" t="s">
        <v>17</v>
      </c>
      <c r="B44" s="777"/>
      <c r="C44" s="169">
        <f>SUMIF($G$7:$G$31,"PLN",$F$7:$F$31)</f>
        <v>0</v>
      </c>
      <c r="D44" s="123">
        <f>+C44+'30'!D44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1.8310886659326526</v>
      </c>
      <c r="K44" s="135" t="s">
        <v>63</v>
      </c>
    </row>
    <row r="45" spans="1:14" ht="17.45" customHeight="1">
      <c r="A45" s="776" t="s">
        <v>18</v>
      </c>
      <c r="B45" s="777"/>
      <c r="C45" s="169">
        <f>SUMIF($G$7:$G$31,"Boiler",$F$7:$F$31)</f>
        <v>0</v>
      </c>
      <c r="D45" s="123">
        <f>+C45+'30'!D45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1.9417891465919492</v>
      </c>
      <c r="K45" s="135" t="s">
        <v>63</v>
      </c>
    </row>
    <row r="46" spans="1:14" ht="17.45" customHeight="1">
      <c r="A46" s="776" t="s">
        <v>76</v>
      </c>
      <c r="B46" s="777"/>
      <c r="C46" s="169">
        <f>SUMIF($G$7:$G$31,"Gas",$F$7:$F$31)</f>
        <v>0</v>
      </c>
      <c r="D46" s="123">
        <f>+C46+'30'!D46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+SUMIF(Listrik!P38,"&gt;0")</f>
        <v>5629.9799999996358</v>
      </c>
      <c r="J46" s="140">
        <f>+I46+'30'!J46</f>
        <v>790188.39999999967</v>
      </c>
      <c r="K46" s="135" t="s">
        <v>78</v>
      </c>
    </row>
    <row r="47" spans="1:14" ht="17.45" customHeight="1">
      <c r="A47" s="776" t="s">
        <v>79</v>
      </c>
      <c r="B47" s="777"/>
      <c r="C47" s="169">
        <f>SUMIF($G$7:$G$31,"Gas",$F$7:$F$31)</f>
        <v>0</v>
      </c>
      <c r="D47" s="123">
        <f>+C47+'30'!D47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1063.5879323665511</v>
      </c>
      <c r="K47" s="135" t="s">
        <v>24</v>
      </c>
    </row>
    <row r="48" spans="1:14" ht="17.45" customHeight="1">
      <c r="A48" s="776" t="s">
        <v>14</v>
      </c>
      <c r="B48" s="777"/>
      <c r="C48" s="169">
        <f>SUMIF($G$7:$G$31,"Start Up",$F$7:$F$31)</f>
        <v>0</v>
      </c>
      <c r="D48" s="123">
        <f>+C48+'30'!D48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1127.8883114399123</v>
      </c>
      <c r="K48" s="135" t="s">
        <v>24</v>
      </c>
    </row>
    <row r="49" spans="1:23" ht="17.45" customHeight="1">
      <c r="A49" s="776" t="s">
        <v>20</v>
      </c>
      <c r="B49" s="777"/>
      <c r="C49" s="169">
        <f>SUMIF($G$7:$G$31,"Others",$F$7:$F$31)</f>
        <v>1440</v>
      </c>
      <c r="D49" s="123">
        <f>+C49+'30'!D49</f>
        <v>16677</v>
      </c>
      <c r="E49" s="148">
        <f t="shared" si="0"/>
        <v>277.95</v>
      </c>
      <c r="F49" s="190"/>
      <c r="H49" s="193" t="s">
        <v>271</v>
      </c>
      <c r="I49" s="123">
        <f>+Report1!T39</f>
        <v>0</v>
      </c>
      <c r="J49" s="140">
        <f>+I49+'30'!J49</f>
        <v>77291.906345522162</v>
      </c>
      <c r="K49" s="135" t="s">
        <v>82</v>
      </c>
    </row>
    <row r="50" spans="1:23" ht="17.45" customHeight="1">
      <c r="A50" s="776" t="s">
        <v>19</v>
      </c>
      <c r="B50" s="777"/>
      <c r="C50" s="169">
        <f>SUMIF($G$7:$G$31,"Steam",$F$7:$F$31)</f>
        <v>0</v>
      </c>
      <c r="D50" s="123">
        <f>+C50+'30'!D50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104.03435289445284</v>
      </c>
      <c r="K50" s="135" t="s">
        <v>82</v>
      </c>
    </row>
    <row r="51" spans="1:23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+C51+'30'!D51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110.32386420254063</v>
      </c>
      <c r="K51" s="142" t="s">
        <v>82</v>
      </c>
    </row>
    <row r="52" spans="1:23" ht="13.5" thickBot="1">
      <c r="A52" s="774" t="s">
        <v>28</v>
      </c>
      <c r="B52" s="775"/>
      <c r="C52" s="149">
        <f>SUM(C38:C51)</f>
        <v>1440</v>
      </c>
      <c r="D52" s="149">
        <f>SUM(D38:D51)</f>
        <v>18681</v>
      </c>
      <c r="E52" s="150">
        <f>SUM(E38:E51)</f>
        <v>311.34999999999997</v>
      </c>
      <c r="F52" s="190"/>
      <c r="H52" s="196"/>
      <c r="I52" s="197"/>
      <c r="J52" s="143"/>
      <c r="K52" s="144"/>
    </row>
    <row r="53" spans="1:23" ht="13.5" thickBot="1">
      <c r="A53" s="780"/>
      <c r="B53" s="781"/>
      <c r="C53" s="151">
        <f>C52/(24*60)</f>
        <v>1</v>
      </c>
      <c r="D53" s="151">
        <f>D52/(24*60*G4)</f>
        <v>0.4184811827956989</v>
      </c>
      <c r="E53" s="152">
        <f>E52/(G4*24)</f>
        <v>0.4184811827956989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+D34+'30'!J56</f>
        <v>5469</v>
      </c>
      <c r="K56" s="206">
        <f>J56/(J40+J56/1000)/1000</f>
        <v>7.7458006401722214E-3</v>
      </c>
    </row>
    <row r="57" spans="1:23">
      <c r="A57" s="181"/>
      <c r="I57" s="204" t="s">
        <v>88</v>
      </c>
      <c r="J57" s="205">
        <f>+E34+'30'!J57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4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1"/>
  <sheetViews>
    <sheetView zoomScale="80" zoomScaleNormal="80" workbookViewId="0">
      <selection activeCell="F24" sqref="F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7.140625" style="154" customWidth="1"/>
    <col min="14" max="15" width="9.140625" style="154"/>
    <col min="16" max="16" width="10.28515625" style="154" bestFit="1" customWidth="1"/>
    <col min="17" max="17" width="9.28515625" style="154" bestFit="1" customWidth="1"/>
    <col min="18" max="16384" width="9.140625" style="154"/>
  </cols>
  <sheetData>
    <row r="1" spans="1:23" ht="15.75">
      <c r="A1" s="153"/>
    </row>
    <row r="2" spans="1:23" ht="15.75">
      <c r="A2" s="153" t="s">
        <v>184</v>
      </c>
    </row>
    <row r="3" spans="1:23" ht="15">
      <c r="A3" s="155"/>
    </row>
    <row r="4" spans="1:23" ht="20.25">
      <c r="A4" s="156" t="s">
        <v>3</v>
      </c>
      <c r="B4" s="157"/>
      <c r="F4" s="158" t="s">
        <v>29</v>
      </c>
      <c r="G4" s="159">
        <v>30</v>
      </c>
      <c r="H4" s="159" t="str">
        <f>+'1'!H4</f>
        <v>.10.25</v>
      </c>
    </row>
    <row r="5" spans="1:23" ht="13.5" thickBot="1">
      <c r="C5" s="160"/>
      <c r="D5" s="160"/>
    </row>
    <row r="6" spans="1:2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86" t="s">
        <v>92</v>
      </c>
      <c r="O6" s="429" t="s">
        <v>191</v>
      </c>
      <c r="P6" s="429" t="s">
        <v>191</v>
      </c>
      <c r="Q6" s="429" t="s">
        <v>192</v>
      </c>
      <c r="R6" s="429" t="s">
        <v>193</v>
      </c>
      <c r="S6" s="429" t="s">
        <v>194</v>
      </c>
      <c r="T6" s="429" t="s">
        <v>189</v>
      </c>
      <c r="U6" s="430" t="s">
        <v>195</v>
      </c>
      <c r="V6" s="429" t="s">
        <v>196</v>
      </c>
      <c r="W6" s="429" t="s">
        <v>190</v>
      </c>
    </row>
    <row r="7" spans="1:2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219" t="str">
        <f>+'29'!J7</f>
        <v>F 12 VP OW</v>
      </c>
      <c r="K7" s="243"/>
      <c r="L7" s="247"/>
      <c r="M7" s="122">
        <f>+K7+'29'!M7+L7</f>
        <v>148323</v>
      </c>
      <c r="N7" s="431">
        <v>14.5</v>
      </c>
      <c r="O7" s="204">
        <v>1200</v>
      </c>
      <c r="P7" s="204">
        <v>1120</v>
      </c>
      <c r="Q7" s="204">
        <v>896</v>
      </c>
      <c r="R7" s="432">
        <f>1-(Q7/P7)</f>
        <v>0.19999999999999996</v>
      </c>
      <c r="S7" s="433">
        <v>45</v>
      </c>
      <c r="T7" s="434">
        <v>256.5</v>
      </c>
      <c r="U7" s="435">
        <f>(O7*(1-R7)*N7*T7*S7)/100000000</f>
        <v>1.606716</v>
      </c>
      <c r="V7" s="436">
        <f>+C14/1000</f>
        <v>0</v>
      </c>
      <c r="W7" s="437">
        <f>SUM(V7:V9)/SUM(U7:U9)</f>
        <v>0</v>
      </c>
    </row>
    <row r="8" spans="1:2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+'29'!J8</f>
        <v>F 12,5 VP OW</v>
      </c>
      <c r="K8" s="244"/>
      <c r="L8" s="244"/>
      <c r="M8" s="122">
        <f>+K8+'29'!M8+L8</f>
        <v>54352</v>
      </c>
      <c r="N8" s="431">
        <v>18</v>
      </c>
      <c r="O8" s="204">
        <v>1200</v>
      </c>
      <c r="P8" s="204">
        <v>930</v>
      </c>
      <c r="Q8" s="204">
        <v>744</v>
      </c>
      <c r="R8" s="432">
        <f>1-(Q8/P8)</f>
        <v>0.19999999999999996</v>
      </c>
      <c r="S8" s="433">
        <f>480-S7</f>
        <v>435</v>
      </c>
      <c r="T8" s="434">
        <v>256.5</v>
      </c>
      <c r="U8" s="435">
        <f>(O8*(1-R8)*N8*T8*S8)/100000000</f>
        <v>19.280591999999999</v>
      </c>
      <c r="V8" s="436"/>
      <c r="W8" s="438"/>
    </row>
    <row r="9" spans="1:2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411</v>
      </c>
      <c r="I9" s="766"/>
      <c r="J9" s="219" t="str">
        <f>+'29'!J9</f>
        <v>T 13 VP OW</v>
      </c>
      <c r="K9" s="244"/>
      <c r="L9" s="244"/>
      <c r="M9" s="122">
        <f>+K9+'29'!M9+L9</f>
        <v>112205</v>
      </c>
      <c r="N9" s="439"/>
    </row>
    <row r="10" spans="1:23" ht="64.5" thickBot="1">
      <c r="A10" s="763"/>
      <c r="B10" s="220"/>
      <c r="C10" s="221"/>
      <c r="D10" s="222"/>
      <c r="E10" s="224"/>
      <c r="F10" s="233">
        <v>480</v>
      </c>
      <c r="G10" s="242" t="s">
        <v>20</v>
      </c>
      <c r="H10" s="238" t="s">
        <v>672</v>
      </c>
      <c r="I10" s="766"/>
      <c r="J10" s="219" t="str">
        <f>+'29'!J10</f>
        <v>T 12,5 VP OW</v>
      </c>
      <c r="K10" s="244"/>
      <c r="L10" s="244"/>
      <c r="M10" s="122">
        <f>+K10+'29'!M10+L10</f>
        <v>310471</v>
      </c>
      <c r="N10" s="439"/>
    </row>
    <row r="11" spans="1:2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+'29'!J11</f>
        <v>T 12 VP OW</v>
      </c>
      <c r="K11" s="244"/>
      <c r="L11" s="244"/>
      <c r="M11" s="122">
        <f>+K11+'29'!M11+L11</f>
        <v>11128</v>
      </c>
      <c r="N11" s="439"/>
    </row>
    <row r="12" spans="1:2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+'29'!J12</f>
        <v>F 13 VP OW</v>
      </c>
      <c r="K12" s="244"/>
      <c r="L12" s="244"/>
      <c r="M12" s="122">
        <f>+K12+'29'!M12+L12</f>
        <v>35492</v>
      </c>
      <c r="N12" s="439"/>
    </row>
    <row r="13" spans="1:2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+'29'!J13</f>
        <v>F 11 VP OW</v>
      </c>
      <c r="K13" s="244"/>
      <c r="L13" s="244"/>
      <c r="M13" s="122">
        <f>+K13+'29'!M13+L13</f>
        <v>11154</v>
      </c>
      <c r="N13" s="440"/>
      <c r="O13" s="441"/>
      <c r="P13" s="441"/>
      <c r="Q13" s="441"/>
      <c r="R13" s="441"/>
      <c r="S13" s="441"/>
      <c r="T13" s="441"/>
      <c r="U13" s="441"/>
      <c r="V13" s="441"/>
      <c r="W13" s="441"/>
    </row>
    <row r="14" spans="1:2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 t="str">
        <f>+'29'!J14</f>
        <v>F 14 VP OW</v>
      </c>
      <c r="K14" s="244"/>
      <c r="L14" s="244"/>
      <c r="M14" s="122">
        <f>+K14+'29'!M14+L14</f>
        <v>17466</v>
      </c>
    </row>
    <row r="15" spans="1:2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41"/>
      <c r="G15" s="234" t="s">
        <v>12</v>
      </c>
      <c r="H15" s="235" t="s">
        <v>386</v>
      </c>
      <c r="I15" s="765"/>
      <c r="J15" s="219">
        <f>+'29'!J15</f>
        <v>0</v>
      </c>
      <c r="K15" s="244"/>
      <c r="L15" s="244"/>
      <c r="M15" s="122">
        <f>+K15+'29'!M15+L15</f>
        <v>0</v>
      </c>
      <c r="N15" s="431">
        <v>18</v>
      </c>
      <c r="O15" s="204">
        <v>1200</v>
      </c>
      <c r="P15" s="204">
        <v>850</v>
      </c>
      <c r="Q15" s="204">
        <v>680</v>
      </c>
      <c r="R15" s="432">
        <f>1-(Q15/P15)</f>
        <v>0.19999999999999996</v>
      </c>
      <c r="S15" s="433">
        <v>480</v>
      </c>
      <c r="T15" s="434">
        <v>256.5</v>
      </c>
      <c r="U15" s="435">
        <f>(O15*(1-R15)*N15*T15*S15)/100000000</f>
        <v>21.275136</v>
      </c>
      <c r="V15" s="436">
        <f>+C23/1000</f>
        <v>0</v>
      </c>
      <c r="W15" s="437">
        <f>SUM(V15:V17)/SUM(U15:U17)</f>
        <v>0</v>
      </c>
    </row>
    <row r="16" spans="1:23" ht="13.5" thickBot="1">
      <c r="A16" s="768"/>
      <c r="B16" s="226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+'29'!J16</f>
        <v>0</v>
      </c>
      <c r="K16" s="234"/>
      <c r="L16" s="234"/>
      <c r="M16" s="122">
        <f>+K16+'29'!M16+L16</f>
        <v>0</v>
      </c>
      <c r="N16" s="442"/>
      <c r="O16" s="204"/>
      <c r="P16" s="204"/>
      <c r="Q16" s="443"/>
      <c r="R16" s="432"/>
      <c r="S16" s="204"/>
      <c r="T16" s="434"/>
      <c r="U16" s="435"/>
      <c r="V16" s="436"/>
      <c r="W16" s="438"/>
    </row>
    <row r="17" spans="1:23" ht="13.5" thickBot="1">
      <c r="A17" s="768"/>
      <c r="B17" s="220"/>
      <c r="C17" s="221"/>
      <c r="D17" s="222"/>
      <c r="E17" s="230"/>
      <c r="F17" s="236"/>
      <c r="G17" s="574" t="s">
        <v>12</v>
      </c>
      <c r="H17" s="238" t="s">
        <v>411</v>
      </c>
      <c r="I17" s="766"/>
      <c r="J17" s="219">
        <f>+'29'!J17</f>
        <v>0</v>
      </c>
      <c r="K17" s="234"/>
      <c r="L17" s="234"/>
      <c r="M17" s="122">
        <f>+K17+'29'!M17+L17</f>
        <v>0</v>
      </c>
      <c r="N17" s="439"/>
      <c r="O17" s="204"/>
      <c r="R17" s="432"/>
      <c r="T17" s="434"/>
      <c r="U17" s="435"/>
    </row>
    <row r="18" spans="1:23" ht="102.75" thickBot="1">
      <c r="A18" s="768"/>
      <c r="B18" s="220"/>
      <c r="C18" s="221"/>
      <c r="D18" s="222"/>
      <c r="E18" s="230"/>
      <c r="F18" s="233">
        <v>480</v>
      </c>
      <c r="G18" s="242" t="s">
        <v>20</v>
      </c>
      <c r="H18" s="238" t="s">
        <v>671</v>
      </c>
      <c r="I18" s="766"/>
      <c r="J18" s="219">
        <f>+'29'!J18</f>
        <v>0</v>
      </c>
      <c r="K18" s="244"/>
      <c r="L18" s="244"/>
      <c r="M18" s="122">
        <f>+K18+'29'!M18+L18</f>
        <v>0</v>
      </c>
      <c r="N18" s="439"/>
    </row>
    <row r="19" spans="1:2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+'29'!J19</f>
        <v>0</v>
      </c>
      <c r="K19" s="244"/>
      <c r="L19" s="244"/>
      <c r="M19" s="122">
        <f>+K19+'29'!M19+L19</f>
        <v>0</v>
      </c>
      <c r="N19" s="439"/>
    </row>
    <row r="20" spans="1:2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+'29'!J20</f>
        <v>0</v>
      </c>
      <c r="K20" s="245"/>
      <c r="L20" s="245"/>
      <c r="M20" s="122">
        <f>+K20+'29'!M20+L20</f>
        <v>0</v>
      </c>
      <c r="N20" s="439"/>
    </row>
    <row r="21" spans="1:2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+'29'!J21</f>
        <v>0</v>
      </c>
      <c r="K21" s="244"/>
      <c r="L21" s="244"/>
      <c r="M21" s="122">
        <f>+K21+'29'!M21+L21</f>
        <v>0</v>
      </c>
      <c r="N21" s="440"/>
      <c r="O21" s="441"/>
      <c r="P21" s="441"/>
      <c r="Q21" s="441"/>
      <c r="R21" s="441"/>
      <c r="S21" s="441"/>
      <c r="T21" s="441"/>
      <c r="U21" s="441"/>
      <c r="V21" s="441"/>
      <c r="W21" s="441"/>
    </row>
    <row r="22" spans="1:2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+'29'!J22</f>
        <v>0</v>
      </c>
      <c r="K22" s="244"/>
      <c r="L22" s="244"/>
      <c r="M22" s="122">
        <f>+K22+'29'!M22+L22</f>
        <v>0</v>
      </c>
    </row>
    <row r="23" spans="1:2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+'29'!J23</f>
        <v>0</v>
      </c>
      <c r="K23" s="244"/>
      <c r="L23" s="244"/>
      <c r="M23" s="122">
        <f>+K23+'29'!M23+L23</f>
        <v>0</v>
      </c>
      <c r="N23" s="444"/>
      <c r="O23" s="445"/>
      <c r="P23" s="445"/>
      <c r="Q23" s="445"/>
      <c r="R23" s="445"/>
      <c r="S23" s="445"/>
      <c r="T23" s="445"/>
      <c r="U23" s="445"/>
      <c r="V23" s="445"/>
      <c r="W23" s="445"/>
    </row>
    <row r="24" spans="1:2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41"/>
      <c r="G24" s="234" t="s">
        <v>12</v>
      </c>
      <c r="H24" s="235" t="s">
        <v>386</v>
      </c>
      <c r="I24" s="765"/>
      <c r="J24" s="219">
        <f>+'29'!J24</f>
        <v>0</v>
      </c>
      <c r="K24" s="244"/>
      <c r="L24" s="244"/>
      <c r="M24" s="122">
        <f>+K24+'29'!M24+L24</f>
        <v>0</v>
      </c>
      <c r="N24" s="431">
        <v>18</v>
      </c>
      <c r="O24" s="204">
        <v>1200</v>
      </c>
      <c r="P24" s="204">
        <v>770</v>
      </c>
      <c r="Q24" s="204">
        <v>616</v>
      </c>
      <c r="R24" s="432">
        <f>1-(Q24/P24)</f>
        <v>0.19999999999999996</v>
      </c>
      <c r="S24" s="433">
        <v>480</v>
      </c>
      <c r="T24" s="434">
        <v>256.5</v>
      </c>
      <c r="U24" s="435">
        <f>(O24*(1-R24)*N24*T24*S24)/100000000</f>
        <v>21.275136</v>
      </c>
      <c r="V24" s="436">
        <f>+C32/1000</f>
        <v>0</v>
      </c>
      <c r="W24" s="437">
        <f>SUM(V24:V25)/SUM(U24:U25)</f>
        <v>0</v>
      </c>
    </row>
    <row r="25" spans="1:2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+'29'!J25</f>
        <v>0</v>
      </c>
      <c r="K25" s="244"/>
      <c r="L25" s="244"/>
      <c r="M25" s="122">
        <f>+K25+'29'!M25+L25</f>
        <v>0</v>
      </c>
      <c r="N25" s="431"/>
      <c r="O25" s="204"/>
      <c r="P25" s="204"/>
      <c r="Q25" s="204"/>
      <c r="R25" s="432"/>
      <c r="S25" s="433"/>
      <c r="T25" s="434"/>
      <c r="U25" s="435"/>
      <c r="V25" s="436"/>
      <c r="W25" s="437"/>
    </row>
    <row r="26" spans="1:23" ht="13.5" thickBot="1">
      <c r="A26" s="768"/>
      <c r="B26" s="220"/>
      <c r="C26" s="231"/>
      <c r="D26" s="222"/>
      <c r="E26" s="232"/>
      <c r="F26" s="236"/>
      <c r="G26" s="574" t="s">
        <v>12</v>
      </c>
      <c r="H26" s="238" t="s">
        <v>411</v>
      </c>
      <c r="I26" s="766"/>
      <c r="J26" s="219">
        <f>+'29'!J26</f>
        <v>0</v>
      </c>
      <c r="K26" s="244"/>
      <c r="L26" s="244"/>
      <c r="M26" s="122">
        <f>+K26+'29'!M26+L26</f>
        <v>0</v>
      </c>
    </row>
    <row r="27" spans="1:23" ht="51.75" thickBot="1">
      <c r="A27" s="768"/>
      <c r="B27" s="220"/>
      <c r="C27" s="221"/>
      <c r="D27" s="222"/>
      <c r="E27" s="230"/>
      <c r="F27" s="233">
        <v>480</v>
      </c>
      <c r="G27" s="242" t="s">
        <v>20</v>
      </c>
      <c r="H27" s="238" t="s">
        <v>673</v>
      </c>
      <c r="I27" s="766"/>
      <c r="J27" s="219">
        <f>+'29'!J27</f>
        <v>0</v>
      </c>
      <c r="K27" s="244"/>
      <c r="L27" s="244"/>
      <c r="M27" s="122">
        <f>+K27+'29'!M27+L27</f>
        <v>0</v>
      </c>
    </row>
    <row r="28" spans="1:2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+'29'!J28</f>
        <v>0</v>
      </c>
      <c r="K28" s="244"/>
      <c r="L28" s="244"/>
      <c r="M28" s="122">
        <f>+K28+'29'!M28+L28</f>
        <v>0</v>
      </c>
    </row>
    <row r="29" spans="1:2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+'29'!J29</f>
        <v>0</v>
      </c>
      <c r="K29" s="244"/>
      <c r="L29" s="244"/>
      <c r="M29" s="122">
        <f>+K29+'29'!M29+L29</f>
        <v>0</v>
      </c>
    </row>
    <row r="30" spans="1:2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+'29'!J30</f>
        <v>0</v>
      </c>
      <c r="K30" s="244"/>
      <c r="L30" s="244"/>
      <c r="M30" s="122">
        <f>+K30+'29'!M30+L30</f>
        <v>0</v>
      </c>
      <c r="N30" s="160"/>
    </row>
    <row r="31" spans="1:23" ht="13.5" thickBot="1">
      <c r="A31" s="768"/>
      <c r="B31" s="220"/>
      <c r="C31" s="231"/>
      <c r="D31" s="222"/>
      <c r="E31" s="230"/>
      <c r="F31" s="241"/>
      <c r="G31" s="242"/>
      <c r="H31" s="239"/>
      <c r="I31" s="767"/>
      <c r="J31" s="219">
        <f>+'29'!J31</f>
        <v>0</v>
      </c>
      <c r="K31" s="244"/>
      <c r="L31" s="244"/>
      <c r="M31" s="122">
        <f>+K31+'29'!M31+L31</f>
        <v>0</v>
      </c>
    </row>
    <row r="32" spans="1:2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+'29'!J32</f>
        <v>0</v>
      </c>
      <c r="K32" s="246"/>
      <c r="L32" s="248"/>
      <c r="M32" s="122">
        <f>+K32+'29'!M32+L32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700591</v>
      </c>
      <c r="N34" s="160"/>
    </row>
    <row r="35" spans="1:14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4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(15*453+18*987)/1440*G42*2.74*1440/1000000</f>
        <v>0</v>
      </c>
      <c r="J37" s="130">
        <f>+I37+'29'!J37</f>
        <v>836.20635466023384</v>
      </c>
      <c r="K37" s="131" t="s">
        <v>63</v>
      </c>
    </row>
    <row r="38" spans="1:14" ht="17.45" customHeight="1">
      <c r="A38" s="774" t="s">
        <v>12</v>
      </c>
      <c r="B38" s="775"/>
      <c r="C38" s="169">
        <f>SUMIF($G$7:$G$31,"Process",$F$7:$F$31)</f>
        <v>0</v>
      </c>
      <c r="D38" s="123">
        <f>+C38+'29'!D38</f>
        <v>1319</v>
      </c>
      <c r="E38" s="148">
        <f t="shared" ref="E38:E51" si="0">D38/60</f>
        <v>21.983333333333334</v>
      </c>
      <c r="F38" s="328"/>
      <c r="G38" s="328"/>
      <c r="H38" s="192" t="s">
        <v>64</v>
      </c>
      <c r="I38" s="250"/>
      <c r="J38" s="132">
        <f>+I38+'29'!J38</f>
        <v>742.94600000000003</v>
      </c>
      <c r="K38" s="133" t="s">
        <v>63</v>
      </c>
    </row>
    <row r="39" spans="1:14" ht="17.45" customHeight="1">
      <c r="A39" s="776" t="s">
        <v>13</v>
      </c>
      <c r="B39" s="777"/>
      <c r="C39" s="169">
        <f>SUMIF($G$7:$G$31,"Cleaning",$F$7:$F$31)</f>
        <v>0</v>
      </c>
      <c r="D39" s="123">
        <f>+C39+'29'!D39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27.873545155341127</v>
      </c>
      <c r="K39" s="135" t="s">
        <v>63</v>
      </c>
    </row>
    <row r="40" spans="1:14" ht="17.45" customHeight="1">
      <c r="A40" s="776" t="s">
        <v>66</v>
      </c>
      <c r="B40" s="777"/>
      <c r="C40" s="169">
        <f>SUMIF($G$7:$G$31,"Mechanical",$F$7:$F$31)</f>
        <v>0</v>
      </c>
      <c r="D40" s="123">
        <f>+C40+'29'!D40</f>
        <v>541</v>
      </c>
      <c r="E40" s="148">
        <f t="shared" si="0"/>
        <v>9.0166666666666675</v>
      </c>
      <c r="F40" s="328"/>
      <c r="G40" s="328"/>
      <c r="H40" s="192" t="s">
        <v>67</v>
      </c>
      <c r="I40" s="123">
        <f>(K34+L34)/1000</f>
        <v>0</v>
      </c>
      <c r="J40" s="136">
        <f>+I40+'29'!J40</f>
        <v>700.59100000000012</v>
      </c>
      <c r="K40" s="135" t="s">
        <v>63</v>
      </c>
    </row>
    <row r="41" spans="1:14" ht="17.45" customHeight="1">
      <c r="A41" s="776" t="s">
        <v>68</v>
      </c>
      <c r="B41" s="777"/>
      <c r="C41" s="169">
        <f>SUMIF($G$7:$G$31,"Electrical",$F$7:$F$31)</f>
        <v>0</v>
      </c>
      <c r="D41" s="123">
        <f>+C41+'29'!D41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23.353033333333336</v>
      </c>
      <c r="K41" s="135" t="s">
        <v>63</v>
      </c>
    </row>
    <row r="42" spans="1:14" ht="17.45" customHeight="1">
      <c r="A42" s="776" t="s">
        <v>16</v>
      </c>
      <c r="B42" s="777"/>
      <c r="C42" s="169">
        <f>SUMIF($G$7:$G$31,"Instrument",$F$7:$F$31)</f>
        <v>0</v>
      </c>
      <c r="D42" s="123">
        <f>+C42+'29'!D42</f>
        <v>0</v>
      </c>
      <c r="E42" s="148">
        <f t="shared" si="0"/>
        <v>0</v>
      </c>
      <c r="F42" s="328">
        <f>+(F38*480+F39*480+F40*480)/1440</f>
        <v>0</v>
      </c>
      <c r="G42" s="328">
        <f>+(G38*480+G39*480+G40*480)/1440</f>
        <v>0</v>
      </c>
      <c r="H42" s="192" t="s">
        <v>70</v>
      </c>
      <c r="I42" s="251"/>
      <c r="J42" s="137"/>
      <c r="K42" s="135" t="s">
        <v>71</v>
      </c>
    </row>
    <row r="43" spans="1:14" ht="17.45" customHeight="1">
      <c r="A43" s="776" t="s">
        <v>72</v>
      </c>
      <c r="B43" s="777"/>
      <c r="C43" s="169">
        <f>SUMIF($G$7:$G$31,"Water",$F$7:$F$31)</f>
        <v>0</v>
      </c>
      <c r="D43" s="123">
        <f>+C43+'29'!D43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+Report1!Z38</f>
        <v>14.4</v>
      </c>
      <c r="J43" s="138">
        <f>+I43+'29'!J43</f>
        <v>1343.2000000000005</v>
      </c>
      <c r="K43" s="135" t="s">
        <v>63</v>
      </c>
      <c r="L43" s="194"/>
    </row>
    <row r="44" spans="1:14" ht="17.45" customHeight="1">
      <c r="A44" s="776" t="s">
        <v>17</v>
      </c>
      <c r="B44" s="777"/>
      <c r="C44" s="169">
        <f>SUMIF($G$7:$G$31,"PLN",$F$7:$F$31)</f>
        <v>0</v>
      </c>
      <c r="D44" s="123">
        <f>+C44+'29'!D44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1.8079375890037774</v>
      </c>
      <c r="K44" s="135" t="s">
        <v>63</v>
      </c>
    </row>
    <row r="45" spans="1:14" ht="17.45" customHeight="1">
      <c r="A45" s="776" t="s">
        <v>18</v>
      </c>
      <c r="B45" s="777"/>
      <c r="C45" s="169">
        <f>SUMIF($G$7:$G$31,"Boiler",$F$7:$F$31)</f>
        <v>0</v>
      </c>
      <c r="D45" s="123">
        <f>+C45+'29'!D45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1.9172384458264526</v>
      </c>
      <c r="K45" s="135" t="s">
        <v>63</v>
      </c>
    </row>
    <row r="46" spans="1:14" ht="17.45" customHeight="1">
      <c r="A46" s="776" t="s">
        <v>76</v>
      </c>
      <c r="B46" s="777"/>
      <c r="C46" s="169">
        <f>SUMIF($G$7:$G$31,"Gas",$F$7:$F$31)</f>
        <v>0</v>
      </c>
      <c r="D46" s="123">
        <f>+C46+'29'!D46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+SUMIF(Listrik!P37,"&gt;0")</f>
        <v>5070.6000000000004</v>
      </c>
      <c r="J46" s="140">
        <f>+I46+'29'!J46</f>
        <v>784558.42</v>
      </c>
      <c r="K46" s="135" t="s">
        <v>78</v>
      </c>
    </row>
    <row r="47" spans="1:14" ht="17.45" customHeight="1">
      <c r="A47" s="776" t="s">
        <v>79</v>
      </c>
      <c r="B47" s="777"/>
      <c r="C47" s="169">
        <f>SUMIF($G$7:$G$31,"Gas",$F$7:$F$31)</f>
        <v>0</v>
      </c>
      <c r="D47" s="123">
        <f>+C47+'29'!D47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1056.0100195707359</v>
      </c>
      <c r="K47" s="135" t="s">
        <v>24</v>
      </c>
    </row>
    <row r="48" spans="1:14" ht="17.45" customHeight="1">
      <c r="A48" s="776" t="s">
        <v>14</v>
      </c>
      <c r="B48" s="777"/>
      <c r="C48" s="169">
        <f>SUMIF($G$7:$G$31,"Start Up",$F$7:$F$31)</f>
        <v>0</v>
      </c>
      <c r="D48" s="123">
        <f>+C48+'29'!D48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1119.8522675855097</v>
      </c>
      <c r="K48" s="135" t="s">
        <v>24</v>
      </c>
    </row>
    <row r="49" spans="1:23" ht="17.45" customHeight="1">
      <c r="A49" s="776" t="s">
        <v>20</v>
      </c>
      <c r="B49" s="777"/>
      <c r="C49" s="169">
        <f>SUMIF($G$7:$G$31,"Others",$F$7:$F$31)</f>
        <v>1440</v>
      </c>
      <c r="D49" s="123">
        <f>+C49+'29'!D49</f>
        <v>15237</v>
      </c>
      <c r="E49" s="148">
        <f t="shared" si="0"/>
        <v>253.95</v>
      </c>
      <c r="F49" s="190"/>
      <c r="H49" s="193" t="s">
        <v>271</v>
      </c>
      <c r="I49" s="123">
        <f>+Report1!T38</f>
        <v>0</v>
      </c>
      <c r="J49" s="140">
        <f>+I49+'29'!J49</f>
        <v>77291.906345522162</v>
      </c>
      <c r="K49" s="135" t="s">
        <v>82</v>
      </c>
    </row>
    <row r="50" spans="1:23" ht="17.45" customHeight="1">
      <c r="A50" s="776" t="s">
        <v>19</v>
      </c>
      <c r="B50" s="777"/>
      <c r="C50" s="169">
        <f>SUMIF($G$7:$G$31,"Steam",$F$7:$F$31)</f>
        <v>0</v>
      </c>
      <c r="D50" s="123">
        <f>+C50+'29'!D50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104.03435289445284</v>
      </c>
      <c r="K50" s="135" t="s">
        <v>82</v>
      </c>
    </row>
    <row r="51" spans="1:23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+C51+'29'!D51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110.32386420254063</v>
      </c>
      <c r="K51" s="142" t="s">
        <v>82</v>
      </c>
    </row>
    <row r="52" spans="1:23" ht="13.5" thickBot="1">
      <c r="A52" s="774" t="s">
        <v>28</v>
      </c>
      <c r="B52" s="775"/>
      <c r="C52" s="149">
        <f>SUM(C38:C51)</f>
        <v>1440</v>
      </c>
      <c r="D52" s="149">
        <f>SUM(D38:D51)</f>
        <v>17241</v>
      </c>
      <c r="E52" s="150">
        <f>SUM(E38:E51)</f>
        <v>287.34999999999997</v>
      </c>
      <c r="F52" s="190"/>
      <c r="H52" s="196"/>
      <c r="I52" s="197"/>
      <c r="J52" s="143"/>
      <c r="K52" s="144"/>
    </row>
    <row r="53" spans="1:23" ht="13.5" thickBot="1">
      <c r="A53" s="780"/>
      <c r="B53" s="781"/>
      <c r="C53" s="151">
        <f>C52/(24*60)</f>
        <v>1</v>
      </c>
      <c r="D53" s="151">
        <f>D52/(24*60*G4)</f>
        <v>0.39909722222222221</v>
      </c>
      <c r="E53" s="152">
        <f>E52/(G4*24)</f>
        <v>0.39909722222222216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+D34+'29'!J56</f>
        <v>5469</v>
      </c>
      <c r="K56" s="206">
        <f>J56/(J40+J56/1000)/1000</f>
        <v>7.7458006401722214E-3</v>
      </c>
    </row>
    <row r="57" spans="1:23">
      <c r="A57" s="181"/>
      <c r="I57" s="204" t="s">
        <v>88</v>
      </c>
      <c r="J57" s="205">
        <f>+E34+'29'!J57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4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zoomScale="80" zoomScaleNormal="80" workbookViewId="0">
      <selection activeCell="F34" sqref="E34:F3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4.140625" style="154" customWidth="1"/>
    <col min="14" max="15" width="0" style="154" hidden="1" customWidth="1"/>
    <col min="16" max="16" width="10.28515625" style="154" hidden="1" customWidth="1"/>
    <col min="17" max="17" width="9.28515625" style="154" hidden="1" customWidth="1"/>
    <col min="18" max="23" width="0" style="154" hidden="1" customWidth="1"/>
    <col min="24" max="16384" width="9.140625" style="154"/>
  </cols>
  <sheetData>
    <row r="1" spans="1:29" ht="15.75">
      <c r="A1" s="153"/>
    </row>
    <row r="2" spans="1:29" ht="15.75">
      <c r="A2" s="153" t="s">
        <v>184</v>
      </c>
    </row>
    <row r="3" spans="1:29" ht="15">
      <c r="A3" s="155"/>
    </row>
    <row r="4" spans="1:29" ht="20.25">
      <c r="A4" s="156" t="s">
        <v>3</v>
      </c>
      <c r="B4" s="157"/>
      <c r="F4" s="158" t="s">
        <v>29</v>
      </c>
      <c r="G4" s="159">
        <v>29</v>
      </c>
      <c r="H4" s="159" t="str">
        <f>+'1'!H4</f>
        <v>.10.25</v>
      </c>
    </row>
    <row r="5" spans="1:29" ht="13.5" thickBot="1">
      <c r="C5" s="160"/>
      <c r="D5" s="160"/>
    </row>
    <row r="6" spans="1:2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86" t="s">
        <v>92</v>
      </c>
      <c r="O6" s="429" t="s">
        <v>191</v>
      </c>
      <c r="P6" s="429" t="s">
        <v>191</v>
      </c>
      <c r="Q6" s="429" t="s">
        <v>192</v>
      </c>
      <c r="R6" s="429" t="s">
        <v>193</v>
      </c>
      <c r="S6" s="429" t="s">
        <v>194</v>
      </c>
      <c r="T6" s="429" t="s">
        <v>189</v>
      </c>
      <c r="U6" s="430" t="s">
        <v>195</v>
      </c>
      <c r="V6" s="429" t="s">
        <v>196</v>
      </c>
      <c r="W6" s="429" t="s">
        <v>190</v>
      </c>
      <c r="X6" s="154" t="s">
        <v>389</v>
      </c>
      <c r="Y6" s="154">
        <v>700</v>
      </c>
      <c r="Z6" s="154">
        <f>+Y6-Y6*0.2</f>
        <v>560</v>
      </c>
      <c r="AA6" s="154">
        <f>60*6+25</f>
        <v>385</v>
      </c>
      <c r="AB6" s="154">
        <f>+Y6*AA6</f>
        <v>269500</v>
      </c>
      <c r="AC6" s="154">
        <f>+Z6*AA6</f>
        <v>215600</v>
      </c>
    </row>
    <row r="7" spans="1:29" ht="13.5" customHeight="1" thickBot="1">
      <c r="A7" s="762"/>
      <c r="B7" s="220" t="s">
        <v>390</v>
      </c>
      <c r="C7" s="221">
        <v>10403</v>
      </c>
      <c r="D7" s="222"/>
      <c r="E7" s="223"/>
      <c r="F7" s="233"/>
      <c r="G7" s="234" t="s">
        <v>12</v>
      </c>
      <c r="H7" s="235" t="s">
        <v>386</v>
      </c>
      <c r="I7" s="765" t="s">
        <v>659</v>
      </c>
      <c r="J7" s="219" t="str">
        <f>+'28'!J7</f>
        <v>F 12 VP OW</v>
      </c>
      <c r="K7" s="243">
        <f>+C34</f>
        <v>10403</v>
      </c>
      <c r="L7" s="247"/>
      <c r="M7" s="122">
        <f>+K7+'28'!M7+L7</f>
        <v>148323</v>
      </c>
      <c r="N7" s="431">
        <v>14.5</v>
      </c>
      <c r="O7" s="204">
        <v>1200</v>
      </c>
      <c r="P7" s="204">
        <v>1120</v>
      </c>
      <c r="Q7" s="204">
        <v>896</v>
      </c>
      <c r="R7" s="432">
        <f>1-(Q7/P7)</f>
        <v>0.19999999999999996</v>
      </c>
      <c r="S7" s="433">
        <v>45</v>
      </c>
      <c r="T7" s="434">
        <v>256.5</v>
      </c>
      <c r="U7" s="435">
        <f>(O7*(1-R7)*N7*T7*S7)/100000000</f>
        <v>1.606716</v>
      </c>
      <c r="V7" s="436">
        <f>+C14/1000</f>
        <v>10.403</v>
      </c>
      <c r="W7" s="437">
        <f>SUM(V7:V9)/SUM(U7:U9)</f>
        <v>0.49805365057095924</v>
      </c>
      <c r="Z7" s="154">
        <f>+Y7-Y7*0.2</f>
        <v>0</v>
      </c>
      <c r="AB7" s="154">
        <f>+Y7*AA7</f>
        <v>0</v>
      </c>
      <c r="AC7" s="154">
        <f>+Z7*AA7</f>
        <v>0</v>
      </c>
    </row>
    <row r="8" spans="1:2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+'28'!J8</f>
        <v>F 12,5 VP OW</v>
      </c>
      <c r="K8" s="244"/>
      <c r="L8" s="244"/>
      <c r="M8" s="122">
        <f>+K8+'28'!M8+L8</f>
        <v>54352</v>
      </c>
      <c r="N8" s="431">
        <v>18</v>
      </c>
      <c r="O8" s="204">
        <v>1200</v>
      </c>
      <c r="P8" s="204">
        <v>930</v>
      </c>
      <c r="Q8" s="204">
        <v>744</v>
      </c>
      <c r="R8" s="432">
        <f>1-(Q8/P8)</f>
        <v>0.19999999999999996</v>
      </c>
      <c r="S8" s="433">
        <f>480-S7</f>
        <v>435</v>
      </c>
      <c r="T8" s="434">
        <v>256.5</v>
      </c>
      <c r="U8" s="435">
        <f>(O8*(1-R8)*N8*T8*S8)/100000000</f>
        <v>19.280591999999999</v>
      </c>
      <c r="V8" s="436"/>
      <c r="W8" s="438"/>
      <c r="Z8" s="154">
        <f t="shared" ref="Z8" si="0">+Y8-Y8*0.23</f>
        <v>0</v>
      </c>
      <c r="AB8" s="154">
        <f t="shared" ref="AB8:AB11" si="1">+Y8*AA8</f>
        <v>0</v>
      </c>
      <c r="AC8" s="154">
        <f t="shared" ref="AC8:AC11" si="2">+Z8*AA8</f>
        <v>0</v>
      </c>
    </row>
    <row r="9" spans="1:29" ht="13.5" thickBot="1">
      <c r="A9" s="763"/>
      <c r="B9" s="220"/>
      <c r="C9" s="221"/>
      <c r="D9" s="222"/>
      <c r="E9" s="225"/>
      <c r="F9" s="233">
        <v>10</v>
      </c>
      <c r="G9" s="574" t="s">
        <v>12</v>
      </c>
      <c r="H9" s="238" t="s">
        <v>411</v>
      </c>
      <c r="I9" s="766"/>
      <c r="J9" s="219" t="str">
        <f>+'28'!J9</f>
        <v>T 13 VP OW</v>
      </c>
      <c r="K9" s="244"/>
      <c r="L9" s="244"/>
      <c r="M9" s="122">
        <f>+K9+'28'!M9+L9</f>
        <v>112205</v>
      </c>
      <c r="N9" s="439"/>
      <c r="AB9" s="154">
        <f t="shared" si="1"/>
        <v>0</v>
      </c>
      <c r="AC9" s="154">
        <f t="shared" si="2"/>
        <v>0</v>
      </c>
    </row>
    <row r="10" spans="1:29" ht="39" thickBot="1">
      <c r="A10" s="763"/>
      <c r="B10" s="220"/>
      <c r="C10" s="221"/>
      <c r="D10" s="222"/>
      <c r="E10" s="224"/>
      <c r="F10" s="233"/>
      <c r="G10" s="242"/>
      <c r="H10" s="238" t="s">
        <v>668</v>
      </c>
      <c r="I10" s="766"/>
      <c r="J10" s="219" t="str">
        <f>+'28'!J10</f>
        <v>T 12,5 VP OW</v>
      </c>
      <c r="K10" s="244"/>
      <c r="L10" s="244"/>
      <c r="M10" s="122">
        <f>+K10+'28'!M10+L10</f>
        <v>310471</v>
      </c>
      <c r="N10" s="439"/>
      <c r="AB10" s="154">
        <f t="shared" si="1"/>
        <v>0</v>
      </c>
      <c r="AC10" s="154">
        <f t="shared" si="2"/>
        <v>0</v>
      </c>
    </row>
    <row r="11" spans="1:29" ht="26.25" thickBot="1">
      <c r="A11" s="763"/>
      <c r="B11" s="220"/>
      <c r="C11" s="221"/>
      <c r="D11" s="222"/>
      <c r="E11" s="224"/>
      <c r="F11" s="233">
        <v>95</v>
      </c>
      <c r="G11" s="237" t="s">
        <v>20</v>
      </c>
      <c r="H11" s="238" t="s">
        <v>669</v>
      </c>
      <c r="I11" s="766"/>
      <c r="J11" s="219" t="str">
        <f>+'28'!J11</f>
        <v>T 12 VP OW</v>
      </c>
      <c r="K11" s="244"/>
      <c r="L11" s="244"/>
      <c r="M11" s="122">
        <f>+K11+'28'!M11+L11</f>
        <v>11128</v>
      </c>
      <c r="N11" s="439"/>
      <c r="AB11" s="154">
        <f t="shared" si="1"/>
        <v>0</v>
      </c>
      <c r="AC11" s="154">
        <f t="shared" si="2"/>
        <v>0</v>
      </c>
    </row>
    <row r="12" spans="1:2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+'28'!J12</f>
        <v>F 13 VP OW</v>
      </c>
      <c r="K12" s="244"/>
      <c r="L12" s="244"/>
      <c r="M12" s="122">
        <f>+K12+'28'!M12+L12</f>
        <v>35492</v>
      </c>
      <c r="N12" s="439"/>
      <c r="Z12" s="154">
        <f t="shared" ref="Z12" si="3">+Y12-Y12*0.17</f>
        <v>0</v>
      </c>
    </row>
    <row r="13" spans="1:2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+'28'!J13</f>
        <v>F 11 VP OW</v>
      </c>
      <c r="K13" s="244"/>
      <c r="L13" s="244"/>
      <c r="M13" s="122">
        <f>+K13+'28'!M13+L13</f>
        <v>11154</v>
      </c>
      <c r="N13" s="440"/>
      <c r="O13" s="441"/>
      <c r="P13" s="441"/>
      <c r="Q13" s="441"/>
      <c r="R13" s="441"/>
      <c r="S13" s="441"/>
      <c r="T13" s="441"/>
      <c r="U13" s="441"/>
      <c r="V13" s="441"/>
      <c r="W13" s="441"/>
      <c r="AA13" s="154">
        <f>SUM(AA5:AA11)</f>
        <v>385</v>
      </c>
      <c r="AB13" s="154">
        <f>SUM(AB5:AB11)</f>
        <v>269500</v>
      </c>
      <c r="AC13" s="154">
        <f>SUM(AC5:AC11)</f>
        <v>215600</v>
      </c>
    </row>
    <row r="14" spans="1:29" ht="13.5" thickBot="1">
      <c r="A14" s="764"/>
      <c r="B14" s="170" t="s">
        <v>2</v>
      </c>
      <c r="C14" s="104">
        <f>SUM(C7:C13)</f>
        <v>10403</v>
      </c>
      <c r="D14" s="116">
        <f>SUM(D7:D13)</f>
        <v>0</v>
      </c>
      <c r="E14" s="117">
        <f>SUM(E5:E13)</f>
        <v>0</v>
      </c>
      <c r="F14" s="121">
        <f>SUM(F7:F13)</f>
        <v>105</v>
      </c>
      <c r="G14" s="164"/>
      <c r="H14" s="171"/>
      <c r="I14" s="172"/>
      <c r="J14" s="219" t="str">
        <f>+'28'!J14</f>
        <v>F 14 VP OW</v>
      </c>
      <c r="K14" s="244"/>
      <c r="L14" s="244"/>
      <c r="M14" s="122">
        <f>+K14+'28'!M14+L14</f>
        <v>17466</v>
      </c>
      <c r="X14" s="154" t="s">
        <v>399</v>
      </c>
      <c r="AA14" s="154">
        <f>480-AA13</f>
        <v>95</v>
      </c>
      <c r="AB14" s="154">
        <f>+AB13/AA13</f>
        <v>700</v>
      </c>
      <c r="AC14" s="154">
        <f>+AC13/AA13</f>
        <v>560</v>
      </c>
    </row>
    <row r="15" spans="1:29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 t="s">
        <v>399</v>
      </c>
      <c r="J15" s="219">
        <f>+'28'!J15</f>
        <v>0</v>
      </c>
      <c r="K15" s="244"/>
      <c r="L15" s="244"/>
      <c r="M15" s="122">
        <f>+K15+'28'!M15+L15</f>
        <v>0</v>
      </c>
      <c r="N15" s="431">
        <v>18</v>
      </c>
      <c r="O15" s="204">
        <v>1200</v>
      </c>
      <c r="P15" s="204">
        <v>850</v>
      </c>
      <c r="Q15" s="204">
        <v>680</v>
      </c>
      <c r="R15" s="432">
        <f>1-(Q15/P15)</f>
        <v>0.19999999999999996</v>
      </c>
      <c r="S15" s="433">
        <v>480</v>
      </c>
      <c r="T15" s="434">
        <v>256.5</v>
      </c>
      <c r="U15" s="435">
        <f>(O15*(1-R15)*N15*T15*S15)/100000000</f>
        <v>21.275136</v>
      </c>
      <c r="V15" s="436">
        <f>+C23/1000</f>
        <v>0</v>
      </c>
      <c r="W15" s="437">
        <f>SUM(V15:V17)/SUM(U15:U17)</f>
        <v>0</v>
      </c>
    </row>
    <row r="16" spans="1:29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+'28'!J16</f>
        <v>0</v>
      </c>
      <c r="K16" s="234"/>
      <c r="L16" s="234"/>
      <c r="M16" s="122">
        <f>+K16+'28'!M16+L16</f>
        <v>0</v>
      </c>
      <c r="N16" s="442"/>
      <c r="O16" s="204"/>
      <c r="P16" s="204"/>
      <c r="Q16" s="443"/>
      <c r="R16" s="432"/>
      <c r="S16" s="204"/>
      <c r="T16" s="434"/>
      <c r="U16" s="435"/>
      <c r="V16" s="436"/>
      <c r="W16" s="438"/>
    </row>
    <row r="17" spans="1:2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411</v>
      </c>
      <c r="I17" s="766"/>
      <c r="J17" s="219">
        <f>+'28'!J17</f>
        <v>0</v>
      </c>
      <c r="K17" s="234"/>
      <c r="L17" s="234"/>
      <c r="M17" s="122">
        <f>+K17+'28'!M17+L17</f>
        <v>0</v>
      </c>
      <c r="N17" s="439"/>
      <c r="O17" s="204"/>
      <c r="R17" s="432"/>
      <c r="T17" s="434"/>
      <c r="U17" s="435"/>
    </row>
    <row r="18" spans="1:23" ht="102.75" thickBot="1">
      <c r="A18" s="768"/>
      <c r="B18" s="220"/>
      <c r="C18" s="221"/>
      <c r="D18" s="222"/>
      <c r="E18" s="230"/>
      <c r="F18" s="233">
        <v>480</v>
      </c>
      <c r="G18" s="242" t="s">
        <v>20</v>
      </c>
      <c r="H18" s="238" t="s">
        <v>667</v>
      </c>
      <c r="I18" s="766"/>
      <c r="J18" s="219">
        <f>+'28'!J18</f>
        <v>0</v>
      </c>
      <c r="K18" s="244"/>
      <c r="L18" s="244"/>
      <c r="M18" s="122">
        <f>+K18+'28'!M18+L18</f>
        <v>0</v>
      </c>
      <c r="N18" s="439"/>
    </row>
    <row r="19" spans="1:2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+'28'!J19</f>
        <v>0</v>
      </c>
      <c r="K19" s="244"/>
      <c r="L19" s="244"/>
      <c r="M19" s="122">
        <f>+K19+'28'!M19+L19</f>
        <v>0</v>
      </c>
      <c r="N19" s="439"/>
    </row>
    <row r="20" spans="1:2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+'28'!J20</f>
        <v>0</v>
      </c>
      <c r="K20" s="245"/>
      <c r="L20" s="245"/>
      <c r="M20" s="122">
        <f>+K20+'28'!M20+L20</f>
        <v>0</v>
      </c>
      <c r="N20" s="439"/>
    </row>
    <row r="21" spans="1:2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+'28'!J21</f>
        <v>0</v>
      </c>
      <c r="K21" s="244"/>
      <c r="L21" s="244"/>
      <c r="M21" s="122">
        <f>+K21+'28'!M21+L21</f>
        <v>0</v>
      </c>
      <c r="N21" s="440"/>
      <c r="O21" s="441"/>
      <c r="P21" s="441"/>
      <c r="Q21" s="441"/>
      <c r="R21" s="441"/>
      <c r="S21" s="441"/>
      <c r="T21" s="441"/>
      <c r="U21" s="441"/>
      <c r="V21" s="441"/>
      <c r="W21" s="441"/>
    </row>
    <row r="22" spans="1:2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+'28'!J22</f>
        <v>0</v>
      </c>
      <c r="K22" s="244"/>
      <c r="L22" s="244"/>
      <c r="M22" s="122">
        <f>+K22+'28'!M22+L22</f>
        <v>0</v>
      </c>
    </row>
    <row r="23" spans="1:2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+'28'!J23</f>
        <v>0</v>
      </c>
      <c r="K23" s="244"/>
      <c r="L23" s="244"/>
      <c r="M23" s="122">
        <f>+K23+'28'!M23+L23</f>
        <v>0</v>
      </c>
      <c r="N23" s="444"/>
      <c r="O23" s="445"/>
      <c r="P23" s="445"/>
      <c r="Q23" s="445"/>
      <c r="R23" s="445"/>
      <c r="S23" s="445"/>
      <c r="T23" s="445"/>
      <c r="U23" s="445"/>
      <c r="V23" s="445"/>
      <c r="W23" s="445"/>
    </row>
    <row r="24" spans="1:2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 t="s">
        <v>399</v>
      </c>
      <c r="J24" s="219">
        <f>+'28'!J24</f>
        <v>0</v>
      </c>
      <c r="K24" s="244"/>
      <c r="L24" s="244"/>
      <c r="M24" s="122">
        <f>+K24+'28'!M24+L24</f>
        <v>0</v>
      </c>
      <c r="N24" s="431">
        <v>18</v>
      </c>
      <c r="O24" s="204">
        <v>1200</v>
      </c>
      <c r="P24" s="204">
        <v>770</v>
      </c>
      <c r="Q24" s="204">
        <v>616</v>
      </c>
      <c r="R24" s="432">
        <f>1-(Q24/P24)</f>
        <v>0.19999999999999996</v>
      </c>
      <c r="S24" s="433">
        <v>480</v>
      </c>
      <c r="T24" s="434">
        <v>256.5</v>
      </c>
      <c r="U24" s="435">
        <f>(O24*(1-R24)*N24*T24*S24)/100000000</f>
        <v>21.275136</v>
      </c>
      <c r="V24" s="436">
        <f>+C32/1000</f>
        <v>0</v>
      </c>
      <c r="W24" s="437">
        <f>SUM(V24:V25)/SUM(U24:U25)</f>
        <v>0</v>
      </c>
    </row>
    <row r="25" spans="1:23" ht="13.5" customHeight="1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+'28'!J25</f>
        <v>0</v>
      </c>
      <c r="K25" s="244"/>
      <c r="L25" s="244"/>
      <c r="M25" s="122">
        <f>+K25+'28'!M25+L25</f>
        <v>0</v>
      </c>
      <c r="N25" s="431"/>
      <c r="O25" s="204"/>
      <c r="P25" s="204"/>
      <c r="Q25" s="204"/>
      <c r="R25" s="432"/>
      <c r="S25" s="433"/>
      <c r="T25" s="434"/>
      <c r="U25" s="435"/>
      <c r="V25" s="436"/>
      <c r="W25" s="437"/>
    </row>
    <row r="26" spans="1:23" ht="13.5" customHeight="1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411</v>
      </c>
      <c r="I26" s="766"/>
      <c r="J26" s="219">
        <f>+'28'!J26</f>
        <v>0</v>
      </c>
      <c r="K26" s="244"/>
      <c r="L26" s="244"/>
      <c r="M26" s="122">
        <f>+K26+'28'!M26+L26</f>
        <v>0</v>
      </c>
    </row>
    <row r="27" spans="1:23" ht="102.75" thickBot="1">
      <c r="A27" s="768"/>
      <c r="B27" s="220"/>
      <c r="C27" s="221"/>
      <c r="D27" s="222"/>
      <c r="E27" s="230"/>
      <c r="F27" s="233">
        <v>480</v>
      </c>
      <c r="G27" s="242" t="s">
        <v>20</v>
      </c>
      <c r="H27" s="238" t="s">
        <v>666</v>
      </c>
      <c r="I27" s="766"/>
      <c r="J27" s="219">
        <f>+'28'!J27</f>
        <v>0</v>
      </c>
      <c r="K27" s="244"/>
      <c r="L27" s="244"/>
      <c r="M27" s="122">
        <f>+K27+'28'!M27+L27</f>
        <v>0</v>
      </c>
    </row>
    <row r="28" spans="1:23" ht="13.5" customHeight="1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+'28'!J28</f>
        <v>0</v>
      </c>
      <c r="K28" s="244"/>
      <c r="L28" s="244"/>
      <c r="M28" s="122">
        <f>+K28+'28'!M28+L28</f>
        <v>0</v>
      </c>
    </row>
    <row r="29" spans="1:23" ht="13.5" customHeight="1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+'28'!J29</f>
        <v>0</v>
      </c>
      <c r="K29" s="244"/>
      <c r="L29" s="244"/>
      <c r="M29" s="122">
        <f>+K29+'28'!M29+L29</f>
        <v>0</v>
      </c>
    </row>
    <row r="30" spans="1:23" ht="13.5" customHeight="1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+'28'!J30</f>
        <v>0</v>
      </c>
      <c r="K30" s="244"/>
      <c r="L30" s="244"/>
      <c r="M30" s="122">
        <f>+K30+'28'!M30+L30</f>
        <v>0</v>
      </c>
      <c r="N30" s="160"/>
    </row>
    <row r="31" spans="1:23" ht="13.5" customHeight="1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+'28'!J31</f>
        <v>0</v>
      </c>
      <c r="K31" s="244"/>
      <c r="L31" s="244"/>
      <c r="M31" s="122">
        <f>+K31+'28'!M31+L31</f>
        <v>0</v>
      </c>
    </row>
    <row r="32" spans="1:23" ht="13.5" customHeight="1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+'28'!J32</f>
        <v>0</v>
      </c>
      <c r="K32" s="246"/>
      <c r="L32" s="248"/>
      <c r="M32" s="122">
        <f>+K32+'28'!M32+L32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70" t="s">
        <v>57</v>
      </c>
      <c r="B34" s="771"/>
      <c r="C34" s="112">
        <f>C14+C23+C32</f>
        <v>10403</v>
      </c>
      <c r="D34" s="112">
        <f>D14+D23+D32</f>
        <v>0</v>
      </c>
      <c r="E34" s="112">
        <f>E14+E23+E32</f>
        <v>0</v>
      </c>
      <c r="F34" s="113">
        <f>F14+F23+F32</f>
        <v>1065</v>
      </c>
      <c r="H34" s="183"/>
      <c r="I34" s="183"/>
      <c r="J34" s="128" t="s">
        <v>28</v>
      </c>
      <c r="K34" s="129">
        <f>SUM(K7:K32)</f>
        <v>10403</v>
      </c>
      <c r="L34" s="217">
        <f>SUM(L7:L32)</f>
        <v>0</v>
      </c>
      <c r="M34" s="125">
        <f>SUM(M7:M32)</f>
        <v>700591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4" ht="13.5" thickBot="1">
      <c r="A36" s="183"/>
      <c r="B36" s="183"/>
      <c r="C36" s="160"/>
      <c r="D36" s="160"/>
      <c r="E36" s="160"/>
      <c r="G36" s="160"/>
      <c r="H36" s="186" t="s">
        <v>0</v>
      </c>
      <c r="I36" s="167" t="s">
        <v>37</v>
      </c>
      <c r="J36" s="167" t="s">
        <v>38</v>
      </c>
      <c r="K36" s="187"/>
    </row>
    <row r="37" spans="1:14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(12*95)/95*G42*2.74*95/1000000</f>
        <v>1.7492160000000003</v>
      </c>
      <c r="J37" s="130">
        <f>+I37+'28'!J37</f>
        <v>836.20635466023384</v>
      </c>
      <c r="K37" s="131" t="s">
        <v>63</v>
      </c>
    </row>
    <row r="38" spans="1:14" ht="17.45" customHeight="1">
      <c r="A38" s="774" t="s">
        <v>12</v>
      </c>
      <c r="B38" s="775"/>
      <c r="C38" s="169">
        <f>SUMIF($G$7:$G$31,"Process",$F$7:$F$31)</f>
        <v>10</v>
      </c>
      <c r="D38" s="123">
        <f>+C38+'28'!D38</f>
        <v>1319</v>
      </c>
      <c r="E38" s="148">
        <f t="shared" ref="E38:E51" si="4">D38/60</f>
        <v>21.983333333333334</v>
      </c>
      <c r="F38" s="328">
        <v>700</v>
      </c>
      <c r="G38" s="328">
        <v>560</v>
      </c>
      <c r="H38" s="192" t="s">
        <v>64</v>
      </c>
      <c r="I38" s="250">
        <v>7.3259999999999996</v>
      </c>
      <c r="J38" s="132">
        <f>+I38+'28'!J38</f>
        <v>742.94600000000003</v>
      </c>
      <c r="K38" s="133" t="s">
        <v>63</v>
      </c>
    </row>
    <row r="39" spans="1:14" ht="17.45" customHeight="1">
      <c r="A39" s="776" t="s">
        <v>13</v>
      </c>
      <c r="B39" s="777"/>
      <c r="C39" s="169">
        <f>SUMIF($G$7:$G$31,"Cleaning",$F$7:$F$31)</f>
        <v>0</v>
      </c>
      <c r="D39" s="123">
        <f>+C39+'28'!D39</f>
        <v>0</v>
      </c>
      <c r="E39" s="148">
        <f t="shared" si="4"/>
        <v>0</v>
      </c>
      <c r="F39" s="328"/>
      <c r="G39" s="328"/>
      <c r="H39" s="192" t="s">
        <v>65</v>
      </c>
      <c r="I39" s="147"/>
      <c r="J39" s="134">
        <f>J37/G4</f>
        <v>28.834701884835649</v>
      </c>
      <c r="K39" s="135" t="s">
        <v>63</v>
      </c>
    </row>
    <row r="40" spans="1:14" ht="17.45" customHeight="1">
      <c r="A40" s="776" t="s">
        <v>66</v>
      </c>
      <c r="B40" s="777"/>
      <c r="C40" s="169">
        <f>SUMIF($G$7:$G$31,"Mechanical",$F$7:$F$31)</f>
        <v>0</v>
      </c>
      <c r="D40" s="123">
        <f>+C40+'28'!D40</f>
        <v>541</v>
      </c>
      <c r="E40" s="148">
        <f t="shared" si="4"/>
        <v>9.0166666666666675</v>
      </c>
      <c r="F40" s="328"/>
      <c r="G40" s="328"/>
      <c r="H40" s="192" t="s">
        <v>67</v>
      </c>
      <c r="I40" s="123">
        <f>(K34+L34)/1000</f>
        <v>10.403</v>
      </c>
      <c r="J40" s="136">
        <f>+I40+'28'!J40</f>
        <v>700.59100000000012</v>
      </c>
      <c r="K40" s="135" t="s">
        <v>63</v>
      </c>
    </row>
    <row r="41" spans="1:14" ht="17.45" customHeight="1">
      <c r="A41" s="776" t="s">
        <v>68</v>
      </c>
      <c r="B41" s="777"/>
      <c r="C41" s="169">
        <f>SUMIF($G$7:$G$31,"Electrical",$F$7:$F$31)</f>
        <v>0</v>
      </c>
      <c r="D41" s="123">
        <f>+C41+'28'!D41</f>
        <v>144</v>
      </c>
      <c r="E41" s="148">
        <f t="shared" si="4"/>
        <v>2.4</v>
      </c>
      <c r="F41" s="328"/>
      <c r="G41" s="328"/>
      <c r="H41" s="192" t="s">
        <v>69</v>
      </c>
      <c r="I41" s="147"/>
      <c r="J41" s="134">
        <f>J40/G4</f>
        <v>24.158310344827591</v>
      </c>
      <c r="K41" s="135" t="s">
        <v>63</v>
      </c>
    </row>
    <row r="42" spans="1:14" ht="17.45" customHeight="1">
      <c r="A42" s="776" t="s">
        <v>16</v>
      </c>
      <c r="B42" s="777"/>
      <c r="C42" s="169">
        <f>SUMIF($G$7:$G$31,"Instrument",$F$7:$F$31)</f>
        <v>0</v>
      </c>
      <c r="D42" s="123">
        <f>+C42+'28'!D42</f>
        <v>0</v>
      </c>
      <c r="E42" s="148">
        <f t="shared" si="4"/>
        <v>0</v>
      </c>
      <c r="F42" s="328">
        <f>+F38</f>
        <v>700</v>
      </c>
      <c r="G42" s="328">
        <f>+G38</f>
        <v>560</v>
      </c>
      <c r="H42" s="192" t="s">
        <v>70</v>
      </c>
      <c r="I42" s="251" t="s">
        <v>670</v>
      </c>
      <c r="J42" s="137"/>
      <c r="K42" s="135" t="s">
        <v>71</v>
      </c>
    </row>
    <row r="43" spans="1:14" ht="17.45" customHeight="1">
      <c r="A43" s="776" t="s">
        <v>72</v>
      </c>
      <c r="B43" s="777"/>
      <c r="C43" s="169">
        <f>SUMIF($G$7:$G$31,"Water",$F$7:$F$31)</f>
        <v>0</v>
      </c>
      <c r="D43" s="123">
        <f>+C43+'28'!D43</f>
        <v>0</v>
      </c>
      <c r="E43" s="148">
        <f t="shared" si="4"/>
        <v>0</v>
      </c>
      <c r="F43" s="328"/>
      <c r="G43" s="329"/>
      <c r="H43" s="193" t="s">
        <v>73</v>
      </c>
      <c r="I43" s="123">
        <f>+Report1!Z37</f>
        <v>13.9</v>
      </c>
      <c r="J43" s="138">
        <f>+I43+'28'!J43</f>
        <v>1328.8000000000004</v>
      </c>
      <c r="K43" s="135" t="s">
        <v>63</v>
      </c>
      <c r="L43" s="194"/>
    </row>
    <row r="44" spans="1:14" ht="17.45" customHeight="1">
      <c r="A44" s="776" t="s">
        <v>17</v>
      </c>
      <c r="B44" s="777"/>
      <c r="C44" s="169">
        <f>SUMIF($G$7:$G$31,"PLN",$F$7:$F$31)</f>
        <v>0</v>
      </c>
      <c r="D44" s="123">
        <f>+C44+'28'!D44</f>
        <v>0</v>
      </c>
      <c r="E44" s="148">
        <f t="shared" si="4"/>
        <v>0</v>
      </c>
      <c r="F44" s="328"/>
      <c r="G44" s="329"/>
      <c r="H44" s="193" t="s">
        <v>74</v>
      </c>
      <c r="I44" s="123">
        <f>I43/I38</f>
        <v>1.8973518973518975</v>
      </c>
      <c r="J44" s="139">
        <f>J43/J38</f>
        <v>1.788555292040068</v>
      </c>
      <c r="K44" s="135" t="s">
        <v>63</v>
      </c>
    </row>
    <row r="45" spans="1:14" ht="17.45" customHeight="1">
      <c r="A45" s="776" t="s">
        <v>18</v>
      </c>
      <c r="B45" s="777"/>
      <c r="C45" s="169">
        <f>SUMIF($G$7:$G$31,"Boiler",$F$7:$F$31)</f>
        <v>0</v>
      </c>
      <c r="D45" s="123">
        <f>+C45+'28'!D45</f>
        <v>0</v>
      </c>
      <c r="E45" s="148">
        <f t="shared" si="4"/>
        <v>0</v>
      </c>
      <c r="F45" s="328"/>
      <c r="G45" s="331"/>
      <c r="H45" s="193" t="s">
        <v>75</v>
      </c>
      <c r="I45" s="123">
        <f>I43/I40</f>
        <v>1.3361530327790061</v>
      </c>
      <c r="J45" s="139">
        <f>J43/J40</f>
        <v>1.8966843707669669</v>
      </c>
      <c r="K45" s="135" t="s">
        <v>63</v>
      </c>
    </row>
    <row r="46" spans="1:14" ht="17.45" customHeight="1">
      <c r="A46" s="776" t="s">
        <v>76</v>
      </c>
      <c r="B46" s="777"/>
      <c r="C46" s="169">
        <f>SUMIF($G$7:$G$31,"Gas",$F$7:$F$31)</f>
        <v>0</v>
      </c>
      <c r="D46" s="123">
        <f>+C46+'28'!D46</f>
        <v>0</v>
      </c>
      <c r="E46" s="148">
        <f t="shared" si="4"/>
        <v>0</v>
      </c>
      <c r="F46" s="328"/>
      <c r="G46" s="329"/>
      <c r="H46" s="193" t="s">
        <v>77</v>
      </c>
      <c r="I46" s="145">
        <f>+SUMIF(Listrik!P36,"&gt;0")</f>
        <v>14019.160000001091</v>
      </c>
      <c r="J46" s="140">
        <f>+I46+'28'!J46</f>
        <v>779487.82000000007</v>
      </c>
      <c r="K46" s="135" t="s">
        <v>78</v>
      </c>
    </row>
    <row r="47" spans="1:14" ht="17.45" customHeight="1">
      <c r="A47" s="776" t="s">
        <v>79</v>
      </c>
      <c r="B47" s="777"/>
      <c r="C47" s="169">
        <f>SUMIF($G$7:$G$31,"Gas",$F$7:$F$31)</f>
        <v>0</v>
      </c>
      <c r="D47" s="123">
        <f>+C47+'28'!D47</f>
        <v>0</v>
      </c>
      <c r="E47" s="148">
        <f t="shared" si="4"/>
        <v>0</v>
      </c>
      <c r="F47" s="328"/>
      <c r="G47" s="329"/>
      <c r="H47" s="193" t="s">
        <v>80</v>
      </c>
      <c r="I47" s="123">
        <f>I46/I38</f>
        <v>1913.6172536174026</v>
      </c>
      <c r="J47" s="140">
        <f>J46/J38</f>
        <v>1049.1850282523899</v>
      </c>
      <c r="K47" s="135" t="s">
        <v>24</v>
      </c>
    </row>
    <row r="48" spans="1:14" ht="17.45" customHeight="1">
      <c r="A48" s="776" t="s">
        <v>14</v>
      </c>
      <c r="B48" s="777"/>
      <c r="C48" s="169">
        <f>SUMIF($G$7:$G$31,"Start Up",$F$7:$F$31)</f>
        <v>0</v>
      </c>
      <c r="D48" s="123">
        <f>+C48+'28'!D48</f>
        <v>0</v>
      </c>
      <c r="E48" s="148">
        <f t="shared" si="4"/>
        <v>0</v>
      </c>
      <c r="F48" s="328"/>
      <c r="G48" s="329"/>
      <c r="H48" s="193" t="s">
        <v>81</v>
      </c>
      <c r="I48" s="123">
        <f>I46/I40</f>
        <v>1347.6074209363733</v>
      </c>
      <c r="J48" s="140">
        <f>J46/J40</f>
        <v>1112.6146639051885</v>
      </c>
      <c r="K48" s="135" t="s">
        <v>24</v>
      </c>
    </row>
    <row r="49" spans="1:23" ht="17.45" customHeight="1">
      <c r="A49" s="782" t="s">
        <v>20</v>
      </c>
      <c r="B49" s="777"/>
      <c r="C49" s="169">
        <f>SUMIF($G$7:$G$31,"Others",$F$7:$F$31)</f>
        <v>1055</v>
      </c>
      <c r="D49" s="123">
        <f>+C49+'28'!D49</f>
        <v>13797</v>
      </c>
      <c r="E49" s="148">
        <f t="shared" si="4"/>
        <v>229.95</v>
      </c>
      <c r="F49" s="190"/>
      <c r="H49" s="193" t="s">
        <v>271</v>
      </c>
      <c r="I49" s="123">
        <f>+Report1!T37</f>
        <v>589.01261048246363</v>
      </c>
      <c r="J49" s="140">
        <f>+I49+'28'!J49</f>
        <v>77291.906345522162</v>
      </c>
      <c r="K49" s="135" t="s">
        <v>82</v>
      </c>
    </row>
    <row r="50" spans="1:23" ht="17.45" customHeight="1">
      <c r="A50" s="776" t="s">
        <v>19</v>
      </c>
      <c r="B50" s="777"/>
      <c r="C50" s="169">
        <f>SUMIF($G$7:$G$31,"Steam",$F$7:$F$31)</f>
        <v>0</v>
      </c>
      <c r="D50" s="123">
        <f>+C50+'28'!D50</f>
        <v>0</v>
      </c>
      <c r="E50" s="148">
        <f t="shared" si="4"/>
        <v>0</v>
      </c>
      <c r="F50" s="190"/>
      <c r="H50" s="193" t="s">
        <v>83</v>
      </c>
      <c r="I50" s="145">
        <f>I49/I38</f>
        <v>80.400301731158024</v>
      </c>
      <c r="J50" s="138">
        <f>J49/J38</f>
        <v>104.03435289445284</v>
      </c>
      <c r="K50" s="135" t="s">
        <v>82</v>
      </c>
    </row>
    <row r="51" spans="1:23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+C51+'28'!D51</f>
        <v>0</v>
      </c>
      <c r="E51" s="148">
        <f t="shared" si="4"/>
        <v>0</v>
      </c>
      <c r="F51" s="190"/>
      <c r="H51" s="195" t="s">
        <v>85</v>
      </c>
      <c r="I51" s="146">
        <f>I49/I40</f>
        <v>56.619495384260652</v>
      </c>
      <c r="J51" s="141">
        <f>J49/J40</f>
        <v>110.32386420254063</v>
      </c>
      <c r="K51" s="142" t="s">
        <v>82</v>
      </c>
    </row>
    <row r="52" spans="1:23" ht="13.5" thickBot="1">
      <c r="A52" s="774" t="s">
        <v>28</v>
      </c>
      <c r="B52" s="775"/>
      <c r="C52" s="149">
        <f>SUM(C38:C51)</f>
        <v>1065</v>
      </c>
      <c r="D52" s="149">
        <f>SUM(D38:D51)</f>
        <v>15801</v>
      </c>
      <c r="E52" s="150">
        <f>SUM(E38:E51)</f>
        <v>263.34999999999997</v>
      </c>
      <c r="F52" s="190"/>
      <c r="H52" s="196"/>
      <c r="I52" s="197"/>
      <c r="J52" s="143"/>
      <c r="K52" s="144"/>
    </row>
    <row r="53" spans="1:23" ht="13.5" thickBot="1">
      <c r="A53" s="780"/>
      <c r="B53" s="781"/>
      <c r="C53" s="151">
        <f>C52/(24*60)</f>
        <v>0.73958333333333337</v>
      </c>
      <c r="D53" s="151">
        <f>D52/(24*60*G4)</f>
        <v>0.3783764367816092</v>
      </c>
      <c r="E53" s="152">
        <f>E52/(G4*24)</f>
        <v>0.37837643678160915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+D34+'28'!J56</f>
        <v>5469</v>
      </c>
      <c r="K56" s="206">
        <f>J56/(J40+J56/1000)/1000</f>
        <v>7.7458006401722214E-3</v>
      </c>
    </row>
    <row r="57" spans="1:23">
      <c r="A57" s="181"/>
      <c r="I57" s="204" t="s">
        <v>88</v>
      </c>
      <c r="J57" s="205">
        <f>+E34+'28'!J57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4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1"/>
  <sheetViews>
    <sheetView topLeftCell="F16" zoomScale="80" zoomScaleNormal="80" workbookViewId="0">
      <selection activeCell="X26" sqref="X26:AC3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5.42578125" style="154" customWidth="1"/>
    <col min="14" max="15" width="0" style="154" hidden="1" customWidth="1"/>
    <col min="16" max="16" width="10.28515625" style="154" hidden="1" customWidth="1"/>
    <col min="17" max="17" width="9.28515625" style="154" hidden="1" customWidth="1"/>
    <col min="18" max="23" width="0" style="154" hidden="1" customWidth="1"/>
    <col min="24" max="16384" width="9.140625" style="154"/>
  </cols>
  <sheetData>
    <row r="1" spans="1:36" ht="15.75">
      <c r="A1" s="153"/>
    </row>
    <row r="2" spans="1:36" ht="15.75">
      <c r="A2" s="153" t="s">
        <v>184</v>
      </c>
    </row>
    <row r="3" spans="1:36" ht="15">
      <c r="A3" s="155"/>
    </row>
    <row r="4" spans="1:36" ht="20.25">
      <c r="A4" s="156" t="s">
        <v>3</v>
      </c>
      <c r="B4" s="157"/>
      <c r="F4" s="158" t="s">
        <v>29</v>
      </c>
      <c r="G4" s="159">
        <v>28</v>
      </c>
      <c r="H4" s="159" t="str">
        <f>+'1'!H4</f>
        <v>.10.25</v>
      </c>
    </row>
    <row r="5" spans="1:36" ht="13.5" thickBot="1">
      <c r="C5" s="160"/>
      <c r="D5" s="160"/>
    </row>
    <row r="6" spans="1:36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86" t="s">
        <v>92</v>
      </c>
      <c r="O6" s="429" t="s">
        <v>191</v>
      </c>
      <c r="P6" s="429" t="s">
        <v>191</v>
      </c>
      <c r="Q6" s="429" t="s">
        <v>192</v>
      </c>
      <c r="R6" s="429" t="s">
        <v>193</v>
      </c>
      <c r="S6" s="429" t="s">
        <v>194</v>
      </c>
      <c r="T6" s="429" t="s">
        <v>189</v>
      </c>
      <c r="U6" s="430" t="s">
        <v>195</v>
      </c>
      <c r="V6" s="429" t="s">
        <v>196</v>
      </c>
      <c r="W6" s="429" t="s">
        <v>190</v>
      </c>
      <c r="X6" s="154" t="s">
        <v>645</v>
      </c>
      <c r="Y6" s="154">
        <v>910</v>
      </c>
      <c r="Z6" s="154">
        <f>+Y6-Y6*0.2</f>
        <v>728</v>
      </c>
      <c r="AA6" s="154">
        <f>60*1+35</f>
        <v>95</v>
      </c>
      <c r="AB6" s="154">
        <f>+Y6*AA6</f>
        <v>86450</v>
      </c>
      <c r="AC6" s="154">
        <f>+Z6*AA6</f>
        <v>69160</v>
      </c>
      <c r="AE6" s="154" t="s">
        <v>645</v>
      </c>
      <c r="AF6" s="154">
        <v>910</v>
      </c>
      <c r="AG6" s="154">
        <f>+AF6-AF6*0.2</f>
        <v>728</v>
      </c>
      <c r="AH6" s="154">
        <f>60*1+35</f>
        <v>95</v>
      </c>
      <c r="AI6" s="154">
        <f>+AF6*AH6</f>
        <v>86450</v>
      </c>
      <c r="AJ6" s="154">
        <f>+AG6*AH6</f>
        <v>69160</v>
      </c>
    </row>
    <row r="7" spans="1:36" ht="13.5" customHeight="1" thickBot="1">
      <c r="A7" s="762"/>
      <c r="B7" s="220" t="s">
        <v>652</v>
      </c>
      <c r="C7" s="221">
        <v>3002</v>
      </c>
      <c r="D7" s="222"/>
      <c r="E7" s="223"/>
      <c r="F7" s="233"/>
      <c r="G7" s="234" t="s">
        <v>12</v>
      </c>
      <c r="H7" s="235" t="s">
        <v>386</v>
      </c>
      <c r="I7" s="765" t="s">
        <v>646</v>
      </c>
      <c r="J7" s="219" t="str">
        <f>+'27'!J7</f>
        <v>F 12 VP OW</v>
      </c>
      <c r="K7" s="243">
        <f>+C16+C25</f>
        <v>7171</v>
      </c>
      <c r="L7" s="247"/>
      <c r="M7" s="122">
        <f>+K7+'27'!M7+L7</f>
        <v>137920</v>
      </c>
      <c r="N7" s="431">
        <v>14.5</v>
      </c>
      <c r="O7" s="204">
        <v>1200</v>
      </c>
      <c r="P7" s="204">
        <v>1120</v>
      </c>
      <c r="Q7" s="204">
        <v>896</v>
      </c>
      <c r="R7" s="432">
        <f>1-(Q7/P7)</f>
        <v>0.19999999999999996</v>
      </c>
      <c r="S7" s="433">
        <v>45</v>
      </c>
      <c r="T7" s="434">
        <v>256.5</v>
      </c>
      <c r="U7" s="435">
        <f>(O7*(1-R7)*N7*T7*S7)/100000000</f>
        <v>1.606716</v>
      </c>
      <c r="V7" s="436">
        <f>+C14/1000</f>
        <v>3.0019999999999998</v>
      </c>
      <c r="W7" s="437">
        <f>SUM(V7:V9)/SUM(U7:U9)</f>
        <v>0.14372364308507349</v>
      </c>
      <c r="Y7" s="154">
        <v>910</v>
      </c>
      <c r="Z7" s="154">
        <f>+Y7-Y7*0.2</f>
        <v>728</v>
      </c>
      <c r="AA7" s="154">
        <f>60-20</f>
        <v>40</v>
      </c>
      <c r="AB7" s="154">
        <f>+Y7*AA7</f>
        <v>36400</v>
      </c>
      <c r="AC7" s="154">
        <f>+Z7*AA7</f>
        <v>29120</v>
      </c>
      <c r="AF7" s="154">
        <v>910</v>
      </c>
      <c r="AG7" s="154">
        <f>+AF7-AF7*0.2</f>
        <v>728</v>
      </c>
      <c r="AH7" s="154">
        <f>60-20</f>
        <v>40</v>
      </c>
      <c r="AI7" s="154">
        <f>+AF7*AH7</f>
        <v>36400</v>
      </c>
      <c r="AJ7" s="154">
        <f>+AG7*AH7</f>
        <v>29120</v>
      </c>
    </row>
    <row r="8" spans="1:36" ht="13.5" thickBot="1">
      <c r="A8" s="763"/>
      <c r="B8" s="220"/>
      <c r="C8" s="221"/>
      <c r="D8" s="222"/>
      <c r="E8" s="224"/>
      <c r="F8" s="236">
        <v>5</v>
      </c>
      <c r="G8" s="574" t="s">
        <v>12</v>
      </c>
      <c r="H8" s="235" t="s">
        <v>443</v>
      </c>
      <c r="I8" s="766"/>
      <c r="J8" s="219" t="str">
        <f>+'27'!J8</f>
        <v>F 12,5 VP OW</v>
      </c>
      <c r="K8" s="244"/>
      <c r="L8" s="244"/>
      <c r="M8" s="122">
        <f>+K8+'27'!M8+L8</f>
        <v>54352</v>
      </c>
      <c r="N8" s="431">
        <v>18</v>
      </c>
      <c r="O8" s="204">
        <v>1200</v>
      </c>
      <c r="P8" s="204">
        <v>930</v>
      </c>
      <c r="Q8" s="204">
        <v>744</v>
      </c>
      <c r="R8" s="432">
        <f>1-(Q8/P8)</f>
        <v>0.19999999999999996</v>
      </c>
      <c r="S8" s="433">
        <f>480-S7</f>
        <v>435</v>
      </c>
      <c r="T8" s="434">
        <v>256.5</v>
      </c>
      <c r="U8" s="435">
        <f>(O8*(1-R8)*N8*T8*S8)/100000000</f>
        <v>19.280591999999999</v>
      </c>
      <c r="V8" s="436"/>
      <c r="W8" s="438"/>
      <c r="Z8" s="154">
        <f t="shared" ref="Z8" si="0">+Y8-Y8*0.23</f>
        <v>0</v>
      </c>
      <c r="AB8" s="154">
        <f t="shared" ref="AB8:AB11" si="1">+Y8*AA8</f>
        <v>0</v>
      </c>
      <c r="AC8" s="154">
        <f t="shared" ref="AC8:AC11" si="2">+Z8*AA8</f>
        <v>0</v>
      </c>
      <c r="AE8" s="154" t="s">
        <v>645</v>
      </c>
      <c r="AF8" s="154">
        <v>750</v>
      </c>
      <c r="AG8" s="154">
        <f>+AF8-AF8*0.2</f>
        <v>600</v>
      </c>
      <c r="AH8" s="154">
        <v>55</v>
      </c>
      <c r="AI8" s="154">
        <f t="shared" ref="AI8:AI11" si="3">+AF8*AH8</f>
        <v>41250</v>
      </c>
      <c r="AJ8" s="154">
        <f t="shared" ref="AJ8:AJ11" si="4">+AG8*AH8</f>
        <v>33000</v>
      </c>
    </row>
    <row r="9" spans="1:36" ht="13.5" thickBot="1">
      <c r="A9" s="763"/>
      <c r="B9" s="220"/>
      <c r="C9" s="221"/>
      <c r="D9" s="222"/>
      <c r="E9" s="225"/>
      <c r="F9" s="233">
        <v>5</v>
      </c>
      <c r="G9" s="574" t="s">
        <v>12</v>
      </c>
      <c r="H9" s="238" t="s">
        <v>662</v>
      </c>
      <c r="I9" s="766"/>
      <c r="J9" s="219" t="str">
        <f>+'27'!J9</f>
        <v>T 13 VP OW</v>
      </c>
      <c r="K9" s="244"/>
      <c r="L9" s="244"/>
      <c r="M9" s="122">
        <f>+K9+'27'!M9+L9</f>
        <v>112205</v>
      </c>
      <c r="N9" s="439"/>
      <c r="AB9" s="154">
        <f t="shared" si="1"/>
        <v>0</v>
      </c>
      <c r="AC9" s="154">
        <f t="shared" si="2"/>
        <v>0</v>
      </c>
      <c r="AF9" s="154">
        <v>700</v>
      </c>
      <c r="AG9" s="154">
        <f>+AF9-AF9*0.2</f>
        <v>560</v>
      </c>
      <c r="AH9" s="154">
        <f>60-55+120+19</f>
        <v>144</v>
      </c>
      <c r="AI9" s="154">
        <f t="shared" si="3"/>
        <v>100800</v>
      </c>
      <c r="AJ9" s="154">
        <f t="shared" si="4"/>
        <v>80640</v>
      </c>
    </row>
    <row r="10" spans="1:36" ht="26.25" thickBot="1">
      <c r="A10" s="763"/>
      <c r="B10" s="220"/>
      <c r="C10" s="221"/>
      <c r="D10" s="222"/>
      <c r="E10" s="224"/>
      <c r="F10" s="233"/>
      <c r="G10" s="242"/>
      <c r="H10" s="238" t="s">
        <v>657</v>
      </c>
      <c r="I10" s="766"/>
      <c r="J10" s="219" t="str">
        <f>+'27'!J10</f>
        <v>T 12,5 VP OW</v>
      </c>
      <c r="K10" s="244"/>
      <c r="L10" s="244"/>
      <c r="M10" s="122">
        <f>+K10+'27'!M10+L10</f>
        <v>310471</v>
      </c>
      <c r="N10" s="439"/>
      <c r="AB10" s="154">
        <f t="shared" si="1"/>
        <v>0</v>
      </c>
      <c r="AC10" s="154">
        <f t="shared" si="2"/>
        <v>0</v>
      </c>
      <c r="AI10" s="154">
        <f t="shared" si="3"/>
        <v>0</v>
      </c>
      <c r="AJ10" s="154">
        <f t="shared" si="4"/>
        <v>0</v>
      </c>
    </row>
    <row r="11" spans="1:36" ht="77.25" thickBot="1">
      <c r="A11" s="763"/>
      <c r="B11" s="220"/>
      <c r="C11" s="221"/>
      <c r="D11" s="222"/>
      <c r="E11" s="224"/>
      <c r="F11" s="233">
        <v>345</v>
      </c>
      <c r="G11" s="237" t="s">
        <v>66</v>
      </c>
      <c r="H11" s="238" t="s">
        <v>658</v>
      </c>
      <c r="I11" s="766"/>
      <c r="J11" s="219" t="str">
        <f>+'27'!J11</f>
        <v>T 12 VP OW</v>
      </c>
      <c r="K11" s="244"/>
      <c r="L11" s="244"/>
      <c r="M11" s="122">
        <f>+K11+'27'!M11+L11</f>
        <v>11128</v>
      </c>
      <c r="N11" s="439"/>
      <c r="AB11" s="154">
        <f t="shared" si="1"/>
        <v>0</v>
      </c>
      <c r="AC11" s="154">
        <f t="shared" si="2"/>
        <v>0</v>
      </c>
      <c r="AI11" s="154">
        <f t="shared" si="3"/>
        <v>0</v>
      </c>
      <c r="AJ11" s="154">
        <f t="shared" si="4"/>
        <v>0</v>
      </c>
    </row>
    <row r="12" spans="1:36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+'27'!J12</f>
        <v>F 13 VP OW</v>
      </c>
      <c r="K12" s="244"/>
      <c r="L12" s="244"/>
      <c r="M12" s="122">
        <f>+K12+'27'!M12+L12</f>
        <v>35492</v>
      </c>
      <c r="N12" s="439"/>
      <c r="Z12" s="154">
        <f t="shared" ref="Z12" si="5">+Y12-Y12*0.17</f>
        <v>0</v>
      </c>
      <c r="AG12" s="154">
        <f t="shared" ref="AG12" si="6">+AF12-AF12*0.17</f>
        <v>0</v>
      </c>
    </row>
    <row r="13" spans="1:36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+'27'!J13</f>
        <v>F 11 VP OW</v>
      </c>
      <c r="K13" s="244"/>
      <c r="L13" s="244"/>
      <c r="M13" s="122">
        <f>+K13+'27'!M13+L13</f>
        <v>11154</v>
      </c>
      <c r="N13" s="440"/>
      <c r="O13" s="441"/>
      <c r="P13" s="441"/>
      <c r="Q13" s="441"/>
      <c r="R13" s="441"/>
      <c r="S13" s="441"/>
      <c r="T13" s="441"/>
      <c r="U13" s="441"/>
      <c r="V13" s="441"/>
      <c r="W13" s="441"/>
      <c r="AA13" s="154">
        <f>SUM(AA5:AA11)</f>
        <v>135</v>
      </c>
      <c r="AB13" s="154">
        <f>SUM(AB5:AB11)</f>
        <v>122850</v>
      </c>
      <c r="AC13" s="154">
        <f>SUM(AC5:AC11)</f>
        <v>98280</v>
      </c>
      <c r="AH13" s="154">
        <f>SUM(AH5:AH11)</f>
        <v>334</v>
      </c>
      <c r="AI13" s="154">
        <f>SUM(AI5:AI11)</f>
        <v>264900</v>
      </c>
      <c r="AJ13" s="154">
        <f>SUM(AJ5:AJ11)</f>
        <v>211920</v>
      </c>
    </row>
    <row r="14" spans="1:36" ht="13.5" thickBot="1">
      <c r="A14" s="764"/>
      <c r="B14" s="170" t="s">
        <v>2</v>
      </c>
      <c r="C14" s="104">
        <f>SUM(C7:C13)</f>
        <v>3002</v>
      </c>
      <c r="D14" s="116">
        <f>SUM(D7:D13)</f>
        <v>0</v>
      </c>
      <c r="E14" s="117">
        <f>SUM(E5:E13)</f>
        <v>0</v>
      </c>
      <c r="F14" s="121">
        <f>SUM(F7:F13)</f>
        <v>355</v>
      </c>
      <c r="G14" s="164"/>
      <c r="H14" s="171"/>
      <c r="I14" s="172"/>
      <c r="J14" s="219" t="str">
        <f>+'27'!J14</f>
        <v>F 14 VP OW</v>
      </c>
      <c r="K14" s="244">
        <f>+C7</f>
        <v>3002</v>
      </c>
      <c r="L14" s="244"/>
      <c r="M14" s="122">
        <f>+K14+'27'!M14+L14</f>
        <v>17466</v>
      </c>
      <c r="X14" s="154" t="s">
        <v>399</v>
      </c>
      <c r="AA14" s="154">
        <f>480-AA13</f>
        <v>345</v>
      </c>
      <c r="AB14" s="154">
        <f>+AB13/AA13</f>
        <v>910</v>
      </c>
      <c r="AC14" s="154">
        <f>+AC13/AA13</f>
        <v>728</v>
      </c>
      <c r="AE14" s="154" t="s">
        <v>399</v>
      </c>
      <c r="AH14" s="154">
        <f>480-AH13</f>
        <v>146</v>
      </c>
      <c r="AI14" s="154">
        <f>+AI13/AH13</f>
        <v>793.11377245508982</v>
      </c>
      <c r="AJ14" s="154">
        <f>+AJ13/AH13</f>
        <v>634.49101796407183</v>
      </c>
    </row>
    <row r="15" spans="1:36" ht="13.5" customHeight="1" thickBot="1">
      <c r="A15" s="762"/>
      <c r="B15" s="170"/>
      <c r="C15" s="118">
        <f>C14/($C$23+$D$23+$E$23)</f>
        <v>1.8204972710733778</v>
      </c>
      <c r="D15" s="119">
        <f>D14/($C$23+$D$23+$E$23)</f>
        <v>0</v>
      </c>
      <c r="E15" s="120">
        <f>E14/($C$23+$D$23+$E$23)</f>
        <v>0</v>
      </c>
      <c r="F15" s="233">
        <v>8</v>
      </c>
      <c r="G15" s="234" t="s">
        <v>12</v>
      </c>
      <c r="H15" s="235" t="s">
        <v>413</v>
      </c>
      <c r="I15" s="765" t="s">
        <v>660</v>
      </c>
      <c r="J15" s="219">
        <f>+'27'!J15</f>
        <v>0</v>
      </c>
      <c r="K15" s="244"/>
      <c r="L15" s="244"/>
      <c r="M15" s="122">
        <f>+K15+'27'!M15+L15</f>
        <v>0</v>
      </c>
      <c r="N15" s="431">
        <v>18</v>
      </c>
      <c r="O15" s="204">
        <v>1200</v>
      </c>
      <c r="P15" s="204">
        <v>850</v>
      </c>
      <c r="Q15" s="204">
        <v>680</v>
      </c>
      <c r="R15" s="432">
        <f>1-(Q15/P15)</f>
        <v>0.19999999999999996</v>
      </c>
      <c r="S15" s="433">
        <v>480</v>
      </c>
      <c r="T15" s="434">
        <v>256.5</v>
      </c>
      <c r="U15" s="435">
        <f>(O15*(1-R15)*N15*T15*S15)/100000000</f>
        <v>21.275136</v>
      </c>
      <c r="V15" s="436">
        <f>+C23/1000</f>
        <v>1.2490000000000001</v>
      </c>
      <c r="W15" s="437">
        <f>SUM(V15:V17)/SUM(U15:U17)</f>
        <v>5.8707027771761372E-2</v>
      </c>
    </row>
    <row r="16" spans="1:36" ht="13.5" thickBot="1">
      <c r="A16" s="768"/>
      <c r="B16" s="220" t="s">
        <v>390</v>
      </c>
      <c r="C16" s="227">
        <v>1249</v>
      </c>
      <c r="D16" s="228">
        <v>400</v>
      </c>
      <c r="E16" s="229"/>
      <c r="F16" s="236"/>
      <c r="G16" s="574" t="s">
        <v>12</v>
      </c>
      <c r="H16" s="235" t="s">
        <v>286</v>
      </c>
      <c r="I16" s="766"/>
      <c r="J16" s="219">
        <f>+'27'!J16</f>
        <v>0</v>
      </c>
      <c r="K16" s="234"/>
      <c r="L16" s="234"/>
      <c r="M16" s="122">
        <f>+K16+'27'!M16+L16</f>
        <v>0</v>
      </c>
      <c r="N16" s="442"/>
      <c r="O16" s="204"/>
      <c r="P16" s="204"/>
      <c r="Q16" s="443"/>
      <c r="R16" s="432"/>
      <c r="S16" s="204"/>
      <c r="T16" s="434"/>
      <c r="U16" s="435"/>
      <c r="V16" s="436"/>
      <c r="W16" s="438"/>
      <c r="X16" s="154" t="s">
        <v>645</v>
      </c>
      <c r="Y16" s="154">
        <v>750</v>
      </c>
      <c r="Z16" s="154">
        <f>+Y16-Y16*0.2</f>
        <v>600</v>
      </c>
      <c r="AA16" s="154">
        <v>55</v>
      </c>
      <c r="AB16" s="154">
        <f>+Y16*AA16</f>
        <v>41250</v>
      </c>
      <c r="AC16" s="154">
        <f>+Z16*AA16</f>
        <v>33000</v>
      </c>
    </row>
    <row r="17" spans="1:36" ht="13.5" thickBot="1">
      <c r="A17" s="768"/>
      <c r="B17" s="220"/>
      <c r="C17" s="221"/>
      <c r="D17" s="222"/>
      <c r="E17" s="230"/>
      <c r="F17" s="233">
        <v>11</v>
      </c>
      <c r="G17" s="574" t="s">
        <v>12</v>
      </c>
      <c r="H17" s="238" t="s">
        <v>663</v>
      </c>
      <c r="I17" s="766"/>
      <c r="J17" s="219">
        <f>+'27'!J17</f>
        <v>0</v>
      </c>
      <c r="K17" s="234"/>
      <c r="L17" s="234"/>
      <c r="M17" s="122">
        <f>+K17+'27'!M17+L17</f>
        <v>0</v>
      </c>
      <c r="N17" s="439"/>
      <c r="O17" s="204"/>
      <c r="R17" s="432"/>
      <c r="T17" s="434"/>
      <c r="U17" s="435"/>
      <c r="Y17" s="154">
        <v>700</v>
      </c>
      <c r="Z17" s="154">
        <f>+Y17-Y17*0.2</f>
        <v>560</v>
      </c>
      <c r="AA17" s="154">
        <f>60-55+120+19</f>
        <v>144</v>
      </c>
      <c r="AB17" s="154">
        <f>+Y17*AA17</f>
        <v>100800</v>
      </c>
      <c r="AC17" s="154">
        <f>+Z17*AA17</f>
        <v>80640</v>
      </c>
    </row>
    <row r="18" spans="1:36" ht="51.75" thickBot="1">
      <c r="A18" s="768"/>
      <c r="B18" s="220"/>
      <c r="C18" s="221"/>
      <c r="D18" s="222"/>
      <c r="E18" s="230"/>
      <c r="F18" s="233"/>
      <c r="G18" s="242"/>
      <c r="H18" s="238" t="s">
        <v>655</v>
      </c>
      <c r="I18" s="766"/>
      <c r="J18" s="219">
        <f>+'27'!J18</f>
        <v>0</v>
      </c>
      <c r="K18" s="244"/>
      <c r="L18" s="244"/>
      <c r="M18" s="122">
        <f>+K18+'27'!M18+L18</f>
        <v>0</v>
      </c>
      <c r="N18" s="439"/>
      <c r="X18" s="154" t="s">
        <v>389</v>
      </c>
      <c r="Y18" s="154">
        <v>700</v>
      </c>
      <c r="Z18" s="154">
        <f>+Y18-Y18*0.2</f>
        <v>560</v>
      </c>
      <c r="AA18" s="154">
        <f>60-35+60</f>
        <v>85</v>
      </c>
      <c r="AB18" s="154">
        <f t="shared" ref="AB18:AB21" si="7">+Y18*AA18</f>
        <v>59500</v>
      </c>
      <c r="AC18" s="154">
        <f t="shared" ref="AC18:AC21" si="8">+Z18*AA18</f>
        <v>47600</v>
      </c>
    </row>
    <row r="19" spans="1:36" ht="255" customHeight="1" thickBot="1">
      <c r="A19" s="768"/>
      <c r="B19" s="220"/>
      <c r="C19" s="221"/>
      <c r="D19" s="222"/>
      <c r="E19" s="230"/>
      <c r="F19" s="240">
        <v>196</v>
      </c>
      <c r="G19" s="237" t="s">
        <v>66</v>
      </c>
      <c r="H19" s="238" t="s">
        <v>656</v>
      </c>
      <c r="I19" s="766"/>
      <c r="J19" s="219">
        <f>+'27'!J19</f>
        <v>0</v>
      </c>
      <c r="K19" s="244"/>
      <c r="L19" s="244"/>
      <c r="M19" s="122">
        <f>+K19+'27'!M19+L19</f>
        <v>0</v>
      </c>
      <c r="N19" s="439"/>
      <c r="AB19" s="154">
        <f t="shared" si="7"/>
        <v>0</v>
      </c>
      <c r="AC19" s="154">
        <f t="shared" si="8"/>
        <v>0</v>
      </c>
    </row>
    <row r="20" spans="1:36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+'27'!J20</f>
        <v>0</v>
      </c>
      <c r="K20" s="245"/>
      <c r="L20" s="245"/>
      <c r="M20" s="122">
        <f>+K20+'27'!M20+L20</f>
        <v>0</v>
      </c>
      <c r="N20" s="439"/>
      <c r="AB20" s="154">
        <f t="shared" si="7"/>
        <v>0</v>
      </c>
      <c r="AC20" s="154">
        <f t="shared" si="8"/>
        <v>0</v>
      </c>
    </row>
    <row r="21" spans="1:36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+'27'!J21</f>
        <v>0</v>
      </c>
      <c r="K21" s="244"/>
      <c r="L21" s="244"/>
      <c r="M21" s="122">
        <f>+K21+'27'!M21+L21</f>
        <v>0</v>
      </c>
      <c r="N21" s="440"/>
      <c r="O21" s="441"/>
      <c r="P21" s="441"/>
      <c r="Q21" s="441"/>
      <c r="R21" s="441"/>
      <c r="S21" s="441"/>
      <c r="T21" s="441"/>
      <c r="U21" s="441"/>
      <c r="V21" s="441"/>
      <c r="W21" s="441"/>
      <c r="AB21" s="154">
        <f t="shared" si="7"/>
        <v>0</v>
      </c>
      <c r="AC21" s="154">
        <f t="shared" si="8"/>
        <v>0</v>
      </c>
    </row>
    <row r="22" spans="1:36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+'27'!J22</f>
        <v>0</v>
      </c>
      <c r="K22" s="244"/>
      <c r="L22" s="244"/>
      <c r="M22" s="122">
        <f>+K22+'27'!M22+L22</f>
        <v>0</v>
      </c>
      <c r="Z22" s="154">
        <f t="shared" ref="Z22" si="9">+Y22-Y22*0.17</f>
        <v>0</v>
      </c>
    </row>
    <row r="23" spans="1:36" ht="13.5" thickBot="1">
      <c r="A23" s="769"/>
      <c r="B23" s="173" t="s">
        <v>2</v>
      </c>
      <c r="C23" s="105">
        <f>SUM(C16:C22)</f>
        <v>1249</v>
      </c>
      <c r="D23" s="116">
        <f>SUM(D16:D22)</f>
        <v>400</v>
      </c>
      <c r="E23" s="117">
        <f>SUM(E18:E22)</f>
        <v>0</v>
      </c>
      <c r="F23" s="121">
        <f>SUM(F15:F22)</f>
        <v>215</v>
      </c>
      <c r="G23" s="164"/>
      <c r="H23" s="171"/>
      <c r="I23" s="174"/>
      <c r="J23" s="219">
        <f>+'27'!J23</f>
        <v>0</v>
      </c>
      <c r="K23" s="244"/>
      <c r="L23" s="244"/>
      <c r="M23" s="122">
        <f>+K23+'27'!M23+L23</f>
        <v>0</v>
      </c>
      <c r="N23" s="444"/>
      <c r="O23" s="445"/>
      <c r="P23" s="445"/>
      <c r="Q23" s="445"/>
      <c r="R23" s="445"/>
      <c r="S23" s="445"/>
      <c r="T23" s="445"/>
      <c r="U23" s="445"/>
      <c r="V23" s="445"/>
      <c r="W23" s="445"/>
      <c r="AA23" s="154">
        <f>SUM(AA15:AA21)</f>
        <v>284</v>
      </c>
      <c r="AB23" s="154">
        <f>SUM(AB15:AB21)</f>
        <v>201550</v>
      </c>
      <c r="AC23" s="154">
        <f>SUM(AC15:AC21)</f>
        <v>161240</v>
      </c>
    </row>
    <row r="24" spans="1:36" ht="13.5" customHeight="1" thickBot="1">
      <c r="A24" s="762"/>
      <c r="B24" s="175"/>
      <c r="C24" s="118">
        <f>C23/($C$23+$D$23+$E$23)</f>
        <v>0.75742874469375376</v>
      </c>
      <c r="D24" s="119">
        <f>D23/($C$23+$D$23+$E$23)</f>
        <v>0.24257125530624621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659</v>
      </c>
      <c r="J24" s="219">
        <f>+'27'!J24</f>
        <v>0</v>
      </c>
      <c r="K24" s="244"/>
      <c r="L24" s="244"/>
      <c r="M24" s="122">
        <f>+K24+'27'!M24+L24</f>
        <v>0</v>
      </c>
      <c r="N24" s="431">
        <v>18</v>
      </c>
      <c r="O24" s="204">
        <v>1200</v>
      </c>
      <c r="P24" s="204">
        <v>770</v>
      </c>
      <c r="Q24" s="204">
        <v>616</v>
      </c>
      <c r="R24" s="432">
        <f>1-(Q24/P24)</f>
        <v>0.19999999999999996</v>
      </c>
      <c r="S24" s="433">
        <v>480</v>
      </c>
      <c r="T24" s="434">
        <v>256.5</v>
      </c>
      <c r="U24" s="435">
        <f>(O24*(1-R24)*N24*T24*S24)/100000000</f>
        <v>21.275136</v>
      </c>
      <c r="V24" s="436">
        <f>+C32/1000</f>
        <v>5.9219999999999997</v>
      </c>
      <c r="W24" s="437">
        <f>SUM(V24:V25)/SUM(U24:U25)</f>
        <v>0.27835309724929608</v>
      </c>
      <c r="X24" s="154" t="s">
        <v>399</v>
      </c>
      <c r="AA24" s="154">
        <f>480-AA23</f>
        <v>196</v>
      </c>
      <c r="AB24" s="154">
        <f>+AB23/AA23</f>
        <v>709.68309859154931</v>
      </c>
      <c r="AC24" s="154">
        <f>+AC23/AA23</f>
        <v>567.74647887323943</v>
      </c>
    </row>
    <row r="25" spans="1:36" ht="13.5" customHeight="1" thickBot="1">
      <c r="A25" s="768"/>
      <c r="B25" s="220" t="s">
        <v>390</v>
      </c>
      <c r="C25" s="231">
        <v>5922</v>
      </c>
      <c r="D25" s="222">
        <v>1430</v>
      </c>
      <c r="E25" s="230"/>
      <c r="F25" s="236"/>
      <c r="G25" s="574" t="s">
        <v>12</v>
      </c>
      <c r="H25" s="235" t="s">
        <v>286</v>
      </c>
      <c r="I25" s="766"/>
      <c r="J25" s="219">
        <f>+'27'!J25</f>
        <v>0</v>
      </c>
      <c r="K25" s="244"/>
      <c r="L25" s="244"/>
      <c r="M25" s="122">
        <f>+K25+'27'!M25+L25</f>
        <v>0</v>
      </c>
      <c r="N25" s="431"/>
      <c r="O25" s="204"/>
      <c r="P25" s="204"/>
      <c r="Q25" s="204"/>
      <c r="R25" s="432"/>
      <c r="S25" s="433"/>
      <c r="T25" s="434"/>
      <c r="U25" s="435"/>
      <c r="V25" s="436"/>
      <c r="W25" s="437"/>
    </row>
    <row r="26" spans="1:36" ht="13.5" customHeight="1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411</v>
      </c>
      <c r="I26" s="766"/>
      <c r="J26" s="219">
        <f>+'27'!J26</f>
        <v>0</v>
      </c>
      <c r="K26" s="244"/>
      <c r="L26" s="244"/>
      <c r="M26" s="122">
        <f>+K26+'27'!M26+L26</f>
        <v>0</v>
      </c>
      <c r="X26" s="154" t="s">
        <v>389</v>
      </c>
      <c r="Y26" s="154">
        <v>700</v>
      </c>
      <c r="Z26" s="154">
        <f>+Y26-Y26*0.2</f>
        <v>560</v>
      </c>
      <c r="AA26" s="154">
        <v>480</v>
      </c>
      <c r="AB26" s="154">
        <f>+Y26*AA26</f>
        <v>336000</v>
      </c>
      <c r="AC26" s="154">
        <f>+Z26*AA26</f>
        <v>268800</v>
      </c>
      <c r="AE26" s="154" t="s">
        <v>389</v>
      </c>
      <c r="AF26" s="154">
        <v>700</v>
      </c>
      <c r="AG26" s="154">
        <f>+AF26-AF26*0.2</f>
        <v>560</v>
      </c>
      <c r="AH26" s="154">
        <v>480</v>
      </c>
      <c r="AI26" s="154">
        <f>+AF26*AH26</f>
        <v>336000</v>
      </c>
      <c r="AJ26" s="154">
        <f>+AG26*AH26</f>
        <v>268800</v>
      </c>
    </row>
    <row r="27" spans="1:36" ht="39" thickBot="1">
      <c r="A27" s="768"/>
      <c r="B27" s="220"/>
      <c r="C27" s="221"/>
      <c r="D27" s="222"/>
      <c r="E27" s="230"/>
      <c r="F27" s="233"/>
      <c r="G27" s="242"/>
      <c r="H27" s="238" t="s">
        <v>653</v>
      </c>
      <c r="I27" s="766"/>
      <c r="J27" s="219">
        <f>+'27'!J27</f>
        <v>0</v>
      </c>
      <c r="K27" s="244"/>
      <c r="L27" s="244"/>
      <c r="M27" s="122">
        <f>+K27+'27'!M27+L27</f>
        <v>0</v>
      </c>
      <c r="Z27" s="154">
        <f>+Y27-Y27*0.2</f>
        <v>0</v>
      </c>
      <c r="AB27" s="154">
        <f>+Y27*AA27</f>
        <v>0</v>
      </c>
      <c r="AC27" s="154">
        <f>+Z27*AA27</f>
        <v>0</v>
      </c>
      <c r="AE27" s="154" t="s">
        <v>389</v>
      </c>
      <c r="AF27" s="154">
        <v>700</v>
      </c>
      <c r="AG27" s="154">
        <v>560</v>
      </c>
      <c r="AH27" s="154">
        <v>85</v>
      </c>
      <c r="AI27" s="154">
        <f>+AF27*AH27</f>
        <v>59500</v>
      </c>
      <c r="AJ27" s="154">
        <f>+AG27*AH27</f>
        <v>47600</v>
      </c>
    </row>
    <row r="28" spans="1:36" ht="90" thickBot="1">
      <c r="A28" s="768"/>
      <c r="B28" s="220"/>
      <c r="C28" s="221"/>
      <c r="D28" s="222"/>
      <c r="E28" s="230"/>
      <c r="F28" s="236"/>
      <c r="G28" s="237"/>
      <c r="H28" s="238" t="s">
        <v>654</v>
      </c>
      <c r="I28" s="766"/>
      <c r="J28" s="219">
        <f>+'27'!J28</f>
        <v>0</v>
      </c>
      <c r="K28" s="244"/>
      <c r="L28" s="244"/>
      <c r="M28" s="122">
        <f>+K28+'27'!M28+L28</f>
        <v>0</v>
      </c>
      <c r="Z28" s="154">
        <f t="shared" ref="Z28" si="10">+Y28-Y28*0.23</f>
        <v>0</v>
      </c>
      <c r="AB28" s="154">
        <f t="shared" ref="AB28:AB31" si="11">+Y28*AA28</f>
        <v>0</v>
      </c>
      <c r="AC28" s="154">
        <f t="shared" ref="AC28:AC31" si="12">+Z28*AA28</f>
        <v>0</v>
      </c>
      <c r="AG28" s="154">
        <f t="shared" ref="AG28" si="13">+AF28-AF28*0.23</f>
        <v>0</v>
      </c>
      <c r="AI28" s="154">
        <f t="shared" ref="AI28:AI31" si="14">+AF28*AH28</f>
        <v>0</v>
      </c>
      <c r="AJ28" s="154">
        <f t="shared" ref="AJ28:AJ31" si="15">+AG28*AH28</f>
        <v>0</v>
      </c>
    </row>
    <row r="29" spans="1:36" ht="13.5" customHeight="1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+'27'!J29</f>
        <v>0</v>
      </c>
      <c r="K29" s="244"/>
      <c r="L29" s="244"/>
      <c r="M29" s="122">
        <f>+K29+'27'!M29+L29</f>
        <v>0</v>
      </c>
      <c r="AB29" s="154">
        <f t="shared" si="11"/>
        <v>0</v>
      </c>
      <c r="AC29" s="154">
        <f t="shared" si="12"/>
        <v>0</v>
      </c>
      <c r="AI29" s="154">
        <f t="shared" si="14"/>
        <v>0</v>
      </c>
      <c r="AJ29" s="154">
        <f t="shared" si="15"/>
        <v>0</v>
      </c>
    </row>
    <row r="30" spans="1:36" ht="13.5" customHeight="1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+'27'!J30</f>
        <v>0</v>
      </c>
      <c r="K30" s="244"/>
      <c r="L30" s="244"/>
      <c r="M30" s="122">
        <f>+K30+'27'!M30+L30</f>
        <v>0</v>
      </c>
      <c r="N30" s="160"/>
      <c r="AB30" s="154">
        <f t="shared" si="11"/>
        <v>0</v>
      </c>
      <c r="AC30" s="154">
        <f t="shared" si="12"/>
        <v>0</v>
      </c>
      <c r="AI30" s="154">
        <f t="shared" si="14"/>
        <v>0</v>
      </c>
      <c r="AJ30" s="154">
        <f t="shared" si="15"/>
        <v>0</v>
      </c>
    </row>
    <row r="31" spans="1:36" ht="13.5" customHeight="1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+'27'!J31</f>
        <v>0</v>
      </c>
      <c r="K31" s="244"/>
      <c r="L31" s="244"/>
      <c r="M31" s="122">
        <f>+K31+'27'!M31+L31</f>
        <v>0</v>
      </c>
      <c r="AB31" s="154">
        <f t="shared" si="11"/>
        <v>0</v>
      </c>
      <c r="AC31" s="154">
        <f t="shared" si="12"/>
        <v>0</v>
      </c>
      <c r="AI31" s="154">
        <f t="shared" si="14"/>
        <v>0</v>
      </c>
      <c r="AJ31" s="154">
        <f t="shared" si="15"/>
        <v>0</v>
      </c>
    </row>
    <row r="32" spans="1:36" ht="13.5" customHeight="1" thickBot="1">
      <c r="A32" s="769"/>
      <c r="B32" s="170" t="s">
        <v>2</v>
      </c>
      <c r="C32" s="104">
        <f>SUM(C25:C31)</f>
        <v>5922</v>
      </c>
      <c r="D32" s="105">
        <f>SUM(D25:D31)</f>
        <v>1430</v>
      </c>
      <c r="E32" s="106">
        <f>SUM(E25:E31)</f>
        <v>0</v>
      </c>
      <c r="F32" s="107">
        <f>SUM(F24:F31)</f>
        <v>0</v>
      </c>
      <c r="G32" s="176"/>
      <c r="H32" s="177"/>
      <c r="I32" s="174"/>
      <c r="J32" s="219">
        <f>+'27'!J32</f>
        <v>0</v>
      </c>
      <c r="K32" s="246"/>
      <c r="L32" s="248"/>
      <c r="M32" s="122">
        <f>+K32+'27'!M32+L32</f>
        <v>0</v>
      </c>
      <c r="Z32" s="154">
        <f t="shared" ref="Z32" si="16">+Y32-Y32*0.17</f>
        <v>0</v>
      </c>
      <c r="AG32" s="154">
        <f t="shared" ref="AG32" si="17">+AF32-AF32*0.17</f>
        <v>0</v>
      </c>
    </row>
    <row r="33" spans="1:36" ht="13.5" thickBot="1">
      <c r="A33" s="178"/>
      <c r="B33" s="179"/>
      <c r="C33" s="108">
        <f>C32/($C$32+$D$32+$E$32)</f>
        <v>0.80549510337323182</v>
      </c>
      <c r="D33" s="109">
        <f>D32/($C$32+$D$32+$E$32)</f>
        <v>0.19450489662676823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AA33" s="154">
        <f>SUM(AA25:AA31)</f>
        <v>480</v>
      </c>
      <c r="AB33" s="154">
        <f>SUM(AB25:AB31)</f>
        <v>336000</v>
      </c>
      <c r="AC33" s="154">
        <f>SUM(AC25:AC31)</f>
        <v>268800</v>
      </c>
      <c r="AH33" s="154">
        <f>SUM(AH25:AH31)</f>
        <v>565</v>
      </c>
      <c r="AI33" s="154">
        <f>SUM(AI25:AI31)</f>
        <v>395500</v>
      </c>
      <c r="AJ33" s="154">
        <f>SUM(AJ25:AJ31)</f>
        <v>316400</v>
      </c>
    </row>
    <row r="34" spans="1:36" ht="13.5" thickBot="1">
      <c r="A34" s="770" t="s">
        <v>57</v>
      </c>
      <c r="B34" s="771"/>
      <c r="C34" s="112">
        <f>C14+C23+C32</f>
        <v>10173</v>
      </c>
      <c r="D34" s="112">
        <f>D14+D23+D32</f>
        <v>1830</v>
      </c>
      <c r="E34" s="112">
        <f>E14+E23+E32</f>
        <v>0</v>
      </c>
      <c r="F34" s="113">
        <f>F14+F23+F32</f>
        <v>570</v>
      </c>
      <c r="H34" s="183"/>
      <c r="I34" s="183"/>
      <c r="J34" s="128" t="s">
        <v>28</v>
      </c>
      <c r="K34" s="129">
        <f>SUM(K7:K32)</f>
        <v>10173</v>
      </c>
      <c r="L34" s="217">
        <f>SUM(L7:L32)</f>
        <v>0</v>
      </c>
      <c r="M34" s="125">
        <f>SUM(M7:M32)</f>
        <v>690188</v>
      </c>
      <c r="N34" s="160"/>
      <c r="X34" s="154" t="s">
        <v>399</v>
      </c>
      <c r="AA34" s="154">
        <f>480-AA33</f>
        <v>0</v>
      </c>
      <c r="AB34" s="154">
        <f>+AB33/AA33</f>
        <v>700</v>
      </c>
      <c r="AC34" s="154">
        <f>+AC33/AA33</f>
        <v>560</v>
      </c>
      <c r="AE34" s="154" t="s">
        <v>399</v>
      </c>
      <c r="AH34" s="154">
        <f>480-AH33</f>
        <v>-85</v>
      </c>
      <c r="AI34" s="154">
        <f>+AI33/AH33</f>
        <v>700</v>
      </c>
      <c r="AJ34" s="154">
        <f>+AJ33/AH33</f>
        <v>560</v>
      </c>
    </row>
    <row r="35" spans="1:36" ht="13.5" thickBot="1">
      <c r="A35" s="184"/>
      <c r="B35" s="185"/>
      <c r="C35" s="109">
        <f>C34/($C$34+$D$34+$E$34)</f>
        <v>0.84753811547113223</v>
      </c>
      <c r="D35" s="109">
        <f>D34/($C$34+$D$34+$E$34)</f>
        <v>0.15246188452886777</v>
      </c>
      <c r="E35" s="114">
        <f>E34/($C$34+$D$34+$E$34)</f>
        <v>0</v>
      </c>
      <c r="K35" s="160"/>
    </row>
    <row r="36" spans="1:36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36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(14*334+12*565)/899*G42*2.74*899/1000000</f>
        <v>18.446795262291435</v>
      </c>
      <c r="J37" s="130">
        <f>+I37+'27'!J37</f>
        <v>834.4571386602338</v>
      </c>
      <c r="K37" s="131" t="s">
        <v>63</v>
      </c>
      <c r="X37" s="154">
        <v>135</v>
      </c>
    </row>
    <row r="38" spans="1:36" ht="17.45" customHeight="1">
      <c r="A38" s="774" t="s">
        <v>12</v>
      </c>
      <c r="B38" s="775"/>
      <c r="C38" s="169">
        <f>SUMIF($G$7:$G$31,"Process",$F$7:$F$31)</f>
        <v>29</v>
      </c>
      <c r="D38" s="123">
        <f>+C38+'27'!D38</f>
        <v>1309</v>
      </c>
      <c r="E38" s="148">
        <f t="shared" ref="E38:E51" si="18">D38/60</f>
        <v>21.816666666666666</v>
      </c>
      <c r="F38" s="328">
        <v>910</v>
      </c>
      <c r="G38" s="328">
        <v>728</v>
      </c>
      <c r="H38" s="192" t="s">
        <v>64</v>
      </c>
      <c r="I38" s="250">
        <f>2.849+4.724+9.257</f>
        <v>16.829999999999998</v>
      </c>
      <c r="J38" s="132">
        <f>+I38+'27'!J38</f>
        <v>735.62</v>
      </c>
      <c r="K38" s="133" t="s">
        <v>63</v>
      </c>
      <c r="X38" s="154">
        <v>284</v>
      </c>
    </row>
    <row r="39" spans="1:36" ht="17.45" customHeight="1">
      <c r="A39" s="776" t="s">
        <v>13</v>
      </c>
      <c r="B39" s="777"/>
      <c r="C39" s="169">
        <f>SUMIF($G$7:$G$31,"Cleaning",$F$7:$F$31)</f>
        <v>0</v>
      </c>
      <c r="D39" s="123">
        <f>+C39+'27'!D39</f>
        <v>0</v>
      </c>
      <c r="E39" s="148">
        <f t="shared" si="18"/>
        <v>0</v>
      </c>
      <c r="F39" s="328">
        <v>709.68309859154931</v>
      </c>
      <c r="G39" s="328">
        <v>567.74647887323943</v>
      </c>
      <c r="H39" s="192" t="s">
        <v>65</v>
      </c>
      <c r="I39" s="147"/>
      <c r="J39" s="134">
        <f>J37/G4</f>
        <v>29.80204066643692</v>
      </c>
      <c r="K39" s="135" t="s">
        <v>63</v>
      </c>
      <c r="X39" s="154">
        <v>480</v>
      </c>
    </row>
    <row r="40" spans="1:36" ht="17.45" customHeight="1">
      <c r="A40" s="776" t="s">
        <v>66</v>
      </c>
      <c r="B40" s="777"/>
      <c r="C40" s="169">
        <f>SUMIF($G$7:$G$31,"Mechanical",$F$7:$F$31)</f>
        <v>541</v>
      </c>
      <c r="D40" s="123">
        <f>+C40+'27'!D40</f>
        <v>541</v>
      </c>
      <c r="E40" s="148">
        <f t="shared" si="18"/>
        <v>9.0166666666666675</v>
      </c>
      <c r="F40" s="328">
        <v>700</v>
      </c>
      <c r="G40" s="328">
        <v>560</v>
      </c>
      <c r="H40" s="192" t="s">
        <v>67</v>
      </c>
      <c r="I40" s="123">
        <f>(K34+L34)/1000</f>
        <v>10.173</v>
      </c>
      <c r="J40" s="136">
        <f>+I40+'27'!J40</f>
        <v>690.1880000000001</v>
      </c>
      <c r="K40" s="135" t="s">
        <v>63</v>
      </c>
      <c r="X40" s="154">
        <f>+X37+X38+X39</f>
        <v>899</v>
      </c>
    </row>
    <row r="41" spans="1:36" ht="17.45" customHeight="1">
      <c r="A41" s="776" t="s">
        <v>68</v>
      </c>
      <c r="B41" s="777"/>
      <c r="C41" s="169">
        <f>SUMIF($G$7:$G$31,"Electrical",$F$7:$F$31)</f>
        <v>0</v>
      </c>
      <c r="D41" s="123">
        <f>+C41+'27'!D41</f>
        <v>144</v>
      </c>
      <c r="E41" s="148">
        <f t="shared" si="18"/>
        <v>2.4</v>
      </c>
      <c r="F41" s="328"/>
      <c r="G41" s="328"/>
      <c r="H41" s="192" t="s">
        <v>69</v>
      </c>
      <c r="I41" s="147"/>
      <c r="J41" s="134">
        <f>J40/G4</f>
        <v>24.649571428571431</v>
      </c>
      <c r="K41" s="135" t="s">
        <v>63</v>
      </c>
    </row>
    <row r="42" spans="1:36" ht="17.45" customHeight="1">
      <c r="A42" s="776" t="s">
        <v>16</v>
      </c>
      <c r="B42" s="777"/>
      <c r="C42" s="169">
        <f>SUMIF($G$7:$G$31,"Instrument",$F$7:$F$31)</f>
        <v>0</v>
      </c>
      <c r="D42" s="123">
        <f>+C42+'27'!D42</f>
        <v>0</v>
      </c>
      <c r="E42" s="148">
        <f t="shared" si="18"/>
        <v>0</v>
      </c>
      <c r="F42" s="328">
        <f>+(135*F38+284*F39+480*F40)/899</f>
        <v>734.59399332591772</v>
      </c>
      <c r="G42" s="328">
        <f>+(135*G38+284*G39+480*G40)/899</f>
        <v>587.67519466073418</v>
      </c>
      <c r="H42" s="192" t="s">
        <v>70</v>
      </c>
      <c r="I42" s="251" t="s">
        <v>661</v>
      </c>
      <c r="J42" s="137"/>
      <c r="K42" s="135" t="s">
        <v>71</v>
      </c>
      <c r="X42" s="154" t="s">
        <v>645</v>
      </c>
      <c r="Y42" s="154">
        <v>793.11377245508982</v>
      </c>
      <c r="Z42" s="154">
        <v>634.49101796407183</v>
      </c>
      <c r="AA42" s="154">
        <v>334</v>
      </c>
    </row>
    <row r="43" spans="1:36" ht="17.45" customHeight="1">
      <c r="A43" s="776" t="s">
        <v>72</v>
      </c>
      <c r="B43" s="777"/>
      <c r="C43" s="169">
        <f>SUMIF($G$7:$G$31,"Water",$F$7:$F$31)</f>
        <v>0</v>
      </c>
      <c r="D43" s="123">
        <f>+C43+'27'!D43</f>
        <v>0</v>
      </c>
      <c r="E43" s="148">
        <f t="shared" si="18"/>
        <v>0</v>
      </c>
      <c r="F43" s="328"/>
      <c r="G43" s="329"/>
      <c r="H43" s="193" t="s">
        <v>73</v>
      </c>
      <c r="I43" s="123">
        <f>+Report1!Z36</f>
        <v>37.5</v>
      </c>
      <c r="J43" s="138">
        <f>+I43+'27'!J43</f>
        <v>1314.9000000000003</v>
      </c>
      <c r="K43" s="135" t="s">
        <v>63</v>
      </c>
      <c r="L43" s="194"/>
      <c r="X43" s="154" t="s">
        <v>389</v>
      </c>
      <c r="Y43" s="154">
        <v>700</v>
      </c>
      <c r="Z43" s="154">
        <v>560</v>
      </c>
      <c r="AA43" s="154">
        <v>565</v>
      </c>
    </row>
    <row r="44" spans="1:36" ht="17.45" customHeight="1">
      <c r="A44" s="776" t="s">
        <v>17</v>
      </c>
      <c r="B44" s="777"/>
      <c r="C44" s="169">
        <f>SUMIF($G$7:$G$31,"PLN",$F$7:$F$31)</f>
        <v>0</v>
      </c>
      <c r="D44" s="123">
        <f>+C44+'27'!D44</f>
        <v>0</v>
      </c>
      <c r="E44" s="148">
        <f t="shared" si="18"/>
        <v>0</v>
      </c>
      <c r="F44" s="328"/>
      <c r="G44" s="329"/>
      <c r="H44" s="193" t="s">
        <v>74</v>
      </c>
      <c r="I44" s="123">
        <f>I43/I38</f>
        <v>2.2281639928698755</v>
      </c>
      <c r="J44" s="139">
        <f>J43/J38</f>
        <v>1.7874717925015637</v>
      </c>
      <c r="K44" s="135" t="s">
        <v>63</v>
      </c>
      <c r="AA44" s="154">
        <f>+AA42+AA43</f>
        <v>899</v>
      </c>
    </row>
    <row r="45" spans="1:36" ht="17.45" customHeight="1">
      <c r="A45" s="776" t="s">
        <v>18</v>
      </c>
      <c r="B45" s="777"/>
      <c r="C45" s="169">
        <f>SUMIF($G$7:$G$31,"Boiler",$F$7:$F$31)</f>
        <v>0</v>
      </c>
      <c r="D45" s="123">
        <f>+C45+'27'!D45</f>
        <v>0</v>
      </c>
      <c r="E45" s="148">
        <f t="shared" si="18"/>
        <v>0</v>
      </c>
      <c r="F45" s="328"/>
      <c r="G45" s="331"/>
      <c r="H45" s="193" t="s">
        <v>75</v>
      </c>
      <c r="I45" s="123">
        <f>I43/I40</f>
        <v>3.6862282512533175</v>
      </c>
      <c r="J45" s="139">
        <f>J43/J40</f>
        <v>1.9051330941714433</v>
      </c>
      <c r="K45" s="135" t="s">
        <v>63</v>
      </c>
    </row>
    <row r="46" spans="1:36" ht="17.45" customHeight="1">
      <c r="A46" s="776" t="s">
        <v>76</v>
      </c>
      <c r="B46" s="777"/>
      <c r="C46" s="169">
        <f>SUMIF($G$7:$G$31,"Gas",$F$7:$F$31)</f>
        <v>0</v>
      </c>
      <c r="D46" s="123">
        <f>+C46+'27'!D46</f>
        <v>0</v>
      </c>
      <c r="E46" s="148">
        <f t="shared" si="18"/>
        <v>0</v>
      </c>
      <c r="F46" s="328"/>
      <c r="G46" s="329"/>
      <c r="H46" s="193" t="s">
        <v>77</v>
      </c>
      <c r="I46" s="145">
        <f>+SUMIF(Listrik!P35,"&gt;0")</f>
        <v>19308.779999998544</v>
      </c>
      <c r="J46" s="140">
        <f>+I46+'27'!J46</f>
        <v>765468.65999999898</v>
      </c>
      <c r="K46" s="135" t="s">
        <v>78</v>
      </c>
    </row>
    <row r="47" spans="1:36" ht="17.45" customHeight="1">
      <c r="A47" s="776" t="s">
        <v>79</v>
      </c>
      <c r="B47" s="777"/>
      <c r="C47" s="169">
        <f>SUMIF($G$7:$G$31,"Gas",$F$7:$F$31)</f>
        <v>0</v>
      </c>
      <c r="D47" s="123">
        <f>+C47+'27'!D47</f>
        <v>0</v>
      </c>
      <c r="E47" s="148">
        <f t="shared" si="18"/>
        <v>0</v>
      </c>
      <c r="F47" s="328"/>
      <c r="G47" s="329"/>
      <c r="H47" s="193" t="s">
        <v>80</v>
      </c>
      <c r="I47" s="123">
        <f>I46/I38</f>
        <v>1147.2834224598066</v>
      </c>
      <c r="J47" s="140">
        <f>J46/J38</f>
        <v>1040.5761942307156</v>
      </c>
      <c r="K47" s="135" t="s">
        <v>24</v>
      </c>
    </row>
    <row r="48" spans="1:36" ht="17.45" customHeight="1">
      <c r="A48" s="776" t="s">
        <v>14</v>
      </c>
      <c r="B48" s="777"/>
      <c r="C48" s="169">
        <f>SUMIF($G$7:$G$31,"Start Up",$F$7:$F$31)</f>
        <v>0</v>
      </c>
      <c r="D48" s="123">
        <f>+C48+'27'!D48</f>
        <v>0</v>
      </c>
      <c r="E48" s="148">
        <f t="shared" si="18"/>
        <v>0</v>
      </c>
      <c r="F48" s="328"/>
      <c r="G48" s="329"/>
      <c r="H48" s="193" t="s">
        <v>81</v>
      </c>
      <c r="I48" s="123">
        <f>I46/I40</f>
        <v>1898.041875552791</v>
      </c>
      <c r="J48" s="140">
        <f>J46/J40</f>
        <v>1109.072687441681</v>
      </c>
      <c r="K48" s="135" t="s">
        <v>24</v>
      </c>
    </row>
    <row r="49" spans="1:23" ht="17.45" customHeight="1">
      <c r="A49" s="776" t="s">
        <v>20</v>
      </c>
      <c r="B49" s="777"/>
      <c r="C49" s="169">
        <f>SUMIF($G$7:$G$31,"Others",$F$7:$F$31)</f>
        <v>0</v>
      </c>
      <c r="D49" s="123">
        <f>+C49+'27'!D49</f>
        <v>12742</v>
      </c>
      <c r="E49" s="148">
        <f t="shared" si="18"/>
        <v>212.36666666666667</v>
      </c>
      <c r="F49" s="190"/>
      <c r="H49" s="193" t="s">
        <v>271</v>
      </c>
      <c r="I49" s="123">
        <f>+Report1!T36</f>
        <v>1947.9531057785359</v>
      </c>
      <c r="J49" s="140">
        <f>+I49+'27'!J49</f>
        <v>76702.893735039703</v>
      </c>
      <c r="K49" s="135" t="s">
        <v>82</v>
      </c>
    </row>
    <row r="50" spans="1:23" ht="17.45" customHeight="1">
      <c r="A50" s="776" t="s">
        <v>19</v>
      </c>
      <c r="B50" s="777"/>
      <c r="C50" s="169">
        <f>SUMIF($G$7:$G$31,"Steam",$F$7:$F$31)</f>
        <v>0</v>
      </c>
      <c r="D50" s="123">
        <f>+C50+'27'!D50</f>
        <v>0</v>
      </c>
      <c r="E50" s="148">
        <f t="shared" si="18"/>
        <v>0</v>
      </c>
      <c r="F50" s="190"/>
      <c r="H50" s="193" t="s">
        <v>83</v>
      </c>
      <c r="I50" s="145">
        <f>I49/I38</f>
        <v>115.74290586919406</v>
      </c>
      <c r="J50" s="138">
        <f>J49/J38</f>
        <v>104.26972313835907</v>
      </c>
      <c r="K50" s="135" t="s">
        <v>82</v>
      </c>
    </row>
    <row r="51" spans="1:23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+C51+'27'!D51</f>
        <v>0</v>
      </c>
      <c r="E51" s="148">
        <f t="shared" si="18"/>
        <v>0</v>
      </c>
      <c r="F51" s="190"/>
      <c r="H51" s="195" t="s">
        <v>85</v>
      </c>
      <c r="I51" s="146">
        <f>I49/I40</f>
        <v>191.48266055033284</v>
      </c>
      <c r="J51" s="141">
        <f>J49/J40</f>
        <v>111.13333430172604</v>
      </c>
      <c r="K51" s="142" t="s">
        <v>82</v>
      </c>
    </row>
    <row r="52" spans="1:23" ht="13.5" thickBot="1">
      <c r="A52" s="774" t="s">
        <v>28</v>
      </c>
      <c r="B52" s="775"/>
      <c r="C52" s="149">
        <f>SUM(C38:C51)</f>
        <v>570</v>
      </c>
      <c r="D52" s="149">
        <f>SUM(D38:D51)</f>
        <v>14736</v>
      </c>
      <c r="E52" s="150">
        <f>SUM(E38:E51)</f>
        <v>245.60000000000002</v>
      </c>
      <c r="F52" s="190"/>
      <c r="H52" s="196"/>
      <c r="I52" s="197"/>
      <c r="J52" s="143"/>
      <c r="K52" s="144"/>
    </row>
    <row r="53" spans="1:23" ht="13.5" thickBot="1">
      <c r="A53" s="780"/>
      <c r="B53" s="781"/>
      <c r="C53" s="151">
        <f>C52/(24*60)</f>
        <v>0.39583333333333331</v>
      </c>
      <c r="D53" s="151">
        <f>D52/(24*60*G4)</f>
        <v>0.36547619047619045</v>
      </c>
      <c r="E53" s="152">
        <f>E52/(G4*24)</f>
        <v>0.36547619047619051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+D34+'27'!J56</f>
        <v>5469</v>
      </c>
      <c r="K56" s="206">
        <f>J56/(J40+J56/1000)/1000</f>
        <v>7.8616329599213389E-3</v>
      </c>
    </row>
    <row r="57" spans="1:23">
      <c r="A57" s="181"/>
      <c r="I57" s="204" t="s">
        <v>88</v>
      </c>
      <c r="J57" s="205">
        <f>+E34+'27'!J57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  <c r="J60" s="154">
        <v>5469</v>
      </c>
    </row>
    <row r="61" spans="1:23">
      <c r="A61" s="211"/>
      <c r="B61" s="212"/>
      <c r="C61" s="212"/>
      <c r="D61" s="212"/>
      <c r="E61" s="212"/>
      <c r="F61" s="213"/>
      <c r="G61" s="212"/>
      <c r="H61" s="214"/>
      <c r="J61" s="160">
        <f>+J56-J60</f>
        <v>0</v>
      </c>
      <c r="W61" s="154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opLeftCell="H19" zoomScale="80" zoomScaleNormal="80" workbookViewId="0">
      <selection activeCell="N25" sqref="N25:S33"/>
    </sheetView>
  </sheetViews>
  <sheetFormatPr defaultColWidth="9.140625" defaultRowHeight="12.75"/>
  <cols>
    <col min="1" max="1" width="8" style="154" customWidth="1"/>
    <col min="2" max="2" width="10.7109375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4.28515625" style="154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27</v>
      </c>
      <c r="H4" s="159" t="str">
        <f>+'1'!H4</f>
        <v>.10.25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9" ht="13.5" customHeight="1" thickBot="1">
      <c r="A7" s="762"/>
      <c r="B7" s="220" t="s">
        <v>652</v>
      </c>
      <c r="C7" s="221">
        <v>4102</v>
      </c>
      <c r="D7" s="222"/>
      <c r="E7" s="223"/>
      <c r="F7" s="233"/>
      <c r="G7" s="234" t="s">
        <v>12</v>
      </c>
      <c r="H7" s="235" t="s">
        <v>386</v>
      </c>
      <c r="I7" s="765" t="s">
        <v>399</v>
      </c>
      <c r="J7" s="219" t="str">
        <f>+'26'!J7</f>
        <v>F 12 VP OW</v>
      </c>
      <c r="K7" s="243"/>
      <c r="L7" s="247"/>
      <c r="M7" s="122">
        <f>+K7+'26'!M7+L7</f>
        <v>130749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+'26'!J8</f>
        <v>F 12,5 VP OW</v>
      </c>
      <c r="K8" s="244"/>
      <c r="L8" s="244"/>
      <c r="M8" s="122">
        <f>+K8+'26'!M8+L8</f>
        <v>54352</v>
      </c>
    </row>
    <row r="9" spans="1:19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+'26'!J9</f>
        <v>T 13 VP OW</v>
      </c>
      <c r="K9" s="244"/>
      <c r="L9" s="244"/>
      <c r="M9" s="122">
        <f>+K9+'26'!M9+L9</f>
        <v>112205</v>
      </c>
    </row>
    <row r="10" spans="1:19" ht="128.25" thickBot="1">
      <c r="A10" s="763"/>
      <c r="B10" s="220"/>
      <c r="C10" s="221"/>
      <c r="D10" s="222"/>
      <c r="E10" s="224"/>
      <c r="F10" s="233">
        <v>480</v>
      </c>
      <c r="G10" s="242" t="s">
        <v>20</v>
      </c>
      <c r="H10" s="238" t="s">
        <v>641</v>
      </c>
      <c r="I10" s="766"/>
      <c r="J10" s="219" t="str">
        <f>+'26'!J10</f>
        <v>T 12,5 VP OW</v>
      </c>
      <c r="K10" s="244"/>
      <c r="L10" s="244"/>
      <c r="M10" s="122">
        <f>+K10+'26'!M10+L10</f>
        <v>310471</v>
      </c>
    </row>
    <row r="11" spans="1:19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+'26'!J11</f>
        <v>T 12 VP OW</v>
      </c>
      <c r="K11" s="244"/>
      <c r="L11" s="244"/>
      <c r="M11" s="122">
        <f>+K11+'26'!M11+L11</f>
        <v>11128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+'26'!J12</f>
        <v>F 13 VP OW</v>
      </c>
      <c r="K12" s="244"/>
      <c r="L12" s="244"/>
      <c r="M12" s="122">
        <f>+K12+'26'!M12+L12</f>
        <v>35492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+'26'!J13</f>
        <v>F 11 VP OW</v>
      </c>
      <c r="K13" s="244"/>
      <c r="L13" s="244"/>
      <c r="M13" s="122">
        <f>+K13+'26'!M13+L13</f>
        <v>11154</v>
      </c>
    </row>
    <row r="14" spans="1:19" ht="13.5" thickBot="1">
      <c r="A14" s="764"/>
      <c r="B14" s="170" t="s">
        <v>2</v>
      </c>
      <c r="C14" s="104">
        <f>SUM(C7:C13)</f>
        <v>4102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 t="s">
        <v>652</v>
      </c>
      <c r="K14" s="244">
        <f>+C34</f>
        <v>14464</v>
      </c>
      <c r="L14" s="244"/>
      <c r="M14" s="122">
        <f>+K14+'26'!M14+L14</f>
        <v>14464</v>
      </c>
    </row>
    <row r="15" spans="1:19" ht="13.5" customHeight="1" thickBot="1">
      <c r="A15" s="762"/>
      <c r="B15" s="170"/>
      <c r="C15" s="118">
        <f>C14/($C$23+$D$23+$E$23)</f>
        <v>0.3958695232580583</v>
      </c>
      <c r="D15" s="119">
        <f>D14/($C$23+$D$23+$E$23)</f>
        <v>0</v>
      </c>
      <c r="E15" s="120">
        <f>E14/($C$23+$D$23+$E$23)</f>
        <v>0</v>
      </c>
      <c r="F15" s="233">
        <v>6</v>
      </c>
      <c r="G15" s="234" t="s">
        <v>12</v>
      </c>
      <c r="H15" s="235" t="s">
        <v>458</v>
      </c>
      <c r="I15" s="765" t="s">
        <v>647</v>
      </c>
      <c r="J15" s="219">
        <f>+'26'!J15</f>
        <v>0</v>
      </c>
      <c r="K15" s="244"/>
      <c r="L15" s="244"/>
      <c r="M15" s="122">
        <f>+K15+'26'!M15+L15</f>
        <v>0</v>
      </c>
      <c r="N15" s="154" t="s">
        <v>645</v>
      </c>
      <c r="O15" s="154">
        <v>850</v>
      </c>
      <c r="P15" s="154">
        <f>+O15-O15*0.23</f>
        <v>654.5</v>
      </c>
      <c r="Q15" s="154">
        <f>60-48+240+13</f>
        <v>265</v>
      </c>
      <c r="R15" s="154">
        <f>+O15*Q15</f>
        <v>225250</v>
      </c>
      <c r="S15" s="154">
        <f>+P15*Q15</f>
        <v>173442.5</v>
      </c>
    </row>
    <row r="16" spans="1:19" ht="13.5" thickBot="1">
      <c r="A16" s="768"/>
      <c r="B16" s="220" t="s">
        <v>652</v>
      </c>
      <c r="C16" s="227">
        <v>10362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+'26'!J16</f>
        <v>0</v>
      </c>
      <c r="K16" s="234"/>
      <c r="L16" s="234"/>
      <c r="M16" s="122">
        <f>+K16+'26'!M16+L16</f>
        <v>0</v>
      </c>
      <c r="O16" s="154">
        <v>880</v>
      </c>
      <c r="P16" s="154">
        <f t="shared" ref="P16:P17" si="0">+O16-O16*0.23</f>
        <v>677.6</v>
      </c>
      <c r="Q16" s="154">
        <f>60-13+60+35</f>
        <v>142</v>
      </c>
      <c r="R16" s="154">
        <f>+O16*Q16</f>
        <v>124960</v>
      </c>
      <c r="S16" s="154">
        <f>+P16*Q16</f>
        <v>96219.199999999997</v>
      </c>
    </row>
    <row r="17" spans="1:19" ht="13.5" thickBot="1">
      <c r="A17" s="768"/>
      <c r="B17" s="220"/>
      <c r="C17" s="221"/>
      <c r="D17" s="222"/>
      <c r="E17" s="230"/>
      <c r="F17" s="233">
        <v>15</v>
      </c>
      <c r="G17" s="574" t="s">
        <v>12</v>
      </c>
      <c r="H17" s="238" t="s">
        <v>412</v>
      </c>
      <c r="I17" s="766"/>
      <c r="J17" s="219">
        <f>+'26'!J17</f>
        <v>0</v>
      </c>
      <c r="K17" s="234"/>
      <c r="L17" s="234"/>
      <c r="M17" s="122">
        <f>+K17+'26'!M17+L17</f>
        <v>0</v>
      </c>
      <c r="O17" s="154">
        <v>910</v>
      </c>
      <c r="P17" s="154">
        <f t="shared" si="0"/>
        <v>700.7</v>
      </c>
      <c r="Q17" s="154">
        <f>60-35</f>
        <v>25</v>
      </c>
      <c r="R17" s="154">
        <f t="shared" ref="R17:R20" si="1">+O17*Q17</f>
        <v>22750</v>
      </c>
      <c r="S17" s="154">
        <f t="shared" ref="S17:S20" si="2">+P17*Q17</f>
        <v>17517.5</v>
      </c>
    </row>
    <row r="18" spans="1:19" ht="90" thickBot="1">
      <c r="A18" s="768"/>
      <c r="B18" s="220"/>
      <c r="C18" s="221"/>
      <c r="D18" s="222"/>
      <c r="E18" s="230"/>
      <c r="F18" s="233"/>
      <c r="G18" s="242"/>
      <c r="H18" s="238" t="s">
        <v>640</v>
      </c>
      <c r="I18" s="766"/>
      <c r="J18" s="219">
        <f>+'26'!J18</f>
        <v>0</v>
      </c>
      <c r="K18" s="244"/>
      <c r="L18" s="244"/>
      <c r="M18" s="122">
        <f>+K18+'26'!M18+L18</f>
        <v>0</v>
      </c>
      <c r="R18" s="154">
        <f t="shared" si="1"/>
        <v>0</v>
      </c>
      <c r="S18" s="154">
        <f t="shared" si="2"/>
        <v>0</v>
      </c>
    </row>
    <row r="19" spans="1:19" ht="204" customHeight="1" thickBot="1">
      <c r="A19" s="768"/>
      <c r="B19" s="220"/>
      <c r="C19" s="221"/>
      <c r="D19" s="222"/>
      <c r="E19" s="230"/>
      <c r="F19" s="233">
        <v>48</v>
      </c>
      <c r="G19" s="242" t="s">
        <v>20</v>
      </c>
      <c r="H19" s="238" t="s">
        <v>644</v>
      </c>
      <c r="I19" s="766"/>
      <c r="J19" s="219">
        <f>+'26'!J19</f>
        <v>0</v>
      </c>
      <c r="K19" s="244"/>
      <c r="L19" s="244"/>
      <c r="M19" s="122">
        <f>+K19+'26'!M19+L19</f>
        <v>0</v>
      </c>
      <c r="R19" s="154">
        <f t="shared" si="1"/>
        <v>0</v>
      </c>
      <c r="S19" s="154">
        <f t="shared" si="2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+'26'!J20</f>
        <v>0</v>
      </c>
      <c r="K20" s="245"/>
      <c r="L20" s="245"/>
      <c r="M20" s="122">
        <f>+K20+'26'!M20+L20</f>
        <v>0</v>
      </c>
      <c r="R20" s="154">
        <f t="shared" si="1"/>
        <v>0</v>
      </c>
      <c r="S20" s="154">
        <f t="shared" si="2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+'26'!J21</f>
        <v>0</v>
      </c>
      <c r="K21" s="244"/>
      <c r="L21" s="244"/>
      <c r="M21" s="122">
        <f>+K21+'26'!M21+L21</f>
        <v>0</v>
      </c>
      <c r="P21" s="154">
        <f t="shared" ref="P21" si="3">+O21-O21*0.17</f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+'26'!J22</f>
        <v>0</v>
      </c>
      <c r="K22" s="244"/>
      <c r="L22" s="244"/>
      <c r="M22" s="122">
        <f>+K22+'26'!M22+L22</f>
        <v>0</v>
      </c>
      <c r="Q22" s="154">
        <f>SUM(Q14:Q20)</f>
        <v>432</v>
      </c>
      <c r="R22" s="154">
        <f>SUM(R14:R20)</f>
        <v>372960</v>
      </c>
      <c r="S22" s="154">
        <f>SUM(S14:S20)</f>
        <v>287179.2</v>
      </c>
    </row>
    <row r="23" spans="1:19" ht="13.5" thickBot="1">
      <c r="A23" s="769"/>
      <c r="B23" s="173" t="s">
        <v>2</v>
      </c>
      <c r="C23" s="105">
        <f>SUM(C16:C22)</f>
        <v>10362</v>
      </c>
      <c r="D23" s="116">
        <f>SUM(D16:D22)</f>
        <v>0</v>
      </c>
      <c r="E23" s="117">
        <f>SUM(E18:E22)</f>
        <v>0</v>
      </c>
      <c r="F23" s="121">
        <f>SUM(F15:F22)</f>
        <v>69</v>
      </c>
      <c r="G23" s="164"/>
      <c r="H23" s="171"/>
      <c r="I23" s="174"/>
      <c r="J23" s="219">
        <f>+'26'!J23</f>
        <v>0</v>
      </c>
      <c r="K23" s="244"/>
      <c r="L23" s="244"/>
      <c r="M23" s="122">
        <f>+K23+'26'!M23+L23</f>
        <v>0</v>
      </c>
      <c r="N23" s="154" t="s">
        <v>399</v>
      </c>
      <c r="Q23" s="154">
        <f>480-Q22</f>
        <v>48</v>
      </c>
      <c r="R23" s="154">
        <f>+R22/Q22</f>
        <v>863.33333333333337</v>
      </c>
      <c r="S23" s="154">
        <f>+S22/Q22</f>
        <v>664.76666666666665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12</v>
      </c>
      <c r="G24" s="234" t="s">
        <v>12</v>
      </c>
      <c r="H24" s="235" t="s">
        <v>413</v>
      </c>
      <c r="I24" s="765" t="s">
        <v>646</v>
      </c>
      <c r="J24" s="219">
        <f>+'26'!J24</f>
        <v>0</v>
      </c>
      <c r="K24" s="244"/>
      <c r="L24" s="244"/>
      <c r="M24" s="122">
        <f>+K24+'26'!M24+L24</f>
        <v>0</v>
      </c>
    </row>
    <row r="25" spans="1:19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+'26'!J25</f>
        <v>0</v>
      </c>
      <c r="K25" s="244"/>
      <c r="L25" s="244"/>
      <c r="M25" s="122">
        <f>+K25+'26'!M25+L25</f>
        <v>0</v>
      </c>
      <c r="N25" s="154" t="s">
        <v>645</v>
      </c>
      <c r="O25" s="154">
        <v>910</v>
      </c>
      <c r="P25" s="154">
        <f>+O25-O25*0.2</f>
        <v>728</v>
      </c>
      <c r="Q25" s="154">
        <v>480</v>
      </c>
      <c r="R25" s="154">
        <f>+O25*Q25</f>
        <v>436800</v>
      </c>
      <c r="S25" s="154">
        <f>+P25*Q25</f>
        <v>349440</v>
      </c>
    </row>
    <row r="26" spans="1:19" ht="13.5" thickBot="1">
      <c r="A26" s="768"/>
      <c r="B26" s="220"/>
      <c r="C26" s="231"/>
      <c r="D26" s="222"/>
      <c r="E26" s="232"/>
      <c r="F26" s="233">
        <f>36-12</f>
        <v>24</v>
      </c>
      <c r="G26" s="574" t="s">
        <v>12</v>
      </c>
      <c r="H26" s="238" t="s">
        <v>429</v>
      </c>
      <c r="I26" s="766"/>
      <c r="J26" s="219">
        <f>+'26'!J26</f>
        <v>0</v>
      </c>
      <c r="K26" s="244"/>
      <c r="L26" s="244"/>
      <c r="M26" s="122">
        <f>+K26+'26'!M26+L26</f>
        <v>0</v>
      </c>
      <c r="P26" s="154">
        <v>0</v>
      </c>
      <c r="R26" s="154">
        <f>+O26*Q26</f>
        <v>0</v>
      </c>
      <c r="S26" s="154">
        <f>+P26*Q26</f>
        <v>0</v>
      </c>
    </row>
    <row r="27" spans="1:19" ht="26.25" thickBot="1">
      <c r="A27" s="768"/>
      <c r="B27" s="220"/>
      <c r="C27" s="221"/>
      <c r="D27" s="222"/>
      <c r="E27" s="230"/>
      <c r="F27" s="233"/>
      <c r="G27" s="242"/>
      <c r="H27" s="238" t="s">
        <v>642</v>
      </c>
      <c r="I27" s="766"/>
      <c r="J27" s="219">
        <f>+'26'!J27</f>
        <v>0</v>
      </c>
      <c r="K27" s="244"/>
      <c r="L27" s="244"/>
      <c r="M27" s="122">
        <f>+K27+'26'!M27+L27</f>
        <v>0</v>
      </c>
      <c r="P27" s="154">
        <f t="shared" ref="P27" si="4">+O27-O27*0.23</f>
        <v>0</v>
      </c>
      <c r="R27" s="154">
        <f t="shared" ref="R27:R30" si="5">+O27*Q27</f>
        <v>0</v>
      </c>
      <c r="S27" s="154">
        <f t="shared" ref="S27:S30" si="6">+P27*Q27</f>
        <v>0</v>
      </c>
    </row>
    <row r="28" spans="1:19" ht="90" thickBot="1">
      <c r="A28" s="768"/>
      <c r="B28" s="220"/>
      <c r="C28" s="221"/>
      <c r="D28" s="222"/>
      <c r="E28" s="230"/>
      <c r="F28" s="236"/>
      <c r="G28" s="237"/>
      <c r="H28" s="238" t="s">
        <v>643</v>
      </c>
      <c r="I28" s="766"/>
      <c r="J28" s="219">
        <f>+'26'!J28</f>
        <v>0</v>
      </c>
      <c r="K28" s="244"/>
      <c r="L28" s="244"/>
      <c r="M28" s="122">
        <f>+K28+'26'!M28+L28</f>
        <v>0</v>
      </c>
      <c r="R28" s="154">
        <f t="shared" si="5"/>
        <v>0</v>
      </c>
      <c r="S28" s="154">
        <f t="shared" si="6"/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+'26'!J29</f>
        <v>0</v>
      </c>
      <c r="K29" s="244"/>
      <c r="L29" s="244"/>
      <c r="M29" s="122">
        <f>+K29+'26'!M29+L29</f>
        <v>0</v>
      </c>
      <c r="R29" s="154">
        <f t="shared" si="5"/>
        <v>0</v>
      </c>
      <c r="S29" s="154">
        <f t="shared" si="6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+'26'!J30</f>
        <v>0</v>
      </c>
      <c r="K30" s="244"/>
      <c r="L30" s="244"/>
      <c r="M30" s="122">
        <f>+K30+'26'!M30+L30</f>
        <v>0</v>
      </c>
      <c r="R30" s="154">
        <f t="shared" si="5"/>
        <v>0</v>
      </c>
      <c r="S30" s="154">
        <f t="shared" si="6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+'26'!J31</f>
        <v>0</v>
      </c>
      <c r="K31" s="244"/>
      <c r="L31" s="244"/>
      <c r="M31" s="122">
        <f>+K31+'26'!M31+L31</f>
        <v>0</v>
      </c>
      <c r="P31" s="154">
        <f t="shared" ref="P31" si="7">+O31-O31*0.17</f>
        <v>0</v>
      </c>
    </row>
    <row r="32" spans="1:19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36</v>
      </c>
      <c r="G32" s="176"/>
      <c r="H32" s="177"/>
      <c r="I32" s="174"/>
      <c r="J32" s="219">
        <f>+'26'!J32</f>
        <v>0</v>
      </c>
      <c r="K32" s="246"/>
      <c r="L32" s="248"/>
      <c r="M32" s="122">
        <f>+K32+'26'!M32+L32</f>
        <v>0</v>
      </c>
      <c r="Q32" s="154">
        <f>SUM(Q24:Q30)</f>
        <v>480</v>
      </c>
      <c r="R32" s="154">
        <f>SUM(R24:R30)</f>
        <v>436800</v>
      </c>
      <c r="S32" s="154">
        <f>SUM(S24:S30)</f>
        <v>349440</v>
      </c>
    </row>
    <row r="33" spans="1:19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  <c r="N33" s="154" t="s">
        <v>399</v>
      </c>
      <c r="Q33" s="154">
        <f>480-Q32</f>
        <v>0</v>
      </c>
      <c r="R33" s="154">
        <f>+R32/Q32</f>
        <v>910</v>
      </c>
      <c r="S33" s="154">
        <f>+S32/Q32</f>
        <v>728</v>
      </c>
    </row>
    <row r="34" spans="1:19" ht="13.5" thickBot="1">
      <c r="A34" s="770" t="s">
        <v>57</v>
      </c>
      <c r="B34" s="771"/>
      <c r="C34" s="112">
        <f>C14+C23+C32</f>
        <v>14464</v>
      </c>
      <c r="D34" s="112">
        <f>D14+D23+D32</f>
        <v>0</v>
      </c>
      <c r="E34" s="112">
        <f>E14+E23+E32</f>
        <v>0</v>
      </c>
      <c r="F34" s="113">
        <f>F14+F23+F32</f>
        <v>585</v>
      </c>
      <c r="H34" s="183"/>
      <c r="I34" s="183"/>
      <c r="J34" s="128" t="s">
        <v>28</v>
      </c>
      <c r="K34" s="129">
        <f>SUM(K7:K32)</f>
        <v>14464</v>
      </c>
      <c r="L34" s="217">
        <f>SUM(L7:L32)</f>
        <v>0</v>
      </c>
      <c r="M34" s="125">
        <f>SUM(M7:M32)</f>
        <v>680015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  <c r="N36" s="154">
        <v>432</v>
      </c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35"/>
      <c r="G37" s="330"/>
      <c r="H37" s="191" t="s">
        <v>62</v>
      </c>
      <c r="I37" s="249">
        <f>(14*912)/912*G42*2.74*912/1000000</f>
        <v>24.420712512000001</v>
      </c>
      <c r="J37" s="130">
        <f>+I37+'26'!J37</f>
        <v>816.01034339794239</v>
      </c>
      <c r="K37" s="131" t="s">
        <v>63</v>
      </c>
      <c r="N37" s="154">
        <v>480</v>
      </c>
    </row>
    <row r="38" spans="1:19" ht="17.45" customHeight="1">
      <c r="A38" s="774" t="s">
        <v>12</v>
      </c>
      <c r="B38" s="775"/>
      <c r="C38" s="169">
        <f>SUMIF($G$7:$G$31,"Process",$F$7:$F$31)</f>
        <v>57</v>
      </c>
      <c r="D38" s="123">
        <f>+C38+'26'!D38</f>
        <v>1280</v>
      </c>
      <c r="E38" s="148">
        <f t="shared" ref="E38:E51" si="8">D38/60</f>
        <v>21.333333333333332</v>
      </c>
      <c r="F38" s="328"/>
      <c r="G38" s="328"/>
      <c r="H38" s="192" t="s">
        <v>64</v>
      </c>
      <c r="I38" s="250">
        <f>9.236+10.986</f>
        <v>20.222000000000001</v>
      </c>
      <c r="J38" s="132">
        <f>+I38+'26'!J38</f>
        <v>718.79</v>
      </c>
      <c r="K38" s="133" t="s">
        <v>63</v>
      </c>
      <c r="N38" s="154">
        <f>+N36+N37</f>
        <v>912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+C39+'26'!D39</f>
        <v>0</v>
      </c>
      <c r="E39" s="148">
        <f t="shared" si="8"/>
        <v>0</v>
      </c>
      <c r="F39" s="328">
        <v>863.33333333333337</v>
      </c>
      <c r="G39" s="328">
        <v>664.76666666666665</v>
      </c>
      <c r="H39" s="192" t="s">
        <v>65</v>
      </c>
      <c r="I39" s="147"/>
      <c r="J39" s="134">
        <f>J37/G4</f>
        <v>30.222605311034904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+C40+'26'!D40</f>
        <v>0</v>
      </c>
      <c r="E40" s="148">
        <f t="shared" si="8"/>
        <v>0</v>
      </c>
      <c r="F40" s="328">
        <v>910</v>
      </c>
      <c r="G40" s="328">
        <v>728</v>
      </c>
      <c r="H40" s="192" t="s">
        <v>67</v>
      </c>
      <c r="I40" s="123">
        <f>(K34+L34)/1000</f>
        <v>14.464</v>
      </c>
      <c r="J40" s="136">
        <f>+I40+'26'!J40</f>
        <v>680.0150000000001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+C41+'26'!D41</f>
        <v>144</v>
      </c>
      <c r="E41" s="148">
        <f t="shared" si="8"/>
        <v>2.4</v>
      </c>
      <c r="F41" s="328"/>
      <c r="G41" s="328"/>
      <c r="H41" s="192" t="s">
        <v>69</v>
      </c>
      <c r="I41" s="147"/>
      <c r="J41" s="134">
        <f>J40/G4</f>
        <v>25.185740740740744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+C42+'26'!D42</f>
        <v>0</v>
      </c>
      <c r="E42" s="148">
        <f t="shared" si="8"/>
        <v>0</v>
      </c>
      <c r="F42" s="328">
        <f>+(432*F39+480*F40)/912</f>
        <v>887.89473684210532</v>
      </c>
      <c r="G42" s="328">
        <f>+(432*G39+480*G40)/912</f>
        <v>698.04736842105262</v>
      </c>
      <c r="H42" s="192" t="s">
        <v>70</v>
      </c>
      <c r="I42" s="251" t="s">
        <v>648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+C43+'26'!D43</f>
        <v>0</v>
      </c>
      <c r="E43" s="148">
        <f t="shared" si="8"/>
        <v>0</v>
      </c>
      <c r="F43" s="328"/>
      <c r="G43" s="329"/>
      <c r="H43" s="193" t="s">
        <v>73</v>
      </c>
      <c r="I43" s="123">
        <f>+Report1!Z35</f>
        <v>46.5</v>
      </c>
      <c r="J43" s="138">
        <f>+I43+'26'!J43</f>
        <v>1277.4000000000003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+C44+'26'!D44</f>
        <v>0</v>
      </c>
      <c r="E44" s="148">
        <f t="shared" si="8"/>
        <v>0</v>
      </c>
      <c r="F44" s="328"/>
      <c r="G44" s="329"/>
      <c r="H44" s="193" t="s">
        <v>74</v>
      </c>
      <c r="I44" s="123">
        <f>I43/I38</f>
        <v>2.299475818415587</v>
      </c>
      <c r="J44" s="139">
        <f>J43/J38</f>
        <v>1.7771532714701099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+C45+'26'!D45</f>
        <v>0</v>
      </c>
      <c r="E45" s="148">
        <f t="shared" si="8"/>
        <v>0</v>
      </c>
      <c r="F45" s="328"/>
      <c r="G45" s="331"/>
      <c r="H45" s="193" t="s">
        <v>75</v>
      </c>
      <c r="I45" s="123">
        <f>I43/I40</f>
        <v>3.2148783185840708</v>
      </c>
      <c r="J45" s="139">
        <f>J43/J40</f>
        <v>1.8784879745299738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+C46+'26'!D46</f>
        <v>0</v>
      </c>
      <c r="E46" s="148">
        <f t="shared" si="8"/>
        <v>0</v>
      </c>
      <c r="F46" s="328"/>
      <c r="G46" s="329"/>
      <c r="H46" s="193" t="s">
        <v>77</v>
      </c>
      <c r="I46" s="145">
        <f>+SUMIF(Listrik!P34,"&gt;0")</f>
        <v>23771.820000001091</v>
      </c>
      <c r="J46" s="140">
        <f>+I46+'26'!J46</f>
        <v>746159.88000000047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+C47+'26'!D47</f>
        <v>0</v>
      </c>
      <c r="E47" s="148">
        <f t="shared" si="8"/>
        <v>0</v>
      </c>
      <c r="F47" s="328"/>
      <c r="G47" s="329"/>
      <c r="H47" s="193" t="s">
        <v>80</v>
      </c>
      <c r="I47" s="123">
        <f>I46/I38</f>
        <v>1175.5424784888285</v>
      </c>
      <c r="J47" s="140">
        <f>J46/J38</f>
        <v>1038.0777139359209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+C48+'26'!D48</f>
        <v>0</v>
      </c>
      <c r="E48" s="148">
        <f t="shared" si="8"/>
        <v>0</v>
      </c>
      <c r="F48" s="328"/>
      <c r="G48" s="329"/>
      <c r="H48" s="193" t="s">
        <v>81</v>
      </c>
      <c r="I48" s="123">
        <f>I46/I40</f>
        <v>1643.5163163717568</v>
      </c>
      <c r="J48" s="140">
        <f>J46/J40</f>
        <v>1097.2697366969851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528</v>
      </c>
      <c r="D49" s="123">
        <f>+C49+'26'!D49</f>
        <v>12742</v>
      </c>
      <c r="E49" s="148">
        <f t="shared" si="8"/>
        <v>212.36666666666667</v>
      </c>
      <c r="F49" s="190"/>
      <c r="H49" s="193" t="s">
        <v>271</v>
      </c>
      <c r="I49" s="123">
        <f>+Report1!T35</f>
        <v>2773.7318435754187</v>
      </c>
      <c r="J49" s="140">
        <f>+I49+'26'!J49</f>
        <v>74754.940629261167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+C50+'26'!D50</f>
        <v>0</v>
      </c>
      <c r="E50" s="148">
        <f t="shared" si="8"/>
        <v>0</v>
      </c>
      <c r="F50" s="190"/>
      <c r="H50" s="193" t="s">
        <v>83</v>
      </c>
      <c r="I50" s="145">
        <f>I49/I38</f>
        <v>137.16407099077335</v>
      </c>
      <c r="J50" s="138">
        <f>J49/J38</f>
        <v>104.00108603244504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+C51+'26'!D51</f>
        <v>0</v>
      </c>
      <c r="E51" s="148">
        <f t="shared" si="8"/>
        <v>0</v>
      </c>
      <c r="F51" s="190"/>
      <c r="H51" s="195" t="s">
        <v>85</v>
      </c>
      <c r="I51" s="146">
        <f>I49/I40</f>
        <v>191.76796484896423</v>
      </c>
      <c r="J51" s="141">
        <f>J49/J40</f>
        <v>109.93131126410617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585</v>
      </c>
      <c r="D52" s="149">
        <f>SUM(D38:D51)</f>
        <v>14166</v>
      </c>
      <c r="E52" s="150">
        <f>SUM(E38:E51)</f>
        <v>236.1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0.40625</v>
      </c>
      <c r="D53" s="151">
        <f>D52/(24*60*G4)</f>
        <v>0.36435185185185187</v>
      </c>
      <c r="E53" s="152">
        <f>E52/(G4*24)</f>
        <v>0.36435185185185182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+D34+'26'!J56</f>
        <v>3639</v>
      </c>
      <c r="K56" s="206">
        <f>J56/(J40+J56/1000)/1000</f>
        <v>5.3228680004797739E-3</v>
      </c>
    </row>
    <row r="57" spans="1:11">
      <c r="A57" s="181"/>
      <c r="I57" s="204" t="s">
        <v>88</v>
      </c>
      <c r="J57" s="205">
        <f>+E34+'26'!J57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13" zoomScale="80" zoomScaleNormal="80" workbookViewId="0">
      <selection activeCell="G24" sqref="G24:H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8.28515625" style="154" customWidth="1"/>
    <col min="13" max="13" width="17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184</v>
      </c>
    </row>
    <row r="3" spans="1:18" ht="15">
      <c r="A3" s="155"/>
    </row>
    <row r="4" spans="1:18" ht="20.25">
      <c r="A4" s="156" t="s">
        <v>3</v>
      </c>
      <c r="B4" s="157"/>
      <c r="F4" s="158" t="s">
        <v>29</v>
      </c>
      <c r="G4" s="159">
        <v>26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8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219" t="str">
        <f>+'25'!J7</f>
        <v>F 12 VP OW</v>
      </c>
      <c r="K7" s="243">
        <f>+C26</f>
        <v>0</v>
      </c>
      <c r="L7" s="247"/>
      <c r="M7" s="122">
        <f>+K7+'25'!M7+L7</f>
        <v>130749</v>
      </c>
    </row>
    <row r="8" spans="1:18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+'25'!J8</f>
        <v>F 12,5 VP OW</v>
      </c>
      <c r="K8" s="244">
        <f>+C34-K7</f>
        <v>0</v>
      </c>
      <c r="L8" s="244"/>
      <c r="M8" s="122">
        <f>+K8+'25'!M8+L8</f>
        <v>54352</v>
      </c>
    </row>
    <row r="9" spans="1:18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+'25'!J9</f>
        <v>T 13 VP OW</v>
      </c>
      <c r="K9" s="244"/>
      <c r="L9" s="244"/>
      <c r="M9" s="122">
        <f>+K9+'25'!M9+L9</f>
        <v>112205</v>
      </c>
      <c r="Q9" s="154">
        <f>+N9*P9</f>
        <v>0</v>
      </c>
      <c r="R9" s="154">
        <f>+O9*P9</f>
        <v>0</v>
      </c>
    </row>
    <row r="10" spans="1:18" ht="26.25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639</v>
      </c>
      <c r="I10" s="766"/>
      <c r="J10" s="219" t="str">
        <f>+'25'!J10</f>
        <v>T 12,5 VP OW</v>
      </c>
      <c r="K10" s="244"/>
      <c r="L10" s="244"/>
      <c r="M10" s="122">
        <f>+K10+'25'!M10+L10</f>
        <v>310471</v>
      </c>
      <c r="Q10" s="154">
        <f>+N10*P10</f>
        <v>0</v>
      </c>
      <c r="R10" s="154">
        <f>+O10*P10</f>
        <v>0</v>
      </c>
    </row>
    <row r="11" spans="1:18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+'25'!J11</f>
        <v>T 12 VP OW</v>
      </c>
      <c r="K11" s="244"/>
      <c r="L11" s="244"/>
      <c r="M11" s="122">
        <f>+K11+'25'!M11+L11</f>
        <v>11128</v>
      </c>
      <c r="Q11" s="154">
        <f>+N11*P11</f>
        <v>0</v>
      </c>
      <c r="R11" s="154">
        <f>+O11*P11</f>
        <v>0</v>
      </c>
    </row>
    <row r="12" spans="1:18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+'25'!J12</f>
        <v>F 13 VP OW</v>
      </c>
      <c r="K12" s="244"/>
      <c r="L12" s="244"/>
      <c r="M12" s="122">
        <f>+K12+'25'!M12+L12</f>
        <v>35492</v>
      </c>
      <c r="Q12" s="154">
        <f>+N12*P12</f>
        <v>0</v>
      </c>
      <c r="R12" s="154">
        <f>+O12*P12</f>
        <v>0</v>
      </c>
    </row>
    <row r="13" spans="1:18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+'25'!J13</f>
        <v>F 11 VP OW</v>
      </c>
      <c r="K13" s="244"/>
      <c r="L13" s="244"/>
      <c r="M13" s="122">
        <f>+K13+'25'!M13+L13</f>
        <v>11154</v>
      </c>
      <c r="P13" s="181"/>
      <c r="Q13" s="181">
        <f>SUM(Q9:Q12)</f>
        <v>0</v>
      </c>
      <c r="R13" s="181">
        <f>SUM(R9:R12)</f>
        <v>0</v>
      </c>
    </row>
    <row r="14" spans="1:18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+'25'!J14</f>
        <v>0</v>
      </c>
      <c r="K14" s="244"/>
      <c r="L14" s="244"/>
      <c r="M14" s="122">
        <f>+K14+'25'!M14+L14</f>
        <v>0</v>
      </c>
      <c r="Q14" s="181" t="e">
        <f>+Q13/P13</f>
        <v>#DIV/0!</v>
      </c>
      <c r="R14" s="181" t="e">
        <f>+R13/P13</f>
        <v>#DIV/0!</v>
      </c>
    </row>
    <row r="15" spans="1:18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/>
      <c r="J15" s="219">
        <f>+'25'!J15</f>
        <v>0</v>
      </c>
      <c r="K15" s="244"/>
      <c r="L15" s="244"/>
      <c r="M15" s="122">
        <f>+K15+'25'!M15+L15</f>
        <v>0</v>
      </c>
    </row>
    <row r="16" spans="1:18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+'25'!J16</f>
        <v>0</v>
      </c>
      <c r="K16" s="234"/>
      <c r="L16" s="234"/>
      <c r="M16" s="122">
        <f>+K16+'25'!M16+L16</f>
        <v>0</v>
      </c>
    </row>
    <row r="17" spans="1:18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+'25'!J17</f>
        <v>0</v>
      </c>
      <c r="K17" s="234"/>
      <c r="L17" s="234"/>
      <c r="M17" s="122">
        <f>+K17+'25'!M17+L17</f>
        <v>0</v>
      </c>
    </row>
    <row r="18" spans="1:18" ht="141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638</v>
      </c>
      <c r="I18" s="766"/>
      <c r="J18" s="219">
        <f>+'25'!J18</f>
        <v>0</v>
      </c>
      <c r="K18" s="244"/>
      <c r="L18" s="244"/>
      <c r="M18" s="122">
        <f>+K18+'25'!M18+L18</f>
        <v>0</v>
      </c>
    </row>
    <row r="19" spans="1:18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+'25'!J19</f>
        <v>0</v>
      </c>
      <c r="K19" s="244"/>
      <c r="L19" s="244"/>
      <c r="M19" s="122">
        <f>+K19+'25'!M19+L19</f>
        <v>0</v>
      </c>
      <c r="P19" s="154">
        <f>480-44</f>
        <v>436</v>
      </c>
      <c r="R19" s="154">
        <f>304+132</f>
        <v>436</v>
      </c>
    </row>
    <row r="20" spans="1:18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+'25'!J20</f>
        <v>0</v>
      </c>
      <c r="K20" s="245"/>
      <c r="L20" s="245"/>
      <c r="M20" s="122">
        <f>+K20+'25'!M20+L20</f>
        <v>0</v>
      </c>
    </row>
    <row r="21" spans="1:18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+'25'!J21</f>
        <v>0</v>
      </c>
      <c r="K21" s="244"/>
      <c r="L21" s="244"/>
      <c r="M21" s="122">
        <f>+K21+'25'!M21+L21</f>
        <v>0</v>
      </c>
    </row>
    <row r="22" spans="1:18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+'25'!J22</f>
        <v>0</v>
      </c>
      <c r="K22" s="244"/>
      <c r="L22" s="244"/>
      <c r="M22" s="122">
        <f>+K22+'25'!M22+L22</f>
        <v>0</v>
      </c>
    </row>
    <row r="23" spans="1:18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+'25'!J23</f>
        <v>0</v>
      </c>
      <c r="K23" s="244"/>
      <c r="L23" s="244"/>
      <c r="M23" s="122">
        <f>+K23+'25'!M23+L23</f>
        <v>0</v>
      </c>
    </row>
    <row r="24" spans="1:18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/>
      <c r="J24" s="219">
        <f>+'25'!J24</f>
        <v>0</v>
      </c>
      <c r="K24" s="244"/>
      <c r="L24" s="244"/>
      <c r="M24" s="122">
        <f>+K24+'25'!M24+L24</f>
        <v>0</v>
      </c>
    </row>
    <row r="25" spans="1:18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+'25'!J25</f>
        <v>0</v>
      </c>
      <c r="K25" s="244"/>
      <c r="L25" s="244"/>
      <c r="M25" s="122">
        <f>+K25+'25'!M25+L25</f>
        <v>0</v>
      </c>
    </row>
    <row r="26" spans="1:18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+'25'!J26</f>
        <v>0</v>
      </c>
      <c r="K26" s="244"/>
      <c r="L26" s="244"/>
      <c r="M26" s="122">
        <f>+K26+'25'!M26+L26</f>
        <v>0</v>
      </c>
    </row>
    <row r="27" spans="1:18" ht="153.7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637</v>
      </c>
      <c r="I27" s="766"/>
      <c r="J27" s="219">
        <f>+'25'!J27</f>
        <v>0</v>
      </c>
      <c r="K27" s="244"/>
      <c r="L27" s="244"/>
      <c r="M27" s="122">
        <f>+K27+'25'!M27+L27</f>
        <v>0</v>
      </c>
    </row>
    <row r="28" spans="1:18" ht="13.5" customHeight="1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+'25'!J28</f>
        <v>0</v>
      </c>
      <c r="K28" s="244"/>
      <c r="L28" s="244"/>
      <c r="M28" s="122">
        <f>+K28+'25'!M28+L28</f>
        <v>0</v>
      </c>
    </row>
    <row r="29" spans="1:18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+'25'!J29</f>
        <v>0</v>
      </c>
      <c r="K29" s="244"/>
      <c r="L29" s="244"/>
      <c r="M29" s="122">
        <f>+K29+'25'!M29+L29</f>
        <v>0</v>
      </c>
    </row>
    <row r="30" spans="1:18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+'25'!J30</f>
        <v>0</v>
      </c>
      <c r="K30" s="244"/>
      <c r="L30" s="244"/>
      <c r="M30" s="122">
        <f>+K30+'25'!M30+L30</f>
        <v>0</v>
      </c>
    </row>
    <row r="31" spans="1:18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+'25'!J31</f>
        <v>0</v>
      </c>
      <c r="K31" s="244"/>
      <c r="L31" s="244"/>
      <c r="M31" s="122">
        <f>+K31+'25'!M31+L31</f>
        <v>0</v>
      </c>
    </row>
    <row r="32" spans="1:18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+'25'!J32</f>
        <v>0</v>
      </c>
      <c r="K32" s="246"/>
      <c r="L32" s="248"/>
      <c r="M32" s="122">
        <f>+K32+'25'!M32+L32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</row>
    <row r="35" spans="1:13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(12*1256+10.3*140)/1396*G42*2.74*1396/1000000</f>
        <v>0</v>
      </c>
      <c r="J37" s="130">
        <f>+I37+'25'!J37</f>
        <v>791.58963088594237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0</v>
      </c>
      <c r="D38" s="123">
        <f>+C38+'25'!D38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+I38+'25'!J38</f>
        <v>698.56799999999998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+C39+'25'!D39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30.445755034074708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+C40+'25'!D40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+I40+'25'!J40</f>
        <v>665.55100000000004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+C41+'25'!D41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25.598115384615387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+C42+'25'!D42</f>
        <v>0</v>
      </c>
      <c r="E42" s="148">
        <f t="shared" si="0"/>
        <v>0</v>
      </c>
      <c r="F42" s="328">
        <f>+(436*F38+480*F39+480*F40)/1396</f>
        <v>0</v>
      </c>
      <c r="G42" s="328">
        <f>+(436*G38+480*G39+480*G40)/1396</f>
        <v>0</v>
      </c>
      <c r="H42" s="192" t="s">
        <v>70</v>
      </c>
      <c r="I42" s="251"/>
      <c r="J42" s="137"/>
      <c r="K42" s="135" t="s">
        <v>71</v>
      </c>
    </row>
    <row r="43" spans="1:13" ht="17.45" customHeight="1">
      <c r="A43" s="776" t="s">
        <v>72</v>
      </c>
      <c r="B43" s="777"/>
      <c r="C43" s="169">
        <f>SUMIF($G$7:$G$31,"Water",$F$7:$F$31)</f>
        <v>0</v>
      </c>
      <c r="D43" s="123">
        <f>+C43+'25'!D43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+Report1!Z34</f>
        <v>27</v>
      </c>
      <c r="J43" s="138">
        <f>+I43+'25'!J43</f>
        <v>1230.9000000000003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+C44+'25'!D44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1.7620331878929472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+C45+'25'!D45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1.8494450462849583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+C46+'25'!D46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+SUMIF(Listrik!P33,"&gt;0")</f>
        <v>4700.2199999992727</v>
      </c>
      <c r="J46" s="140">
        <f>+I46+'25'!J46</f>
        <v>722388.05999999936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+C47+'25'!D47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1034.098412752945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+C48+'25'!D48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1085.3985043971074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1440</v>
      </c>
      <c r="D49" s="123">
        <f>+C49+'25'!D49</f>
        <v>12214</v>
      </c>
      <c r="E49" s="148">
        <f t="shared" si="0"/>
        <v>203.56666666666666</v>
      </c>
      <c r="F49" s="190"/>
      <c r="H49" s="193" t="s">
        <v>271</v>
      </c>
      <c r="I49" s="123">
        <f>+Report1!T34</f>
        <v>87.298903364888943</v>
      </c>
      <c r="J49" s="140">
        <f>+I49+'25'!J49</f>
        <v>71981.208785685754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+C50+'25'!D50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103.04109089692879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+C51+'25'!D51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108.15280690087724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1440</v>
      </c>
      <c r="D52" s="149">
        <f>SUM(D38:D51)</f>
        <v>13581</v>
      </c>
      <c r="E52" s="150">
        <f>SUM(E38:E51)</f>
        <v>226.35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1</v>
      </c>
      <c r="D53" s="151">
        <f>D52/(24*60*G4)</f>
        <v>0.3627403846153846</v>
      </c>
      <c r="E53" s="152">
        <f>E52/(G4*24)</f>
        <v>0.3627403846153846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+D34+'25'!J56</f>
        <v>3639</v>
      </c>
      <c r="K56" s="206">
        <f>J56/(J40+J56/1000)/1000</f>
        <v>5.4379174823293835E-3</v>
      </c>
    </row>
    <row r="57" spans="1:11">
      <c r="A57" s="181"/>
      <c r="I57" s="204" t="s">
        <v>88</v>
      </c>
      <c r="J57" s="205">
        <f>+E34+'25'!J57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zoomScale="80" zoomScaleNormal="80" workbookViewId="0">
      <selection activeCell="F24" sqref="F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3" ht="15.75">
      <c r="A1" s="153"/>
    </row>
    <row r="2" spans="1:13" ht="15.75">
      <c r="A2" s="153" t="s">
        <v>184</v>
      </c>
    </row>
    <row r="3" spans="1:13" ht="15">
      <c r="A3" s="155"/>
    </row>
    <row r="4" spans="1:13" ht="20.25">
      <c r="A4" s="156" t="s">
        <v>3</v>
      </c>
      <c r="B4" s="157"/>
      <c r="F4" s="158" t="s">
        <v>29</v>
      </c>
      <c r="G4" s="159">
        <v>25</v>
      </c>
      <c r="H4" s="159" t="str">
        <f>+'1'!H4</f>
        <v>.10.25</v>
      </c>
    </row>
    <row r="5" spans="1:13" ht="13.5" thickBot="1">
      <c r="C5" s="160"/>
      <c r="D5" s="160"/>
    </row>
    <row r="6" spans="1:1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219" t="str">
        <f>+'24'!J7</f>
        <v>F 12 VP OW</v>
      </c>
      <c r="K7" s="243"/>
      <c r="L7" s="247"/>
      <c r="M7" s="122">
        <f>+K7+'24'!M7+L7</f>
        <v>130749</v>
      </c>
    </row>
    <row r="8" spans="1:1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+'24'!J8</f>
        <v>F 12,5 VP OW</v>
      </c>
      <c r="K8" s="244"/>
      <c r="L8" s="244"/>
      <c r="M8" s="122">
        <f>+K8+'24'!M8+L8</f>
        <v>54352</v>
      </c>
    </row>
    <row r="9" spans="1:1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+'24'!J9</f>
        <v>T 13 VP OW</v>
      </c>
      <c r="K9" s="244"/>
      <c r="L9" s="244"/>
      <c r="M9" s="122">
        <f>+K9+'24'!M9+L9</f>
        <v>112205</v>
      </c>
    </row>
    <row r="10" spans="1:13" ht="64.5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634</v>
      </c>
      <c r="I10" s="766"/>
      <c r="J10" s="219" t="str">
        <f>+'24'!J10</f>
        <v>T 12,5 VP OW</v>
      </c>
      <c r="K10" s="244"/>
      <c r="L10" s="244"/>
      <c r="M10" s="122">
        <f>+K10+'24'!M10+L10</f>
        <v>310471</v>
      </c>
    </row>
    <row r="11" spans="1:1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+'24'!J11</f>
        <v>T 12 VP OW</v>
      </c>
      <c r="K11" s="244"/>
      <c r="L11" s="244"/>
      <c r="M11" s="122">
        <f>+K11+'24'!M11+L11</f>
        <v>11128</v>
      </c>
    </row>
    <row r="12" spans="1:1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+'24'!J12</f>
        <v>F 13 VP OW</v>
      </c>
      <c r="K12" s="244"/>
      <c r="L12" s="244"/>
      <c r="M12" s="122">
        <f>+K12+'24'!M12+L12</f>
        <v>35492</v>
      </c>
    </row>
    <row r="13" spans="1:1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+'24'!J13</f>
        <v>F 11 VP OW</v>
      </c>
      <c r="K13" s="244"/>
      <c r="L13" s="244"/>
      <c r="M13" s="122">
        <f>+K13+'24'!M13+L13</f>
        <v>11154</v>
      </c>
    </row>
    <row r="14" spans="1:1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+'24'!J14</f>
        <v>0</v>
      </c>
      <c r="K14" s="244"/>
      <c r="L14" s="244"/>
      <c r="M14" s="122">
        <f>+K14+'24'!M14+L14</f>
        <v>0</v>
      </c>
    </row>
    <row r="15" spans="1:1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/>
      <c r="J15" s="219">
        <f>+'24'!J15</f>
        <v>0</v>
      </c>
      <c r="K15" s="244"/>
      <c r="L15" s="244"/>
      <c r="M15" s="122">
        <f>+K15+'24'!M15+L15</f>
        <v>0</v>
      </c>
    </row>
    <row r="16" spans="1:1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+'24'!J16</f>
        <v>0</v>
      </c>
      <c r="K16" s="234"/>
      <c r="L16" s="234"/>
      <c r="M16" s="122">
        <f>+K16+'24'!M16+L16</f>
        <v>0</v>
      </c>
    </row>
    <row r="17" spans="1:1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+'24'!J17</f>
        <v>0</v>
      </c>
      <c r="K17" s="234"/>
      <c r="L17" s="234"/>
      <c r="M17" s="122">
        <f>+K17+'24'!M17+L17</f>
        <v>0</v>
      </c>
    </row>
    <row r="18" spans="1:13" ht="64.5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634</v>
      </c>
      <c r="I18" s="766"/>
      <c r="J18" s="219">
        <f>+'24'!J18</f>
        <v>0</v>
      </c>
      <c r="K18" s="244"/>
      <c r="L18" s="244"/>
      <c r="M18" s="122">
        <f>+K18+'24'!M18+L18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+'24'!J19</f>
        <v>0</v>
      </c>
      <c r="K19" s="244"/>
      <c r="L19" s="244"/>
      <c r="M19" s="122">
        <f>+K19+'24'!M19+L19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+'24'!J20</f>
        <v>0</v>
      </c>
      <c r="K20" s="245"/>
      <c r="L20" s="245"/>
      <c r="M20" s="122">
        <f>+K20+'24'!M20+L20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+'24'!J21</f>
        <v>0</v>
      </c>
      <c r="K21" s="244"/>
      <c r="L21" s="244"/>
      <c r="M21" s="122">
        <f>+K21+'24'!M21+L21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+'24'!J22</f>
        <v>0</v>
      </c>
      <c r="K22" s="244"/>
      <c r="L22" s="244"/>
      <c r="M22" s="122">
        <f>+K22+'24'!M22+L22</f>
        <v>0</v>
      </c>
    </row>
    <row r="23" spans="1:1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+'24'!J23</f>
        <v>0</v>
      </c>
      <c r="K23" s="244"/>
      <c r="L23" s="244"/>
      <c r="M23" s="122">
        <f>+K23+'24'!M23+L23</f>
        <v>0</v>
      </c>
    </row>
    <row r="24" spans="1:1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/>
      <c r="J24" s="219">
        <f>+'24'!J24</f>
        <v>0</v>
      </c>
      <c r="K24" s="244"/>
      <c r="L24" s="244"/>
      <c r="M24" s="122">
        <f>+K24+'24'!M24+L24</f>
        <v>0</v>
      </c>
    </row>
    <row r="25" spans="1:1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+'24'!J25</f>
        <v>0</v>
      </c>
      <c r="K25" s="244"/>
      <c r="L25" s="244"/>
      <c r="M25" s="122">
        <f>+K25+'24'!M25+L25</f>
        <v>0</v>
      </c>
    </row>
    <row r="26" spans="1:1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+'24'!J26</f>
        <v>0</v>
      </c>
      <c r="K26" s="244"/>
      <c r="L26" s="244"/>
      <c r="M26" s="122">
        <f>+K26+'24'!M26+L26</f>
        <v>0</v>
      </c>
    </row>
    <row r="27" spans="1:13" ht="64.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634</v>
      </c>
      <c r="I27" s="766"/>
      <c r="J27" s="219">
        <f>+'24'!J27</f>
        <v>0</v>
      </c>
      <c r="K27" s="244"/>
      <c r="L27" s="244"/>
      <c r="M27" s="122">
        <f>+K27+'24'!M27+L27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+'24'!J28</f>
        <v>0</v>
      </c>
      <c r="K28" s="244"/>
      <c r="L28" s="244"/>
      <c r="M28" s="122">
        <f>+K28+'24'!M28+L28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+'24'!J29</f>
        <v>0</v>
      </c>
      <c r="K29" s="244"/>
      <c r="L29" s="244"/>
      <c r="M29" s="122">
        <f>+K29+'24'!M29+L29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+'24'!J30</f>
        <v>0</v>
      </c>
      <c r="K30" s="244"/>
      <c r="L30" s="244"/>
      <c r="M30" s="122">
        <f>+K30+'24'!M30+L30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+'24'!J31</f>
        <v>0</v>
      </c>
      <c r="K31" s="244"/>
      <c r="L31" s="244"/>
      <c r="M31" s="122">
        <f>+K31+'24'!M31+L31</f>
        <v>0</v>
      </c>
    </row>
    <row r="32" spans="1:1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+'24'!J32</f>
        <v>0</v>
      </c>
      <c r="K32" s="246"/>
      <c r="L32" s="248"/>
      <c r="M32" s="122">
        <f>+K32+'24'!M32+L32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</row>
    <row r="35" spans="1:13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(12*1440)/1440*G42*2.74*1440/1000000</f>
        <v>0</v>
      </c>
      <c r="J37" s="130">
        <f>+I37+'24'!J37</f>
        <v>791.58963088594237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0</v>
      </c>
      <c r="D38" s="123">
        <f>+C38+'24'!D38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+I38+'24'!J38</f>
        <v>698.56799999999998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+C39+'24'!D39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31.663585235437694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+C40+'24'!D40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+I40+'24'!J40</f>
        <v>665.55100000000004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+C41+'24'!D41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26.622040000000002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+C42+'24'!D42</f>
        <v>0</v>
      </c>
      <c r="E42" s="148">
        <f t="shared" si="0"/>
        <v>0</v>
      </c>
      <c r="F42" s="328"/>
      <c r="G42" s="328"/>
      <c r="H42" s="192" t="s">
        <v>70</v>
      </c>
      <c r="I42" s="251"/>
      <c r="J42" s="137"/>
      <c r="K42" s="135" t="s">
        <v>71</v>
      </c>
    </row>
    <row r="43" spans="1:13" ht="17.45" customHeight="1">
      <c r="A43" s="776" t="s">
        <v>72</v>
      </c>
      <c r="B43" s="777"/>
      <c r="C43" s="169">
        <f>SUMIF($G$7:$G$31,"Water",$F$7:$F$31)</f>
        <v>0</v>
      </c>
      <c r="D43" s="123">
        <f>+C43+'24'!D43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+Report1!Z33</f>
        <v>13.7</v>
      </c>
      <c r="J43" s="138">
        <f>+I43+'24'!J43</f>
        <v>1203.9000000000003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+C44+'24'!D44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1.7233826914487929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+C45+'24'!D45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1.8088771559204333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+C46+'24'!D46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+SUMIF(Listrik!P32,"&gt;0")</f>
        <v>5950.6400000010908</v>
      </c>
      <c r="J46" s="140">
        <f>+I46+'24'!J46</f>
        <v>717687.84000000008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+C47+'24'!D47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1027.3700484419558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+C48+'24'!D48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1078.3363558915846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1440</v>
      </c>
      <c r="D49" s="123">
        <f>+C49+'24'!D49</f>
        <v>10774</v>
      </c>
      <c r="E49" s="148">
        <f t="shared" si="0"/>
        <v>179.56666666666666</v>
      </c>
      <c r="F49" s="190"/>
      <c r="H49" s="193" t="s">
        <v>271</v>
      </c>
      <c r="I49" s="123">
        <f>+Report1!T33</f>
        <v>0</v>
      </c>
      <c r="J49" s="140">
        <f>+I49+'24'!J49</f>
        <v>71893.909882320862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+C50+'24'!D50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102.91612252825904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+C51+'24'!D51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108.02163903640871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1440</v>
      </c>
      <c r="D52" s="149">
        <f>SUM(D38:D51)</f>
        <v>12141</v>
      </c>
      <c r="E52" s="150">
        <f>SUM(E38:E51)</f>
        <v>202.35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1</v>
      </c>
      <c r="D53" s="151">
        <f>D52/(24*60*G4)</f>
        <v>0.33724999999999999</v>
      </c>
      <c r="E53" s="152">
        <f>E52/(G4*24)</f>
        <v>0.33724999999999999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+D34+'24'!J56</f>
        <v>3639</v>
      </c>
      <c r="K56" s="206">
        <f>J56/(J40+J56/1000)/1000</f>
        <v>5.4379174823293835E-3</v>
      </c>
    </row>
    <row r="57" spans="1:11">
      <c r="A57" s="181"/>
      <c r="I57" s="204" t="s">
        <v>88</v>
      </c>
      <c r="J57" s="205">
        <f>+E34+'24'!J57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7" zoomScale="80" zoomScaleNormal="80" workbookViewId="0">
      <selection activeCell="F24" sqref="F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3.5703125" style="154" customWidth="1"/>
    <col min="14" max="16384" width="9.140625" style="154"/>
  </cols>
  <sheetData>
    <row r="1" spans="1:13" ht="15.75">
      <c r="A1" s="153"/>
    </row>
    <row r="2" spans="1:13" ht="15.75">
      <c r="A2" s="153" t="s">
        <v>184</v>
      </c>
    </row>
    <row r="3" spans="1:13" ht="15">
      <c r="A3" s="155"/>
    </row>
    <row r="4" spans="1:13" ht="20.25">
      <c r="A4" s="156" t="s">
        <v>3</v>
      </c>
      <c r="B4" s="157"/>
      <c r="F4" s="158" t="s">
        <v>29</v>
      </c>
      <c r="G4" s="159">
        <v>24</v>
      </c>
      <c r="H4" s="159" t="str">
        <f>+'1'!H4</f>
        <v>.10.25</v>
      </c>
    </row>
    <row r="5" spans="1:13" ht="13.5" thickBot="1">
      <c r="C5" s="160"/>
      <c r="D5" s="160"/>
    </row>
    <row r="6" spans="1:1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219" t="str">
        <f>+'23'!J7</f>
        <v>F 12 VP OW</v>
      </c>
      <c r="K7" s="243"/>
      <c r="L7" s="247"/>
      <c r="M7" s="122">
        <f>+K7+'23'!M7+L7</f>
        <v>130749</v>
      </c>
    </row>
    <row r="8" spans="1:1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+'23'!J8</f>
        <v>F 12,5 VP OW</v>
      </c>
      <c r="K8" s="244"/>
      <c r="L8" s="244"/>
      <c r="M8" s="122">
        <f>+K8+'23'!M8+L8</f>
        <v>54352</v>
      </c>
    </row>
    <row r="9" spans="1:1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+'23'!J9</f>
        <v>T 13 VP OW</v>
      </c>
      <c r="K9" s="244"/>
      <c r="L9" s="244"/>
      <c r="M9" s="122">
        <f>+K9+'23'!M9+L9</f>
        <v>112205</v>
      </c>
    </row>
    <row r="10" spans="1:13" ht="39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636</v>
      </c>
      <c r="I10" s="766"/>
      <c r="J10" s="219" t="str">
        <f>+'23'!J10</f>
        <v>T 12,5 VP OW</v>
      </c>
      <c r="K10" s="244"/>
      <c r="L10" s="244"/>
      <c r="M10" s="122">
        <f>+K10+'23'!M10+L10</f>
        <v>310471</v>
      </c>
    </row>
    <row r="11" spans="1:1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+'23'!J11</f>
        <v>T 12 VP OW</v>
      </c>
      <c r="K11" s="244"/>
      <c r="L11" s="244"/>
      <c r="M11" s="122">
        <f>+K11+'23'!M11+L11</f>
        <v>11128</v>
      </c>
    </row>
    <row r="12" spans="1:1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+'23'!J12</f>
        <v>F 13 VP OW</v>
      </c>
      <c r="K12" s="244"/>
      <c r="L12" s="244"/>
      <c r="M12" s="122">
        <f>+K12+'23'!M12+L12</f>
        <v>35492</v>
      </c>
    </row>
    <row r="13" spans="1:1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+'23'!J13</f>
        <v>F 11 VP OW</v>
      </c>
      <c r="K13" s="244"/>
      <c r="L13" s="244"/>
      <c r="M13" s="122">
        <f>+K13+'23'!M13+L13</f>
        <v>11154</v>
      </c>
    </row>
    <row r="14" spans="1:1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+'23'!J14</f>
        <v>0</v>
      </c>
      <c r="K14" s="244"/>
      <c r="L14" s="244"/>
      <c r="M14" s="122">
        <f>+K14+'23'!M14+L14</f>
        <v>0</v>
      </c>
    </row>
    <row r="15" spans="1:1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/>
      <c r="J15" s="219">
        <f>+'23'!J15</f>
        <v>0</v>
      </c>
      <c r="K15" s="244"/>
      <c r="L15" s="244"/>
      <c r="M15" s="122">
        <f>+K15+'23'!M15+L15</f>
        <v>0</v>
      </c>
    </row>
    <row r="16" spans="1:1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+'23'!J16</f>
        <v>0</v>
      </c>
      <c r="K16" s="234"/>
      <c r="L16" s="234"/>
      <c r="M16" s="122">
        <f>+K16+'23'!M16+L16</f>
        <v>0</v>
      </c>
    </row>
    <row r="17" spans="1:1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+'23'!J17</f>
        <v>0</v>
      </c>
      <c r="K17" s="234"/>
      <c r="L17" s="234"/>
      <c r="M17" s="122">
        <f>+K17+'23'!M17+L17</f>
        <v>0</v>
      </c>
    </row>
    <row r="18" spans="1:13" ht="39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635</v>
      </c>
      <c r="I18" s="766"/>
      <c r="J18" s="219">
        <f>+'23'!J18</f>
        <v>0</v>
      </c>
      <c r="K18" s="244"/>
      <c r="L18" s="244"/>
      <c r="M18" s="122">
        <f>+K18+'23'!M18+L18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+'23'!J19</f>
        <v>0</v>
      </c>
      <c r="K19" s="244"/>
      <c r="L19" s="244">
        <v>0</v>
      </c>
      <c r="M19" s="122">
        <f>+K19+'23'!M19+L19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+'23'!J20</f>
        <v>0</v>
      </c>
      <c r="K20" s="245"/>
      <c r="L20" s="245">
        <v>0</v>
      </c>
      <c r="M20" s="122">
        <f>+K20+'23'!M20+L20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+'23'!J21</f>
        <v>0</v>
      </c>
      <c r="K21" s="244"/>
      <c r="L21" s="244">
        <v>0</v>
      </c>
      <c r="M21" s="122">
        <f>+K21+'23'!M21+L21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+'23'!J22</f>
        <v>0</v>
      </c>
      <c r="K22" s="244"/>
      <c r="L22" s="244">
        <v>0</v>
      </c>
      <c r="M22" s="122">
        <f>+K22+'23'!M22+L22</f>
        <v>0</v>
      </c>
    </row>
    <row r="23" spans="1:1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+'23'!J23</f>
        <v>0</v>
      </c>
      <c r="K23" s="244"/>
      <c r="L23" s="244"/>
      <c r="M23" s="122">
        <f>+K23+'23'!M23+L23</f>
        <v>0</v>
      </c>
    </row>
    <row r="24" spans="1:1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/>
      <c r="J24" s="219">
        <f>+'23'!J24</f>
        <v>0</v>
      </c>
      <c r="K24" s="244"/>
      <c r="L24" s="244"/>
      <c r="M24" s="122">
        <f>+K24+'23'!M24+L24</f>
        <v>0</v>
      </c>
    </row>
    <row r="25" spans="1:1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+'23'!J25</f>
        <v>0</v>
      </c>
      <c r="K25" s="244"/>
      <c r="L25" s="244"/>
      <c r="M25" s="122">
        <f>+K25+'23'!M25+L25</f>
        <v>0</v>
      </c>
    </row>
    <row r="26" spans="1:1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+'23'!J26</f>
        <v>0</v>
      </c>
      <c r="K26" s="244"/>
      <c r="L26" s="244"/>
      <c r="M26" s="122">
        <f>+K26+'23'!M26+L26</f>
        <v>0</v>
      </c>
    </row>
    <row r="27" spans="1:13" ht="64.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634</v>
      </c>
      <c r="I27" s="766"/>
      <c r="J27" s="219">
        <f>+'23'!J27</f>
        <v>0</v>
      </c>
      <c r="K27" s="244"/>
      <c r="L27" s="244"/>
      <c r="M27" s="122">
        <f>+K27+'23'!M27+L27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+'23'!J28</f>
        <v>0</v>
      </c>
      <c r="K28" s="244"/>
      <c r="L28" s="244"/>
      <c r="M28" s="122">
        <f>+K28+'23'!M28+L28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+'23'!J29</f>
        <v>0</v>
      </c>
      <c r="K29" s="244"/>
      <c r="L29" s="244"/>
      <c r="M29" s="122">
        <f>+K29+'23'!M29+L29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+'23'!J30</f>
        <v>0</v>
      </c>
      <c r="K30" s="244"/>
      <c r="L30" s="244"/>
      <c r="M30" s="122">
        <f>+K30+'23'!M30+L30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+'23'!J31</f>
        <v>0</v>
      </c>
      <c r="K31" s="244"/>
      <c r="L31" s="244"/>
      <c r="M31" s="122">
        <f>+K31+'23'!M31+L31</f>
        <v>0</v>
      </c>
    </row>
    <row r="32" spans="1:1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+'23'!J32</f>
        <v>0</v>
      </c>
      <c r="K32" s="246"/>
      <c r="L32" s="248"/>
      <c r="M32" s="122">
        <f>+K32+'23'!M32+L32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</row>
    <row r="35" spans="1:13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(10.3*430+1010*12)/1440*G42*2.74*1440/1000000</f>
        <v>0</v>
      </c>
      <c r="J37" s="130">
        <f>+I37+'23'!J37</f>
        <v>791.58963088594237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0</v>
      </c>
      <c r="D38" s="123">
        <f>+C38+'23'!D38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+I38+'23'!J38</f>
        <v>698.56799999999998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+C39+'23'!D39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32.982901286914263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+C40+'23'!D40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+I40+'23'!J40</f>
        <v>665.55100000000004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+C41+'23'!D41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27.731291666666667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+C42+'23'!D42</f>
        <v>0</v>
      </c>
      <c r="E42" s="148">
        <f t="shared" si="0"/>
        <v>0</v>
      </c>
      <c r="F42" s="328">
        <f>+(480*F38+480*F39+480*F40)/1440</f>
        <v>0</v>
      </c>
      <c r="G42" s="328">
        <f>+(480*G38+480*G39+480*G40)/1440</f>
        <v>0</v>
      </c>
      <c r="H42" s="192" t="s">
        <v>70</v>
      </c>
      <c r="I42" s="251"/>
      <c r="J42" s="137"/>
      <c r="K42" s="135" t="s">
        <v>71</v>
      </c>
    </row>
    <row r="43" spans="1:13" ht="17.45" customHeight="1">
      <c r="A43" s="776" t="s">
        <v>72</v>
      </c>
      <c r="B43" s="777"/>
      <c r="C43" s="169">
        <f>SUMIF($G$7:$G$31,"Water",$F$7:$F$31)</f>
        <v>0</v>
      </c>
      <c r="D43" s="123">
        <f>+C43+'23'!D43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+Report1!Z32</f>
        <v>17.2</v>
      </c>
      <c r="J43" s="138">
        <f>+I43+'23'!J43</f>
        <v>1190.2000000000003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+C44+'23'!D44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1.7037711432530553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+C45+'23'!D45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1.7882927078465816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+C46+'23'!D46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+SUMIF(Listrik!P31,"&gt;0")</f>
        <v>7185.4599999992715</v>
      </c>
      <c r="J46" s="140">
        <f>+I46+'23'!J46</f>
        <v>711737.19999999902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+C47+'23'!D47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1018.8517080656414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+C48+'23'!D48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1069.3954332575549</v>
      </c>
      <c r="K48" s="135" t="s">
        <v>24</v>
      </c>
    </row>
    <row r="49" spans="1:13" ht="17.45" customHeight="1">
      <c r="A49" s="776" t="s">
        <v>20</v>
      </c>
      <c r="B49" s="777"/>
      <c r="C49" s="169">
        <f>SUMIF($G$7:$G$31,"Others",$F$7:$F$31)</f>
        <v>1440</v>
      </c>
      <c r="D49" s="123">
        <f>+C49+'23'!D49</f>
        <v>9334</v>
      </c>
      <c r="E49" s="148">
        <f t="shared" si="0"/>
        <v>155.56666666666666</v>
      </c>
      <c r="F49" s="190"/>
      <c r="H49" s="193" t="s">
        <v>271</v>
      </c>
      <c r="I49" s="123">
        <f>+Report1!T32</f>
        <v>0</v>
      </c>
      <c r="J49" s="140">
        <f>+I49+'23'!J49</f>
        <v>71893.909882320862</v>
      </c>
      <c r="K49" s="135" t="s">
        <v>82</v>
      </c>
    </row>
    <row r="50" spans="1:13" ht="17.45" customHeight="1">
      <c r="A50" s="776" t="s">
        <v>19</v>
      </c>
      <c r="B50" s="777"/>
      <c r="C50" s="169">
        <f>SUMIF($G$7:$G$31,"Steam",$F$7:$F$31)</f>
        <v>0</v>
      </c>
      <c r="D50" s="123">
        <f>+C50+'23'!D50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102.91612252825904</v>
      </c>
      <c r="K50" s="135" t="s">
        <v>82</v>
      </c>
    </row>
    <row r="51" spans="1:13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+C51+'23'!D51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108.02163903640871</v>
      </c>
      <c r="K51" s="142" t="s">
        <v>82</v>
      </c>
    </row>
    <row r="52" spans="1:13" ht="13.5" thickBot="1">
      <c r="A52" s="774" t="s">
        <v>28</v>
      </c>
      <c r="B52" s="775"/>
      <c r="C52" s="149">
        <f>SUM(C38:C51)</f>
        <v>1440</v>
      </c>
      <c r="D52" s="149">
        <f>SUM(D38:D51)</f>
        <v>10701</v>
      </c>
      <c r="E52" s="150">
        <f>SUM(E38:E51)</f>
        <v>178.35</v>
      </c>
      <c r="F52" s="190"/>
      <c r="H52" s="196"/>
      <c r="I52" s="197"/>
      <c r="J52" s="143"/>
      <c r="K52" s="144"/>
    </row>
    <row r="53" spans="1:13" ht="13.5" thickBot="1">
      <c r="A53" s="780"/>
      <c r="B53" s="781"/>
      <c r="C53" s="151">
        <f>C52/(24*60)</f>
        <v>1</v>
      </c>
      <c r="D53" s="151">
        <f>D52/(24*60*G4)</f>
        <v>0.30963541666666666</v>
      </c>
      <c r="E53" s="152">
        <f>E52/(G4*24)</f>
        <v>0.30963541666666666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+D34+'23'!J56</f>
        <v>3639</v>
      </c>
      <c r="K56" s="206">
        <f>J56/(J40+J56/1000)/1000</f>
        <v>5.4379174823293835E-3</v>
      </c>
      <c r="M56" s="154">
        <v>3639</v>
      </c>
    </row>
    <row r="57" spans="1:13">
      <c r="A57" s="181"/>
      <c r="I57" s="204" t="s">
        <v>88</v>
      </c>
      <c r="J57" s="205">
        <f>+E34+'23'!J57</f>
        <v>0</v>
      </c>
      <c r="K57" s="206">
        <f>J57/(J40+J57/1000)/1000</f>
        <v>0</v>
      </c>
      <c r="M57" s="595">
        <f>+M56-J56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4" zoomScale="80" zoomScaleNormal="80" workbookViewId="0">
      <selection activeCell="F7" sqref="F7:H31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3.7109375" style="154" customWidth="1"/>
    <col min="14" max="16384" width="9.140625" style="154"/>
  </cols>
  <sheetData>
    <row r="1" spans="1:13" ht="15.75">
      <c r="A1" s="153"/>
    </row>
    <row r="2" spans="1:13" ht="15.75">
      <c r="A2" s="153" t="s">
        <v>184</v>
      </c>
    </row>
    <row r="3" spans="1:13" ht="15">
      <c r="A3" s="155"/>
    </row>
    <row r="4" spans="1:13" ht="20.25">
      <c r="A4" s="156" t="s">
        <v>3</v>
      </c>
      <c r="B4" s="157"/>
      <c r="F4" s="158" t="s">
        <v>29</v>
      </c>
      <c r="G4" s="159">
        <v>23</v>
      </c>
      <c r="H4" s="159" t="str">
        <f>+'1'!H4</f>
        <v>.10.25</v>
      </c>
    </row>
    <row r="5" spans="1:13" ht="13.5" thickBot="1">
      <c r="C5" s="160"/>
      <c r="D5" s="160"/>
    </row>
    <row r="6" spans="1:1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219" t="str">
        <f>+'22'!J7</f>
        <v>F 12 VP OW</v>
      </c>
      <c r="K7" s="243"/>
      <c r="L7" s="247"/>
      <c r="M7" s="122">
        <f>+K7+'22'!M7+L7</f>
        <v>130749</v>
      </c>
    </row>
    <row r="8" spans="1:1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+'22'!J8</f>
        <v>F 12,5 VP OW</v>
      </c>
      <c r="K8" s="244"/>
      <c r="L8" s="244"/>
      <c r="M8" s="122">
        <f>+K8+'22'!M8+L8</f>
        <v>54352</v>
      </c>
    </row>
    <row r="9" spans="1:1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+'22'!J9</f>
        <v>T 13 VP OW</v>
      </c>
      <c r="K9" s="244"/>
      <c r="L9" s="244"/>
      <c r="M9" s="122">
        <f>+K9+'22'!M9+L9</f>
        <v>112205</v>
      </c>
    </row>
    <row r="10" spans="1:13" ht="39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632</v>
      </c>
      <c r="I10" s="766"/>
      <c r="J10" s="219" t="str">
        <f>+'22'!J10</f>
        <v>T 12,5 VP OW</v>
      </c>
      <c r="K10" s="244"/>
      <c r="L10" s="244"/>
      <c r="M10" s="122">
        <f>+K10+'22'!M10+L10</f>
        <v>310471</v>
      </c>
    </row>
    <row r="11" spans="1:1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+'22'!J11</f>
        <v>T 12 VP OW</v>
      </c>
      <c r="K11" s="244"/>
      <c r="L11" s="244"/>
      <c r="M11" s="122">
        <f>+K11+'22'!M11+L11</f>
        <v>11128</v>
      </c>
    </row>
    <row r="12" spans="1:1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+'22'!J12</f>
        <v>F 13 VP OW</v>
      </c>
      <c r="K12" s="244"/>
      <c r="L12" s="244"/>
      <c r="M12" s="122">
        <f>+K12+'22'!M12+L12</f>
        <v>35492</v>
      </c>
    </row>
    <row r="13" spans="1:1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+'22'!J13</f>
        <v>F 11 VP OW</v>
      </c>
      <c r="K13" s="244"/>
      <c r="L13" s="244"/>
      <c r="M13" s="122">
        <f>+K13+'22'!M13+L13</f>
        <v>11154</v>
      </c>
    </row>
    <row r="14" spans="1:1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+'22'!J14</f>
        <v>0</v>
      </c>
      <c r="K14" s="244"/>
      <c r="L14" s="244"/>
      <c r="M14" s="122">
        <f>+K14+'22'!M14+L14</f>
        <v>0</v>
      </c>
    </row>
    <row r="15" spans="1:1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/>
      <c r="J15" s="219">
        <f>+'22'!J15</f>
        <v>0</v>
      </c>
      <c r="K15" s="244"/>
      <c r="L15" s="244"/>
      <c r="M15" s="122">
        <f>+K15+'22'!M15+L15</f>
        <v>0</v>
      </c>
    </row>
    <row r="16" spans="1:1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+'22'!J16</f>
        <v>0</v>
      </c>
      <c r="K16" s="244"/>
      <c r="L16" s="234"/>
      <c r="M16" s="122">
        <f>+K16+'22'!M16+L16</f>
        <v>0</v>
      </c>
    </row>
    <row r="17" spans="1:1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+'22'!J17</f>
        <v>0</v>
      </c>
      <c r="K17" s="244"/>
      <c r="L17" s="234"/>
      <c r="M17" s="122">
        <f>+K17+'22'!M17+L17</f>
        <v>0</v>
      </c>
    </row>
    <row r="18" spans="1:13" ht="64.5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631</v>
      </c>
      <c r="I18" s="766"/>
      <c r="J18" s="219">
        <f>+'22'!J18</f>
        <v>0</v>
      </c>
      <c r="K18" s="244"/>
      <c r="L18" s="244"/>
      <c r="M18" s="122">
        <f>+K18+'22'!M18+L18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+'22'!J19</f>
        <v>0</v>
      </c>
      <c r="K19" s="244"/>
      <c r="L19" s="244"/>
      <c r="M19" s="122">
        <f>+K19+'22'!M19+L19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+'22'!J20</f>
        <v>0</v>
      </c>
      <c r="K20" s="245"/>
      <c r="L20" s="245"/>
      <c r="M20" s="122">
        <f>+K20+'22'!M20+L20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+'22'!J21</f>
        <v>0</v>
      </c>
      <c r="K21" s="244"/>
      <c r="L21" s="244"/>
      <c r="M21" s="122">
        <f>+K21+'22'!M21+L21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+'22'!J22</f>
        <v>0</v>
      </c>
      <c r="K22" s="244"/>
      <c r="L22" s="244"/>
      <c r="M22" s="122">
        <f>+K22+'22'!M22+L22</f>
        <v>0</v>
      </c>
    </row>
    <row r="23" spans="1:1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+'22'!J23</f>
        <v>0</v>
      </c>
      <c r="K23" s="244"/>
      <c r="L23" s="244"/>
      <c r="M23" s="122">
        <f>+K23+'22'!M23+L23</f>
        <v>0</v>
      </c>
    </row>
    <row r="24" spans="1:1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/>
      <c r="J24" s="219">
        <f>+'22'!J24</f>
        <v>0</v>
      </c>
      <c r="K24" s="244"/>
      <c r="L24" s="244"/>
      <c r="M24" s="122">
        <f>+K24+'22'!M24+L24</f>
        <v>0</v>
      </c>
    </row>
    <row r="25" spans="1:1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+'22'!J25</f>
        <v>0</v>
      </c>
      <c r="K25" s="244"/>
      <c r="L25" s="244"/>
      <c r="M25" s="122">
        <f>+K25+'22'!M25+L25</f>
        <v>0</v>
      </c>
    </row>
    <row r="26" spans="1:1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+'22'!J26</f>
        <v>0</v>
      </c>
      <c r="K26" s="244"/>
      <c r="L26" s="244"/>
      <c r="M26" s="122">
        <f>+K26+'22'!M26+L26</f>
        <v>0</v>
      </c>
    </row>
    <row r="27" spans="1:13" ht="64.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628</v>
      </c>
      <c r="I27" s="766"/>
      <c r="J27" s="219">
        <f>+'22'!J27</f>
        <v>0</v>
      </c>
      <c r="K27" s="244"/>
      <c r="L27" s="244"/>
      <c r="M27" s="122">
        <f>+K27+'22'!M27+L27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+'22'!J28</f>
        <v>0</v>
      </c>
      <c r="K28" s="244"/>
      <c r="L28" s="244"/>
      <c r="M28" s="122">
        <f>+K28+'22'!M28+L28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+'22'!J29</f>
        <v>0</v>
      </c>
      <c r="K29" s="244"/>
      <c r="L29" s="244"/>
      <c r="M29" s="122">
        <f>+K29+'22'!M29+L29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+'22'!J30</f>
        <v>0</v>
      </c>
      <c r="K30" s="244"/>
      <c r="L30" s="244"/>
      <c r="M30" s="122">
        <f>+K30+'22'!M30+L30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+'22'!J31</f>
        <v>0</v>
      </c>
      <c r="K31" s="244"/>
      <c r="L31" s="244"/>
      <c r="M31" s="122">
        <f>+K31+'22'!M31+L31</f>
        <v>0</v>
      </c>
    </row>
    <row r="32" spans="1:1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+'22'!J32</f>
        <v>0</v>
      </c>
      <c r="K32" s="246"/>
      <c r="L32" s="248"/>
      <c r="M32" s="122">
        <f>+K32+'22'!M32+L32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</row>
    <row r="35" spans="1:13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(10.3*1440)/1440*G42*2.74*1440/1000000</f>
        <v>0</v>
      </c>
      <c r="J37" s="130">
        <f>+I37+'22'!J37</f>
        <v>791.58963088594237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0</v>
      </c>
      <c r="D38" s="123">
        <f>+C38+'22'!D38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+I38+'22'!J38</f>
        <v>698.56799999999998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+C39+'22'!D39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34.416940473301842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+C40+'22'!D40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+I40+'22'!J40</f>
        <v>665.55100000000004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+C41+'22'!D41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28.937000000000001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+C42+'22'!D42</f>
        <v>0</v>
      </c>
      <c r="E42" s="148">
        <f t="shared" si="0"/>
        <v>0</v>
      </c>
      <c r="F42" s="328"/>
      <c r="G42" s="328"/>
      <c r="H42" s="192" t="s">
        <v>70</v>
      </c>
      <c r="I42" s="251"/>
      <c r="J42" s="137"/>
      <c r="K42" s="135" t="s">
        <v>71</v>
      </c>
    </row>
    <row r="43" spans="1:13" ht="17.45" customHeight="1">
      <c r="A43" s="776" t="s">
        <v>72</v>
      </c>
      <c r="B43" s="777"/>
      <c r="C43" s="169">
        <f>SUMIF($G$7:$G$31,"Water",$F$7:$F$31)</f>
        <v>0</v>
      </c>
      <c r="D43" s="123">
        <f>+C43+'22'!D43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+Report1!Z31</f>
        <v>17.2</v>
      </c>
      <c r="J43" s="138">
        <f>+I43+'22'!J43</f>
        <v>1173.0000000000002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+C44+'22'!D44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1.6791493455182607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+C45+'22'!D45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1.7624494591699211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+C46+'22'!D46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+SUMIF(Listrik!P30,"&gt;0")</f>
        <v>4543.9400000007281</v>
      </c>
      <c r="J46" s="140">
        <f>+I46+'22'!J46</f>
        <v>704551.73999999976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+C47+'22'!D47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1008.5657230219532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+C48+'22'!D48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1058.5991757205679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1440</v>
      </c>
      <c r="D49" s="123">
        <f>+C49+'22'!D49</f>
        <v>7894</v>
      </c>
      <c r="E49" s="148">
        <f t="shared" si="0"/>
        <v>131.56666666666666</v>
      </c>
      <c r="F49" s="190"/>
      <c r="H49" s="193" t="s">
        <v>271</v>
      </c>
      <c r="I49" s="123">
        <f>+Report1!T31</f>
        <v>0</v>
      </c>
      <c r="J49" s="140">
        <f>+I49+'22'!J49</f>
        <v>71893.909882320862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+C50+'22'!D50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102.91612252825904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+C51+'22'!D51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108.02163903640871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1440</v>
      </c>
      <c r="D52" s="149">
        <f>SUM(D38:D51)</f>
        <v>9261</v>
      </c>
      <c r="E52" s="150">
        <f>SUM(E38:E51)</f>
        <v>154.35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1</v>
      </c>
      <c r="D53" s="151">
        <f>D52/(24*60*G4)</f>
        <v>0.27961956521739129</v>
      </c>
      <c r="E53" s="152">
        <f>E52/(G4*24)</f>
        <v>0.27961956521739129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+D34+'22'!J56</f>
        <v>3639</v>
      </c>
      <c r="K56" s="206">
        <f>J56/(J40+J56/1000)/1000</f>
        <v>5.4379174823293835E-3</v>
      </c>
    </row>
    <row r="57" spans="1:11">
      <c r="A57" s="181"/>
      <c r="I57" s="204" t="s">
        <v>88</v>
      </c>
      <c r="J57" s="205">
        <f>+E34+'22'!J57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zoomScale="80" zoomScaleNormal="80" workbookViewId="0">
      <selection activeCell="F24" sqref="F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7109375" style="154" bestFit="1" customWidth="1"/>
    <col min="12" max="12" width="8.28515625" style="154" customWidth="1"/>
    <col min="13" max="13" width="15.28515625" style="154" customWidth="1"/>
    <col min="14" max="16384" width="9.140625" style="154"/>
  </cols>
  <sheetData>
    <row r="1" spans="1:13" ht="15.75">
      <c r="A1" s="153"/>
    </row>
    <row r="2" spans="1:13" ht="15.75">
      <c r="A2" s="153" t="s">
        <v>184</v>
      </c>
    </row>
    <row r="3" spans="1:13" ht="15">
      <c r="A3" s="155"/>
    </row>
    <row r="4" spans="1:13" ht="20.25">
      <c r="A4" s="156" t="s">
        <v>3</v>
      </c>
      <c r="B4" s="157"/>
      <c r="F4" s="158" t="s">
        <v>29</v>
      </c>
      <c r="G4" s="159">
        <v>22</v>
      </c>
      <c r="H4" s="159" t="str">
        <f>+'1'!H4</f>
        <v>.10.25</v>
      </c>
    </row>
    <row r="5" spans="1:13" ht="13.5" thickBot="1">
      <c r="C5" s="160"/>
      <c r="D5" s="160"/>
    </row>
    <row r="6" spans="1:1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219" t="str">
        <f>+'21'!J7</f>
        <v>F 12 VP OW</v>
      </c>
      <c r="K7" s="243"/>
      <c r="L7" s="247"/>
      <c r="M7" s="122">
        <f>+K7+'21'!M7+L7</f>
        <v>130749</v>
      </c>
    </row>
    <row r="8" spans="1:1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+'21'!J8</f>
        <v>F 12,5 VP OW</v>
      </c>
      <c r="K8" s="244"/>
      <c r="L8" s="244"/>
      <c r="M8" s="122">
        <f>+K8+'21'!M8+L8</f>
        <v>54352</v>
      </c>
    </row>
    <row r="9" spans="1:1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+'21'!J9</f>
        <v>T 13 VP OW</v>
      </c>
      <c r="K9" s="244"/>
      <c r="L9" s="244"/>
      <c r="M9" s="122">
        <f>+K9+'21'!M9+L9</f>
        <v>112205</v>
      </c>
    </row>
    <row r="10" spans="1:13" ht="64.5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630</v>
      </c>
      <c r="I10" s="766"/>
      <c r="J10" s="219" t="str">
        <f>+'21'!J10</f>
        <v>T 12,5 VP OW</v>
      </c>
      <c r="K10" s="244"/>
      <c r="L10" s="244"/>
      <c r="M10" s="122">
        <f>+K10+'21'!M10+L10</f>
        <v>310471</v>
      </c>
    </row>
    <row r="11" spans="1:1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+'21'!J11</f>
        <v>T 12 VP OW</v>
      </c>
      <c r="K11" s="244"/>
      <c r="L11" s="244"/>
      <c r="M11" s="122">
        <f>+K11+'21'!M11+L11</f>
        <v>11128</v>
      </c>
    </row>
    <row r="12" spans="1:1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+'21'!J12</f>
        <v>F 13 VP OW</v>
      </c>
      <c r="K12" s="244"/>
      <c r="L12" s="244"/>
      <c r="M12" s="122">
        <f>+K12+'21'!M12+L12</f>
        <v>35492</v>
      </c>
    </row>
    <row r="13" spans="1:1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+'21'!J13</f>
        <v>F 11 VP OW</v>
      </c>
      <c r="K13" s="244"/>
      <c r="L13" s="244"/>
      <c r="M13" s="122">
        <f>+K13+'21'!M13+L13</f>
        <v>11154</v>
      </c>
    </row>
    <row r="14" spans="1:1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+'21'!J14</f>
        <v>0</v>
      </c>
      <c r="K14" s="244"/>
      <c r="L14" s="244"/>
      <c r="M14" s="122">
        <f>+K14+'21'!M14+L14</f>
        <v>0</v>
      </c>
    </row>
    <row r="15" spans="1:1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/>
      <c r="J15" s="219">
        <f>+'21'!J15</f>
        <v>0</v>
      </c>
      <c r="K15" s="244"/>
      <c r="L15" s="244"/>
      <c r="M15" s="122">
        <f>+K15+'21'!M15+L15</f>
        <v>0</v>
      </c>
    </row>
    <row r="16" spans="1:1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+'21'!J16</f>
        <v>0</v>
      </c>
      <c r="K16" s="234"/>
      <c r="L16" s="234"/>
      <c r="M16" s="122">
        <f>+K16+'21'!M16+L16</f>
        <v>0</v>
      </c>
    </row>
    <row r="17" spans="1:1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+'21'!J17</f>
        <v>0</v>
      </c>
      <c r="K17" s="234"/>
      <c r="L17" s="234"/>
      <c r="M17" s="122">
        <f>+K17+'21'!M17+L17</f>
        <v>0</v>
      </c>
    </row>
    <row r="18" spans="1:13" ht="64.5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629</v>
      </c>
      <c r="I18" s="766"/>
      <c r="J18" s="219">
        <f>+'21'!J18</f>
        <v>0</v>
      </c>
      <c r="K18" s="244"/>
      <c r="L18" s="244"/>
      <c r="M18" s="122">
        <f>+K18+'21'!M18+L18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+'21'!J19</f>
        <v>0</v>
      </c>
      <c r="K19" s="244"/>
      <c r="L19" s="244"/>
      <c r="M19" s="122">
        <f>+K19+'21'!M19+L19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+'21'!J20</f>
        <v>0</v>
      </c>
      <c r="K20" s="245"/>
      <c r="L20" s="245"/>
      <c r="M20" s="122">
        <f>+K20+'21'!M20+L20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+'21'!J21</f>
        <v>0</v>
      </c>
      <c r="K21" s="244"/>
      <c r="L21" s="244"/>
      <c r="M21" s="122">
        <f>+K21+'21'!M21+L21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+'21'!J22</f>
        <v>0</v>
      </c>
      <c r="K22" s="244"/>
      <c r="L22" s="244"/>
      <c r="M22" s="122">
        <f>+K22+'21'!M22+L22</f>
        <v>0</v>
      </c>
    </row>
    <row r="23" spans="1:1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+'21'!J23</f>
        <v>0</v>
      </c>
      <c r="K23" s="244"/>
      <c r="L23" s="244"/>
      <c r="M23" s="122">
        <f>+K23+'21'!M23+L23</f>
        <v>0</v>
      </c>
    </row>
    <row r="24" spans="1:1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/>
      <c r="J24" s="219">
        <f>+'21'!J24</f>
        <v>0</v>
      </c>
      <c r="K24" s="244"/>
      <c r="L24" s="244"/>
      <c r="M24" s="122">
        <f>+K24+'21'!M24+L24</f>
        <v>0</v>
      </c>
    </row>
    <row r="25" spans="1:1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+'21'!J25</f>
        <v>0</v>
      </c>
      <c r="K25" s="244"/>
      <c r="L25" s="244"/>
      <c r="M25" s="122">
        <f>+K25+'21'!M25+L25</f>
        <v>0</v>
      </c>
    </row>
    <row r="26" spans="1:1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+'21'!J26</f>
        <v>0</v>
      </c>
      <c r="K26" s="244"/>
      <c r="L26" s="244"/>
      <c r="M26" s="122">
        <f>+K26+'21'!M26+L26</f>
        <v>0</v>
      </c>
    </row>
    <row r="27" spans="1:13" ht="64.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628</v>
      </c>
      <c r="I27" s="766"/>
      <c r="J27" s="219">
        <f>+'21'!J27</f>
        <v>0</v>
      </c>
      <c r="K27" s="244"/>
      <c r="L27" s="244"/>
      <c r="M27" s="122">
        <f>+K27+'21'!M27+L27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+'21'!J28</f>
        <v>0</v>
      </c>
      <c r="K28" s="244"/>
      <c r="L28" s="244"/>
      <c r="M28" s="122">
        <f>+K28+'21'!M28+L28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+'21'!J29</f>
        <v>0</v>
      </c>
      <c r="K29" s="244"/>
      <c r="L29" s="244"/>
      <c r="M29" s="122">
        <f>+K29+'21'!M29+L29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+'21'!J30</f>
        <v>0</v>
      </c>
      <c r="K30" s="244"/>
      <c r="L30" s="244"/>
      <c r="M30" s="122">
        <f>+K30+'21'!M30+L30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+'21'!J31</f>
        <v>0</v>
      </c>
      <c r="K31" s="244"/>
      <c r="L31" s="244"/>
      <c r="M31" s="122">
        <f>+K31+'21'!M31+L31</f>
        <v>0</v>
      </c>
    </row>
    <row r="32" spans="1:1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+'21'!J32</f>
        <v>0</v>
      </c>
      <c r="K32" s="246"/>
      <c r="L32" s="248"/>
      <c r="M32" s="122">
        <f>+K32+'21'!M32+L32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</row>
    <row r="35" spans="1:13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(10.3*1440)/1440*G42*2.74*1440/1000000</f>
        <v>0</v>
      </c>
      <c r="J37" s="130">
        <f>+I37+'21'!J37</f>
        <v>791.58963088594237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0</v>
      </c>
      <c r="D38" s="123">
        <f>+C38+'21'!D38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+I38+'21'!J38</f>
        <v>698.56799999999998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+C39+'21'!D39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35.981346858451928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+C40+'21'!D40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+I40+'21'!J40</f>
        <v>665.55100000000004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+C41+'21'!D41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30.252318181818183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+C42+'21'!D42</f>
        <v>0</v>
      </c>
      <c r="E42" s="148">
        <f t="shared" si="0"/>
        <v>0</v>
      </c>
      <c r="F42" s="328"/>
      <c r="G42" s="328"/>
      <c r="H42" s="192" t="s">
        <v>70</v>
      </c>
      <c r="I42" s="251"/>
      <c r="J42" s="137"/>
      <c r="K42" s="135" t="s">
        <v>71</v>
      </c>
    </row>
    <row r="43" spans="1:13" ht="17.45" customHeight="1">
      <c r="A43" s="776" t="s">
        <v>72</v>
      </c>
      <c r="B43" s="777"/>
      <c r="C43" s="169">
        <f>SUMIF($G$7:$G$31,"Water",$F$7:$F$31)</f>
        <v>0</v>
      </c>
      <c r="D43" s="123">
        <f>+C43+'21'!D43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+Report1!Z30</f>
        <v>16.899999999999999</v>
      </c>
      <c r="J43" s="138">
        <f>+I43+'21'!J43</f>
        <v>1155.8000000000002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+C44+'21'!D44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1.654527547783466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+C45+'21'!D45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1.7366062104932607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+C46+'21'!D46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+SUMIF(Listrik!P29,"&gt;0")</f>
        <v>6077.48</v>
      </c>
      <c r="J46" s="140">
        <f>+I46+'21'!J46</f>
        <v>700007.799999999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+C47+'21'!D47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1002.0610735103799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+C48+'21'!D48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1051.7718401745306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1440</v>
      </c>
      <c r="D49" s="123">
        <f>+C49+'21'!D49</f>
        <v>6454</v>
      </c>
      <c r="E49" s="148">
        <f t="shared" si="0"/>
        <v>107.56666666666666</v>
      </c>
      <c r="F49" s="190"/>
      <c r="H49" s="193" t="s">
        <v>271</v>
      </c>
      <c r="I49" s="123">
        <f>+Report1!T30</f>
        <v>0</v>
      </c>
      <c r="J49" s="140">
        <f>+I49+'21'!J49</f>
        <v>71893.909882320862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+C50+'21'!D50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102.91612252825904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+C51+'21'!D51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108.02163903640871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1440</v>
      </c>
      <c r="D52" s="149">
        <f>SUM(D38:D51)</f>
        <v>7821</v>
      </c>
      <c r="E52" s="150">
        <f>SUM(E38:E51)</f>
        <v>130.35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1</v>
      </c>
      <c r="D53" s="151">
        <f>D52/(24*60*G4)</f>
        <v>0.24687500000000001</v>
      </c>
      <c r="E53" s="152">
        <f>E52/(G4*24)</f>
        <v>0.24687499999999998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+D34+'21'!J56</f>
        <v>3639</v>
      </c>
      <c r="K56" s="206">
        <f>J56/(J40+J56/1000)/1000</f>
        <v>5.4379174823293835E-3</v>
      </c>
    </row>
    <row r="57" spans="1:11">
      <c r="A57" s="181"/>
      <c r="I57" s="204" t="s">
        <v>88</v>
      </c>
      <c r="J57" s="205">
        <f>+E34+'21'!J57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zoomScale="80" zoomScaleNormal="80" workbookViewId="0">
      <selection activeCell="F24" sqref="F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5" width="9.140625" style="154"/>
    <col min="16" max="16" width="10.28515625" style="154" bestFit="1" customWidth="1"/>
    <col min="17" max="17" width="9.28515625" style="154" bestFit="1" customWidth="1"/>
    <col min="18" max="16384" width="9.140625" style="154"/>
  </cols>
  <sheetData>
    <row r="1" spans="1:23" ht="15.75">
      <c r="A1" s="153"/>
    </row>
    <row r="2" spans="1:23" ht="15.75">
      <c r="A2" s="153" t="s">
        <v>184</v>
      </c>
    </row>
    <row r="3" spans="1:23" ht="15">
      <c r="A3" s="155"/>
    </row>
    <row r="4" spans="1:23" ht="20.25">
      <c r="A4" s="156" t="s">
        <v>3</v>
      </c>
      <c r="B4" s="157"/>
      <c r="F4" s="158" t="s">
        <v>29</v>
      </c>
      <c r="G4" s="159">
        <v>21</v>
      </c>
      <c r="H4" s="159" t="str">
        <f>+'1'!H4</f>
        <v>.10.25</v>
      </c>
    </row>
    <row r="5" spans="1:23" ht="13.5" thickBot="1">
      <c r="C5" s="160"/>
      <c r="D5" s="160"/>
    </row>
    <row r="6" spans="1:2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86" t="s">
        <v>92</v>
      </c>
      <c r="O6" s="429" t="s">
        <v>191</v>
      </c>
      <c r="P6" s="429" t="s">
        <v>191</v>
      </c>
      <c r="Q6" s="429" t="s">
        <v>192</v>
      </c>
      <c r="R6" s="429" t="s">
        <v>193</v>
      </c>
      <c r="S6" s="429" t="s">
        <v>194</v>
      </c>
      <c r="T6" s="429" t="s">
        <v>189</v>
      </c>
      <c r="U6" s="430" t="s">
        <v>195</v>
      </c>
      <c r="V6" s="429" t="s">
        <v>196</v>
      </c>
      <c r="W6" s="429" t="s">
        <v>190</v>
      </c>
    </row>
    <row r="7" spans="1:2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/>
      <c r="J7" s="333" t="str">
        <f>+'20'!J7</f>
        <v>F 12 VP OW</v>
      </c>
      <c r="K7" s="243">
        <f>+C34</f>
        <v>0</v>
      </c>
      <c r="L7" s="247"/>
      <c r="M7" s="122">
        <f>+K7+'20'!M7+L7</f>
        <v>130749</v>
      </c>
      <c r="N7" s="431">
        <v>14.5</v>
      </c>
      <c r="O7" s="204">
        <v>1200</v>
      </c>
      <c r="P7" s="204">
        <v>1120</v>
      </c>
      <c r="Q7" s="204">
        <v>896</v>
      </c>
      <c r="R7" s="432">
        <f>1-(Q7/P7)</f>
        <v>0.19999999999999996</v>
      </c>
      <c r="S7" s="433">
        <v>45</v>
      </c>
      <c r="T7" s="434">
        <v>256.5</v>
      </c>
      <c r="U7" s="435">
        <f>(O7*(1-R7)*N7*T7*S7)/100000000</f>
        <v>1.606716</v>
      </c>
      <c r="V7" s="436">
        <f>+C14/1000</f>
        <v>0</v>
      </c>
      <c r="W7" s="437">
        <f>SUM(V7:V9)/SUM(U7:U9)</f>
        <v>0</v>
      </c>
    </row>
    <row r="8" spans="1:2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+'20'!J8</f>
        <v>F 12,5 VP OW</v>
      </c>
      <c r="K8" s="244"/>
      <c r="L8" s="244"/>
      <c r="M8" s="122">
        <f>+K8+'20'!M8+L8</f>
        <v>54352</v>
      </c>
      <c r="N8" s="431">
        <v>18</v>
      </c>
      <c r="O8" s="204">
        <v>1200</v>
      </c>
      <c r="P8" s="204">
        <v>930</v>
      </c>
      <c r="Q8" s="204">
        <v>744</v>
      </c>
      <c r="R8" s="432">
        <f>1-(Q8/P8)</f>
        <v>0.19999999999999996</v>
      </c>
      <c r="S8" s="433">
        <f>480-S7</f>
        <v>435</v>
      </c>
      <c r="T8" s="434">
        <v>256.5</v>
      </c>
      <c r="U8" s="435">
        <f>(O8*(1-R8)*N8*T8*S8)/100000000</f>
        <v>19.280591999999999</v>
      </c>
      <c r="V8" s="436"/>
      <c r="W8" s="438"/>
    </row>
    <row r="9" spans="1:2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+'20'!J9</f>
        <v>T 13 VP OW</v>
      </c>
      <c r="K9" s="244"/>
      <c r="L9" s="244"/>
      <c r="M9" s="122">
        <f>+K9+'20'!M9+L9</f>
        <v>112205</v>
      </c>
      <c r="N9" s="439"/>
    </row>
    <row r="10" spans="1:23" ht="64.5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627</v>
      </c>
      <c r="I10" s="766"/>
      <c r="J10" s="219" t="str">
        <f>+'20'!J10</f>
        <v>T 12,5 VP OW</v>
      </c>
      <c r="K10" s="244"/>
      <c r="L10" s="244"/>
      <c r="M10" s="122">
        <f>+K10+'20'!M10+L10</f>
        <v>310471</v>
      </c>
      <c r="N10" s="439"/>
    </row>
    <row r="11" spans="1:2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+'20'!J11</f>
        <v>T 12 VP OW</v>
      </c>
      <c r="K11" s="244"/>
      <c r="L11" s="244"/>
      <c r="M11" s="122">
        <f>+K11+'20'!M11+L11</f>
        <v>11128</v>
      </c>
      <c r="N11" s="439"/>
    </row>
    <row r="12" spans="1:2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+'20'!J12</f>
        <v>F 13 VP OW</v>
      </c>
      <c r="K12" s="244"/>
      <c r="L12" s="244"/>
      <c r="M12" s="122">
        <f>+K12+'20'!M12+L12</f>
        <v>35492</v>
      </c>
      <c r="N12" s="439"/>
    </row>
    <row r="13" spans="1:2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+'20'!J13</f>
        <v>F 11 VP OW</v>
      </c>
      <c r="K13" s="244"/>
      <c r="L13" s="244"/>
      <c r="M13" s="122">
        <f>+K13+'20'!M13+L13</f>
        <v>11154</v>
      </c>
      <c r="N13" s="440"/>
      <c r="O13" s="441"/>
      <c r="P13" s="441"/>
      <c r="Q13" s="441"/>
      <c r="R13" s="441"/>
      <c r="S13" s="441"/>
      <c r="T13" s="441"/>
      <c r="U13" s="441"/>
      <c r="V13" s="441"/>
      <c r="W13" s="441"/>
    </row>
    <row r="14" spans="1:2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+'20'!J14</f>
        <v>0</v>
      </c>
      <c r="K14" s="244"/>
      <c r="L14" s="244"/>
      <c r="M14" s="122">
        <f>+K14+'20'!M14+L14</f>
        <v>0</v>
      </c>
    </row>
    <row r="15" spans="1:2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/>
      <c r="J15" s="219">
        <f>+'20'!J15</f>
        <v>0</v>
      </c>
      <c r="K15" s="244"/>
      <c r="L15" s="244"/>
      <c r="M15" s="122">
        <f>+K15+'20'!M15+L15</f>
        <v>0</v>
      </c>
      <c r="N15" s="431">
        <v>18</v>
      </c>
      <c r="O15" s="204">
        <v>1200</v>
      </c>
      <c r="P15" s="204">
        <v>850</v>
      </c>
      <c r="Q15" s="204">
        <v>680</v>
      </c>
      <c r="R15" s="432">
        <f>1-(Q15/P15)</f>
        <v>0.19999999999999996</v>
      </c>
      <c r="S15" s="433">
        <v>480</v>
      </c>
      <c r="T15" s="434">
        <v>256.5</v>
      </c>
      <c r="U15" s="435">
        <f>(O15*(1-R15)*N15*T15*S15)/100000000</f>
        <v>21.275136</v>
      </c>
      <c r="V15" s="436">
        <f>+C23/1000</f>
        <v>0</v>
      </c>
      <c r="W15" s="437">
        <f>SUM(V15:V17)/SUM(U15:U17)</f>
        <v>0</v>
      </c>
    </row>
    <row r="16" spans="1:2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+'20'!J16</f>
        <v>0</v>
      </c>
      <c r="K16" s="234"/>
      <c r="L16" s="234"/>
      <c r="M16" s="122">
        <f>+K16+'20'!M16+L16</f>
        <v>0</v>
      </c>
      <c r="N16" s="442"/>
      <c r="O16" s="204"/>
      <c r="P16" s="204"/>
      <c r="Q16" s="443"/>
      <c r="R16" s="432"/>
      <c r="S16" s="204"/>
      <c r="T16" s="434"/>
      <c r="U16" s="435"/>
      <c r="V16" s="436"/>
      <c r="W16" s="438"/>
    </row>
    <row r="17" spans="1:2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+'20'!J17</f>
        <v>0</v>
      </c>
      <c r="K17" s="234"/>
      <c r="L17" s="234"/>
      <c r="M17" s="122">
        <f>+K17+'20'!M17+L17</f>
        <v>0</v>
      </c>
      <c r="N17" s="439"/>
      <c r="O17" s="204"/>
      <c r="R17" s="432"/>
      <c r="T17" s="434"/>
      <c r="U17" s="435"/>
    </row>
    <row r="18" spans="1:23" ht="77.25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607</v>
      </c>
      <c r="I18" s="766"/>
      <c r="J18" s="219">
        <f>+'20'!J18</f>
        <v>0</v>
      </c>
      <c r="K18" s="244"/>
      <c r="L18" s="244"/>
      <c r="M18" s="122">
        <f>+K18+'20'!M18+L18</f>
        <v>0</v>
      </c>
      <c r="N18" s="439"/>
    </row>
    <row r="19" spans="1:2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+'20'!J19</f>
        <v>0</v>
      </c>
      <c r="K19" s="244"/>
      <c r="L19" s="244"/>
      <c r="M19" s="122">
        <f>+K19+'20'!M19+L19</f>
        <v>0</v>
      </c>
      <c r="N19" s="439"/>
    </row>
    <row r="20" spans="1:2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+'20'!J20</f>
        <v>0</v>
      </c>
      <c r="K20" s="245"/>
      <c r="L20" s="245"/>
      <c r="M20" s="122">
        <f>+K20+'20'!M20+L20</f>
        <v>0</v>
      </c>
      <c r="N20" s="439"/>
    </row>
    <row r="21" spans="1:2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+'20'!J21</f>
        <v>0</v>
      </c>
      <c r="K21" s="244"/>
      <c r="L21" s="244"/>
      <c r="M21" s="122">
        <f>+K21+'20'!M21+L21</f>
        <v>0</v>
      </c>
      <c r="N21" s="440"/>
      <c r="O21" s="441"/>
      <c r="P21" s="441"/>
      <c r="Q21" s="441"/>
      <c r="R21" s="441"/>
      <c r="S21" s="441"/>
      <c r="T21" s="441"/>
      <c r="U21" s="441"/>
      <c r="V21" s="441"/>
      <c r="W21" s="441"/>
    </row>
    <row r="22" spans="1:2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+'20'!J22</f>
        <v>0</v>
      </c>
      <c r="K22" s="244"/>
      <c r="L22" s="244"/>
      <c r="M22" s="122">
        <f>+K22+'20'!M22+L22</f>
        <v>0</v>
      </c>
    </row>
    <row r="23" spans="1:2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+'20'!J23</f>
        <v>0</v>
      </c>
      <c r="K23" s="244"/>
      <c r="L23" s="244"/>
      <c r="M23" s="122">
        <f>+K23+'20'!M23+L23</f>
        <v>0</v>
      </c>
      <c r="N23" s="444"/>
      <c r="O23" s="445"/>
      <c r="P23" s="445"/>
      <c r="Q23" s="445"/>
      <c r="R23" s="445"/>
      <c r="S23" s="445"/>
      <c r="T23" s="445"/>
      <c r="U23" s="445"/>
      <c r="V23" s="445"/>
      <c r="W23" s="445"/>
    </row>
    <row r="24" spans="1:2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/>
      <c r="J24" s="219">
        <f>+'20'!J24</f>
        <v>0</v>
      </c>
      <c r="K24" s="244"/>
      <c r="L24" s="244"/>
      <c r="M24" s="122">
        <f>+K24+'20'!M24+L24</f>
        <v>0</v>
      </c>
      <c r="N24" s="431">
        <v>14.5</v>
      </c>
      <c r="O24" s="204">
        <v>1130</v>
      </c>
      <c r="P24" s="204">
        <v>1130</v>
      </c>
      <c r="Q24" s="204">
        <v>915</v>
      </c>
      <c r="R24" s="432">
        <f>1-(Q24/P24)</f>
        <v>0.19026548672566368</v>
      </c>
      <c r="S24" s="433">
        <v>9</v>
      </c>
      <c r="T24" s="434">
        <v>266</v>
      </c>
      <c r="U24" s="435">
        <f>(O24*(1-R24)*N24*T24*S24)/100000000</f>
        <v>0.31762394999999999</v>
      </c>
      <c r="V24" s="436">
        <f>+C32/1000</f>
        <v>0</v>
      </c>
      <c r="W24" s="437">
        <f>SUM(V24:V25)/SUM(U24:U25)</f>
        <v>0</v>
      </c>
    </row>
    <row r="25" spans="1:2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+'20'!J25</f>
        <v>0</v>
      </c>
      <c r="K25" s="244"/>
      <c r="L25" s="244"/>
      <c r="M25" s="122">
        <f>+K25+'20'!M25+L25</f>
        <v>0</v>
      </c>
      <c r="N25" s="431"/>
      <c r="O25" s="204"/>
      <c r="P25" s="204"/>
      <c r="Q25" s="204"/>
      <c r="R25" s="432"/>
      <c r="S25" s="433"/>
      <c r="T25" s="434"/>
      <c r="U25" s="435"/>
      <c r="V25" s="436"/>
      <c r="W25" s="437"/>
    </row>
    <row r="26" spans="1:2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+'20'!J26</f>
        <v>0</v>
      </c>
      <c r="K26" s="244"/>
      <c r="L26" s="244"/>
      <c r="M26" s="122">
        <f>+K26+'20'!M26+L26</f>
        <v>0</v>
      </c>
    </row>
    <row r="27" spans="1:23" ht="51.7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626</v>
      </c>
      <c r="I27" s="766"/>
      <c r="J27" s="219">
        <f>+'20'!J27</f>
        <v>0</v>
      </c>
      <c r="K27" s="244"/>
      <c r="L27" s="244"/>
      <c r="M27" s="122">
        <f>+K27+'20'!M27+L27</f>
        <v>0</v>
      </c>
    </row>
    <row r="28" spans="1:2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+'20'!J28</f>
        <v>0</v>
      </c>
      <c r="K28" s="244"/>
      <c r="L28" s="244"/>
      <c r="M28" s="122">
        <f>+K28+'20'!M28+L28</f>
        <v>0</v>
      </c>
    </row>
    <row r="29" spans="1:2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+'20'!J29</f>
        <v>0</v>
      </c>
      <c r="K29" s="244"/>
      <c r="L29" s="244"/>
      <c r="M29" s="122">
        <f>+K29+'20'!M29+L29</f>
        <v>0</v>
      </c>
    </row>
    <row r="30" spans="1:2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+'20'!J30</f>
        <v>0</v>
      </c>
      <c r="K30" s="244"/>
      <c r="L30" s="244"/>
      <c r="M30" s="122">
        <f>+K30+'20'!M30+L30</f>
        <v>0</v>
      </c>
      <c r="N30" s="160"/>
    </row>
    <row r="31" spans="1:2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+'20'!J31</f>
        <v>0</v>
      </c>
      <c r="K31" s="244"/>
      <c r="L31" s="244"/>
      <c r="M31" s="122">
        <f>+K31+'20'!M31+L31</f>
        <v>0</v>
      </c>
    </row>
    <row r="32" spans="1:2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+'20'!J32</f>
        <v>0</v>
      </c>
      <c r="K32" s="246"/>
      <c r="L32" s="248"/>
      <c r="M32" s="122">
        <f>+K32+'20'!M32+L32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  <c r="N34" s="160"/>
    </row>
    <row r="35" spans="1:14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4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(10.3*1440)/1440*G42*2.74*1440/1000000</f>
        <v>0</v>
      </c>
      <c r="J37" s="130">
        <f>+I37+'20'!J37</f>
        <v>791.58963088594237</v>
      </c>
      <c r="K37" s="131" t="s">
        <v>63</v>
      </c>
    </row>
    <row r="38" spans="1:14" ht="17.45" customHeight="1">
      <c r="A38" s="774" t="s">
        <v>12</v>
      </c>
      <c r="B38" s="775"/>
      <c r="C38" s="169">
        <f>SUMIF($G$7:$G$31,"Process",$F$7:$F$31)</f>
        <v>0</v>
      </c>
      <c r="D38" s="123">
        <f>+C38+'20'!D38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+I38+'20'!J38</f>
        <v>698.56799999999998</v>
      </c>
      <c r="K38" s="133" t="s">
        <v>63</v>
      </c>
    </row>
    <row r="39" spans="1:14" ht="17.45" customHeight="1">
      <c r="A39" s="776" t="s">
        <v>13</v>
      </c>
      <c r="B39" s="777"/>
      <c r="C39" s="169">
        <f>SUMIF($G$7:$G$31,"Cleaning",$F$7:$F$31)</f>
        <v>0</v>
      </c>
      <c r="D39" s="123">
        <f>+C39+'20'!D39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37.694744327902015</v>
      </c>
      <c r="K39" s="135" t="s">
        <v>63</v>
      </c>
    </row>
    <row r="40" spans="1:14" ht="17.45" customHeight="1">
      <c r="A40" s="776" t="s">
        <v>66</v>
      </c>
      <c r="B40" s="777"/>
      <c r="C40" s="169">
        <f>SUMIF($G$7:$G$31,"Mechanical",$F$7:$F$31)</f>
        <v>0</v>
      </c>
      <c r="D40" s="123">
        <f>+C40+'20'!D40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+I40+'20'!J40</f>
        <v>665.55100000000004</v>
      </c>
      <c r="K40" s="135" t="s">
        <v>63</v>
      </c>
    </row>
    <row r="41" spans="1:14" ht="17.45" customHeight="1">
      <c r="A41" s="776" t="s">
        <v>68</v>
      </c>
      <c r="B41" s="777"/>
      <c r="C41" s="169">
        <f>SUMIF($G$7:$G$31,"Electrical",$F$7:$F$31)</f>
        <v>0</v>
      </c>
      <c r="D41" s="123">
        <f>+C41+'20'!D41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31.692904761904764</v>
      </c>
      <c r="K41" s="135" t="s">
        <v>63</v>
      </c>
    </row>
    <row r="42" spans="1:14" ht="17.45" customHeight="1">
      <c r="A42" s="776" t="s">
        <v>16</v>
      </c>
      <c r="B42" s="777"/>
      <c r="C42" s="169">
        <f>SUMIF($G$7:$G$31,"Instrument",$F$7:$F$31)</f>
        <v>0</v>
      </c>
      <c r="D42" s="123">
        <f>+C42+'20'!D42</f>
        <v>0</v>
      </c>
      <c r="E42" s="148">
        <f t="shared" si="0"/>
        <v>0</v>
      </c>
      <c r="F42" s="328"/>
      <c r="G42" s="328"/>
      <c r="H42" s="192" t="s">
        <v>70</v>
      </c>
      <c r="I42" s="251"/>
      <c r="J42" s="137"/>
      <c r="K42" s="135" t="s">
        <v>71</v>
      </c>
    </row>
    <row r="43" spans="1:14" ht="17.45" customHeight="1">
      <c r="A43" s="776" t="s">
        <v>72</v>
      </c>
      <c r="B43" s="777"/>
      <c r="C43" s="169">
        <f>SUMIF($G$7:$G$31,"Water",$F$7:$F$31)</f>
        <v>0</v>
      </c>
      <c r="D43" s="123">
        <f>+C43+'20'!D43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+Report1!Z29</f>
        <v>36.9</v>
      </c>
      <c r="J43" s="138">
        <f>+I43+'20'!J43</f>
        <v>1138.9000000000001</v>
      </c>
      <c r="K43" s="135" t="s">
        <v>63</v>
      </c>
      <c r="L43" s="194"/>
    </row>
    <row r="44" spans="1:14" ht="17.45" customHeight="1">
      <c r="A44" s="776" t="s">
        <v>17</v>
      </c>
      <c r="B44" s="777"/>
      <c r="C44" s="169">
        <f>SUMIF($G$7:$G$31,"PLN",$F$7:$F$31)</f>
        <v>0</v>
      </c>
      <c r="D44" s="123">
        <f>+C44+'20'!D44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1.6303352000091618</v>
      </c>
      <c r="K44" s="135" t="s">
        <v>63</v>
      </c>
    </row>
    <row r="45" spans="1:14" ht="17.45" customHeight="1">
      <c r="A45" s="776" t="s">
        <v>18</v>
      </c>
      <c r="B45" s="777"/>
      <c r="C45" s="169">
        <f>SUMIF($G$7:$G$31,"Boiler",$F$7:$F$31)</f>
        <v>0</v>
      </c>
      <c r="D45" s="123">
        <f>+C45+'20'!D45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1.7112137161539838</v>
      </c>
      <c r="K45" s="135" t="s">
        <v>63</v>
      </c>
    </row>
    <row r="46" spans="1:14" ht="17.45" customHeight="1">
      <c r="A46" s="776" t="s">
        <v>76</v>
      </c>
      <c r="B46" s="777"/>
      <c r="C46" s="169">
        <f>SUMIF($G$7:$G$31,"Gas",$F$7:$F$31)</f>
        <v>0</v>
      </c>
      <c r="D46" s="123">
        <f>+C46+'20'!D46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+SUMIF(Listrik!P28,"&gt;0")</f>
        <v>6204.8599999996368</v>
      </c>
      <c r="J46" s="140">
        <f>+I46+'20'!J46</f>
        <v>693930.31999999902</v>
      </c>
      <c r="K46" s="135" t="s">
        <v>78</v>
      </c>
    </row>
    <row r="47" spans="1:14" ht="17.45" customHeight="1">
      <c r="A47" s="776" t="s">
        <v>79</v>
      </c>
      <c r="B47" s="777"/>
      <c r="C47" s="169">
        <f>SUMIF($G$7:$G$31,"Gas",$F$7:$F$31)</f>
        <v>0</v>
      </c>
      <c r="D47" s="123">
        <f>+C47+'20'!D47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993.36116169077172</v>
      </c>
      <c r="K47" s="135" t="s">
        <v>24</v>
      </c>
    </row>
    <row r="48" spans="1:14" ht="17.45" customHeight="1">
      <c r="A48" s="776" t="s">
        <v>14</v>
      </c>
      <c r="B48" s="777"/>
      <c r="C48" s="169">
        <f>SUMIF($G$7:$G$31,"Start Up",$F$7:$F$31)</f>
        <v>0</v>
      </c>
      <c r="D48" s="123">
        <f>+C48+'20'!D48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1042.6403386066568</v>
      </c>
      <c r="K48" s="135" t="s">
        <v>24</v>
      </c>
    </row>
    <row r="49" spans="1:23" ht="17.45" customHeight="1">
      <c r="A49" s="782" t="s">
        <v>20</v>
      </c>
      <c r="B49" s="777"/>
      <c r="C49" s="169">
        <f>SUMIF($G$7:$G$31,"Others",$F$7:$F$31)</f>
        <v>1440</v>
      </c>
      <c r="D49" s="123">
        <f>+C49+'20'!D49</f>
        <v>5014</v>
      </c>
      <c r="E49" s="148">
        <f t="shared" si="0"/>
        <v>83.566666666666663</v>
      </c>
      <c r="F49" s="190"/>
      <c r="H49" s="193" t="s">
        <v>271</v>
      </c>
      <c r="I49" s="123">
        <f>+Report1!T29</f>
        <v>0</v>
      </c>
      <c r="J49" s="140">
        <f>+I49+'20'!J49</f>
        <v>71893.909882320862</v>
      </c>
      <c r="K49" s="135" t="s">
        <v>82</v>
      </c>
    </row>
    <row r="50" spans="1:23" ht="17.45" customHeight="1">
      <c r="A50" s="776" t="s">
        <v>19</v>
      </c>
      <c r="B50" s="777"/>
      <c r="C50" s="169">
        <f>SUMIF($G$7:$G$31,"Steam",$F$7:$F$31)</f>
        <v>0</v>
      </c>
      <c r="D50" s="123">
        <f>+C50+'20'!D50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102.91612252825904</v>
      </c>
      <c r="K50" s="135" t="s">
        <v>82</v>
      </c>
    </row>
    <row r="51" spans="1:23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+C51+'20'!D51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108.02163903640871</v>
      </c>
      <c r="K51" s="142" t="s">
        <v>82</v>
      </c>
    </row>
    <row r="52" spans="1:23" ht="13.5" thickBot="1">
      <c r="A52" s="774" t="s">
        <v>28</v>
      </c>
      <c r="B52" s="775"/>
      <c r="C52" s="149">
        <f>SUM(C38:C51)</f>
        <v>1440</v>
      </c>
      <c r="D52" s="149">
        <f>SUM(D38:D51)</f>
        <v>6381</v>
      </c>
      <c r="E52" s="150">
        <f>SUM(E38:E51)</f>
        <v>106.35</v>
      </c>
      <c r="F52" s="190"/>
      <c r="H52" s="196"/>
      <c r="I52" s="197"/>
      <c r="J52" s="143"/>
      <c r="K52" s="144"/>
    </row>
    <row r="53" spans="1:23" ht="13.5" thickBot="1">
      <c r="A53" s="780"/>
      <c r="B53" s="781"/>
      <c r="C53" s="151">
        <f>C52/(24*60)</f>
        <v>1</v>
      </c>
      <c r="D53" s="151">
        <f>D52/(24*60*G4)</f>
        <v>0.21101190476190476</v>
      </c>
      <c r="E53" s="152">
        <f>E52/(G4*24)</f>
        <v>0.21101190476190476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+D34+'20'!J56</f>
        <v>3639</v>
      </c>
      <c r="K56" s="206">
        <f>J56/(J40+J56/1000)/1000</f>
        <v>5.4379174823293835E-3</v>
      </c>
    </row>
    <row r="57" spans="1:23">
      <c r="A57" s="181"/>
      <c r="I57" s="204" t="s">
        <v>88</v>
      </c>
      <c r="J57" s="205">
        <f>+E34+'20'!J57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4" t="s">
        <v>0</v>
      </c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1"/>
  <sheetViews>
    <sheetView topLeftCell="A7" zoomScale="80" zoomScaleNormal="80" workbookViewId="0">
      <selection activeCell="F24" sqref="F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5.42578125" style="154" customWidth="1"/>
    <col min="14" max="16384" width="9.140625" style="154"/>
  </cols>
  <sheetData>
    <row r="1" spans="1:13" ht="15.75">
      <c r="A1" s="153"/>
    </row>
    <row r="2" spans="1:13" ht="15.75">
      <c r="A2" s="153" t="s">
        <v>184</v>
      </c>
    </row>
    <row r="3" spans="1:13" ht="15">
      <c r="A3" s="155"/>
    </row>
    <row r="4" spans="1:13" ht="20.25">
      <c r="A4" s="156" t="s">
        <v>3</v>
      </c>
      <c r="B4" s="157"/>
      <c r="F4" s="158" t="s">
        <v>29</v>
      </c>
      <c r="G4" s="159">
        <v>20</v>
      </c>
      <c r="H4" s="159" t="str">
        <f>+'1'!H4</f>
        <v>.10.25</v>
      </c>
    </row>
    <row r="5" spans="1:13" ht="13.5" thickBot="1">
      <c r="C5" s="160"/>
      <c r="D5" s="160"/>
    </row>
    <row r="6" spans="1:1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3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 t="s">
        <v>399</v>
      </c>
      <c r="J7" s="219" t="str">
        <f>+'19'!J7</f>
        <v>F 12 VP OW</v>
      </c>
      <c r="K7" s="243"/>
      <c r="L7" s="247"/>
      <c r="M7" s="122">
        <f>+K7+'19'!M7+L7</f>
        <v>130749</v>
      </c>
    </row>
    <row r="8" spans="1:1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+'19'!J8</f>
        <v>F 12,5 VP OW</v>
      </c>
      <c r="K8" s="244"/>
      <c r="L8" s="244"/>
      <c r="M8" s="122">
        <f>+K8+'19'!M8+L8</f>
        <v>54352</v>
      </c>
    </row>
    <row r="9" spans="1:13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+'19'!J9</f>
        <v>T 13 VP OW</v>
      </c>
      <c r="K9" s="244"/>
      <c r="L9" s="244"/>
      <c r="M9" s="122">
        <f>+K9+'19'!M9+L9</f>
        <v>112205</v>
      </c>
    </row>
    <row r="10" spans="1:13" ht="64.5" thickBot="1">
      <c r="A10" s="763"/>
      <c r="B10" s="220"/>
      <c r="C10" s="221"/>
      <c r="D10" s="222"/>
      <c r="E10" s="224"/>
      <c r="F10" s="233">
        <v>480</v>
      </c>
      <c r="G10" s="237" t="s">
        <v>20</v>
      </c>
      <c r="H10" s="238" t="s">
        <v>624</v>
      </c>
      <c r="I10" s="766"/>
      <c r="J10" s="219" t="str">
        <f>+'19'!J10</f>
        <v>T 12,5 VP OW</v>
      </c>
      <c r="K10" s="244"/>
      <c r="L10" s="244"/>
      <c r="M10" s="122">
        <f>+K10+'19'!M10+L10</f>
        <v>310471</v>
      </c>
    </row>
    <row r="11" spans="1:1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+'19'!J11</f>
        <v>T 12 VP OW</v>
      </c>
      <c r="K11" s="244"/>
      <c r="L11" s="244"/>
      <c r="M11" s="122">
        <f>+K11+'19'!M11+L11</f>
        <v>11128</v>
      </c>
    </row>
    <row r="12" spans="1:1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+'19'!J12</f>
        <v>F 13 VP OW</v>
      </c>
      <c r="K12" s="244"/>
      <c r="L12" s="244"/>
      <c r="M12" s="122">
        <f>+K12+'19'!M12+L12</f>
        <v>35492</v>
      </c>
    </row>
    <row r="13" spans="1:1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+'19'!J13</f>
        <v>F 11 VP OW</v>
      </c>
      <c r="K13" s="244"/>
      <c r="L13" s="244"/>
      <c r="M13" s="122">
        <f>+K13+'19'!M13+L13</f>
        <v>11154</v>
      </c>
    </row>
    <row r="14" spans="1:13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19">
        <f>+'19'!J14</f>
        <v>0</v>
      </c>
      <c r="K14" s="244"/>
      <c r="L14" s="244"/>
      <c r="M14" s="122">
        <f>+K14+'19'!M14+L14</f>
        <v>0</v>
      </c>
    </row>
    <row r="15" spans="1:13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 t="s">
        <v>399</v>
      </c>
      <c r="J15" s="219">
        <f>+'19'!J15</f>
        <v>0</v>
      </c>
      <c r="K15" s="244"/>
      <c r="L15" s="244"/>
      <c r="M15" s="122">
        <f>+K15+'19'!M15+L15</f>
        <v>0</v>
      </c>
    </row>
    <row r="16" spans="1:13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+'19'!J16</f>
        <v>0</v>
      </c>
      <c r="K16" s="234"/>
      <c r="L16" s="234"/>
      <c r="M16" s="122">
        <f>+K16+'19'!M16+L16</f>
        <v>0</v>
      </c>
    </row>
    <row r="17" spans="1:1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+'19'!J17</f>
        <v>0</v>
      </c>
      <c r="K17" s="234"/>
      <c r="L17" s="234"/>
      <c r="M17" s="122">
        <f>+K17+'19'!M17+L17</f>
        <v>0</v>
      </c>
    </row>
    <row r="18" spans="1:13" ht="102.75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623</v>
      </c>
      <c r="I18" s="766"/>
      <c r="J18" s="219">
        <f>+'19'!J18</f>
        <v>0</v>
      </c>
      <c r="K18" s="244"/>
      <c r="L18" s="244"/>
      <c r="M18" s="122">
        <f>+K18+'19'!M18+L18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+'19'!J19</f>
        <v>0</v>
      </c>
      <c r="K19" s="244"/>
      <c r="L19" s="244"/>
      <c r="M19" s="122">
        <f>+K19+'19'!M19+L19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+'19'!J20</f>
        <v>0</v>
      </c>
      <c r="K20" s="245"/>
      <c r="L20" s="245"/>
      <c r="M20" s="122">
        <f>+K20+'19'!M20+L20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+'19'!J21</f>
        <v>0</v>
      </c>
      <c r="K21" s="244"/>
      <c r="L21" s="244"/>
      <c r="M21" s="122">
        <f>+K21+'19'!M21+L21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+'19'!J22</f>
        <v>0</v>
      </c>
      <c r="K22" s="244"/>
      <c r="L22" s="244"/>
      <c r="M22" s="122">
        <f>+K22+'19'!M22+L22</f>
        <v>0</v>
      </c>
    </row>
    <row r="23" spans="1:1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+'19'!J23</f>
        <v>0</v>
      </c>
      <c r="K23" s="244"/>
      <c r="L23" s="244"/>
      <c r="M23" s="122">
        <f>+K23+'19'!M23+L23</f>
        <v>0</v>
      </c>
    </row>
    <row r="24" spans="1:1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 t="s">
        <v>399</v>
      </c>
      <c r="J24" s="219">
        <f>+'19'!J24</f>
        <v>0</v>
      </c>
      <c r="K24" s="244"/>
      <c r="L24" s="244"/>
      <c r="M24" s="122">
        <f>+K24+'19'!M24+L24</f>
        <v>0</v>
      </c>
    </row>
    <row r="25" spans="1:1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+'19'!J25</f>
        <v>0</v>
      </c>
      <c r="K25" s="244"/>
      <c r="L25" s="244"/>
      <c r="M25" s="122">
        <f>+K25+'19'!M25+L25</f>
        <v>0</v>
      </c>
    </row>
    <row r="26" spans="1:1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+'19'!J26</f>
        <v>0</v>
      </c>
      <c r="K26" s="244"/>
      <c r="L26" s="244"/>
      <c r="M26" s="122">
        <f>+K26+'19'!M26+L26</f>
        <v>0</v>
      </c>
    </row>
    <row r="27" spans="1:13" ht="77.2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607</v>
      </c>
      <c r="I27" s="766"/>
      <c r="J27" s="219">
        <f>+'19'!J27</f>
        <v>0</v>
      </c>
      <c r="K27" s="244"/>
      <c r="L27" s="244"/>
      <c r="M27" s="122">
        <f>+K27+'19'!M27+L27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+'19'!J28</f>
        <v>0</v>
      </c>
      <c r="K28" s="244"/>
      <c r="L28" s="244"/>
      <c r="M28" s="122">
        <f>+K28+'19'!M28+L28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+'19'!J29</f>
        <v>0</v>
      </c>
      <c r="K29" s="244"/>
      <c r="L29" s="244"/>
      <c r="M29" s="122">
        <f>+K29+'19'!M29+L29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+'19'!J30</f>
        <v>0</v>
      </c>
      <c r="K30" s="244"/>
      <c r="L30" s="244"/>
      <c r="M30" s="122">
        <f>+K30+'19'!M30+L30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+'19'!J31</f>
        <v>0</v>
      </c>
      <c r="K31" s="244"/>
      <c r="L31" s="244"/>
      <c r="M31" s="122">
        <f>+K31+'19'!M31+L31</f>
        <v>0</v>
      </c>
    </row>
    <row r="32" spans="1:1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+'19'!J32</f>
        <v>0</v>
      </c>
      <c r="K32" s="246"/>
      <c r="L32" s="248"/>
      <c r="M32" s="122">
        <f>+K32+'19'!M32+L32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28</v>
      </c>
      <c r="K34" s="129">
        <f>SUM(K7:K32)</f>
        <v>0</v>
      </c>
      <c r="L34" s="217">
        <f>SUM(L7:L32)</f>
        <v>0</v>
      </c>
      <c r="M34" s="125">
        <f>SUM(M7:M32)</f>
        <v>665551</v>
      </c>
    </row>
    <row r="35" spans="1:13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(10.3*1440)/1440*G42*2.74*1440/1000000</f>
        <v>0</v>
      </c>
      <c r="J37" s="130">
        <f>+I37+'19'!J37</f>
        <v>791.58963088594237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0</v>
      </c>
      <c r="D38" s="123">
        <f>+C38+'19'!D38</f>
        <v>1223</v>
      </c>
      <c r="E38" s="148">
        <f t="shared" ref="E38:E51" si="0">D38/60</f>
        <v>20.383333333333333</v>
      </c>
      <c r="F38" s="328"/>
      <c r="G38" s="328"/>
      <c r="H38" s="192" t="s">
        <v>64</v>
      </c>
      <c r="I38" s="250"/>
      <c r="J38" s="132">
        <f>+I38+'19'!J38</f>
        <v>698.56799999999998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+C39+'19'!D39</f>
        <v>0</v>
      </c>
      <c r="E39" s="148">
        <f t="shared" si="0"/>
        <v>0</v>
      </c>
      <c r="F39" s="328"/>
      <c r="G39" s="328"/>
      <c r="H39" s="192" t="s">
        <v>65</v>
      </c>
      <c r="I39" s="147"/>
      <c r="J39" s="134">
        <f>J37/G4</f>
        <v>39.579481544297117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+C40+'19'!D40</f>
        <v>0</v>
      </c>
      <c r="E40" s="148">
        <f t="shared" si="0"/>
        <v>0</v>
      </c>
      <c r="F40" s="328"/>
      <c r="G40" s="328"/>
      <c r="H40" s="192" t="s">
        <v>67</v>
      </c>
      <c r="I40" s="123">
        <f>(K34+L34)/1000</f>
        <v>0</v>
      </c>
      <c r="J40" s="136">
        <f>+I40+'19'!J40</f>
        <v>665.55100000000004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+C41+'19'!D41</f>
        <v>144</v>
      </c>
      <c r="E41" s="148">
        <f t="shared" si="0"/>
        <v>2.4</v>
      </c>
      <c r="F41" s="328"/>
      <c r="G41" s="328"/>
      <c r="H41" s="192" t="s">
        <v>69</v>
      </c>
      <c r="I41" s="147"/>
      <c r="J41" s="134">
        <f>J40/G4</f>
        <v>33.277550000000005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+C42+'19'!D42</f>
        <v>0</v>
      </c>
      <c r="E42" s="148">
        <f t="shared" si="0"/>
        <v>0</v>
      </c>
      <c r="F42" s="328"/>
      <c r="G42" s="328"/>
      <c r="H42" s="192" t="s">
        <v>70</v>
      </c>
      <c r="I42" s="251"/>
      <c r="J42" s="137"/>
      <c r="K42" s="135" t="s">
        <v>71</v>
      </c>
    </row>
    <row r="43" spans="1:13" ht="17.45" customHeight="1">
      <c r="A43" s="776" t="s">
        <v>72</v>
      </c>
      <c r="B43" s="777"/>
      <c r="C43" s="169">
        <f>SUMIF($G$7:$G$31,"Water",$F$7:$F$31)</f>
        <v>0</v>
      </c>
      <c r="D43" s="123">
        <f>+C43+'19'!D43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+Report1!Z28</f>
        <v>34.200000000000003</v>
      </c>
      <c r="J43" s="138">
        <f>+I43+'19'!J43</f>
        <v>1102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+C44+'19'!D44</f>
        <v>0</v>
      </c>
      <c r="E44" s="148">
        <f t="shared" si="0"/>
        <v>0</v>
      </c>
      <c r="F44" s="328"/>
      <c r="G44" s="329"/>
      <c r="H44" s="193" t="s">
        <v>74</v>
      </c>
      <c r="I44" s="123" t="e">
        <f>I43/I38</f>
        <v>#DIV/0!</v>
      </c>
      <c r="J44" s="139">
        <f>J43/J38</f>
        <v>1.5775128548688173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+C45+'19'!D45</f>
        <v>0</v>
      </c>
      <c r="E45" s="148">
        <f t="shared" si="0"/>
        <v>0</v>
      </c>
      <c r="F45" s="328"/>
      <c r="G45" s="331"/>
      <c r="H45" s="193" t="s">
        <v>75</v>
      </c>
      <c r="I45" s="123" t="e">
        <f>I43/I40</f>
        <v>#DIV/0!</v>
      </c>
      <c r="J45" s="139">
        <f>J43/J40</f>
        <v>1.6557709326557994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+C46+'19'!D46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+SUMIF(Listrik!P27,"&gt;0")</f>
        <v>5005.2199999989089</v>
      </c>
      <c r="J46" s="140">
        <f>+I46+'19'!J46</f>
        <v>687725.45999999938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+C47+'19'!D47</f>
        <v>0</v>
      </c>
      <c r="E47" s="148">
        <f t="shared" si="0"/>
        <v>0</v>
      </c>
      <c r="F47" s="328"/>
      <c r="G47" s="329"/>
      <c r="H47" s="193" t="s">
        <v>80</v>
      </c>
      <c r="I47" s="123" t="e">
        <f>I46/I38</f>
        <v>#DIV/0!</v>
      </c>
      <c r="J47" s="140">
        <f>J46/J38</f>
        <v>984.47890541793981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+C48+'19'!D48</f>
        <v>0</v>
      </c>
      <c r="E48" s="148">
        <f t="shared" si="0"/>
        <v>0</v>
      </c>
      <c r="F48" s="328"/>
      <c r="G48" s="329"/>
      <c r="H48" s="193" t="s">
        <v>81</v>
      </c>
      <c r="I48" s="123" t="e">
        <f>I46/I40</f>
        <v>#DIV/0!</v>
      </c>
      <c r="J48" s="140">
        <f>J46/J40</f>
        <v>1033.3174467471304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1440</v>
      </c>
      <c r="D49" s="123">
        <f>+C49+'19'!D49</f>
        <v>3574</v>
      </c>
      <c r="E49" s="148">
        <f t="shared" si="0"/>
        <v>59.56666666666667</v>
      </c>
      <c r="F49" s="190"/>
      <c r="H49" s="193" t="s">
        <v>271</v>
      </c>
      <c r="I49" s="123">
        <f>+Report1!T28</f>
        <v>0</v>
      </c>
      <c r="J49" s="140">
        <f>+I49+'19'!J49</f>
        <v>71893.909882320862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+C50+'19'!D50</f>
        <v>0</v>
      </c>
      <c r="E50" s="148">
        <f t="shared" si="0"/>
        <v>0</v>
      </c>
      <c r="F50" s="190"/>
      <c r="H50" s="193" t="s">
        <v>83</v>
      </c>
      <c r="I50" s="145" t="e">
        <f>I49/I38</f>
        <v>#DIV/0!</v>
      </c>
      <c r="J50" s="138">
        <f>J49/J38</f>
        <v>102.91612252825904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+C51+'19'!D51</f>
        <v>0</v>
      </c>
      <c r="E51" s="148">
        <f t="shared" si="0"/>
        <v>0</v>
      </c>
      <c r="F51" s="190"/>
      <c r="H51" s="195" t="s">
        <v>85</v>
      </c>
      <c r="I51" s="146" t="e">
        <f>I49/I40</f>
        <v>#DIV/0!</v>
      </c>
      <c r="J51" s="141">
        <f>J49/J40</f>
        <v>108.02163903640871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1440</v>
      </c>
      <c r="D52" s="149">
        <f>SUM(D38:D51)</f>
        <v>4941</v>
      </c>
      <c r="E52" s="150">
        <f>SUM(E38:E51)</f>
        <v>82.35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1</v>
      </c>
      <c r="D53" s="151">
        <f>D52/(24*60*G4)</f>
        <v>0.17156250000000001</v>
      </c>
      <c r="E53" s="152">
        <f>E52/(G4*24)</f>
        <v>0.17156249999999998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+D34+'19'!J56</f>
        <v>3639</v>
      </c>
      <c r="K56" s="206">
        <f>J56/(J40+J56/1000)/1000</f>
        <v>5.4379174823293835E-3</v>
      </c>
    </row>
    <row r="57" spans="1:11">
      <c r="A57" s="181"/>
      <c r="I57" s="204" t="s">
        <v>88</v>
      </c>
      <c r="J57" s="205">
        <f>+E34+'19'!J57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10" zoomScale="80" zoomScaleNormal="80" workbookViewId="0">
      <selection activeCell="G24" sqref="G24: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4.140625" style="154" customWidth="1"/>
    <col min="14" max="14" width="10.140625" style="154" bestFit="1" customWidth="1"/>
    <col min="15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19</v>
      </c>
      <c r="H4" s="159" t="str">
        <f>+'1'!H4</f>
        <v>.10.25</v>
      </c>
      <c r="J4" s="154" t="s">
        <v>611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389</v>
      </c>
      <c r="O6" s="154">
        <v>1230</v>
      </c>
      <c r="P6" s="154">
        <f>+O6-O6*0.23</f>
        <v>947.09999999999991</v>
      </c>
      <c r="Q6" s="154">
        <v>26</v>
      </c>
      <c r="R6" s="154">
        <f>+O6*Q6</f>
        <v>31980</v>
      </c>
      <c r="S6" s="154">
        <f>+P6*Q6</f>
        <v>24624.6</v>
      </c>
    </row>
    <row r="7" spans="1:19" ht="13.5" customHeight="1" thickBot="1">
      <c r="A7" s="762"/>
      <c r="B7" s="220" t="s">
        <v>390</v>
      </c>
      <c r="C7" s="221">
        <v>2821</v>
      </c>
      <c r="D7" s="222">
        <v>260</v>
      </c>
      <c r="E7" s="223"/>
      <c r="F7" s="233"/>
      <c r="G7" s="234" t="s">
        <v>12</v>
      </c>
      <c r="H7" s="235" t="s">
        <v>386</v>
      </c>
      <c r="I7" s="765" t="s">
        <v>617</v>
      </c>
      <c r="J7" s="219" t="str">
        <f>+'18'!J7</f>
        <v>F 12 VP OW</v>
      </c>
      <c r="K7" s="243">
        <f>+C7</f>
        <v>2821</v>
      </c>
      <c r="L7" s="247"/>
      <c r="M7" s="122">
        <f>+K7+'18'!M7+L7</f>
        <v>130749</v>
      </c>
      <c r="P7" s="154">
        <f>+O7-O7*0.23</f>
        <v>0</v>
      </c>
      <c r="R7" s="154">
        <f>+O7*Q7</f>
        <v>0</v>
      </c>
      <c r="S7" s="154">
        <f>+P7*Q7</f>
        <v>0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+'18'!J8</f>
        <v>F 12,5 VP OW</v>
      </c>
      <c r="K8" s="244"/>
      <c r="L8" s="244"/>
      <c r="M8" s="122">
        <f>+K8+'18'!M8+L8</f>
        <v>54352</v>
      </c>
      <c r="R8" s="154">
        <f t="shared" ref="R8:R11" si="0">+O8*Q8</f>
        <v>0</v>
      </c>
      <c r="S8" s="154">
        <f t="shared" ref="S8:S11" si="1">+P8*Q8</f>
        <v>0</v>
      </c>
    </row>
    <row r="9" spans="1:19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19" t="str">
        <f>+'18'!J9</f>
        <v>T 13 VP OW</v>
      </c>
      <c r="K9" s="244"/>
      <c r="L9" s="244"/>
      <c r="M9" s="122">
        <f>+K9+'18'!M9+L9</f>
        <v>112205</v>
      </c>
      <c r="R9" s="154">
        <f t="shared" si="0"/>
        <v>0</v>
      </c>
      <c r="S9" s="154">
        <f t="shared" si="1"/>
        <v>0</v>
      </c>
    </row>
    <row r="10" spans="1:19" ht="26.25" thickBot="1">
      <c r="A10" s="763"/>
      <c r="B10" s="220"/>
      <c r="C10" s="221"/>
      <c r="D10" s="222"/>
      <c r="E10" s="224"/>
      <c r="F10" s="233"/>
      <c r="G10" s="242"/>
      <c r="H10" s="238" t="s">
        <v>609</v>
      </c>
      <c r="I10" s="766"/>
      <c r="J10" s="219" t="str">
        <f>+'18'!J10</f>
        <v>T 12,5 VP OW</v>
      </c>
      <c r="K10" s="244"/>
      <c r="L10" s="244"/>
      <c r="M10" s="122">
        <f>+K10+'18'!M10+L10</f>
        <v>310471</v>
      </c>
      <c r="R10" s="154">
        <f t="shared" si="0"/>
        <v>0</v>
      </c>
      <c r="S10" s="154">
        <f t="shared" si="1"/>
        <v>0</v>
      </c>
    </row>
    <row r="11" spans="1:19" ht="193.5" customHeight="1" thickBot="1">
      <c r="A11" s="763"/>
      <c r="B11" s="220"/>
      <c r="C11" s="221"/>
      <c r="D11" s="222"/>
      <c r="E11" s="224"/>
      <c r="F11" s="233">
        <v>454</v>
      </c>
      <c r="G11" s="237" t="s">
        <v>20</v>
      </c>
      <c r="H11" s="238" t="s">
        <v>610</v>
      </c>
      <c r="I11" s="766"/>
      <c r="J11" s="219" t="str">
        <f>+'18'!J11</f>
        <v>T 12 VP OW</v>
      </c>
      <c r="K11" s="244"/>
      <c r="L11" s="244"/>
      <c r="M11" s="122">
        <f>+K11+'18'!M11+L11</f>
        <v>11128</v>
      </c>
      <c r="R11" s="154">
        <f t="shared" si="0"/>
        <v>0</v>
      </c>
      <c r="S11" s="154">
        <f t="shared" si="1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+'18'!J12</f>
        <v>F 13 VP OW</v>
      </c>
      <c r="K12" s="244"/>
      <c r="L12" s="244"/>
      <c r="M12" s="122">
        <f>+K12+'18'!M12+L12</f>
        <v>35492</v>
      </c>
      <c r="P12" s="154">
        <f t="shared" ref="P12" si="2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+'18'!J13</f>
        <v>F 11 VP OW</v>
      </c>
      <c r="K13" s="244"/>
      <c r="L13" s="244"/>
      <c r="M13" s="122">
        <f>+K13+'18'!M13+L13</f>
        <v>11154</v>
      </c>
      <c r="Q13" s="154">
        <f>SUM(Q5:Q11)</f>
        <v>26</v>
      </c>
      <c r="R13" s="154">
        <f>SUM(R5:R11)</f>
        <v>31980</v>
      </c>
      <c r="S13" s="154">
        <f>SUM(S5:S11)</f>
        <v>24624.6</v>
      </c>
    </row>
    <row r="14" spans="1:19" ht="13.5" thickBot="1">
      <c r="A14" s="764"/>
      <c r="B14" s="170" t="s">
        <v>2</v>
      </c>
      <c r="C14" s="104">
        <f>SUM(C7:C13)</f>
        <v>2821</v>
      </c>
      <c r="D14" s="116">
        <f>SUM(D7:D13)</f>
        <v>260</v>
      </c>
      <c r="E14" s="117">
        <f>SUM(E5:E13)</f>
        <v>0</v>
      </c>
      <c r="F14" s="121">
        <f>SUM(F7:F13)</f>
        <v>454</v>
      </c>
      <c r="G14" s="164"/>
      <c r="H14" s="171"/>
      <c r="I14" s="172"/>
      <c r="J14" s="219">
        <f>+'18'!J14</f>
        <v>0</v>
      </c>
      <c r="K14" s="244"/>
      <c r="L14" s="244"/>
      <c r="M14" s="122">
        <f>+K14+'18'!M14+L14</f>
        <v>0</v>
      </c>
      <c r="N14" s="154" t="s">
        <v>399</v>
      </c>
      <c r="Q14" s="154">
        <f>480-Q13</f>
        <v>454</v>
      </c>
      <c r="R14" s="154">
        <f>+R13/Q13</f>
        <v>1230</v>
      </c>
      <c r="S14" s="154">
        <f>+S13/Q13</f>
        <v>947.09999999999991</v>
      </c>
    </row>
    <row r="15" spans="1:19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 t="s">
        <v>399</v>
      </c>
      <c r="J15" s="219">
        <f>+'18'!J15</f>
        <v>0</v>
      </c>
      <c r="K15" s="244"/>
      <c r="L15" s="244"/>
      <c r="M15" s="122">
        <f>+K15+'18'!M15+L15</f>
        <v>0</v>
      </c>
    </row>
    <row r="16" spans="1:19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19">
        <f>+'18'!J16</f>
        <v>0</v>
      </c>
      <c r="K16" s="234"/>
      <c r="L16" s="234"/>
      <c r="M16" s="122">
        <f>+K16+'18'!M16+L16</f>
        <v>0</v>
      </c>
    </row>
    <row r="17" spans="1:13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400</v>
      </c>
      <c r="I17" s="766"/>
      <c r="J17" s="219">
        <f>+'18'!J17</f>
        <v>0</v>
      </c>
      <c r="K17" s="234"/>
      <c r="L17" s="234"/>
      <c r="M17" s="122">
        <f>+K17+'18'!M17+L17</f>
        <v>0</v>
      </c>
    </row>
    <row r="18" spans="1:13" ht="90" thickBot="1">
      <c r="A18" s="768"/>
      <c r="B18" s="220"/>
      <c r="C18" s="221"/>
      <c r="D18" s="222"/>
      <c r="E18" s="230"/>
      <c r="F18" s="233">
        <v>480</v>
      </c>
      <c r="G18" s="237" t="s">
        <v>20</v>
      </c>
      <c r="H18" s="238" t="s">
        <v>608</v>
      </c>
      <c r="I18" s="766"/>
      <c r="J18" s="219">
        <f>+'18'!J18</f>
        <v>0</v>
      </c>
      <c r="K18" s="244"/>
      <c r="L18" s="244"/>
      <c r="M18" s="122">
        <f>+K18+'18'!M18+L18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+'18'!J19</f>
        <v>0</v>
      </c>
      <c r="K19" s="244"/>
      <c r="L19" s="244"/>
      <c r="M19" s="122">
        <f>+K19+'18'!M19+L19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+'18'!J20</f>
        <v>0</v>
      </c>
      <c r="K20" s="245"/>
      <c r="L20" s="245"/>
      <c r="M20" s="122">
        <f>+K20+'18'!M20+L20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+'18'!J21</f>
        <v>0</v>
      </c>
      <c r="K21" s="244"/>
      <c r="L21" s="244"/>
      <c r="M21" s="122">
        <f>+K21+'18'!M21+L21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+'18'!J22</f>
        <v>0</v>
      </c>
      <c r="K22" s="244"/>
      <c r="L22" s="244"/>
      <c r="M22" s="122">
        <f>+K22+'18'!M22+L22</f>
        <v>0</v>
      </c>
    </row>
    <row r="23" spans="1:13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19">
        <f>+'18'!J23</f>
        <v>0</v>
      </c>
      <c r="K23" s="244"/>
      <c r="L23" s="244"/>
      <c r="M23" s="122">
        <f>+K23+'18'!M23+L23</f>
        <v>0</v>
      </c>
    </row>
    <row r="24" spans="1:13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12</v>
      </c>
      <c r="H24" s="235" t="s">
        <v>386</v>
      </c>
      <c r="I24" s="765" t="s">
        <v>399</v>
      </c>
      <c r="J24" s="219">
        <f>+'18'!J24</f>
        <v>0</v>
      </c>
      <c r="K24" s="244"/>
      <c r="L24" s="244"/>
      <c r="M24" s="122">
        <f>+K24+'18'!M24+L24</f>
        <v>0</v>
      </c>
    </row>
    <row r="25" spans="1:13" ht="13.5" thickBot="1">
      <c r="A25" s="768"/>
      <c r="B25" s="220"/>
      <c r="C25" s="231"/>
      <c r="D25" s="222"/>
      <c r="E25" s="230"/>
      <c r="F25" s="236"/>
      <c r="G25" s="574" t="s">
        <v>12</v>
      </c>
      <c r="H25" s="235" t="s">
        <v>286</v>
      </c>
      <c r="I25" s="766"/>
      <c r="J25" s="219">
        <f>+'18'!J25</f>
        <v>0</v>
      </c>
      <c r="K25" s="244"/>
      <c r="L25" s="244"/>
      <c r="M25" s="122">
        <f>+K25+'18'!M25+L25</f>
        <v>0</v>
      </c>
    </row>
    <row r="26" spans="1:13" ht="13.5" thickBot="1">
      <c r="A26" s="768"/>
      <c r="B26" s="220"/>
      <c r="C26" s="231"/>
      <c r="D26" s="222"/>
      <c r="E26" s="232"/>
      <c r="F26" s="233"/>
      <c r="G26" s="574" t="s">
        <v>12</v>
      </c>
      <c r="H26" s="238" t="s">
        <v>400</v>
      </c>
      <c r="I26" s="766"/>
      <c r="J26" s="219">
        <f>+'18'!J26</f>
        <v>0</v>
      </c>
      <c r="K26" s="244"/>
      <c r="L26" s="244"/>
      <c r="M26" s="122">
        <f>+K26+'18'!M26+L26</f>
        <v>0</v>
      </c>
    </row>
    <row r="27" spans="1:13" ht="77.25" thickBot="1">
      <c r="A27" s="768"/>
      <c r="B27" s="220"/>
      <c r="C27" s="221"/>
      <c r="D27" s="222"/>
      <c r="E27" s="230"/>
      <c r="F27" s="233">
        <v>480</v>
      </c>
      <c r="G27" s="237" t="s">
        <v>20</v>
      </c>
      <c r="H27" s="238" t="s">
        <v>607</v>
      </c>
      <c r="I27" s="766"/>
      <c r="J27" s="219">
        <f>+'18'!J27</f>
        <v>0</v>
      </c>
      <c r="K27" s="244"/>
      <c r="L27" s="244"/>
      <c r="M27" s="122">
        <f>+K27+'18'!M27+L27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+'18'!J28</f>
        <v>0</v>
      </c>
      <c r="K28" s="244"/>
      <c r="L28" s="244"/>
      <c r="M28" s="122">
        <f>+K28+'18'!M28+L28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+'18'!J29</f>
        <v>0</v>
      </c>
      <c r="K29" s="244"/>
      <c r="L29" s="244"/>
      <c r="M29" s="122">
        <f>+K29+'18'!M29+L29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+'18'!J30</f>
        <v>0</v>
      </c>
      <c r="K30" s="244"/>
      <c r="L30" s="244"/>
      <c r="M30" s="122">
        <f>+K30+'18'!M30+L30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+'18'!J31</f>
        <v>0</v>
      </c>
      <c r="K31" s="244"/>
      <c r="L31" s="244"/>
      <c r="M31" s="122">
        <f>+K31+'18'!M31+L31</f>
        <v>0</v>
      </c>
    </row>
    <row r="32" spans="1:13" ht="13.5" thickBot="1">
      <c r="A32" s="769"/>
      <c r="B32" s="170" t="s">
        <v>2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+'18'!J32</f>
        <v>0</v>
      </c>
      <c r="K32" s="246"/>
      <c r="L32" s="248"/>
      <c r="M32" s="122">
        <f>+K32+'18'!M32+L32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70" t="s">
        <v>57</v>
      </c>
      <c r="B34" s="771"/>
      <c r="C34" s="112">
        <f>C14+C23+C32</f>
        <v>2821</v>
      </c>
      <c r="D34" s="112">
        <f>D14+D23+D32</f>
        <v>260</v>
      </c>
      <c r="E34" s="112">
        <f>E14+E23+E32</f>
        <v>0</v>
      </c>
      <c r="F34" s="113">
        <f>F14+F23+F32</f>
        <v>1414</v>
      </c>
      <c r="H34" s="183"/>
      <c r="I34" s="183"/>
      <c r="J34" s="128" t="s">
        <v>28</v>
      </c>
      <c r="K34" s="129">
        <f>SUM(K7:K32)</f>
        <v>2821</v>
      </c>
      <c r="L34" s="217">
        <f>SUM(L7:L32)</f>
        <v>0</v>
      </c>
      <c r="M34" s="125">
        <f>SUM(M7:M32)</f>
        <v>665551</v>
      </c>
      <c r="N34" s="160"/>
    </row>
    <row r="35" spans="1:14" ht="13.5" thickBot="1">
      <c r="A35" s="184"/>
      <c r="B35" s="185"/>
      <c r="C35" s="109">
        <f>C34/($C$34+$D$34+$E$34)</f>
        <v>0.91561181434599159</v>
      </c>
      <c r="D35" s="109">
        <f>D34/($C$34+$D$34+$E$34)</f>
        <v>8.4388185654008435E-2</v>
      </c>
      <c r="E35" s="114">
        <f>E34/($C$34+$D$34+$E$34)</f>
        <v>0</v>
      </c>
      <c r="K35" s="160"/>
    </row>
    <row r="36" spans="1:14" ht="13.5" thickBot="1">
      <c r="A36" s="183"/>
      <c r="B36" s="183"/>
      <c r="C36" s="160"/>
      <c r="D36" s="160"/>
      <c r="E36" s="160"/>
      <c r="G36" s="160"/>
      <c r="H36" s="186" t="s">
        <v>229</v>
      </c>
      <c r="I36" s="167" t="s">
        <v>37</v>
      </c>
      <c r="J36" s="167" t="s">
        <v>38</v>
      </c>
      <c r="K36" s="187"/>
    </row>
    <row r="37" spans="1:14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(12*26)/26*G42*2.74*26/1000000</f>
        <v>0.80965684800000004</v>
      </c>
      <c r="J37" s="130">
        <f>+I37+'18'!J37</f>
        <v>791.58963088594237</v>
      </c>
      <c r="K37" s="131" t="s">
        <v>63</v>
      </c>
    </row>
    <row r="38" spans="1:14" ht="17.45" customHeight="1">
      <c r="A38" s="774" t="s">
        <v>12</v>
      </c>
      <c r="B38" s="775"/>
      <c r="C38" s="169">
        <f>SUMIF($G$7:$G$31,"Process",$F$7:$F$31)</f>
        <v>0</v>
      </c>
      <c r="D38" s="123">
        <f>+C38+'18'!D38</f>
        <v>1223</v>
      </c>
      <c r="E38" s="148">
        <f t="shared" ref="E38:E51" si="3">D38/60</f>
        <v>20.383333333333333</v>
      </c>
      <c r="F38" s="328">
        <v>1230</v>
      </c>
      <c r="G38" s="328">
        <v>947.09999999999991</v>
      </c>
      <c r="H38" s="192" t="s">
        <v>64</v>
      </c>
      <c r="I38" s="250">
        <v>1.0549999999999999</v>
      </c>
      <c r="J38" s="132">
        <f>+I38+'18'!J38</f>
        <v>698.56799999999998</v>
      </c>
      <c r="K38" s="133" t="s">
        <v>63</v>
      </c>
    </row>
    <row r="39" spans="1:14" ht="17.45" customHeight="1">
      <c r="A39" s="776" t="s">
        <v>13</v>
      </c>
      <c r="B39" s="777"/>
      <c r="C39" s="169">
        <f>SUMIF($G$7:$G$31,"Cleaning",$F$7:$F$31)</f>
        <v>0</v>
      </c>
      <c r="D39" s="123">
        <f>+C39+'18'!D39</f>
        <v>0</v>
      </c>
      <c r="E39" s="148">
        <f t="shared" si="3"/>
        <v>0</v>
      </c>
      <c r="F39" s="328"/>
      <c r="G39" s="328"/>
      <c r="H39" s="192" t="s">
        <v>65</v>
      </c>
      <c r="I39" s="147"/>
      <c r="J39" s="134">
        <f>J37/G4</f>
        <v>41.6626121518917</v>
      </c>
      <c r="K39" s="135" t="s">
        <v>63</v>
      </c>
    </row>
    <row r="40" spans="1:14" ht="17.45" customHeight="1">
      <c r="A40" s="776" t="s">
        <v>66</v>
      </c>
      <c r="B40" s="777"/>
      <c r="C40" s="169">
        <f>SUMIF($G$7:$G$31,"Mechanical",$F$7:$F$31)</f>
        <v>0</v>
      </c>
      <c r="D40" s="123">
        <f>+C40+'18'!D40</f>
        <v>0</v>
      </c>
      <c r="E40" s="148">
        <f t="shared" si="3"/>
        <v>0</v>
      </c>
      <c r="F40" s="328"/>
      <c r="G40" s="328"/>
      <c r="H40" s="192" t="s">
        <v>67</v>
      </c>
      <c r="I40" s="123">
        <f>(K34+L34)/1000</f>
        <v>2.8210000000000002</v>
      </c>
      <c r="J40" s="136">
        <f>+I40+'18'!J40</f>
        <v>665.55100000000004</v>
      </c>
      <c r="K40" s="135" t="s">
        <v>63</v>
      </c>
    </row>
    <row r="41" spans="1:14" ht="17.45" customHeight="1">
      <c r="A41" s="776" t="s">
        <v>68</v>
      </c>
      <c r="B41" s="777"/>
      <c r="C41" s="169">
        <f>SUMIF($G$7:$G$31,"Electrical",$F$7:$F$31)</f>
        <v>0</v>
      </c>
      <c r="D41" s="123">
        <f>+C41+'18'!D41</f>
        <v>144</v>
      </c>
      <c r="E41" s="148">
        <f t="shared" si="3"/>
        <v>2.4</v>
      </c>
      <c r="F41" s="328"/>
      <c r="G41" s="328"/>
      <c r="H41" s="192" t="s">
        <v>69</v>
      </c>
      <c r="I41" s="147"/>
      <c r="J41" s="134">
        <f>J40/G4</f>
        <v>35.029000000000003</v>
      </c>
      <c r="K41" s="135" t="s">
        <v>63</v>
      </c>
    </row>
    <row r="42" spans="1:14" ht="17.45" customHeight="1">
      <c r="A42" s="776" t="s">
        <v>16</v>
      </c>
      <c r="B42" s="777"/>
      <c r="C42" s="169">
        <f>SUMIF($G$7:$G$31,"Instrument",$F$7:$F$31)</f>
        <v>0</v>
      </c>
      <c r="D42" s="123">
        <f>+C42+'18'!D42</f>
        <v>0</v>
      </c>
      <c r="E42" s="148">
        <f t="shared" si="3"/>
        <v>0</v>
      </c>
      <c r="F42" s="328">
        <v>1230</v>
      </c>
      <c r="G42" s="328">
        <v>947.09999999999991</v>
      </c>
      <c r="H42" s="192" t="s">
        <v>70</v>
      </c>
      <c r="I42" s="251"/>
      <c r="J42" s="137"/>
      <c r="K42" s="135" t="s">
        <v>71</v>
      </c>
    </row>
    <row r="43" spans="1:14" ht="17.45" customHeight="1">
      <c r="A43" s="776" t="s">
        <v>72</v>
      </c>
      <c r="B43" s="777"/>
      <c r="C43" s="169">
        <f>SUMIF($G$7:$G$31,"Water",$F$7:$F$31)</f>
        <v>0</v>
      </c>
      <c r="D43" s="123">
        <f>+C43+'18'!D43</f>
        <v>0</v>
      </c>
      <c r="E43" s="148">
        <f t="shared" si="3"/>
        <v>0</v>
      </c>
      <c r="F43" s="328"/>
      <c r="G43" s="329"/>
      <c r="H43" s="193" t="s">
        <v>73</v>
      </c>
      <c r="I43" s="123">
        <f>+Report1!Z27</f>
        <v>16.7</v>
      </c>
      <c r="J43" s="138">
        <f>+I43+'18'!J43</f>
        <v>1067.8</v>
      </c>
      <c r="K43" s="135" t="s">
        <v>63</v>
      </c>
      <c r="L43" s="194"/>
    </row>
    <row r="44" spans="1:14" ht="17.45" customHeight="1">
      <c r="A44" s="776" t="s">
        <v>17</v>
      </c>
      <c r="B44" s="777"/>
      <c r="C44" s="169">
        <f>SUMIF($G$7:$G$31,"PLN",$F$7:$F$31)</f>
        <v>0</v>
      </c>
      <c r="D44" s="123">
        <f>+C44+'18'!D44</f>
        <v>0</v>
      </c>
      <c r="E44" s="148">
        <f t="shared" si="3"/>
        <v>0</v>
      </c>
      <c r="F44" s="328"/>
      <c r="G44" s="329"/>
      <c r="H44" s="193" t="s">
        <v>74</v>
      </c>
      <c r="I44" s="123">
        <f>I43/I38</f>
        <v>15.829383886255924</v>
      </c>
      <c r="J44" s="139">
        <f>J43/J38</f>
        <v>1.5285555593728886</v>
      </c>
      <c r="K44" s="135" t="s">
        <v>63</v>
      </c>
    </row>
    <row r="45" spans="1:14" ht="17.45" customHeight="1">
      <c r="A45" s="776" t="s">
        <v>18</v>
      </c>
      <c r="B45" s="777"/>
      <c r="C45" s="169">
        <f>SUMIF($G$7:$G$31,"Boiler",$F$7:$F$31)</f>
        <v>0</v>
      </c>
      <c r="D45" s="123">
        <f>+C45+'18'!D45</f>
        <v>0</v>
      </c>
      <c r="E45" s="148">
        <f t="shared" si="3"/>
        <v>0</v>
      </c>
      <c r="F45" s="328"/>
      <c r="G45" s="331"/>
      <c r="H45" s="193" t="s">
        <v>75</v>
      </c>
      <c r="I45" s="123">
        <f>I43/I40</f>
        <v>5.9198865650478547</v>
      </c>
      <c r="J45" s="139">
        <f>J43/J40</f>
        <v>1.6043849381940676</v>
      </c>
      <c r="K45" s="135" t="s">
        <v>63</v>
      </c>
    </row>
    <row r="46" spans="1:14" ht="17.45" customHeight="1">
      <c r="A46" s="776" t="s">
        <v>76</v>
      </c>
      <c r="B46" s="777"/>
      <c r="C46" s="169">
        <f>SUMIF($G$7:$G$31,"Gas",$F$7:$F$31)</f>
        <v>0</v>
      </c>
      <c r="D46" s="123">
        <f>+C46+'18'!D46</f>
        <v>0</v>
      </c>
      <c r="E46" s="148">
        <f t="shared" si="3"/>
        <v>0</v>
      </c>
      <c r="F46" s="328"/>
      <c r="G46" s="329"/>
      <c r="H46" s="193" t="s">
        <v>77</v>
      </c>
      <c r="I46" s="145">
        <f>+SUMIF(Listrik!P26,"&gt;0")</f>
        <v>8166.5800000007275</v>
      </c>
      <c r="J46" s="140">
        <f>+I46+'18'!J46</f>
        <v>682720.24000000046</v>
      </c>
      <c r="K46" s="135" t="s">
        <v>78</v>
      </c>
    </row>
    <row r="47" spans="1:14" ht="17.45" customHeight="1">
      <c r="A47" s="776" t="s">
        <v>79</v>
      </c>
      <c r="B47" s="777"/>
      <c r="C47" s="169">
        <f>SUMIF($G$7:$G$31,"Gas",$F$7:$F$31)</f>
        <v>0</v>
      </c>
      <c r="D47" s="123">
        <f>+C47+'18'!D47</f>
        <v>0</v>
      </c>
      <c r="E47" s="148">
        <f t="shared" si="3"/>
        <v>0</v>
      </c>
      <c r="F47" s="328"/>
      <c r="G47" s="329"/>
      <c r="H47" s="193" t="s">
        <v>80</v>
      </c>
      <c r="I47" s="123">
        <f>I46/I38</f>
        <v>7740.8341232234388</v>
      </c>
      <c r="J47" s="140">
        <f>J46/J38</f>
        <v>977.3139336471188</v>
      </c>
      <c r="K47" s="135" t="s">
        <v>24</v>
      </c>
    </row>
    <row r="48" spans="1:14" ht="17.45" customHeight="1">
      <c r="A48" s="776" t="s">
        <v>14</v>
      </c>
      <c r="B48" s="777"/>
      <c r="C48" s="169">
        <f>SUMIF($G$7:$G$31,"Start Up",$F$7:$F$31)</f>
        <v>0</v>
      </c>
      <c r="D48" s="123">
        <f>+C48+'18'!D48</f>
        <v>0</v>
      </c>
      <c r="E48" s="148">
        <f t="shared" si="3"/>
        <v>0</v>
      </c>
      <c r="F48" s="328"/>
      <c r="G48" s="329"/>
      <c r="H48" s="193" t="s">
        <v>81</v>
      </c>
      <c r="I48" s="123">
        <f>I46/I40</f>
        <v>2894.9237858917854</v>
      </c>
      <c r="J48" s="140">
        <f>J46/J40</f>
        <v>1025.7970313319347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1414</v>
      </c>
      <c r="D49" s="123">
        <f>+C49+'18'!D49</f>
        <v>2134</v>
      </c>
      <c r="E49" s="148">
        <f t="shared" si="3"/>
        <v>35.56666666666667</v>
      </c>
      <c r="F49" s="190"/>
      <c r="H49" s="193" t="s">
        <v>271</v>
      </c>
      <c r="I49" s="123">
        <f>+Report1!T27</f>
        <v>0</v>
      </c>
      <c r="J49" s="140">
        <f>+I49+'18'!J49</f>
        <v>71893.909882320862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+C50+'18'!D50</f>
        <v>0</v>
      </c>
      <c r="E50" s="148">
        <f t="shared" si="3"/>
        <v>0</v>
      </c>
      <c r="F50" s="190"/>
      <c r="H50" s="193" t="s">
        <v>83</v>
      </c>
      <c r="I50" s="145">
        <f>I49/I38</f>
        <v>0</v>
      </c>
      <c r="J50" s="138">
        <f>J49/J38</f>
        <v>102.91612252825904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+C51+'18'!D51</f>
        <v>0</v>
      </c>
      <c r="E51" s="148">
        <f t="shared" si="3"/>
        <v>0</v>
      </c>
      <c r="F51" s="190"/>
      <c r="H51" s="195" t="s">
        <v>85</v>
      </c>
      <c r="I51" s="146">
        <f>I49/I40</f>
        <v>0</v>
      </c>
      <c r="J51" s="141">
        <f>J49/J40</f>
        <v>108.02163903640871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1414</v>
      </c>
      <c r="D52" s="149">
        <f>SUM(D38:D51)</f>
        <v>3501</v>
      </c>
      <c r="E52" s="150">
        <f>SUM(E38:E51)</f>
        <v>58.35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0.9819444444444444</v>
      </c>
      <c r="D53" s="151">
        <f>D52/(24*60*G4)</f>
        <v>0.12796052631578947</v>
      </c>
      <c r="E53" s="152">
        <f>E52/(G4*24)</f>
        <v>0.12796052631578947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+D34+'18'!J56</f>
        <v>3639</v>
      </c>
      <c r="K56" s="206">
        <f>J56/(J40+J56/1000)/1000</f>
        <v>5.4379174823293835E-3</v>
      </c>
    </row>
    <row r="57" spans="1:11">
      <c r="A57" s="181"/>
      <c r="I57" s="204" t="s">
        <v>88</v>
      </c>
      <c r="J57" s="205">
        <f>+E34+'18'!J57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zoomScale="80" zoomScaleNormal="80" workbookViewId="0">
      <selection activeCell="K8" sqref="K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2.28515625" style="154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18</v>
      </c>
      <c r="H4" s="159" t="str">
        <f>+'1'!H4</f>
        <v>.10.25</v>
      </c>
      <c r="J4" s="154">
        <f>459+413+421</f>
        <v>1293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389</v>
      </c>
      <c r="O6" s="154">
        <v>1230</v>
      </c>
      <c r="P6" s="154">
        <f>+O6-O6*0.23</f>
        <v>947.09999999999991</v>
      </c>
      <c r="Q6" s="154">
        <v>480</v>
      </c>
      <c r="R6" s="154">
        <f>+O6*Q6</f>
        <v>590400</v>
      </c>
      <c r="S6" s="154">
        <f>+P6*Q6</f>
        <v>454607.99999999994</v>
      </c>
    </row>
    <row r="7" spans="1:19" ht="13.5" customHeight="1" thickBot="1">
      <c r="A7" s="762"/>
      <c r="B7" s="220" t="s">
        <v>390</v>
      </c>
      <c r="C7" s="221">
        <v>6116</v>
      </c>
      <c r="D7" s="222"/>
      <c r="E7" s="223"/>
      <c r="F7" s="233">
        <v>6</v>
      </c>
      <c r="G7" s="234" t="s">
        <v>12</v>
      </c>
      <c r="H7" s="235" t="s">
        <v>458</v>
      </c>
      <c r="I7" s="765" t="s">
        <v>427</v>
      </c>
      <c r="J7" s="219" t="str">
        <f>+'17'!J7</f>
        <v>F 12 VP OW</v>
      </c>
      <c r="K7" s="243">
        <f>+C7+C16+C25</f>
        <v>27890</v>
      </c>
      <c r="L7" s="247"/>
      <c r="M7" s="122">
        <f>+K7+'17'!M7+L7</f>
        <v>127928</v>
      </c>
      <c r="P7" s="154">
        <f>+O7-O7*0.23</f>
        <v>0</v>
      </c>
      <c r="Q7" s="154">
        <f>480-Q6</f>
        <v>0</v>
      </c>
      <c r="R7" s="154">
        <f>+O7*Q7</f>
        <v>0</v>
      </c>
      <c r="S7" s="154">
        <f>+P7*Q7</f>
        <v>0</v>
      </c>
    </row>
    <row r="8" spans="1:19" ht="13.5" thickBot="1">
      <c r="A8" s="763"/>
      <c r="B8" s="220" t="s">
        <v>590</v>
      </c>
      <c r="C8" s="221">
        <f>762+3699</f>
        <v>4461</v>
      </c>
      <c r="D8" s="222"/>
      <c r="E8" s="224"/>
      <c r="F8" s="236"/>
      <c r="G8" s="574" t="s">
        <v>12</v>
      </c>
      <c r="H8" s="235" t="s">
        <v>286</v>
      </c>
      <c r="I8" s="766"/>
      <c r="J8" s="219" t="str">
        <f>+'17'!J8</f>
        <v>F 12,5 VP OW</v>
      </c>
      <c r="K8" s="244"/>
      <c r="L8" s="244"/>
      <c r="M8" s="122">
        <f>+K8+'17'!M8+L8</f>
        <v>54352</v>
      </c>
      <c r="R8" s="154">
        <f t="shared" ref="R8:R11" si="0">+O8*Q8</f>
        <v>0</v>
      </c>
      <c r="S8" s="154">
        <f t="shared" ref="S8:S11" si="1">+P8*Q8</f>
        <v>0</v>
      </c>
    </row>
    <row r="9" spans="1:19" ht="13.5" thickBot="1">
      <c r="A9" s="763"/>
      <c r="B9" s="220"/>
      <c r="C9" s="221"/>
      <c r="D9" s="222"/>
      <c r="E9" s="225"/>
      <c r="F9" s="233">
        <v>14</v>
      </c>
      <c r="G9" s="574" t="s">
        <v>12</v>
      </c>
      <c r="H9" s="238" t="s">
        <v>412</v>
      </c>
      <c r="I9" s="766"/>
      <c r="J9" s="219" t="str">
        <f>+'17'!J9</f>
        <v>T 13 VP OW</v>
      </c>
      <c r="K9" s="244"/>
      <c r="L9" s="244"/>
      <c r="M9" s="122">
        <f>+K9+'17'!M9+L9</f>
        <v>112205</v>
      </c>
      <c r="R9" s="154">
        <f t="shared" si="0"/>
        <v>0</v>
      </c>
      <c r="S9" s="154">
        <f t="shared" si="1"/>
        <v>0</v>
      </c>
    </row>
    <row r="10" spans="1:19" ht="26.25" thickBot="1">
      <c r="A10" s="763"/>
      <c r="B10" s="220"/>
      <c r="C10" s="221"/>
      <c r="D10" s="222"/>
      <c r="E10" s="224"/>
      <c r="F10" s="233"/>
      <c r="G10" s="242"/>
      <c r="H10" s="238" t="s">
        <v>615</v>
      </c>
      <c r="I10" s="766"/>
      <c r="J10" s="219" t="str">
        <f>+'17'!J10</f>
        <v>T 12,5 VP OW</v>
      </c>
      <c r="K10" s="244"/>
      <c r="L10" s="244"/>
      <c r="M10" s="122">
        <f>+K10+'17'!M10+L10</f>
        <v>310471</v>
      </c>
      <c r="R10" s="154">
        <f t="shared" si="0"/>
        <v>0</v>
      </c>
      <c r="S10" s="154">
        <f t="shared" si="1"/>
        <v>0</v>
      </c>
    </row>
    <row r="11" spans="1:19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tr">
        <f>+'17'!J11</f>
        <v>T 12 VP OW</v>
      </c>
      <c r="K11" s="244"/>
      <c r="L11" s="244"/>
      <c r="M11" s="122">
        <f>+K11+'17'!M11+L11</f>
        <v>11128</v>
      </c>
      <c r="R11" s="154">
        <f t="shared" si="0"/>
        <v>0</v>
      </c>
      <c r="S11" s="154">
        <f t="shared" si="1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+'17'!J12</f>
        <v>F 13 VP OW</v>
      </c>
      <c r="K12" s="244">
        <f>+C8+C17</f>
        <v>7388</v>
      </c>
      <c r="L12" s="244"/>
      <c r="M12" s="122">
        <f>+K12+'17'!M12+L12</f>
        <v>35492</v>
      </c>
      <c r="P12" s="154">
        <f t="shared" ref="P12" si="2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tr">
        <f>+'17'!J13</f>
        <v>F 11 VP OW</v>
      </c>
      <c r="K13" s="244"/>
      <c r="L13" s="244"/>
      <c r="M13" s="122">
        <f>+K13+'17'!M13+L13</f>
        <v>11154</v>
      </c>
      <c r="Q13" s="154">
        <f>SUM(Q5:Q11)</f>
        <v>480</v>
      </c>
      <c r="R13" s="154">
        <f>SUM(R5:R11)</f>
        <v>590400</v>
      </c>
      <c r="S13" s="154">
        <f>SUM(S5:S11)</f>
        <v>454607.99999999994</v>
      </c>
    </row>
    <row r="14" spans="1:19" ht="13.5" thickBot="1">
      <c r="A14" s="764"/>
      <c r="B14" s="170" t="s">
        <v>2</v>
      </c>
      <c r="C14" s="104">
        <f>SUM(C7:C13)</f>
        <v>10577</v>
      </c>
      <c r="D14" s="116">
        <f>SUM(D7:D13)</f>
        <v>0</v>
      </c>
      <c r="E14" s="117">
        <f>SUM(E5:E13)</f>
        <v>0</v>
      </c>
      <c r="F14" s="121">
        <f>SUM(F7:F13)</f>
        <v>20</v>
      </c>
      <c r="G14" s="164"/>
      <c r="H14" s="171"/>
      <c r="I14" s="172"/>
      <c r="J14" s="219">
        <f>+'17'!J14</f>
        <v>0</v>
      </c>
      <c r="K14" s="244"/>
      <c r="L14" s="244"/>
      <c r="M14" s="122">
        <f>+K14+'17'!M14+L14</f>
        <v>0</v>
      </c>
      <c r="N14" s="154" t="s">
        <v>399</v>
      </c>
      <c r="Q14" s="154">
        <f>480-Q13</f>
        <v>0</v>
      </c>
      <c r="R14" s="154">
        <f>+R13/Q13</f>
        <v>1230</v>
      </c>
      <c r="S14" s="154">
        <f>+S13/Q13</f>
        <v>947.09999999999991</v>
      </c>
    </row>
    <row r="15" spans="1:19" ht="13.5" customHeight="1" thickBot="1">
      <c r="A15" s="762"/>
      <c r="B15" s="170"/>
      <c r="C15" s="118">
        <f>C14/($C$23+$D$23+$E$23)</f>
        <v>0.85092518101367653</v>
      </c>
      <c r="D15" s="119">
        <f>D14/($C$23+$D$23+$E$23)</f>
        <v>0</v>
      </c>
      <c r="E15" s="120">
        <f>E14/($C$23+$D$23+$E$23)</f>
        <v>0</v>
      </c>
      <c r="F15" s="233">
        <v>9</v>
      </c>
      <c r="G15" s="234" t="s">
        <v>12</v>
      </c>
      <c r="H15" s="235" t="s">
        <v>458</v>
      </c>
      <c r="I15" s="765" t="s">
        <v>492</v>
      </c>
      <c r="J15" s="219">
        <f>+'17'!J15</f>
        <v>0</v>
      </c>
      <c r="K15" s="244"/>
      <c r="L15" s="244"/>
      <c r="M15" s="122">
        <f>+K15+'17'!M15+L15</f>
        <v>0</v>
      </c>
    </row>
    <row r="16" spans="1:19" ht="13.5" thickBot="1">
      <c r="A16" s="768"/>
      <c r="B16" s="220" t="s">
        <v>390</v>
      </c>
      <c r="C16" s="227">
        <f>4007+5496</f>
        <v>9503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+'17'!J16</f>
        <v>0</v>
      </c>
      <c r="K16" s="234"/>
      <c r="L16" s="234"/>
      <c r="M16" s="122">
        <f>+K16+'17'!M16+L16</f>
        <v>0</v>
      </c>
      <c r="N16" s="154" t="s">
        <v>389</v>
      </c>
      <c r="O16" s="154">
        <v>1220</v>
      </c>
      <c r="P16" s="154">
        <f>+O16-O16*0.23</f>
        <v>939.4</v>
      </c>
      <c r="Q16" s="154">
        <v>480</v>
      </c>
      <c r="R16" s="154">
        <f>+O16*Q16</f>
        <v>585600</v>
      </c>
      <c r="S16" s="154">
        <f>+P16*Q16</f>
        <v>450912</v>
      </c>
    </row>
    <row r="17" spans="1:19" ht="13.5" thickBot="1">
      <c r="A17" s="768"/>
      <c r="B17" s="220" t="s">
        <v>590</v>
      </c>
      <c r="C17" s="221">
        <f>497+2430</f>
        <v>2927</v>
      </c>
      <c r="D17" s="222"/>
      <c r="E17" s="230"/>
      <c r="F17" s="233">
        <v>20</v>
      </c>
      <c r="G17" s="574" t="s">
        <v>12</v>
      </c>
      <c r="H17" s="238" t="s">
        <v>412</v>
      </c>
      <c r="I17" s="766"/>
      <c r="J17" s="219">
        <f>+'17'!J17</f>
        <v>0</v>
      </c>
      <c r="K17" s="234"/>
      <c r="L17" s="234"/>
      <c r="M17" s="122">
        <f>+K17+'17'!M17+L17</f>
        <v>0</v>
      </c>
      <c r="P17" s="154">
        <f>+O17-O17*0.23</f>
        <v>0</v>
      </c>
      <c r="Q17" s="154">
        <f>480-Q16</f>
        <v>0</v>
      </c>
      <c r="R17" s="154">
        <f>+O17*Q17</f>
        <v>0</v>
      </c>
      <c r="S17" s="154">
        <f>+P17*Q17</f>
        <v>0</v>
      </c>
    </row>
    <row r="18" spans="1:19" ht="51.75" thickBot="1">
      <c r="A18" s="768"/>
      <c r="B18" s="220"/>
      <c r="C18" s="221"/>
      <c r="D18" s="222"/>
      <c r="E18" s="230"/>
      <c r="F18" s="233"/>
      <c r="G18" s="242"/>
      <c r="H18" s="238" t="s">
        <v>614</v>
      </c>
      <c r="I18" s="766"/>
      <c r="J18" s="219">
        <f>+'17'!J18</f>
        <v>0</v>
      </c>
      <c r="K18" s="244"/>
      <c r="L18" s="244"/>
      <c r="M18" s="122">
        <f>+K18+'17'!M18+L18</f>
        <v>0</v>
      </c>
      <c r="R18" s="154">
        <f t="shared" ref="R18:R21" si="3">+O18*Q18</f>
        <v>0</v>
      </c>
      <c r="S18" s="154">
        <f t="shared" ref="S18:S21" si="4">+P18*Q18</f>
        <v>0</v>
      </c>
    </row>
    <row r="19" spans="1:19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+'17'!J19</f>
        <v>0</v>
      </c>
      <c r="K19" s="244"/>
      <c r="L19" s="244"/>
      <c r="M19" s="122">
        <f>+K19+'17'!M19+L19</f>
        <v>0</v>
      </c>
      <c r="R19" s="154">
        <f t="shared" si="3"/>
        <v>0</v>
      </c>
      <c r="S19" s="154">
        <f t="shared" si="4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+'17'!J20</f>
        <v>0</v>
      </c>
      <c r="K20" s="245"/>
      <c r="L20" s="245"/>
      <c r="M20" s="122">
        <f>+K20+'17'!M20+L20</f>
        <v>0</v>
      </c>
      <c r="R20" s="154">
        <f t="shared" si="3"/>
        <v>0</v>
      </c>
      <c r="S20" s="154">
        <f t="shared" si="4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+'17'!J21</f>
        <v>0</v>
      </c>
      <c r="K21" s="244"/>
      <c r="L21" s="244"/>
      <c r="M21" s="122">
        <f>+K21+'17'!M21+L21</f>
        <v>0</v>
      </c>
      <c r="R21" s="154">
        <f t="shared" si="3"/>
        <v>0</v>
      </c>
      <c r="S21" s="154">
        <f t="shared" si="4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+'17'!J22</f>
        <v>0</v>
      </c>
      <c r="K22" s="244"/>
      <c r="L22" s="244"/>
      <c r="M22" s="122">
        <f>+K22+'17'!M22+L22</f>
        <v>0</v>
      </c>
      <c r="P22" s="154">
        <f t="shared" ref="P22" si="5">+O22-O22*0.17</f>
        <v>0</v>
      </c>
    </row>
    <row r="23" spans="1:19" ht="13.5" thickBot="1">
      <c r="A23" s="769"/>
      <c r="B23" s="173" t="s">
        <v>2</v>
      </c>
      <c r="C23" s="105">
        <f>SUM(C16:C22)</f>
        <v>12430</v>
      </c>
      <c r="D23" s="116">
        <f>SUM(D16:D22)</f>
        <v>0</v>
      </c>
      <c r="E23" s="117">
        <f>SUM(E18:E22)</f>
        <v>0</v>
      </c>
      <c r="F23" s="121">
        <f>SUM(F15:F22)</f>
        <v>29</v>
      </c>
      <c r="G23" s="164"/>
      <c r="H23" s="171"/>
      <c r="I23" s="174"/>
      <c r="J23" s="219">
        <f>+'17'!J23</f>
        <v>0</v>
      </c>
      <c r="K23" s="244"/>
      <c r="L23" s="244"/>
      <c r="M23" s="122">
        <f>+K23+'17'!M23+L23</f>
        <v>0</v>
      </c>
      <c r="Q23" s="154">
        <f>SUM(Q15:Q21)</f>
        <v>480</v>
      </c>
      <c r="R23" s="154">
        <f>SUM(R15:R21)</f>
        <v>585600</v>
      </c>
      <c r="S23" s="154">
        <f>SUM(S15:S21)</f>
        <v>450912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492</v>
      </c>
      <c r="J24" s="219">
        <f>+'17'!J24</f>
        <v>0</v>
      </c>
      <c r="K24" s="244"/>
      <c r="L24" s="244"/>
      <c r="M24" s="122">
        <f>+K24+'17'!M24+L24</f>
        <v>0</v>
      </c>
      <c r="N24" s="154" t="s">
        <v>399</v>
      </c>
      <c r="Q24" s="154">
        <f>480-Q23</f>
        <v>0</v>
      </c>
      <c r="R24" s="154">
        <f>+R23/Q23</f>
        <v>1220</v>
      </c>
      <c r="S24" s="154">
        <f>+S23/Q23</f>
        <v>939.4</v>
      </c>
    </row>
    <row r="25" spans="1:19" ht="13.5" thickBot="1">
      <c r="A25" s="768"/>
      <c r="B25" s="220" t="s">
        <v>390</v>
      </c>
      <c r="C25" s="231">
        <v>12271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+'17'!J25</f>
        <v>0</v>
      </c>
      <c r="K25" s="244"/>
      <c r="L25" s="244"/>
      <c r="M25" s="122">
        <f>+K25+'17'!M25+L25</f>
        <v>0</v>
      </c>
    </row>
    <row r="26" spans="1:19" ht="13.5" thickBot="1">
      <c r="A26" s="768"/>
      <c r="B26" s="220"/>
      <c r="C26" s="231"/>
      <c r="D26" s="222"/>
      <c r="E26" s="232"/>
      <c r="F26" s="233">
        <v>26</v>
      </c>
      <c r="G26" s="574" t="s">
        <v>12</v>
      </c>
      <c r="H26" s="238" t="s">
        <v>459</v>
      </c>
      <c r="I26" s="766"/>
      <c r="J26" s="219">
        <f>+'17'!J26</f>
        <v>0</v>
      </c>
      <c r="K26" s="244"/>
      <c r="L26" s="244"/>
      <c r="M26" s="122">
        <f>+K26+'17'!M26+L26</f>
        <v>0</v>
      </c>
      <c r="N26" s="154" t="s">
        <v>389</v>
      </c>
      <c r="O26" s="154">
        <v>1220</v>
      </c>
      <c r="P26" s="154">
        <f>+O26-O26*0.23</f>
        <v>939.4</v>
      </c>
      <c r="Q26" s="154">
        <v>480</v>
      </c>
      <c r="R26" s="154">
        <f>+O26*Q26</f>
        <v>585600</v>
      </c>
      <c r="S26" s="154">
        <f>+P26*Q26</f>
        <v>450912</v>
      </c>
    </row>
    <row r="27" spans="1:19" ht="51.75" thickBot="1">
      <c r="A27" s="768"/>
      <c r="B27" s="220"/>
      <c r="C27" s="221"/>
      <c r="D27" s="222"/>
      <c r="E27" s="230"/>
      <c r="F27" s="233"/>
      <c r="G27" s="242"/>
      <c r="H27" s="238" t="s">
        <v>612</v>
      </c>
      <c r="I27" s="766"/>
      <c r="J27" s="219">
        <f>+'17'!J27</f>
        <v>0</v>
      </c>
      <c r="K27" s="244"/>
      <c r="L27" s="244"/>
      <c r="M27" s="122">
        <f>+K27+'17'!M27+L27</f>
        <v>0</v>
      </c>
      <c r="P27" s="154">
        <f>+O27-O27*0.23</f>
        <v>0</v>
      </c>
      <c r="Q27" s="154">
        <f>480-Q26</f>
        <v>0</v>
      </c>
      <c r="R27" s="154">
        <f>+O27*Q27</f>
        <v>0</v>
      </c>
      <c r="S27" s="154">
        <f>+P27*Q27</f>
        <v>0</v>
      </c>
    </row>
    <row r="28" spans="1:19" ht="26.25" thickBot="1">
      <c r="A28" s="768"/>
      <c r="B28" s="220"/>
      <c r="C28" s="221"/>
      <c r="D28" s="222"/>
      <c r="E28" s="230"/>
      <c r="F28" s="236"/>
      <c r="G28" s="237"/>
      <c r="H28" s="238" t="s">
        <v>613</v>
      </c>
      <c r="I28" s="766"/>
      <c r="J28" s="219">
        <f>+'17'!J28</f>
        <v>0</v>
      </c>
      <c r="K28" s="244"/>
      <c r="L28" s="244"/>
      <c r="M28" s="122">
        <f>+K28+'17'!M28+L28</f>
        <v>0</v>
      </c>
      <c r="R28" s="154">
        <f t="shared" ref="R28:R31" si="6">+O28*Q28</f>
        <v>0</v>
      </c>
      <c r="S28" s="154">
        <f t="shared" ref="S28:S31" si="7">+P28*Q28</f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+'17'!J29</f>
        <v>0</v>
      </c>
      <c r="K29" s="244"/>
      <c r="L29" s="244"/>
      <c r="M29" s="122">
        <f>+K29+'17'!M29+L29</f>
        <v>0</v>
      </c>
      <c r="R29" s="154">
        <f t="shared" si="6"/>
        <v>0</v>
      </c>
      <c r="S29" s="154">
        <f t="shared" si="7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+'17'!J30</f>
        <v>0</v>
      </c>
      <c r="K30" s="244"/>
      <c r="L30" s="244"/>
      <c r="M30" s="122">
        <f>+K30+'17'!M30+L30</f>
        <v>0</v>
      </c>
      <c r="R30" s="154">
        <f t="shared" si="6"/>
        <v>0</v>
      </c>
      <c r="S30" s="154">
        <f t="shared" si="7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+'17'!J31</f>
        <v>0</v>
      </c>
      <c r="K31" s="244"/>
      <c r="L31" s="244"/>
      <c r="M31" s="122">
        <f>+K31+'17'!M31+L31</f>
        <v>0</v>
      </c>
      <c r="R31" s="154">
        <f t="shared" si="6"/>
        <v>0</v>
      </c>
      <c r="S31" s="154">
        <f t="shared" si="7"/>
        <v>0</v>
      </c>
    </row>
    <row r="32" spans="1:19" ht="13.5" thickBot="1">
      <c r="A32" s="769"/>
      <c r="B32" s="170" t="s">
        <v>2</v>
      </c>
      <c r="C32" s="104">
        <f>SUM(C25:C31)</f>
        <v>12271</v>
      </c>
      <c r="D32" s="105">
        <f>SUM(D25:D31)</f>
        <v>0</v>
      </c>
      <c r="E32" s="106">
        <f>SUM(E25:E31)</f>
        <v>0</v>
      </c>
      <c r="F32" s="107">
        <f>SUM(F24:F31)</f>
        <v>26</v>
      </c>
      <c r="G32" s="176"/>
      <c r="H32" s="177"/>
      <c r="I32" s="174"/>
      <c r="J32" s="219">
        <f>+'17'!J32</f>
        <v>0</v>
      </c>
      <c r="K32" s="246"/>
      <c r="L32" s="248"/>
      <c r="M32" s="122">
        <f>+K32+'17'!M32+L32</f>
        <v>0</v>
      </c>
      <c r="P32" s="154">
        <f t="shared" ref="P32" si="8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585600</v>
      </c>
      <c r="S33" s="154">
        <f>SUM(S25:S31)</f>
        <v>450912</v>
      </c>
    </row>
    <row r="34" spans="1:19" ht="13.5" thickBot="1">
      <c r="A34" s="770" t="s">
        <v>57</v>
      </c>
      <c r="B34" s="771"/>
      <c r="C34" s="112">
        <f>C14+C23+C32</f>
        <v>35278</v>
      </c>
      <c r="D34" s="112">
        <f>D14+D23+D32</f>
        <v>0</v>
      </c>
      <c r="E34" s="112">
        <f>E14+E23+E32</f>
        <v>0</v>
      </c>
      <c r="F34" s="113">
        <f>F14+F23+F32</f>
        <v>75</v>
      </c>
      <c r="H34" s="183"/>
      <c r="I34" s="183"/>
      <c r="J34" s="128" t="s">
        <v>28</v>
      </c>
      <c r="K34" s="129">
        <f>SUM(K7:K32)</f>
        <v>35278</v>
      </c>
      <c r="L34" s="217">
        <f>SUM(L7:L32)</f>
        <v>0</v>
      </c>
      <c r="M34" s="125">
        <f>SUM(M7:M32)</f>
        <v>662730</v>
      </c>
      <c r="N34" s="154" t="s">
        <v>399</v>
      </c>
      <c r="Q34" s="154">
        <f>480-Q33</f>
        <v>0</v>
      </c>
      <c r="R34" s="154">
        <f>+R33/Q33</f>
        <v>1220</v>
      </c>
      <c r="S34" s="154">
        <f>+S33/Q33</f>
        <v>939.4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(12*1440)/1440*G42*2.74*1440/1000000</f>
        <v>44.599484160000003</v>
      </c>
      <c r="J37" s="130">
        <f>+I37+'17'!J37</f>
        <v>790.77997403794234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75</v>
      </c>
      <c r="D38" s="123">
        <f>+C38+'17'!D38</f>
        <v>1223</v>
      </c>
      <c r="E38" s="148">
        <f t="shared" ref="E38:E51" si="9">D38/60</f>
        <v>20.383333333333333</v>
      </c>
      <c r="F38" s="328">
        <v>1230</v>
      </c>
      <c r="G38" s="328">
        <v>947.09999999999991</v>
      </c>
      <c r="H38" s="192" t="s">
        <v>64</v>
      </c>
      <c r="I38" s="250">
        <f>12.632+13.024+11.684</f>
        <v>37.339999999999996</v>
      </c>
      <c r="J38" s="132">
        <f>+I38+'17'!J38</f>
        <v>697.51300000000003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+C39+'17'!D39</f>
        <v>0</v>
      </c>
      <c r="E39" s="148">
        <f t="shared" si="9"/>
        <v>0</v>
      </c>
      <c r="F39" s="328">
        <v>1220</v>
      </c>
      <c r="G39" s="328">
        <v>939.4</v>
      </c>
      <c r="H39" s="192" t="s">
        <v>65</v>
      </c>
      <c r="I39" s="147"/>
      <c r="J39" s="134">
        <f>J37/G4</f>
        <v>43.932220779885682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+C40+'17'!D40</f>
        <v>0</v>
      </c>
      <c r="E40" s="148">
        <f t="shared" si="9"/>
        <v>0</v>
      </c>
      <c r="F40" s="328">
        <v>1220</v>
      </c>
      <c r="G40" s="328">
        <v>939.4</v>
      </c>
      <c r="H40" s="192" t="s">
        <v>67</v>
      </c>
      <c r="I40" s="123">
        <f>(K34+L34)/1000</f>
        <v>35.277999999999999</v>
      </c>
      <c r="J40" s="136">
        <f>+I40+'17'!J40</f>
        <v>662.73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+C41+'17'!D41</f>
        <v>144</v>
      </c>
      <c r="E41" s="148">
        <f t="shared" si="9"/>
        <v>2.4</v>
      </c>
      <c r="F41" s="328"/>
      <c r="G41" s="328"/>
      <c r="H41" s="192" t="s">
        <v>69</v>
      </c>
      <c r="I41" s="147"/>
      <c r="J41" s="134">
        <f>J40/G4</f>
        <v>36.818333333333335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+C42+'17'!D42</f>
        <v>0</v>
      </c>
      <c r="E42" s="148">
        <f t="shared" si="9"/>
        <v>0</v>
      </c>
      <c r="F42" s="328">
        <f>+(F38*480+F39*480+F40*480)/1440</f>
        <v>1223.3333333333333</v>
      </c>
      <c r="G42" s="328">
        <f>+(G38*480+G39*480+G40*480)/1440</f>
        <v>941.9666666666667</v>
      </c>
      <c r="H42" s="192" t="s">
        <v>70</v>
      </c>
      <c r="I42" s="251" t="s">
        <v>616</v>
      </c>
      <c r="J42" s="137"/>
      <c r="K42" s="135" t="s">
        <v>71</v>
      </c>
    </row>
    <row r="43" spans="1:19" ht="17.45" customHeight="1">
      <c r="A43" s="776" t="s">
        <v>222</v>
      </c>
      <c r="B43" s="777"/>
      <c r="C43" s="169">
        <f>SUMIF($G$7:$G$31,"Change Grade",$F$7:$F$31)</f>
        <v>0</v>
      </c>
      <c r="D43" s="123">
        <f>+C43+'17'!D43</f>
        <v>0</v>
      </c>
      <c r="E43" s="148">
        <f t="shared" si="9"/>
        <v>0</v>
      </c>
      <c r="F43" s="328"/>
      <c r="G43" s="329"/>
      <c r="H43" s="193" t="s">
        <v>73</v>
      </c>
      <c r="I43" s="123">
        <f>+Report1!Z26</f>
        <v>60.5</v>
      </c>
      <c r="J43" s="138">
        <f>+I43+'17'!J43</f>
        <v>1051.0999999999999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+C44+'17'!D44</f>
        <v>0</v>
      </c>
      <c r="E44" s="148">
        <f t="shared" si="9"/>
        <v>0</v>
      </c>
      <c r="F44" s="328"/>
      <c r="G44" s="329"/>
      <c r="H44" s="193" t="s">
        <v>74</v>
      </c>
      <c r="I44" s="123">
        <f>I43/I38</f>
        <v>1.6202463845741832</v>
      </c>
      <c r="J44" s="139">
        <f>J43/J38</f>
        <v>1.5069253189546286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+C45+'17'!D45</f>
        <v>0</v>
      </c>
      <c r="E45" s="148">
        <f t="shared" si="9"/>
        <v>0</v>
      </c>
      <c r="F45" s="328"/>
      <c r="G45" s="331"/>
      <c r="H45" s="193" t="s">
        <v>75</v>
      </c>
      <c r="I45" s="123">
        <f>I43/I40</f>
        <v>1.7149498270877035</v>
      </c>
      <c r="J45" s="139">
        <f>J43/J40</f>
        <v>1.5860154210613673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+C46+'17'!D46</f>
        <v>0</v>
      </c>
      <c r="E46" s="148">
        <f t="shared" si="9"/>
        <v>0</v>
      </c>
      <c r="F46" s="328"/>
      <c r="G46" s="329"/>
      <c r="H46" s="193" t="s">
        <v>77</v>
      </c>
      <c r="I46" s="145">
        <f>+SUMIF(Listrik!P25,"&gt;0")</f>
        <v>37297.979999999639</v>
      </c>
      <c r="J46" s="140">
        <f>+I46+'17'!J46</f>
        <v>674553.65999999968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+C47+'17'!D47</f>
        <v>0</v>
      </c>
      <c r="E47" s="148">
        <f t="shared" si="9"/>
        <v>0</v>
      </c>
      <c r="F47" s="328"/>
      <c r="G47" s="329"/>
      <c r="H47" s="193" t="s">
        <v>80</v>
      </c>
      <c r="I47" s="123">
        <f>I46/I38</f>
        <v>998.87466523834075</v>
      </c>
      <c r="J47" s="140">
        <f>J46/J38</f>
        <v>967.08399700077223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+C48+'17'!D48</f>
        <v>0</v>
      </c>
      <c r="E48" s="148">
        <f t="shared" si="9"/>
        <v>0</v>
      </c>
      <c r="F48" s="328"/>
      <c r="G48" s="329"/>
      <c r="H48" s="193" t="s">
        <v>81</v>
      </c>
      <c r="I48" s="123">
        <f>I46/I40</f>
        <v>1057.2589149044629</v>
      </c>
      <c r="J48" s="140">
        <f>J46/J40</f>
        <v>1017.840840161151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+C49+'17'!D49</f>
        <v>720</v>
      </c>
      <c r="E49" s="148">
        <f t="shared" si="9"/>
        <v>12</v>
      </c>
      <c r="F49" s="190"/>
      <c r="H49" s="193" t="s">
        <v>271</v>
      </c>
      <c r="I49" s="123">
        <f>+Report1!T26</f>
        <v>3170.1143882086876</v>
      </c>
      <c r="J49" s="140">
        <f>+I49+'17'!J49</f>
        <v>71893.909882320862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+C50+'17'!D50</f>
        <v>0</v>
      </c>
      <c r="E50" s="148">
        <f t="shared" si="9"/>
        <v>0</v>
      </c>
      <c r="F50" s="190"/>
      <c r="H50" s="193" t="s">
        <v>83</v>
      </c>
      <c r="I50" s="145">
        <f>I49/I38</f>
        <v>84.898617788127694</v>
      </c>
      <c r="J50" s="138">
        <f>J49/J38</f>
        <v>103.07178487328675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+C51+'17'!D51</f>
        <v>0</v>
      </c>
      <c r="E51" s="148">
        <f t="shared" si="9"/>
        <v>0</v>
      </c>
      <c r="F51" s="190"/>
      <c r="H51" s="195" t="s">
        <v>85</v>
      </c>
      <c r="I51" s="146">
        <f>I49/I40</f>
        <v>89.860944163747604</v>
      </c>
      <c r="J51" s="141">
        <f>J49/J40</f>
        <v>108.48144777257836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75</v>
      </c>
      <c r="D52" s="149">
        <f>SUM(D38:D51)</f>
        <v>2087</v>
      </c>
      <c r="E52" s="150">
        <f>SUM(E38:E51)</f>
        <v>34.783333333333331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5.2083333333333336E-2</v>
      </c>
      <c r="D53" s="151">
        <f>D52/(24*60*G4)</f>
        <v>8.0516975308641978E-2</v>
      </c>
      <c r="E53" s="152">
        <f>E52/(G4*24)</f>
        <v>8.0516975308641978E-2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+D34+'17'!J56</f>
        <v>3379</v>
      </c>
      <c r="K56" s="206">
        <f>J56/(J40+J56/1000)/1000</f>
        <v>5.0727433498121179E-3</v>
      </c>
    </row>
    <row r="57" spans="1:11">
      <c r="A57" s="181"/>
      <c r="I57" s="204" t="s">
        <v>88</v>
      </c>
      <c r="J57" s="205">
        <f>+E34+'17'!J57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26" ht="15.75">
      <c r="A1" s="153"/>
    </row>
    <row r="2" spans="1:26" ht="15.75">
      <c r="A2" s="153" t="s">
        <v>184</v>
      </c>
    </row>
    <row r="3" spans="1:26" ht="15">
      <c r="A3" s="155"/>
    </row>
    <row r="4" spans="1:26" ht="20.25">
      <c r="A4" s="156" t="s">
        <v>3</v>
      </c>
      <c r="B4" s="157"/>
      <c r="F4" s="158" t="s">
        <v>29</v>
      </c>
      <c r="G4" s="159">
        <v>17</v>
      </c>
      <c r="H4" s="159" t="str">
        <f>+'1'!H4</f>
        <v>.10.25</v>
      </c>
      <c r="J4" s="154">
        <f>554+719+466</f>
        <v>1739</v>
      </c>
    </row>
    <row r="5" spans="1:26" ht="13.5" thickBot="1">
      <c r="C5" s="160"/>
      <c r="D5" s="160"/>
    </row>
    <row r="6" spans="1:26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586</v>
      </c>
      <c r="O6" s="154">
        <v>1230</v>
      </c>
      <c r="P6" s="154">
        <f>+O6-O6*0.24</f>
        <v>934.8</v>
      </c>
      <c r="Q6" s="154">
        <f>60*2+10</f>
        <v>130</v>
      </c>
      <c r="R6" s="154">
        <f>+O6*Q6</f>
        <v>159900</v>
      </c>
      <c r="S6" s="154">
        <f>+P6*Q6</f>
        <v>121524</v>
      </c>
      <c r="U6" s="154" t="s">
        <v>597</v>
      </c>
      <c r="V6" s="154">
        <v>1230</v>
      </c>
      <c r="W6" s="154">
        <v>947.09999999999991</v>
      </c>
      <c r="X6" s="154">
        <v>350</v>
      </c>
      <c r="Y6" s="154">
        <f>+V6*X6</f>
        <v>430500</v>
      </c>
      <c r="Z6" s="154">
        <f>+W6*X6</f>
        <v>331484.99999999994</v>
      </c>
    </row>
    <row r="7" spans="1:26" ht="13.5" customHeight="1" thickBot="1">
      <c r="A7" s="762"/>
      <c r="B7" s="220" t="s">
        <v>590</v>
      </c>
      <c r="C7" s="221">
        <v>6603</v>
      </c>
      <c r="D7" s="222"/>
      <c r="E7" s="223"/>
      <c r="F7" s="233"/>
      <c r="G7" s="234" t="s">
        <v>12</v>
      </c>
      <c r="H7" s="235" t="s">
        <v>386</v>
      </c>
      <c r="I7" s="765" t="s">
        <v>598</v>
      </c>
      <c r="J7" s="219" t="str">
        <f>+'16'!J7</f>
        <v>F 12 VP OW</v>
      </c>
      <c r="K7" s="243">
        <f>+C17+C25</f>
        <v>10857</v>
      </c>
      <c r="L7" s="247"/>
      <c r="M7" s="122">
        <f>+K7+'16'!M7+L7</f>
        <v>100038</v>
      </c>
      <c r="N7" s="154" t="s">
        <v>597</v>
      </c>
      <c r="O7" s="154">
        <v>1230</v>
      </c>
      <c r="P7" s="154">
        <f>+O7-O7*0.23</f>
        <v>947.09999999999991</v>
      </c>
      <c r="Q7" s="154">
        <f>480-Q6</f>
        <v>350</v>
      </c>
      <c r="R7" s="154">
        <f>+O7*Q7</f>
        <v>430500</v>
      </c>
      <c r="S7" s="154">
        <f>+P7*Q7</f>
        <v>331484.99999999994</v>
      </c>
      <c r="U7" s="154" t="s">
        <v>597</v>
      </c>
      <c r="V7" s="154">
        <v>1200</v>
      </c>
      <c r="W7" s="154">
        <v>936</v>
      </c>
      <c r="X7" s="154">
        <v>154</v>
      </c>
      <c r="Y7" s="154">
        <f>+V7*X7</f>
        <v>184800</v>
      </c>
      <c r="Z7" s="154">
        <f>+W7*X7</f>
        <v>144144</v>
      </c>
    </row>
    <row r="8" spans="1:26" ht="13.5" thickBot="1">
      <c r="A8" s="763"/>
      <c r="B8" s="220" t="s">
        <v>606</v>
      </c>
      <c r="C8" s="221">
        <v>5156</v>
      </c>
      <c r="D8" s="222"/>
      <c r="E8" s="224"/>
      <c r="F8" s="236">
        <v>15</v>
      </c>
      <c r="G8" s="574" t="s">
        <v>12</v>
      </c>
      <c r="H8" s="235" t="s">
        <v>388</v>
      </c>
      <c r="I8" s="766"/>
      <c r="J8" s="219" t="str">
        <f>+'16'!J8</f>
        <v>F 12,5 VP OW</v>
      </c>
      <c r="K8" s="244"/>
      <c r="L8" s="244"/>
      <c r="M8" s="122">
        <f>+K8+'16'!M8+L8</f>
        <v>54352</v>
      </c>
      <c r="R8" s="154">
        <f t="shared" ref="R8:R11" si="0">+O8*Q8</f>
        <v>0</v>
      </c>
      <c r="S8" s="154">
        <f t="shared" ref="S8:S11" si="1">+P8*Q8</f>
        <v>0</v>
      </c>
      <c r="Y8" s="154">
        <f t="shared" ref="Y8:Y11" si="2">+V8*X8</f>
        <v>0</v>
      </c>
      <c r="Z8" s="154">
        <f t="shared" ref="Z8:Z11" si="3">+W8*X8</f>
        <v>0</v>
      </c>
    </row>
    <row r="9" spans="1:26" ht="13.5" thickBot="1">
      <c r="A9" s="763"/>
      <c r="B9" s="220"/>
      <c r="C9" s="221"/>
      <c r="D9" s="222"/>
      <c r="E9" s="225"/>
      <c r="F9" s="233">
        <f>38-15</f>
        <v>23</v>
      </c>
      <c r="G9" s="574" t="s">
        <v>12</v>
      </c>
      <c r="H9" s="238" t="s">
        <v>461</v>
      </c>
      <c r="I9" s="766"/>
      <c r="J9" s="219" t="str">
        <f>+'16'!J9</f>
        <v>T 13 VP OW</v>
      </c>
      <c r="K9" s="244"/>
      <c r="L9" s="244"/>
      <c r="M9" s="122">
        <f>+K9+'16'!M9+L9</f>
        <v>112205</v>
      </c>
      <c r="R9" s="154">
        <f t="shared" si="0"/>
        <v>0</v>
      </c>
      <c r="S9" s="154">
        <f t="shared" si="1"/>
        <v>0</v>
      </c>
      <c r="Y9" s="154">
        <f t="shared" si="2"/>
        <v>0</v>
      </c>
      <c r="Z9" s="154">
        <f t="shared" si="3"/>
        <v>0</v>
      </c>
    </row>
    <row r="10" spans="1:26" ht="39" thickBot="1">
      <c r="A10" s="763"/>
      <c r="B10" s="220"/>
      <c r="C10" s="221"/>
      <c r="D10" s="222"/>
      <c r="E10" s="224"/>
      <c r="F10" s="233"/>
      <c r="G10" s="242"/>
      <c r="H10" s="238" t="s">
        <v>595</v>
      </c>
      <c r="I10" s="766"/>
      <c r="J10" s="219" t="str">
        <f>+'16'!J10</f>
        <v>T 12,5 VP OW</v>
      </c>
      <c r="K10" s="244"/>
      <c r="L10" s="244"/>
      <c r="M10" s="122">
        <f>+K10+'16'!M10+L10</f>
        <v>310471</v>
      </c>
      <c r="R10" s="154">
        <f t="shared" si="0"/>
        <v>0</v>
      </c>
      <c r="S10" s="154">
        <f t="shared" si="1"/>
        <v>0</v>
      </c>
      <c r="Y10" s="154">
        <f t="shared" si="2"/>
        <v>0</v>
      </c>
      <c r="Z10" s="154">
        <f t="shared" si="3"/>
        <v>0</v>
      </c>
    </row>
    <row r="11" spans="1:26" ht="64.5" thickBot="1">
      <c r="A11" s="763"/>
      <c r="B11" s="220"/>
      <c r="C11" s="221"/>
      <c r="D11" s="222"/>
      <c r="E11" s="224"/>
      <c r="F11" s="233"/>
      <c r="G11" s="237"/>
      <c r="H11" s="238" t="s">
        <v>596</v>
      </c>
      <c r="I11" s="766"/>
      <c r="J11" s="219" t="str">
        <f>+'16'!J11</f>
        <v>T 12 VP OW</v>
      </c>
      <c r="K11" s="244"/>
      <c r="L11" s="244"/>
      <c r="M11" s="122">
        <f>+K11+'16'!M11+L11</f>
        <v>11128</v>
      </c>
      <c r="R11" s="154">
        <f t="shared" si="0"/>
        <v>0</v>
      </c>
      <c r="S11" s="154">
        <f t="shared" si="1"/>
        <v>0</v>
      </c>
      <c r="Y11" s="154">
        <f t="shared" si="2"/>
        <v>0</v>
      </c>
      <c r="Z11" s="154">
        <f t="shared" si="3"/>
        <v>0</v>
      </c>
    </row>
    <row r="12" spans="1:26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tr">
        <f>+'16'!J12</f>
        <v>F 13 VP OW</v>
      </c>
      <c r="K12" s="244">
        <f>+C7+C18+C26</f>
        <v>13881</v>
      </c>
      <c r="L12" s="244"/>
      <c r="M12" s="122">
        <f>+K12+'16'!M12+L12</f>
        <v>28104</v>
      </c>
      <c r="P12" s="154">
        <f t="shared" ref="P12" si="4">+O12-O12*0.17</f>
        <v>0</v>
      </c>
      <c r="W12" s="154">
        <f t="shared" ref="W12" si="5">+V12-V12*0.17</f>
        <v>0</v>
      </c>
    </row>
    <row r="13" spans="1:26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 t="s">
        <v>606</v>
      </c>
      <c r="K13" s="244">
        <f>+C8+C16</f>
        <v>11154</v>
      </c>
      <c r="L13" s="244"/>
      <c r="M13" s="122">
        <f>+K13+'16'!M13+L13</f>
        <v>11154</v>
      </c>
      <c r="Q13" s="154">
        <f>SUM(Q5:Q11)</f>
        <v>480</v>
      </c>
      <c r="R13" s="154">
        <f>SUM(R5:R11)</f>
        <v>590400</v>
      </c>
      <c r="S13" s="154">
        <f>SUM(S5:S11)</f>
        <v>453008.99999999994</v>
      </c>
      <c r="X13" s="154">
        <f>SUM(X5:X11)</f>
        <v>504</v>
      </c>
      <c r="Y13" s="154">
        <f>SUM(Y5:Y11)</f>
        <v>615300</v>
      </c>
      <c r="Z13" s="154">
        <f>SUM(Z5:Z11)</f>
        <v>475628.99999999994</v>
      </c>
    </row>
    <row r="14" spans="1:26" ht="13.5" thickBot="1">
      <c r="A14" s="764"/>
      <c r="B14" s="170" t="s">
        <v>2</v>
      </c>
      <c r="C14" s="104">
        <f>SUM(C7:C13)</f>
        <v>11759</v>
      </c>
      <c r="D14" s="116">
        <f>SUM(D7:D13)</f>
        <v>0</v>
      </c>
      <c r="E14" s="117">
        <f>SUM(E5:E13)</f>
        <v>0</v>
      </c>
      <c r="F14" s="121">
        <f>SUM(F7:F13)</f>
        <v>38</v>
      </c>
      <c r="G14" s="164"/>
      <c r="H14" s="171"/>
      <c r="I14" s="172"/>
      <c r="J14" s="219">
        <f>+'16'!J14</f>
        <v>0</v>
      </c>
      <c r="K14" s="244"/>
      <c r="L14" s="244"/>
      <c r="M14" s="122">
        <f>+K14+'16'!M14+L14</f>
        <v>0</v>
      </c>
      <c r="N14" s="154" t="s">
        <v>399</v>
      </c>
      <c r="Q14" s="154">
        <f>480-Q13</f>
        <v>0</v>
      </c>
      <c r="R14" s="154">
        <f>+R13/Q13</f>
        <v>1230</v>
      </c>
      <c r="S14" s="154">
        <f>+S13/Q13</f>
        <v>943.76874999999984</v>
      </c>
      <c r="Y14" s="154">
        <f>+Y13/X13</f>
        <v>1220.8333333333333</v>
      </c>
      <c r="Z14" s="154">
        <f>+Z13/X13</f>
        <v>943.70833333333326</v>
      </c>
    </row>
    <row r="15" spans="1:26" ht="13.5" customHeight="1" thickBot="1">
      <c r="A15" s="762"/>
      <c r="B15" s="170"/>
      <c r="C15" s="118">
        <f>C14/($C$23+$D$23+$E$23)</f>
        <v>1.0600378617145947</v>
      </c>
      <c r="D15" s="119">
        <f>D14/($C$23+$D$23+$E$23)</f>
        <v>0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599</v>
      </c>
      <c r="J15" s="219">
        <f>+'16'!J15</f>
        <v>0</v>
      </c>
      <c r="K15" s="244"/>
      <c r="L15" s="244"/>
      <c r="M15" s="122">
        <f>+K15+'16'!M15+L15</f>
        <v>0</v>
      </c>
      <c r="N15" s="154" t="s">
        <v>597</v>
      </c>
      <c r="O15" s="154">
        <v>1200</v>
      </c>
      <c r="P15" s="154">
        <f>+O15-O15*0.22</f>
        <v>936</v>
      </c>
      <c r="Q15" s="154">
        <f>60*2+34</f>
        <v>154</v>
      </c>
      <c r="R15" s="154">
        <f>+O15*Q15</f>
        <v>184800</v>
      </c>
      <c r="S15" s="154">
        <f>+P15*Q15</f>
        <v>144144</v>
      </c>
    </row>
    <row r="16" spans="1:26" ht="13.5" thickBot="1">
      <c r="A16" s="768"/>
      <c r="B16" s="220" t="s">
        <v>606</v>
      </c>
      <c r="C16" s="227">
        <v>5998</v>
      </c>
      <c r="D16" s="228"/>
      <c r="E16" s="229"/>
      <c r="F16" s="236">
        <v>10</v>
      </c>
      <c r="G16" s="574" t="s">
        <v>12</v>
      </c>
      <c r="H16" s="235" t="s">
        <v>388</v>
      </c>
      <c r="I16" s="766"/>
      <c r="J16" s="219">
        <f>+'16'!J16</f>
        <v>0</v>
      </c>
      <c r="K16" s="234"/>
      <c r="L16" s="234"/>
      <c r="M16" s="122">
        <f>+K16+'16'!M16+L16</f>
        <v>0</v>
      </c>
      <c r="N16" s="154" t="s">
        <v>389</v>
      </c>
      <c r="O16" s="154">
        <v>1220</v>
      </c>
      <c r="P16" s="154">
        <f>+O16-O16*0.23</f>
        <v>939.4</v>
      </c>
      <c r="Q16" s="154">
        <f>480-Q15</f>
        <v>326</v>
      </c>
      <c r="R16" s="154">
        <f>+O16*Q16</f>
        <v>397720</v>
      </c>
      <c r="S16" s="154">
        <f>+P16*Q16</f>
        <v>306244.39999999997</v>
      </c>
    </row>
    <row r="17" spans="1:19" ht="13.5" thickBot="1">
      <c r="A17" s="768"/>
      <c r="B17" s="220" t="s">
        <v>390</v>
      </c>
      <c r="C17" s="221">
        <f>2621+581</f>
        <v>3202</v>
      </c>
      <c r="D17" s="222"/>
      <c r="E17" s="230"/>
      <c r="F17" s="233">
        <v>11</v>
      </c>
      <c r="G17" s="574" t="s">
        <v>12</v>
      </c>
      <c r="H17" s="238" t="s">
        <v>459</v>
      </c>
      <c r="I17" s="766"/>
      <c r="J17" s="219">
        <f>+'16'!J17</f>
        <v>0</v>
      </c>
      <c r="K17" s="234"/>
      <c r="L17" s="234"/>
      <c r="M17" s="122">
        <f>+K17+'16'!M17+L17</f>
        <v>0</v>
      </c>
      <c r="R17" s="154">
        <f t="shared" ref="R17:R20" si="6">+O17*Q17</f>
        <v>0</v>
      </c>
      <c r="S17" s="154">
        <f t="shared" ref="S17:S20" si="7">+P17*Q17</f>
        <v>0</v>
      </c>
    </row>
    <row r="18" spans="1:19" ht="26.25" thickBot="1">
      <c r="A18" s="768"/>
      <c r="B18" s="220" t="s">
        <v>590</v>
      </c>
      <c r="C18" s="221">
        <f>319+1574</f>
        <v>1893</v>
      </c>
      <c r="D18" s="222"/>
      <c r="E18" s="230"/>
      <c r="F18" s="233"/>
      <c r="G18" s="242"/>
      <c r="H18" s="238" t="s">
        <v>593</v>
      </c>
      <c r="I18" s="766"/>
      <c r="J18" s="219">
        <f>+'16'!J18</f>
        <v>0</v>
      </c>
      <c r="K18" s="244"/>
      <c r="L18" s="244"/>
      <c r="M18" s="122">
        <f>+K18+'16'!M18+L18</f>
        <v>0</v>
      </c>
      <c r="R18" s="154">
        <f t="shared" si="6"/>
        <v>0</v>
      </c>
      <c r="S18" s="154">
        <f t="shared" si="7"/>
        <v>0</v>
      </c>
    </row>
    <row r="19" spans="1:19" ht="51.75" thickBot="1">
      <c r="A19" s="768"/>
      <c r="B19" s="220"/>
      <c r="C19" s="221"/>
      <c r="D19" s="222"/>
      <c r="E19" s="230"/>
      <c r="F19" s="240"/>
      <c r="G19" s="237"/>
      <c r="H19" s="238" t="s">
        <v>594</v>
      </c>
      <c r="I19" s="766"/>
      <c r="J19" s="219">
        <f>+'16'!J19</f>
        <v>0</v>
      </c>
      <c r="K19" s="244"/>
      <c r="L19" s="244"/>
      <c r="M19" s="122">
        <f>+K19+'16'!M19+L19</f>
        <v>0</v>
      </c>
      <c r="R19" s="154">
        <f t="shared" si="6"/>
        <v>0</v>
      </c>
      <c r="S19" s="154">
        <f t="shared" si="7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+'16'!J20</f>
        <v>0</v>
      </c>
      <c r="K20" s="245"/>
      <c r="L20" s="245"/>
      <c r="M20" s="122">
        <f>+K20+'16'!M20+L20</f>
        <v>0</v>
      </c>
      <c r="R20" s="154">
        <f t="shared" si="6"/>
        <v>0</v>
      </c>
      <c r="S20" s="154">
        <f t="shared" si="7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+'16'!J21</f>
        <v>0</v>
      </c>
      <c r="K21" s="244"/>
      <c r="L21" s="244"/>
      <c r="M21" s="122">
        <f>+K21+'16'!M21+L21</f>
        <v>0</v>
      </c>
      <c r="P21" s="154">
        <f t="shared" ref="P21" si="8">+O21-O21*0.17</f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+'16'!J22</f>
        <v>0</v>
      </c>
      <c r="K22" s="244"/>
      <c r="L22" s="244"/>
      <c r="M22" s="122">
        <f>+K22+'16'!M22+L22</f>
        <v>0</v>
      </c>
      <c r="Q22" s="154">
        <f>SUM(Q14:Q20)</f>
        <v>480</v>
      </c>
      <c r="R22" s="154">
        <f>SUM(R14:R20)</f>
        <v>583750</v>
      </c>
      <c r="S22" s="154">
        <f>SUM(S14:S20)</f>
        <v>451332.16874999995</v>
      </c>
    </row>
    <row r="23" spans="1:19" ht="13.5" thickBot="1">
      <c r="A23" s="769"/>
      <c r="B23" s="173" t="s">
        <v>2</v>
      </c>
      <c r="C23" s="105">
        <f>SUM(C16:C22)</f>
        <v>11093</v>
      </c>
      <c r="D23" s="116">
        <f>SUM(D16:D22)</f>
        <v>0</v>
      </c>
      <c r="E23" s="117">
        <f>SUM(E18:E22)</f>
        <v>0</v>
      </c>
      <c r="F23" s="121">
        <f>SUM(F15:F22)</f>
        <v>21</v>
      </c>
      <c r="G23" s="164"/>
      <c r="H23" s="171"/>
      <c r="I23" s="174"/>
      <c r="J23" s="219">
        <f>+'16'!J23</f>
        <v>0</v>
      </c>
      <c r="K23" s="244"/>
      <c r="L23" s="244"/>
      <c r="M23" s="122">
        <f>+K23+'16'!M23+L23</f>
        <v>0</v>
      </c>
      <c r="N23" s="154" t="s">
        <v>399</v>
      </c>
      <c r="Q23" s="154">
        <f>480-Q22</f>
        <v>0</v>
      </c>
      <c r="R23" s="154">
        <f>+R22/Q22</f>
        <v>1216.1458333333333</v>
      </c>
      <c r="S23" s="154">
        <f>+S22/Q22</f>
        <v>940.27535156249985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600</v>
      </c>
      <c r="J24" s="219">
        <f>+'16'!J24</f>
        <v>0</v>
      </c>
      <c r="K24" s="244"/>
      <c r="L24" s="244"/>
      <c r="M24" s="122">
        <f>+K24+'16'!M24+L24</f>
        <v>0</v>
      </c>
      <c r="N24" s="154" t="s">
        <v>389</v>
      </c>
      <c r="O24" s="154">
        <v>1220</v>
      </c>
      <c r="P24" s="154">
        <f>+O24-O24*0.23</f>
        <v>939.4</v>
      </c>
      <c r="Q24" s="154">
        <v>480</v>
      </c>
      <c r="R24" s="154">
        <f>+O24*Q24</f>
        <v>585600</v>
      </c>
      <c r="S24" s="154">
        <f>+P24*Q24</f>
        <v>450912</v>
      </c>
    </row>
    <row r="25" spans="1:19" ht="13.5" thickBot="1">
      <c r="A25" s="768"/>
      <c r="B25" s="220" t="s">
        <v>390</v>
      </c>
      <c r="C25" s="231">
        <v>7655</v>
      </c>
      <c r="D25" s="222">
        <v>170</v>
      </c>
      <c r="E25" s="230"/>
      <c r="F25" s="236">
        <v>15</v>
      </c>
      <c r="G25" s="574" t="s">
        <v>12</v>
      </c>
      <c r="H25" s="235" t="s">
        <v>388</v>
      </c>
      <c r="I25" s="766"/>
      <c r="J25" s="219">
        <f>+'16'!J25</f>
        <v>0</v>
      </c>
      <c r="K25" s="244"/>
      <c r="L25" s="244"/>
      <c r="M25" s="122">
        <f>+K25+'16'!M25+L25</f>
        <v>0</v>
      </c>
      <c r="P25" s="154">
        <f>+O25-O25*0.23</f>
        <v>0</v>
      </c>
      <c r="Q25" s="154">
        <f>480-Q24</f>
        <v>0</v>
      </c>
      <c r="R25" s="154">
        <f>+O25*Q25</f>
        <v>0</v>
      </c>
      <c r="S25" s="154">
        <f>+P25*Q25</f>
        <v>0</v>
      </c>
    </row>
    <row r="26" spans="1:19" ht="13.5" thickBot="1">
      <c r="A26" s="768"/>
      <c r="B26" s="220" t="s">
        <v>590</v>
      </c>
      <c r="C26" s="231">
        <f>941+4444</f>
        <v>5385</v>
      </c>
      <c r="D26" s="222"/>
      <c r="E26" s="232"/>
      <c r="F26" s="233">
        <f>32-15</f>
        <v>17</v>
      </c>
      <c r="G26" s="574" t="s">
        <v>12</v>
      </c>
      <c r="H26" s="238" t="s">
        <v>461</v>
      </c>
      <c r="I26" s="766"/>
      <c r="J26" s="219">
        <f>+'16'!J26</f>
        <v>0</v>
      </c>
      <c r="K26" s="244"/>
      <c r="L26" s="244"/>
      <c r="M26" s="122">
        <f>+K26+'16'!M26+L26</f>
        <v>0</v>
      </c>
      <c r="R26" s="154">
        <f t="shared" ref="R26:R29" si="9">+O26*Q26</f>
        <v>0</v>
      </c>
      <c r="S26" s="154">
        <f t="shared" ref="S26:S29" si="10">+P26*Q26</f>
        <v>0</v>
      </c>
    </row>
    <row r="27" spans="1:19" ht="51.75" thickBot="1">
      <c r="A27" s="768"/>
      <c r="B27" s="220"/>
      <c r="C27" s="221"/>
      <c r="D27" s="222"/>
      <c r="E27" s="230"/>
      <c r="F27" s="233"/>
      <c r="G27" s="242"/>
      <c r="H27" s="238" t="s">
        <v>591</v>
      </c>
      <c r="I27" s="766"/>
      <c r="J27" s="219">
        <f>+'16'!J27</f>
        <v>0</v>
      </c>
      <c r="K27" s="244"/>
      <c r="L27" s="244"/>
      <c r="M27" s="122">
        <f>+K27+'16'!M27+L27</f>
        <v>0</v>
      </c>
      <c r="R27" s="154">
        <f t="shared" si="9"/>
        <v>0</v>
      </c>
      <c r="S27" s="154">
        <f t="shared" si="10"/>
        <v>0</v>
      </c>
    </row>
    <row r="28" spans="1:19" ht="26.25" thickBot="1">
      <c r="A28" s="768"/>
      <c r="B28" s="220"/>
      <c r="C28" s="221"/>
      <c r="D28" s="222"/>
      <c r="E28" s="230"/>
      <c r="F28" s="236"/>
      <c r="G28" s="237"/>
      <c r="H28" s="238" t="s">
        <v>592</v>
      </c>
      <c r="I28" s="766"/>
      <c r="J28" s="219">
        <f>+'16'!J28</f>
        <v>0</v>
      </c>
      <c r="K28" s="244"/>
      <c r="L28" s="244"/>
      <c r="M28" s="122">
        <f>+K28+'16'!M28+L28</f>
        <v>0</v>
      </c>
      <c r="R28" s="154">
        <f t="shared" si="9"/>
        <v>0</v>
      </c>
      <c r="S28" s="154">
        <f t="shared" si="10"/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+'16'!J29</f>
        <v>0</v>
      </c>
      <c r="K29" s="244"/>
      <c r="L29" s="244"/>
      <c r="M29" s="122">
        <f>+K29+'16'!M29+L29</f>
        <v>0</v>
      </c>
      <c r="R29" s="154">
        <f t="shared" si="9"/>
        <v>0</v>
      </c>
      <c r="S29" s="154">
        <f t="shared" si="10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+'16'!J30</f>
        <v>0</v>
      </c>
      <c r="K30" s="244"/>
      <c r="L30" s="244"/>
      <c r="M30" s="122">
        <f>+K30+'16'!M30+L30</f>
        <v>0</v>
      </c>
      <c r="P30" s="154">
        <f t="shared" ref="P30" si="11">+O30-O30*0.17</f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+'16'!J31</f>
        <v>0</v>
      </c>
      <c r="K31" s="244"/>
      <c r="L31" s="244"/>
      <c r="M31" s="122">
        <f>+K31+'16'!M31+L31</f>
        <v>0</v>
      </c>
      <c r="Q31" s="154">
        <f>SUM(Q23:Q29)</f>
        <v>480</v>
      </c>
      <c r="R31" s="154">
        <f>SUM(R23:R29)</f>
        <v>586816.14583333337</v>
      </c>
      <c r="S31" s="154">
        <f>SUM(S23:S29)</f>
        <v>451852.27535156248</v>
      </c>
    </row>
    <row r="32" spans="1:19" ht="13.5" thickBot="1">
      <c r="A32" s="769"/>
      <c r="B32" s="170" t="s">
        <v>2</v>
      </c>
      <c r="C32" s="104">
        <f>SUM(C25:C31)</f>
        <v>13040</v>
      </c>
      <c r="D32" s="105">
        <f>SUM(D25:D31)</f>
        <v>170</v>
      </c>
      <c r="E32" s="106">
        <f>SUM(E25:E31)</f>
        <v>0</v>
      </c>
      <c r="F32" s="107">
        <f>SUM(F24:F31)</f>
        <v>32</v>
      </c>
      <c r="G32" s="176"/>
      <c r="H32" s="177"/>
      <c r="I32" s="174"/>
      <c r="J32" s="219">
        <f>+'16'!J32</f>
        <v>0</v>
      </c>
      <c r="K32" s="246"/>
      <c r="L32" s="248"/>
      <c r="M32" s="122">
        <f>+K32+'16'!M32+L32</f>
        <v>0</v>
      </c>
      <c r="N32" s="154" t="s">
        <v>399</v>
      </c>
      <c r="Q32" s="154">
        <f>480-Q31</f>
        <v>0</v>
      </c>
      <c r="R32" s="154">
        <f>+R31/Q31</f>
        <v>1222.5336371527778</v>
      </c>
      <c r="S32" s="154">
        <f>+S31/Q31</f>
        <v>941.35890698242179</v>
      </c>
    </row>
    <row r="33" spans="1:17" ht="13.5" thickBot="1">
      <c r="A33" s="178"/>
      <c r="B33" s="179"/>
      <c r="C33" s="108">
        <f>C32/($C$32+$D$32+$E$32)</f>
        <v>0.98713096139288414</v>
      </c>
      <c r="D33" s="109">
        <f>D32/($C$32+$D$32+$E$32)</f>
        <v>1.2869038607115822E-2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7" ht="13.5" thickBot="1">
      <c r="A34" s="770" t="s">
        <v>57</v>
      </c>
      <c r="B34" s="771"/>
      <c r="C34" s="112">
        <f>C14+C23+C32</f>
        <v>35892</v>
      </c>
      <c r="D34" s="112">
        <f>D14+D23+D32</f>
        <v>170</v>
      </c>
      <c r="E34" s="112">
        <f>E14+E23+E32</f>
        <v>0</v>
      </c>
      <c r="F34" s="113">
        <f>F14+F23+F32</f>
        <v>91</v>
      </c>
      <c r="H34" s="183"/>
      <c r="I34" s="183"/>
      <c r="J34" s="128" t="s">
        <v>28</v>
      </c>
      <c r="K34" s="129">
        <f>SUM(K7:K32)</f>
        <v>35892</v>
      </c>
      <c r="L34" s="217">
        <f>SUM(L7:L32)</f>
        <v>0</v>
      </c>
      <c r="M34" s="125">
        <f>SUM(M7:M32)</f>
        <v>627452</v>
      </c>
    </row>
    <row r="35" spans="1:17" ht="13.5" thickBot="1">
      <c r="A35" s="184"/>
      <c r="B35" s="185"/>
      <c r="C35" s="109">
        <f>C34/($C$34+$D$34+$E$34)</f>
        <v>0.99528589651156341</v>
      </c>
      <c r="D35" s="109">
        <f>D34/($C$34+$D$34+$E$34)</f>
        <v>4.7141034884365818E-3</v>
      </c>
      <c r="E35" s="114">
        <f>E34/($C$34+$D$34+$E$34)</f>
        <v>0</v>
      </c>
      <c r="K35" s="160"/>
      <c r="N35" s="154" t="s">
        <v>586</v>
      </c>
      <c r="O35" s="154">
        <v>1230</v>
      </c>
      <c r="P35" s="154">
        <v>934.8</v>
      </c>
      <c r="Q35" s="154">
        <v>130</v>
      </c>
    </row>
    <row r="36" spans="1:17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  <c r="N36" s="154" t="s">
        <v>597</v>
      </c>
      <c r="O36" s="154">
        <v>1220.8333333333333</v>
      </c>
      <c r="P36" s="154">
        <v>943.70833333333326</v>
      </c>
      <c r="Q36" s="154">
        <v>504</v>
      </c>
    </row>
    <row r="37" spans="1:17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(13*130+11*504+12*806)/1440*G42*2.74*1440/1000000</f>
        <v>43.626520446380539</v>
      </c>
      <c r="J37" s="130">
        <f>+I37+'16'!J37</f>
        <v>746.18048987794236</v>
      </c>
      <c r="K37" s="131" t="s">
        <v>63</v>
      </c>
      <c r="N37" s="154" t="s">
        <v>389</v>
      </c>
      <c r="O37" s="154">
        <v>1220</v>
      </c>
      <c r="P37" s="154">
        <v>939.4</v>
      </c>
      <c r="Q37" s="154">
        <f>326+480</f>
        <v>806</v>
      </c>
    </row>
    <row r="38" spans="1:17" ht="17.45" customHeight="1">
      <c r="A38" s="774" t="s">
        <v>12</v>
      </c>
      <c r="B38" s="775"/>
      <c r="C38" s="169">
        <f>SUMIF($G$7:$G$31,"Process",$F$7:$F$31)</f>
        <v>91</v>
      </c>
      <c r="D38" s="123">
        <f>+C38+'16'!D38</f>
        <v>1148</v>
      </c>
      <c r="E38" s="148">
        <f t="shared" ref="E38:E51" si="12">D38/60</f>
        <v>19.133333333333333</v>
      </c>
      <c r="F38" s="328">
        <v>1230</v>
      </c>
      <c r="G38" s="328">
        <v>943.76874999999984</v>
      </c>
      <c r="H38" s="192" t="s">
        <v>64</v>
      </c>
      <c r="I38" s="250">
        <f>4.461+8.088+12.113+12.481</f>
        <v>37.143000000000001</v>
      </c>
      <c r="J38" s="132">
        <f>+I38+'16'!J38</f>
        <v>660.173</v>
      </c>
      <c r="K38" s="133" t="s">
        <v>63</v>
      </c>
      <c r="Q38" s="154">
        <f>+Q35+Q36+Q37</f>
        <v>1440</v>
      </c>
    </row>
    <row r="39" spans="1:17" ht="17.45" customHeight="1">
      <c r="A39" s="776" t="s">
        <v>13</v>
      </c>
      <c r="B39" s="777"/>
      <c r="C39" s="169">
        <f>SUMIF($G$7:$G$31,"Cleaning",$F$7:$F$31)</f>
        <v>0</v>
      </c>
      <c r="D39" s="123">
        <f>+C39+'16'!D39</f>
        <v>0</v>
      </c>
      <c r="E39" s="148">
        <f t="shared" si="12"/>
        <v>0</v>
      </c>
      <c r="F39" s="328">
        <v>1216.1458333333333</v>
      </c>
      <c r="G39" s="328">
        <v>940.27535156249985</v>
      </c>
      <c r="H39" s="192" t="s">
        <v>65</v>
      </c>
      <c r="I39" s="147"/>
      <c r="J39" s="134">
        <f>J37/G4</f>
        <v>43.892969992820142</v>
      </c>
      <c r="K39" s="135" t="s">
        <v>63</v>
      </c>
    </row>
    <row r="40" spans="1:17" ht="17.45" customHeight="1">
      <c r="A40" s="776" t="s">
        <v>66</v>
      </c>
      <c r="B40" s="777"/>
      <c r="C40" s="169">
        <f>SUMIF($G$7:$G$31,"Mechanical",$F$7:$F$31)</f>
        <v>0</v>
      </c>
      <c r="D40" s="123">
        <f>+C40+'16'!D40</f>
        <v>0</v>
      </c>
      <c r="E40" s="148">
        <f t="shared" si="12"/>
        <v>0</v>
      </c>
      <c r="F40" s="328">
        <v>1222.5336371527778</v>
      </c>
      <c r="G40" s="328">
        <v>941.35890698242179</v>
      </c>
      <c r="H40" s="192" t="s">
        <v>67</v>
      </c>
      <c r="I40" s="123">
        <f>(K34+L34)/1000</f>
        <v>35.892000000000003</v>
      </c>
      <c r="J40" s="136">
        <f>+I40+'16'!J40</f>
        <v>627.452</v>
      </c>
      <c r="K40" s="135" t="s">
        <v>63</v>
      </c>
    </row>
    <row r="41" spans="1:17" ht="17.45" customHeight="1">
      <c r="A41" s="776" t="s">
        <v>68</v>
      </c>
      <c r="B41" s="777"/>
      <c r="C41" s="169">
        <f>SUMIF($G$7:$G$31,"Electrical",$F$7:$F$31)</f>
        <v>0</v>
      </c>
      <c r="D41" s="123">
        <f>+C41+'16'!D41</f>
        <v>144</v>
      </c>
      <c r="E41" s="148">
        <f t="shared" si="12"/>
        <v>2.4</v>
      </c>
      <c r="F41" s="328"/>
      <c r="G41" s="328"/>
      <c r="H41" s="192" t="s">
        <v>69</v>
      </c>
      <c r="I41" s="147"/>
      <c r="J41" s="134">
        <f>J40/G4</f>
        <v>36.908941176470591</v>
      </c>
      <c r="K41" s="135" t="s">
        <v>63</v>
      </c>
    </row>
    <row r="42" spans="1:17" ht="17.45" customHeight="1">
      <c r="A42" s="776" t="s">
        <v>16</v>
      </c>
      <c r="B42" s="777"/>
      <c r="C42" s="169">
        <f>SUMIF($G$7:$G$31,"Instrument",$F$7:$F$31)</f>
        <v>0</v>
      </c>
      <c r="D42" s="123">
        <f>+C42+'16'!D42</f>
        <v>0</v>
      </c>
      <c r="E42" s="148">
        <f t="shared" si="12"/>
        <v>0</v>
      </c>
      <c r="F42" s="328">
        <f>+(F38*480+F39*480+F40*480)/1440</f>
        <v>1222.8931568287039</v>
      </c>
      <c r="G42" s="328">
        <f>+(G38*480+G39*480+G40*480)/1440</f>
        <v>941.80100284830723</v>
      </c>
      <c r="H42" s="192" t="s">
        <v>70</v>
      </c>
      <c r="I42" s="251" t="s">
        <v>601</v>
      </c>
      <c r="J42" s="137"/>
      <c r="K42" s="135" t="s">
        <v>71</v>
      </c>
    </row>
    <row r="43" spans="1:17" ht="17.45" customHeight="1">
      <c r="A43" s="776" t="s">
        <v>72</v>
      </c>
      <c r="B43" s="777"/>
      <c r="C43" s="169">
        <f>SUMIF($G$7:$G$31,"Water",$F$7:$F$31)</f>
        <v>0</v>
      </c>
      <c r="D43" s="123">
        <f>+C43+'16'!D43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+Report1!Z25</f>
        <v>59.3</v>
      </c>
      <c r="J43" s="138">
        <f>+I43+'16'!J43</f>
        <v>990.59999999999991</v>
      </c>
      <c r="K43" s="135" t="s">
        <v>63</v>
      </c>
      <c r="L43" s="194"/>
    </row>
    <row r="44" spans="1:17" ht="17.45" customHeight="1">
      <c r="A44" s="776" t="s">
        <v>17</v>
      </c>
      <c r="B44" s="777"/>
      <c r="C44" s="169">
        <f>SUMIF($G$7:$G$31,"PLN",$F$7:$F$31)</f>
        <v>0</v>
      </c>
      <c r="D44" s="123">
        <f>+C44+'16'!D44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1.5965323210295344</v>
      </c>
      <c r="J44" s="139">
        <f>J43/J38</f>
        <v>1.5005157738956303</v>
      </c>
      <c r="K44" s="135" t="s">
        <v>63</v>
      </c>
    </row>
    <row r="45" spans="1:17" ht="17.45" customHeight="1">
      <c r="A45" s="776" t="s">
        <v>18</v>
      </c>
      <c r="B45" s="777"/>
      <c r="C45" s="169">
        <f>SUMIF($G$7:$G$31,"Boiler",$F$7:$F$31)</f>
        <v>0</v>
      </c>
      <c r="D45" s="123">
        <f>+C45+'16'!D45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1.6521787584977152</v>
      </c>
      <c r="J45" s="139">
        <f>J43/J40</f>
        <v>1.5787661845049501</v>
      </c>
      <c r="K45" s="135" t="s">
        <v>63</v>
      </c>
    </row>
    <row r="46" spans="1:17" ht="17.45" customHeight="1">
      <c r="A46" s="776" t="s">
        <v>76</v>
      </c>
      <c r="B46" s="777"/>
      <c r="C46" s="169">
        <f>SUMIF($G$7:$G$31,"Gas",$F$7:$F$31)</f>
        <v>0</v>
      </c>
      <c r="D46" s="123">
        <f>+C46+'16'!D46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+SUMIF(Listrik!P24,"&gt;0")</f>
        <v>39718.76</v>
      </c>
      <c r="J46" s="140">
        <f>+I46+'16'!J46</f>
        <v>637255.68000000005</v>
      </c>
      <c r="K46" s="135" t="s">
        <v>78</v>
      </c>
    </row>
    <row r="47" spans="1:17" ht="17.45" customHeight="1">
      <c r="A47" s="776" t="s">
        <v>79</v>
      </c>
      <c r="B47" s="777"/>
      <c r="C47" s="169">
        <f>SUMIF($G$7:$G$31,"Gas",$F$7:$F$31)</f>
        <v>0</v>
      </c>
      <c r="D47" s="123">
        <f>+C47+'16'!D47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1069.3471178957004</v>
      </c>
      <c r="J47" s="140">
        <f>J46/J38</f>
        <v>965.28588718411697</v>
      </c>
      <c r="K47" s="135" t="s">
        <v>24</v>
      </c>
    </row>
    <row r="48" spans="1:17" ht="17.45" customHeight="1">
      <c r="A48" s="776" t="s">
        <v>14</v>
      </c>
      <c r="B48" s="777"/>
      <c r="C48" s="169">
        <f>SUMIF($G$7:$G$31,"Start Up",$F$7:$F$31)</f>
        <v>0</v>
      </c>
      <c r="D48" s="123">
        <f>+C48+'16'!D48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1106.6187451242617</v>
      </c>
      <c r="J48" s="140">
        <f>J46/J40</f>
        <v>1015.624589610042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+C49+'16'!D49</f>
        <v>720</v>
      </c>
      <c r="E49" s="148">
        <f t="shared" si="12"/>
        <v>12</v>
      </c>
      <c r="F49" s="190"/>
      <c r="H49" s="193" t="s">
        <v>271</v>
      </c>
      <c r="I49" s="123">
        <f>+Report1!T25</f>
        <v>3330.3375992586557</v>
      </c>
      <c r="J49" s="140">
        <f>+I49+'16'!J49</f>
        <v>68723.795494112172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+C50+'16'!D50</f>
        <v>0</v>
      </c>
      <c r="E50" s="148">
        <f t="shared" si="12"/>
        <v>0</v>
      </c>
      <c r="F50" s="190"/>
      <c r="H50" s="193" t="s">
        <v>83</v>
      </c>
      <c r="I50" s="145">
        <f>I49/I38</f>
        <v>89.66259050853877</v>
      </c>
      <c r="J50" s="138">
        <f>J49/J38</f>
        <v>104.09967613657658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+C51+'16'!D51</f>
        <v>0</v>
      </c>
      <c r="E51" s="148">
        <f t="shared" si="12"/>
        <v>0</v>
      </c>
      <c r="F51" s="190"/>
      <c r="H51" s="195" t="s">
        <v>85</v>
      </c>
      <c r="I51" s="146">
        <f>I49/I40</f>
        <v>92.78774098012525</v>
      </c>
      <c r="J51" s="141">
        <f>J49/J40</f>
        <v>109.52837108513826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91</v>
      </c>
      <c r="D52" s="149">
        <f>SUM(D38:D51)</f>
        <v>2012</v>
      </c>
      <c r="E52" s="150">
        <f>SUM(E38:E51)</f>
        <v>33.533333333333331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6.3194444444444442E-2</v>
      </c>
      <c r="D53" s="151">
        <f>D52/(24*60*G4)</f>
        <v>8.218954248366013E-2</v>
      </c>
      <c r="E53" s="152">
        <f>E52/(G4*24)</f>
        <v>8.218954248366013E-2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+D34+'16'!J56</f>
        <v>3379</v>
      </c>
      <c r="K56" s="206">
        <f>J56/(J40+J56/1000)/1000</f>
        <v>5.3564266816310546E-3</v>
      </c>
    </row>
    <row r="57" spans="1:11">
      <c r="A57" s="181"/>
      <c r="I57" s="204" t="s">
        <v>88</v>
      </c>
      <c r="J57" s="205">
        <f>+E34+'16'!J57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5:B45"/>
    <mergeCell ref="A46:B46"/>
    <mergeCell ref="A51:B51"/>
    <mergeCell ref="A52:B52"/>
    <mergeCell ref="A53:B53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37:B37"/>
    <mergeCell ref="A38:B38"/>
    <mergeCell ref="I24:I31"/>
    <mergeCell ref="A24:A32"/>
    <mergeCell ref="A39:B39"/>
    <mergeCell ref="A7:A14"/>
    <mergeCell ref="I7:I13"/>
    <mergeCell ref="A15:A23"/>
    <mergeCell ref="I15:I22"/>
    <mergeCell ref="A34:B3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H1" zoomScale="80" zoomScaleNormal="80" workbookViewId="0">
      <selection activeCell="N6" sqref="N6:S1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25" ht="15.75">
      <c r="A1" s="153"/>
    </row>
    <row r="2" spans="1:25" ht="15.75">
      <c r="A2" s="153" t="s">
        <v>184</v>
      </c>
    </row>
    <row r="3" spans="1:25" ht="15">
      <c r="A3" s="155"/>
    </row>
    <row r="4" spans="1:25" ht="20.25">
      <c r="A4" s="156" t="s">
        <v>3</v>
      </c>
      <c r="B4" s="157"/>
      <c r="F4" s="158" t="s">
        <v>29</v>
      </c>
      <c r="G4" s="159">
        <v>16</v>
      </c>
      <c r="H4" s="159" t="str">
        <f>+'1'!H4</f>
        <v>.10.25</v>
      </c>
      <c r="J4" s="154">
        <f>509+474+505</f>
        <v>1488</v>
      </c>
    </row>
    <row r="5" spans="1:25" ht="13.5" thickBot="1">
      <c r="C5" s="160"/>
      <c r="D5" s="160"/>
    </row>
    <row r="6" spans="1:25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463</v>
      </c>
      <c r="O6" s="154">
        <v>1220</v>
      </c>
      <c r="P6" s="154">
        <f>+O6-O6*0.23</f>
        <v>939.4</v>
      </c>
      <c r="Q6" s="154">
        <f>60*6+15</f>
        <v>375</v>
      </c>
      <c r="R6" s="154">
        <f>+O6*Q6</f>
        <v>457500</v>
      </c>
      <c r="S6" s="154">
        <f>+P6*Q6</f>
        <v>352275</v>
      </c>
      <c r="T6" s="154" t="s">
        <v>463</v>
      </c>
      <c r="U6" s="154">
        <v>1220</v>
      </c>
      <c r="V6" s="154">
        <f>+U6-U6*0.23</f>
        <v>939.4</v>
      </c>
      <c r="W6" s="154">
        <f>60*6+15</f>
        <v>375</v>
      </c>
      <c r="X6" s="154">
        <f>+U6*W6</f>
        <v>457500</v>
      </c>
      <c r="Y6" s="154">
        <f>+V6*W6</f>
        <v>352275</v>
      </c>
    </row>
    <row r="7" spans="1:25" ht="13.5" customHeight="1" thickBot="1">
      <c r="A7" s="762"/>
      <c r="B7" s="220" t="s">
        <v>478</v>
      </c>
      <c r="C7" s="221">
        <v>12928</v>
      </c>
      <c r="D7" s="222"/>
      <c r="E7" s="223"/>
      <c r="F7" s="233">
        <v>12</v>
      </c>
      <c r="G7" s="234" t="s">
        <v>12</v>
      </c>
      <c r="H7" s="235" t="s">
        <v>458</v>
      </c>
      <c r="I7" s="765" t="s">
        <v>587</v>
      </c>
      <c r="J7" s="219" t="str">
        <f>+'15'!J7</f>
        <v>F 12 VP OW</v>
      </c>
      <c r="K7" s="243"/>
      <c r="L7" s="247"/>
      <c r="M7" s="122">
        <f>+K7+'15'!M7+L7</f>
        <v>89181</v>
      </c>
      <c r="O7" s="154">
        <v>1230</v>
      </c>
      <c r="P7" s="154">
        <f>+O7-O7*0.23</f>
        <v>947.09999999999991</v>
      </c>
      <c r="Q7" s="154">
        <f>480-Q6</f>
        <v>105</v>
      </c>
      <c r="R7" s="154">
        <f>+O7*Q7</f>
        <v>129150</v>
      </c>
      <c r="S7" s="154">
        <f>+P7*Q7</f>
        <v>99445.499999999985</v>
      </c>
      <c r="U7" s="154">
        <v>1230</v>
      </c>
      <c r="V7" s="154">
        <f>+U7-U7*0.23</f>
        <v>947.09999999999991</v>
      </c>
      <c r="W7" s="154">
        <f>480-W6</f>
        <v>105</v>
      </c>
      <c r="X7" s="154">
        <f>+U7*W7</f>
        <v>129150</v>
      </c>
      <c r="Y7" s="154">
        <f>+V7*W7</f>
        <v>99445.499999999985</v>
      </c>
    </row>
    <row r="8" spans="1:25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+'15'!J8</f>
        <v>F 12,5 VP OW</v>
      </c>
      <c r="K8" s="244">
        <f>+C7+C16</f>
        <v>24206</v>
      </c>
      <c r="L8" s="244"/>
      <c r="M8" s="122">
        <f>+K8+'15'!M8+L8</f>
        <v>54352</v>
      </c>
      <c r="R8" s="154">
        <f t="shared" ref="R8:R11" si="0">+O8*Q8</f>
        <v>0</v>
      </c>
      <c r="S8" s="154">
        <f t="shared" ref="S8:S11" si="1">+P8*Q8</f>
        <v>0</v>
      </c>
      <c r="T8" s="154" t="s">
        <v>463</v>
      </c>
      <c r="U8" s="154">
        <v>1230</v>
      </c>
      <c r="V8" s="154">
        <v>947.09999999999991</v>
      </c>
      <c r="W8" s="154">
        <v>300</v>
      </c>
      <c r="X8" s="154">
        <f t="shared" ref="X8:X11" si="2">+U8*W8</f>
        <v>369000</v>
      </c>
      <c r="Y8" s="154">
        <f t="shared" ref="Y8:Y11" si="3">+V8*W8</f>
        <v>284130</v>
      </c>
    </row>
    <row r="9" spans="1:25" ht="13.5" thickBot="1">
      <c r="A9" s="763"/>
      <c r="B9" s="220"/>
      <c r="C9" s="221"/>
      <c r="D9" s="222"/>
      <c r="E9" s="225"/>
      <c r="F9" s="233">
        <v>9</v>
      </c>
      <c r="G9" s="574" t="s">
        <v>12</v>
      </c>
      <c r="H9" s="238" t="s">
        <v>412</v>
      </c>
      <c r="I9" s="766"/>
      <c r="J9" s="219" t="str">
        <f>+'15'!J9</f>
        <v>T 13 VP OW</v>
      </c>
      <c r="K9" s="244"/>
      <c r="L9" s="244"/>
      <c r="M9" s="122">
        <f>+K9+'15'!M9+L9</f>
        <v>112205</v>
      </c>
      <c r="R9" s="154">
        <f t="shared" si="0"/>
        <v>0</v>
      </c>
      <c r="S9" s="154">
        <f t="shared" si="1"/>
        <v>0</v>
      </c>
      <c r="X9" s="154">
        <f t="shared" si="2"/>
        <v>0</v>
      </c>
      <c r="Y9" s="154">
        <f t="shared" si="3"/>
        <v>0</v>
      </c>
    </row>
    <row r="10" spans="1:25" ht="26.25" thickBot="1">
      <c r="A10" s="763"/>
      <c r="B10" s="220"/>
      <c r="C10" s="221"/>
      <c r="D10" s="222"/>
      <c r="E10" s="224"/>
      <c r="F10" s="233"/>
      <c r="G10" s="242"/>
      <c r="H10" s="238" t="s">
        <v>583</v>
      </c>
      <c r="I10" s="766"/>
      <c r="J10" s="219" t="str">
        <f>+'15'!J10</f>
        <v>T 12,5 VP OW</v>
      </c>
      <c r="K10" s="244"/>
      <c r="L10" s="244"/>
      <c r="M10" s="122">
        <f>+K10+'15'!M10+L10</f>
        <v>310471</v>
      </c>
      <c r="R10" s="154">
        <f t="shared" si="0"/>
        <v>0</v>
      </c>
      <c r="S10" s="154">
        <f t="shared" si="1"/>
        <v>0</v>
      </c>
      <c r="X10" s="154">
        <f t="shared" si="2"/>
        <v>0</v>
      </c>
      <c r="Y10" s="154">
        <f t="shared" si="3"/>
        <v>0</v>
      </c>
    </row>
    <row r="11" spans="1:25" ht="13.5" thickBot="1">
      <c r="A11" s="763"/>
      <c r="B11" s="220"/>
      <c r="C11" s="221"/>
      <c r="D11" s="222"/>
      <c r="E11" s="224"/>
      <c r="F11" s="233"/>
      <c r="G11" s="237"/>
      <c r="H11" s="238" t="s">
        <v>584</v>
      </c>
      <c r="I11" s="766"/>
      <c r="J11" s="219" t="str">
        <f>+'15'!J11</f>
        <v>T 12 VP OW</v>
      </c>
      <c r="K11" s="244"/>
      <c r="L11" s="244"/>
      <c r="M11" s="122">
        <f>+K11+'15'!M11+L11</f>
        <v>11128</v>
      </c>
      <c r="R11" s="154">
        <f t="shared" si="0"/>
        <v>0</v>
      </c>
      <c r="S11" s="154">
        <f t="shared" si="1"/>
        <v>0</v>
      </c>
      <c r="X11" s="154">
        <f t="shared" si="2"/>
        <v>0</v>
      </c>
      <c r="Y11" s="154">
        <f t="shared" si="3"/>
        <v>0</v>
      </c>
    </row>
    <row r="12" spans="1:25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 t="s">
        <v>590</v>
      </c>
      <c r="K12" s="244">
        <f>+C17+C25</f>
        <v>14223</v>
      </c>
      <c r="L12" s="244"/>
      <c r="M12" s="122">
        <f>+K12+'15'!M12+L12</f>
        <v>14223</v>
      </c>
      <c r="P12" s="154">
        <f t="shared" ref="P12" si="4">+O12-O12*0.17</f>
        <v>0</v>
      </c>
      <c r="V12" s="154">
        <f t="shared" ref="V12" si="5">+U12-U12*0.17</f>
        <v>0</v>
      </c>
    </row>
    <row r="13" spans="1:25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+'15'!J13</f>
        <v>0</v>
      </c>
      <c r="K13" s="244"/>
      <c r="L13" s="244"/>
      <c r="M13" s="122">
        <f>+K13+'15'!M13+L13</f>
        <v>0</v>
      </c>
      <c r="Q13" s="154">
        <f>SUM(Q5:Q11)</f>
        <v>480</v>
      </c>
      <c r="R13" s="154">
        <f>SUM(R5:R11)</f>
        <v>586650</v>
      </c>
      <c r="S13" s="154">
        <f>SUM(S5:S11)</f>
        <v>451720.5</v>
      </c>
      <c r="W13" s="154">
        <f>SUM(W5:W11)</f>
        <v>780</v>
      </c>
      <c r="X13" s="154">
        <f>SUM(X5:X11)</f>
        <v>955650</v>
      </c>
      <c r="Y13" s="154">
        <f>SUM(Y5:Y11)</f>
        <v>735850.5</v>
      </c>
    </row>
    <row r="14" spans="1:25" ht="13.5" thickBot="1">
      <c r="A14" s="764"/>
      <c r="B14" s="170" t="s">
        <v>2</v>
      </c>
      <c r="C14" s="104">
        <f>SUM(C7:C13)</f>
        <v>12928</v>
      </c>
      <c r="D14" s="116">
        <f>SUM(D7:D13)</f>
        <v>0</v>
      </c>
      <c r="E14" s="117">
        <f>SUM(E5:E13)</f>
        <v>0</v>
      </c>
      <c r="F14" s="121">
        <f>SUM(F7:F13)</f>
        <v>21</v>
      </c>
      <c r="G14" s="164"/>
      <c r="H14" s="171"/>
      <c r="I14" s="172"/>
      <c r="J14" s="219">
        <f>+'15'!J14</f>
        <v>0</v>
      </c>
      <c r="K14" s="244"/>
      <c r="L14" s="244"/>
      <c r="M14" s="122">
        <f>+K14+'15'!M14+L14</f>
        <v>0</v>
      </c>
      <c r="N14" s="154" t="s">
        <v>399</v>
      </c>
      <c r="Q14" s="154">
        <f>480-Q13</f>
        <v>0</v>
      </c>
      <c r="R14" s="154">
        <f>+R13/Q13</f>
        <v>1222.1875</v>
      </c>
      <c r="S14" s="154">
        <f>+S13/Q13</f>
        <v>941.08437500000002</v>
      </c>
      <c r="T14" s="154" t="s">
        <v>399</v>
      </c>
      <c r="W14" s="154">
        <f>480-W13</f>
        <v>-300</v>
      </c>
      <c r="X14" s="154">
        <f>+X13/W13</f>
        <v>1225.1923076923076</v>
      </c>
      <c r="Y14" s="154">
        <f>+Y13/W13</f>
        <v>943.39807692307693</v>
      </c>
    </row>
    <row r="15" spans="1:25" ht="13.5" customHeight="1" thickBot="1">
      <c r="A15" s="762"/>
      <c r="B15" s="170"/>
      <c r="C15" s="118">
        <f>C14/($C$23+$D$23+$E$23)</f>
        <v>1.0251367853461264</v>
      </c>
      <c r="D15" s="119">
        <f>D14/($C$23+$D$23+$E$23)</f>
        <v>0</v>
      </c>
      <c r="E15" s="120">
        <f>E14/($C$23+$D$23+$E$23)</f>
        <v>0</v>
      </c>
      <c r="F15" s="233">
        <v>9</v>
      </c>
      <c r="G15" s="234" t="s">
        <v>12</v>
      </c>
      <c r="H15" s="235" t="s">
        <v>458</v>
      </c>
      <c r="I15" s="765" t="s">
        <v>427</v>
      </c>
      <c r="J15" s="219">
        <f>+'15'!J15</f>
        <v>0</v>
      </c>
      <c r="K15" s="244"/>
      <c r="L15" s="244"/>
      <c r="M15" s="122">
        <f>+K15+'15'!M15+L15</f>
        <v>0</v>
      </c>
    </row>
    <row r="16" spans="1:25" ht="13.5" thickBot="1">
      <c r="A16" s="768"/>
      <c r="B16" s="220" t="s">
        <v>478</v>
      </c>
      <c r="C16" s="227">
        <f>6165+5113</f>
        <v>11278</v>
      </c>
      <c r="D16" s="228">
        <v>250</v>
      </c>
      <c r="E16" s="229"/>
      <c r="F16" s="236"/>
      <c r="G16" s="574" t="s">
        <v>12</v>
      </c>
      <c r="H16" s="235" t="s">
        <v>286</v>
      </c>
      <c r="I16" s="766"/>
      <c r="J16" s="219">
        <f>+'15'!J16</f>
        <v>0</v>
      </c>
      <c r="K16" s="234"/>
      <c r="L16" s="234"/>
      <c r="M16" s="122">
        <f>+K16+'15'!M16+L16</f>
        <v>0</v>
      </c>
    </row>
    <row r="17" spans="1:25" ht="13.5" thickBot="1">
      <c r="A17" s="768"/>
      <c r="B17" s="220" t="s">
        <v>590</v>
      </c>
      <c r="C17" s="221">
        <v>1083</v>
      </c>
      <c r="D17" s="222"/>
      <c r="E17" s="230"/>
      <c r="F17" s="233">
        <v>11</v>
      </c>
      <c r="G17" s="574" t="s">
        <v>12</v>
      </c>
      <c r="H17" s="238" t="s">
        <v>429</v>
      </c>
      <c r="I17" s="766"/>
      <c r="J17" s="219">
        <f>+'15'!J17</f>
        <v>0</v>
      </c>
      <c r="K17" s="234"/>
      <c r="L17" s="234"/>
      <c r="M17" s="122">
        <f>+K17+'15'!M17+L17</f>
        <v>0</v>
      </c>
      <c r="N17" s="154" t="s">
        <v>463</v>
      </c>
      <c r="O17" s="154">
        <v>1230</v>
      </c>
      <c r="P17" s="154">
        <f>+O17-O17*0.23</f>
        <v>947.09999999999991</v>
      </c>
      <c r="Q17" s="154">
        <f>60*5</f>
        <v>300</v>
      </c>
      <c r="R17" s="154">
        <f>+O17*Q17</f>
        <v>369000</v>
      </c>
      <c r="S17" s="154">
        <f>+P17*Q17</f>
        <v>284130</v>
      </c>
      <c r="T17" s="154" t="s">
        <v>586</v>
      </c>
      <c r="U17" s="154">
        <v>1230</v>
      </c>
      <c r="V17" s="154">
        <v>947.09999999999991</v>
      </c>
      <c r="W17" s="154">
        <v>180</v>
      </c>
      <c r="X17" s="154">
        <f>+U17*W17</f>
        <v>221400</v>
      </c>
      <c r="Y17" s="154">
        <f>+V17*W17</f>
        <v>170477.99999999997</v>
      </c>
    </row>
    <row r="18" spans="1:25" ht="26.25" thickBot="1">
      <c r="A18" s="768"/>
      <c r="B18" s="220"/>
      <c r="C18" s="221"/>
      <c r="D18" s="222"/>
      <c r="E18" s="230"/>
      <c r="F18" s="233"/>
      <c r="G18" s="242"/>
      <c r="H18" s="238" t="s">
        <v>581</v>
      </c>
      <c r="I18" s="766"/>
      <c r="J18" s="219">
        <f>+'15'!J18</f>
        <v>0</v>
      </c>
      <c r="K18" s="244"/>
      <c r="L18" s="244"/>
      <c r="M18" s="122">
        <f>+K18+'15'!M18+L18</f>
        <v>0</v>
      </c>
      <c r="N18" s="154" t="s">
        <v>586</v>
      </c>
      <c r="O18" s="154">
        <v>1230</v>
      </c>
      <c r="P18" s="154">
        <f>+O18-O18*0.23</f>
        <v>947.09999999999991</v>
      </c>
      <c r="Q18" s="154">
        <f>480-Q17</f>
        <v>180</v>
      </c>
      <c r="R18" s="154">
        <f>+O18*Q18</f>
        <v>221400</v>
      </c>
      <c r="S18" s="154">
        <f>+P18*Q18</f>
        <v>170477.99999999997</v>
      </c>
      <c r="T18" s="154" t="s">
        <v>586</v>
      </c>
      <c r="U18" s="154">
        <v>1230</v>
      </c>
      <c r="V18" s="154">
        <v>947.09999999999991</v>
      </c>
      <c r="W18" s="154">
        <v>480</v>
      </c>
      <c r="X18" s="154">
        <f>+U18*W18</f>
        <v>590400</v>
      </c>
      <c r="Y18" s="154">
        <f>+V18*W18</f>
        <v>454607.99999999994</v>
      </c>
    </row>
    <row r="19" spans="1:25" ht="64.5" thickBot="1">
      <c r="A19" s="768"/>
      <c r="B19" s="220"/>
      <c r="C19" s="221"/>
      <c r="D19" s="222"/>
      <c r="E19" s="230"/>
      <c r="F19" s="240"/>
      <c r="G19" s="237"/>
      <c r="H19" s="238" t="s">
        <v>582</v>
      </c>
      <c r="I19" s="766"/>
      <c r="J19" s="219">
        <f>+'15'!J19</f>
        <v>0</v>
      </c>
      <c r="K19" s="244"/>
      <c r="L19" s="244"/>
      <c r="M19" s="122">
        <f>+K19+'15'!M19+L19</f>
        <v>0</v>
      </c>
      <c r="R19" s="154">
        <f t="shared" ref="R19:R22" si="6">+O19*Q19</f>
        <v>0</v>
      </c>
      <c r="S19" s="154">
        <f t="shared" ref="S19:S22" si="7">+P19*Q19</f>
        <v>0</v>
      </c>
      <c r="X19" s="154">
        <f t="shared" ref="X19:X22" si="8">+U19*W19</f>
        <v>0</v>
      </c>
      <c r="Y19" s="154">
        <f t="shared" ref="Y19:Y22" si="9">+V19*W19</f>
        <v>0</v>
      </c>
    </row>
    <row r="20" spans="1:25" ht="13.5" thickBot="1">
      <c r="A20" s="768"/>
      <c r="B20" s="220"/>
      <c r="C20" s="221"/>
      <c r="D20" s="222"/>
      <c r="E20" s="230"/>
      <c r="F20" s="233"/>
      <c r="G20" s="237"/>
      <c r="H20" s="238" t="s">
        <v>585</v>
      </c>
      <c r="I20" s="766"/>
      <c r="J20" s="219">
        <f>+'15'!J20</f>
        <v>0</v>
      </c>
      <c r="K20" s="245"/>
      <c r="L20" s="245"/>
      <c r="M20" s="122">
        <f>+K20+'15'!M20+L20</f>
        <v>0</v>
      </c>
      <c r="R20" s="154">
        <f t="shared" si="6"/>
        <v>0</v>
      </c>
      <c r="S20" s="154">
        <f t="shared" si="7"/>
        <v>0</v>
      </c>
      <c r="X20" s="154">
        <f t="shared" si="8"/>
        <v>0</v>
      </c>
      <c r="Y20" s="154">
        <f t="shared" si="9"/>
        <v>0</v>
      </c>
    </row>
    <row r="21" spans="1:25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+'15'!J21</f>
        <v>0</v>
      </c>
      <c r="K21" s="244"/>
      <c r="L21" s="244"/>
      <c r="M21" s="122">
        <f>+K21+'15'!M21+L21</f>
        <v>0</v>
      </c>
      <c r="R21" s="154">
        <f t="shared" si="6"/>
        <v>0</v>
      </c>
      <c r="S21" s="154">
        <f t="shared" si="7"/>
        <v>0</v>
      </c>
      <c r="X21" s="154">
        <f t="shared" si="8"/>
        <v>0</v>
      </c>
      <c r="Y21" s="154">
        <f t="shared" si="9"/>
        <v>0</v>
      </c>
    </row>
    <row r="22" spans="1:25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+'15'!J22</f>
        <v>0</v>
      </c>
      <c r="K22" s="244"/>
      <c r="L22" s="244"/>
      <c r="M22" s="122">
        <f>+K22+'15'!M22+L22</f>
        <v>0</v>
      </c>
      <c r="R22" s="154">
        <f t="shared" si="6"/>
        <v>0</v>
      </c>
      <c r="S22" s="154">
        <f t="shared" si="7"/>
        <v>0</v>
      </c>
      <c r="X22" s="154">
        <f t="shared" si="8"/>
        <v>0</v>
      </c>
      <c r="Y22" s="154">
        <f t="shared" si="9"/>
        <v>0</v>
      </c>
    </row>
    <row r="23" spans="1:25" ht="13.5" thickBot="1">
      <c r="A23" s="769"/>
      <c r="B23" s="173" t="s">
        <v>2</v>
      </c>
      <c r="C23" s="105">
        <f>SUM(C16:C22)</f>
        <v>12361</v>
      </c>
      <c r="D23" s="116">
        <f>SUM(D16:D22)</f>
        <v>250</v>
      </c>
      <c r="E23" s="117">
        <f>SUM(E18:E22)</f>
        <v>0</v>
      </c>
      <c r="F23" s="121">
        <f>SUM(F15:F22)</f>
        <v>20</v>
      </c>
      <c r="G23" s="164"/>
      <c r="H23" s="171"/>
      <c r="I23" s="174"/>
      <c r="J23" s="219">
        <f>+'15'!J23</f>
        <v>0</v>
      </c>
      <c r="K23" s="244"/>
      <c r="L23" s="244"/>
      <c r="M23" s="122">
        <f>+K23+'15'!M23+L23</f>
        <v>0</v>
      </c>
      <c r="P23" s="154">
        <f t="shared" ref="P23" si="10">+O23-O23*0.17</f>
        <v>0</v>
      </c>
      <c r="V23" s="154">
        <f t="shared" ref="V23" si="11">+U23-U23*0.17</f>
        <v>0</v>
      </c>
    </row>
    <row r="24" spans="1:25" ht="13.5" customHeight="1" thickBot="1">
      <c r="A24" s="762"/>
      <c r="B24" s="175"/>
      <c r="C24" s="118">
        <f>C23/($C$23+$D$23+$E$23)</f>
        <v>0.9801760367932757</v>
      </c>
      <c r="D24" s="119">
        <f>D23/($C$23+$D$23+$E$23)</f>
        <v>1.9823963206724287E-2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427</v>
      </c>
      <c r="J24" s="219">
        <f>+'15'!J24</f>
        <v>0</v>
      </c>
      <c r="K24" s="244"/>
      <c r="L24" s="244"/>
      <c r="M24" s="122">
        <f>+K24+'15'!M24+L24</f>
        <v>0</v>
      </c>
      <c r="Q24" s="154">
        <f>SUM(Q16:Q22)</f>
        <v>480</v>
      </c>
      <c r="R24" s="154">
        <f>SUM(R16:R22)</f>
        <v>590400</v>
      </c>
      <c r="S24" s="154">
        <f>SUM(S16:S22)</f>
        <v>454608</v>
      </c>
      <c r="W24" s="154">
        <f>SUM(W16:W22)</f>
        <v>660</v>
      </c>
      <c r="X24" s="154">
        <f>SUM(X16:X22)</f>
        <v>811800</v>
      </c>
      <c r="Y24" s="154">
        <f>SUM(Y16:Y22)</f>
        <v>625085.99999999988</v>
      </c>
    </row>
    <row r="25" spans="1:25" ht="13.5" thickBot="1">
      <c r="A25" s="768"/>
      <c r="B25" s="220" t="s">
        <v>590</v>
      </c>
      <c r="C25" s="231">
        <v>13140</v>
      </c>
      <c r="D25" s="222">
        <v>261</v>
      </c>
      <c r="E25" s="230"/>
      <c r="F25" s="236">
        <v>10</v>
      </c>
      <c r="G25" s="574" t="s">
        <v>12</v>
      </c>
      <c r="H25" s="235" t="s">
        <v>388</v>
      </c>
      <c r="I25" s="766"/>
      <c r="J25" s="219">
        <f>+'15'!J25</f>
        <v>0</v>
      </c>
      <c r="K25" s="244"/>
      <c r="L25" s="244"/>
      <c r="M25" s="122">
        <f>+K25+'15'!M25+L25</f>
        <v>0</v>
      </c>
      <c r="N25" s="154" t="s">
        <v>399</v>
      </c>
      <c r="Q25" s="154">
        <f>480-Q24</f>
        <v>0</v>
      </c>
      <c r="R25" s="154">
        <f>+R24/Q24</f>
        <v>1230</v>
      </c>
      <c r="S25" s="154">
        <f>+S24/Q24</f>
        <v>947.1</v>
      </c>
      <c r="T25" s="154" t="s">
        <v>399</v>
      </c>
      <c r="W25" s="154">
        <f>480-W24</f>
        <v>-180</v>
      </c>
      <c r="X25" s="154">
        <f>+X24/W24</f>
        <v>1230</v>
      </c>
      <c r="Y25" s="154">
        <f>+Y24/W24</f>
        <v>947.0999999999998</v>
      </c>
    </row>
    <row r="26" spans="1:25" ht="13.5" thickBot="1">
      <c r="A26" s="768"/>
      <c r="B26" s="220"/>
      <c r="C26" s="231"/>
      <c r="D26" s="222"/>
      <c r="E26" s="232"/>
      <c r="F26" s="233">
        <v>10</v>
      </c>
      <c r="G26" s="574" t="s">
        <v>12</v>
      </c>
      <c r="H26" s="238" t="s">
        <v>459</v>
      </c>
      <c r="I26" s="766"/>
      <c r="J26" s="219">
        <f>+'15'!J26</f>
        <v>0</v>
      </c>
      <c r="K26" s="244"/>
      <c r="L26" s="244"/>
      <c r="M26" s="122">
        <f>+K26+'15'!M26+L26</f>
        <v>0</v>
      </c>
    </row>
    <row r="27" spans="1:25" ht="26.25" thickBot="1">
      <c r="A27" s="768"/>
      <c r="B27" s="220"/>
      <c r="C27" s="221"/>
      <c r="D27" s="222"/>
      <c r="E27" s="230"/>
      <c r="F27" s="233"/>
      <c r="G27" s="242"/>
      <c r="H27" s="238" t="s">
        <v>580</v>
      </c>
      <c r="I27" s="766"/>
      <c r="J27" s="219">
        <f>+'15'!J27</f>
        <v>0</v>
      </c>
      <c r="K27" s="244"/>
      <c r="L27" s="244"/>
      <c r="M27" s="122">
        <f>+K27+'15'!M27+L27</f>
        <v>0</v>
      </c>
      <c r="N27" s="154" t="s">
        <v>586</v>
      </c>
      <c r="O27" s="154">
        <v>1230</v>
      </c>
      <c r="P27" s="154">
        <f>+O27-O27*0.23</f>
        <v>947.09999999999991</v>
      </c>
      <c r="Q27" s="154">
        <f>480-Q26</f>
        <v>480</v>
      </c>
      <c r="R27" s="154">
        <f>+O27*Q27</f>
        <v>590400</v>
      </c>
      <c r="S27" s="154">
        <f>+P27*Q27</f>
        <v>454607.99999999994</v>
      </c>
    </row>
    <row r="28" spans="1:25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+'15'!J28</f>
        <v>0</v>
      </c>
      <c r="K28" s="244"/>
      <c r="L28" s="244"/>
      <c r="M28" s="122">
        <f>+K28+'15'!M28+L28</f>
        <v>0</v>
      </c>
      <c r="R28" s="154">
        <f>+O28*Q28</f>
        <v>0</v>
      </c>
      <c r="S28" s="154">
        <f>+P28*Q28</f>
        <v>0</v>
      </c>
    </row>
    <row r="29" spans="1:25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+'15'!J29</f>
        <v>0</v>
      </c>
      <c r="K29" s="244"/>
      <c r="L29" s="244"/>
      <c r="M29" s="122">
        <f>+K29+'15'!M29+L29</f>
        <v>0</v>
      </c>
      <c r="R29" s="154">
        <f t="shared" ref="R29:R32" si="12">+O29*Q29</f>
        <v>0</v>
      </c>
      <c r="S29" s="154">
        <f t="shared" ref="S29:S32" si="13">+P29*Q29</f>
        <v>0</v>
      </c>
    </row>
    <row r="30" spans="1:25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+'15'!J30</f>
        <v>0</v>
      </c>
      <c r="K30" s="244"/>
      <c r="L30" s="244"/>
      <c r="M30" s="122">
        <f>+K30+'15'!M30+L30</f>
        <v>0</v>
      </c>
      <c r="R30" s="154">
        <f t="shared" si="12"/>
        <v>0</v>
      </c>
      <c r="S30" s="154">
        <f t="shared" si="13"/>
        <v>0</v>
      </c>
    </row>
    <row r="31" spans="1:25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+'15'!J31</f>
        <v>0</v>
      </c>
      <c r="K31" s="244"/>
      <c r="L31" s="244"/>
      <c r="M31" s="122">
        <f>+K31+'15'!M31+L31</f>
        <v>0</v>
      </c>
      <c r="R31" s="154">
        <f t="shared" si="12"/>
        <v>0</v>
      </c>
      <c r="S31" s="154">
        <f t="shared" si="13"/>
        <v>0</v>
      </c>
    </row>
    <row r="32" spans="1:25" ht="13.5" thickBot="1">
      <c r="A32" s="769"/>
      <c r="B32" s="170" t="s">
        <v>2</v>
      </c>
      <c r="C32" s="104">
        <f>SUM(C25:C31)</f>
        <v>13140</v>
      </c>
      <c r="D32" s="105">
        <f>SUM(D25:D31)</f>
        <v>261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+'15'!J32</f>
        <v>0</v>
      </c>
      <c r="K32" s="246"/>
      <c r="L32" s="248"/>
      <c r="M32" s="122">
        <f>+K32+'15'!M32+L32</f>
        <v>0</v>
      </c>
      <c r="R32" s="154">
        <f t="shared" si="12"/>
        <v>0</v>
      </c>
      <c r="S32" s="154">
        <f t="shared" si="13"/>
        <v>0</v>
      </c>
    </row>
    <row r="33" spans="1:19" ht="13.5" thickBot="1">
      <c r="A33" s="178"/>
      <c r="B33" s="179"/>
      <c r="C33" s="108">
        <f>C32/($C$32+$D$32+$E$32)</f>
        <v>0.98052384150436533</v>
      </c>
      <c r="D33" s="109">
        <f>D32/($C$32+$D$32+$E$32)</f>
        <v>1.9476158495634655E-2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P33" s="154">
        <f t="shared" ref="P33" si="14">+O33-O33*0.17</f>
        <v>0</v>
      </c>
    </row>
    <row r="34" spans="1:19" ht="13.5" thickBot="1">
      <c r="A34" s="770" t="s">
        <v>57</v>
      </c>
      <c r="B34" s="771"/>
      <c r="C34" s="112">
        <f>C14+C23+C32</f>
        <v>38429</v>
      </c>
      <c r="D34" s="112">
        <f>D14+D23+D32</f>
        <v>511</v>
      </c>
      <c r="E34" s="112">
        <f>E14+E23+E32</f>
        <v>0</v>
      </c>
      <c r="F34" s="113">
        <f>F14+F23+F32</f>
        <v>61</v>
      </c>
      <c r="H34" s="183"/>
      <c r="I34" s="183"/>
      <c r="J34" s="128" t="s">
        <v>28</v>
      </c>
      <c r="K34" s="129">
        <f>SUM(K7:K32)</f>
        <v>38429</v>
      </c>
      <c r="L34" s="217">
        <f>SUM(L7:L32)</f>
        <v>0</v>
      </c>
      <c r="M34" s="125">
        <f>SUM(M7:M32)</f>
        <v>591560</v>
      </c>
      <c r="Q34" s="154">
        <f>SUM(Q26:Q32)</f>
        <v>480</v>
      </c>
      <c r="R34" s="154">
        <f>SUM(R26:R32)</f>
        <v>590400</v>
      </c>
      <c r="S34" s="154">
        <f>SUM(S26:S32)</f>
        <v>454607.99999999994</v>
      </c>
    </row>
    <row r="35" spans="1:19" ht="13.5" thickBot="1">
      <c r="A35" s="184"/>
      <c r="B35" s="185"/>
      <c r="C35" s="109">
        <f>C34/($C$34+$D$34+$E$34)</f>
        <v>0.98687724704673863</v>
      </c>
      <c r="D35" s="109">
        <f>D34/($C$34+$D$34+$E$34)</f>
        <v>1.3122752953261428E-2</v>
      </c>
      <c r="E35" s="114">
        <f>E34/($C$34+$D$34+$E$34)</f>
        <v>0</v>
      </c>
      <c r="K35" s="160"/>
      <c r="N35" s="154" t="s">
        <v>399</v>
      </c>
      <c r="Q35" s="154">
        <f>480-Q34</f>
        <v>0</v>
      </c>
      <c r="R35" s="154">
        <f>+R34/Q34</f>
        <v>1230</v>
      </c>
      <c r="S35" s="154">
        <f>+S34/Q34</f>
        <v>947.09999999999991</v>
      </c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(12.5*780+13*660)/1440*G42*2.74*1440/1000000</f>
        <v>47.466629835625</v>
      </c>
      <c r="J37" s="130">
        <f>+I37+'15'!J37</f>
        <v>702.55396943156177</v>
      </c>
      <c r="K37" s="131" t="s">
        <v>63</v>
      </c>
      <c r="N37" s="154" t="s">
        <v>463</v>
      </c>
      <c r="O37" s="154">
        <v>1225.1923076923076</v>
      </c>
      <c r="P37" s="154">
        <v>943.39807692307693</v>
      </c>
      <c r="Q37" s="154">
        <v>780</v>
      </c>
    </row>
    <row r="38" spans="1:19" ht="17.45" customHeight="1">
      <c r="A38" s="774" t="s">
        <v>12</v>
      </c>
      <c r="B38" s="775"/>
      <c r="C38" s="169">
        <f>SUMIF($G$7:$G$31,"Process",$F$7:$F$31)</f>
        <v>61</v>
      </c>
      <c r="D38" s="123">
        <f>+C38+'15'!D38</f>
        <v>1057</v>
      </c>
      <c r="E38" s="148">
        <f t="shared" ref="E38:E51" si="15">D38/60</f>
        <v>17.616666666666667</v>
      </c>
      <c r="F38" s="328">
        <v>1222.1875</v>
      </c>
      <c r="G38" s="328">
        <v>941.08437500000002</v>
      </c>
      <c r="H38" s="192" t="s">
        <v>64</v>
      </c>
      <c r="I38" s="250">
        <f>13.388+13.486+13.471</f>
        <v>40.344999999999999</v>
      </c>
      <c r="J38" s="132">
        <f>+I38+'15'!J38</f>
        <v>623.03</v>
      </c>
      <c r="K38" s="133" t="s">
        <v>63</v>
      </c>
      <c r="N38" s="154" t="s">
        <v>586</v>
      </c>
      <c r="O38" s="154">
        <v>1230</v>
      </c>
      <c r="P38" s="154">
        <v>947.0999999999998</v>
      </c>
      <c r="Q38" s="154">
        <v>660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+C39+'15'!D39</f>
        <v>0</v>
      </c>
      <c r="E39" s="148">
        <f t="shared" si="15"/>
        <v>0</v>
      </c>
      <c r="F39" s="328">
        <v>1230</v>
      </c>
      <c r="G39" s="328">
        <v>947.1</v>
      </c>
      <c r="H39" s="192" t="s">
        <v>65</v>
      </c>
      <c r="I39" s="147"/>
      <c r="J39" s="134">
        <f>J37/G4</f>
        <v>43.909623089472611</v>
      </c>
      <c r="K39" s="135" t="s">
        <v>63</v>
      </c>
      <c r="Q39" s="154">
        <f>+Q37+Q38</f>
        <v>1440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+C40+'15'!D40</f>
        <v>0</v>
      </c>
      <c r="E40" s="148">
        <f t="shared" si="15"/>
        <v>0</v>
      </c>
      <c r="F40" s="328">
        <v>1230</v>
      </c>
      <c r="G40" s="328">
        <v>947.09999999999991</v>
      </c>
      <c r="H40" s="192" t="s">
        <v>67</v>
      </c>
      <c r="I40" s="123">
        <f>(K34+L34)/1000</f>
        <v>38.429000000000002</v>
      </c>
      <c r="J40" s="136">
        <f>+I40+'15'!J40</f>
        <v>591.55999999999995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+C41+'15'!D41</f>
        <v>144</v>
      </c>
      <c r="E41" s="148">
        <f t="shared" si="15"/>
        <v>2.4</v>
      </c>
      <c r="F41" s="328"/>
      <c r="G41" s="328"/>
      <c r="H41" s="192" t="s">
        <v>69</v>
      </c>
      <c r="I41" s="147"/>
      <c r="J41" s="134">
        <f>J40/G4</f>
        <v>36.972499999999997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+C42+'15'!D42</f>
        <v>0</v>
      </c>
      <c r="E42" s="148">
        <f t="shared" si="15"/>
        <v>0</v>
      </c>
      <c r="F42" s="328">
        <f>+(F38*480+F40*480+F39*480)/1440</f>
        <v>1227.3958333333333</v>
      </c>
      <c r="G42" s="328">
        <f>+(G38*480+G40*480+G39*480)/1440</f>
        <v>945.09479166666665</v>
      </c>
      <c r="H42" s="192" t="s">
        <v>70</v>
      </c>
      <c r="I42" s="251" t="s">
        <v>588</v>
      </c>
      <c r="J42" s="137"/>
      <c r="K42" s="135" t="s">
        <v>71</v>
      </c>
    </row>
    <row r="43" spans="1:19" ht="17.45" customHeight="1">
      <c r="A43" s="776" t="s">
        <v>222</v>
      </c>
      <c r="B43" s="777"/>
      <c r="C43" s="169">
        <f>SUMIF($G$7:$G$31,"Change Grade",$F$7:$F$31)</f>
        <v>0</v>
      </c>
      <c r="D43" s="123">
        <f>+C43+'15'!D43</f>
        <v>0</v>
      </c>
      <c r="E43" s="148">
        <f t="shared" si="15"/>
        <v>0</v>
      </c>
      <c r="F43" s="328"/>
      <c r="G43" s="329"/>
      <c r="H43" s="193" t="s">
        <v>73</v>
      </c>
      <c r="I43" s="123">
        <f>+Report1!Z24</f>
        <v>62.6</v>
      </c>
      <c r="J43" s="138">
        <f>+I43+'15'!J43</f>
        <v>931.3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+C44+'15'!D44</f>
        <v>0</v>
      </c>
      <c r="E44" s="148">
        <f t="shared" si="15"/>
        <v>0</v>
      </c>
      <c r="F44" s="328"/>
      <c r="G44" s="329"/>
      <c r="H44" s="193" t="s">
        <v>74</v>
      </c>
      <c r="I44" s="123">
        <f>I43/I38</f>
        <v>1.5516173007807659</v>
      </c>
      <c r="J44" s="139">
        <f>J43/J38</f>
        <v>1.4947915830698362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+C45+'15'!D45</f>
        <v>0</v>
      </c>
      <c r="E45" s="148">
        <f t="shared" si="15"/>
        <v>0</v>
      </c>
      <c r="F45" s="328"/>
      <c r="G45" s="331"/>
      <c r="H45" s="193" t="s">
        <v>75</v>
      </c>
      <c r="I45" s="123">
        <f>I43/I40</f>
        <v>1.6289781154857008</v>
      </c>
      <c r="J45" s="139">
        <f>J43/J40</f>
        <v>1.5743119886402057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+C46+'15'!D46</f>
        <v>0</v>
      </c>
      <c r="E46" s="148">
        <f t="shared" si="15"/>
        <v>0</v>
      </c>
      <c r="F46" s="328"/>
      <c r="G46" s="329"/>
      <c r="H46" s="193" t="s">
        <v>77</v>
      </c>
      <c r="I46" s="145">
        <f>+SUMIF(Listrik!P23,"&gt;0")</f>
        <v>34790.400000000729</v>
      </c>
      <c r="J46" s="140">
        <f>+I46+'15'!J46</f>
        <v>597536.92000000004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+C47+'15'!D47</f>
        <v>0</v>
      </c>
      <c r="E47" s="148">
        <f t="shared" si="15"/>
        <v>0</v>
      </c>
      <c r="F47" s="328"/>
      <c r="G47" s="329"/>
      <c r="H47" s="193" t="s">
        <v>80</v>
      </c>
      <c r="I47" s="123">
        <f>I46/I38</f>
        <v>862.32246870741676</v>
      </c>
      <c r="J47" s="140">
        <f>J46/J38</f>
        <v>959.08209877534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+C48+'15'!D48</f>
        <v>0</v>
      </c>
      <c r="E48" s="148">
        <f t="shared" si="15"/>
        <v>0</v>
      </c>
      <c r="F48" s="328"/>
      <c r="G48" s="329"/>
      <c r="H48" s="193" t="s">
        <v>81</v>
      </c>
      <c r="I48" s="123">
        <f>I46/I40</f>
        <v>905.31629758777819</v>
      </c>
      <c r="J48" s="140">
        <f>J46/J40</f>
        <v>1010.1036581242818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+C49+'15'!D49</f>
        <v>720</v>
      </c>
      <c r="E49" s="148">
        <f t="shared" si="15"/>
        <v>12</v>
      </c>
      <c r="F49" s="190"/>
      <c r="H49" s="193" t="s">
        <v>271</v>
      </c>
      <c r="I49" s="123">
        <f>+Report1!T24</f>
        <v>3564.7564724721792</v>
      </c>
      <c r="J49" s="140">
        <f>+I49+'15'!J49</f>
        <v>65393.457894853513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+C50+'15'!D50</f>
        <v>0</v>
      </c>
      <c r="E50" s="148">
        <f t="shared" si="15"/>
        <v>0</v>
      </c>
      <c r="F50" s="190"/>
      <c r="H50" s="193" t="s">
        <v>83</v>
      </c>
      <c r="I50" s="145">
        <f>I49/I38</f>
        <v>88.3568341175407</v>
      </c>
      <c r="J50" s="138">
        <f>J49/J38</f>
        <v>104.96036771079004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+C51+'15'!D51</f>
        <v>0</v>
      </c>
      <c r="E51" s="148">
        <f t="shared" si="15"/>
        <v>0</v>
      </c>
      <c r="F51" s="190"/>
      <c r="H51" s="195" t="s">
        <v>85</v>
      </c>
      <c r="I51" s="146">
        <f>I49/I40</f>
        <v>92.762145058996566</v>
      </c>
      <c r="J51" s="141">
        <f>J49/J40</f>
        <v>110.54408326265047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61</v>
      </c>
      <c r="D52" s="149">
        <f>SUM(D38:D51)</f>
        <v>1921</v>
      </c>
      <c r="E52" s="150">
        <f>SUM(E38:E51)</f>
        <v>32.016666666666666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4.2361111111111113E-2</v>
      </c>
      <c r="D53" s="151">
        <f>D52/(24*60*G4)</f>
        <v>8.3376736111111113E-2</v>
      </c>
      <c r="E53" s="152">
        <f>E52/(G4*24)</f>
        <v>8.3376736111111113E-2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+D34+'15'!J56</f>
        <v>3209</v>
      </c>
      <c r="K56" s="206">
        <f>J56/(J40+J56/1000)/1000</f>
        <v>5.3953719847537459E-3</v>
      </c>
    </row>
    <row r="57" spans="1:11">
      <c r="A57" s="181"/>
      <c r="I57" s="204" t="s">
        <v>88</v>
      </c>
      <c r="J57" s="205">
        <f>+E34+'15'!J57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G13" zoomScale="80" zoomScaleNormal="75" zoomScaleSheetLayoutView="80" workbookViewId="0">
      <selection activeCell="N26" sqref="N26:S3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25" ht="15.75">
      <c r="A1" s="153"/>
    </row>
    <row r="2" spans="1:25" ht="15.75">
      <c r="A2" s="153" t="s">
        <v>184</v>
      </c>
    </row>
    <row r="3" spans="1:25" ht="15">
      <c r="A3" s="155"/>
    </row>
    <row r="4" spans="1:25" ht="20.25">
      <c r="A4" s="156" t="s">
        <v>3</v>
      </c>
      <c r="B4" s="157"/>
      <c r="F4" s="158" t="s">
        <v>29</v>
      </c>
      <c r="G4" s="159">
        <v>15</v>
      </c>
      <c r="H4" s="159" t="str">
        <f>+'1'!H4</f>
        <v>.10.25</v>
      </c>
      <c r="J4" s="154">
        <f>497+561+422</f>
        <v>1480</v>
      </c>
    </row>
    <row r="5" spans="1:25" ht="13.5" thickBot="1">
      <c r="C5" s="160"/>
      <c r="D5" s="160"/>
    </row>
    <row r="6" spans="1:25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491</v>
      </c>
      <c r="O6" s="154">
        <v>1200</v>
      </c>
      <c r="P6" s="154">
        <f>+O6-O6*0.21</f>
        <v>948</v>
      </c>
      <c r="Q6" s="154">
        <v>15</v>
      </c>
      <c r="R6" s="154">
        <f>+O6*Q6</f>
        <v>18000</v>
      </c>
      <c r="S6" s="154">
        <f>+P6*Q6</f>
        <v>14220</v>
      </c>
      <c r="T6" s="154" t="s">
        <v>491</v>
      </c>
      <c r="U6" s="154">
        <v>1200</v>
      </c>
      <c r="V6" s="154">
        <f>+U6-U6*0.21</f>
        <v>948</v>
      </c>
      <c r="W6" s="154">
        <v>15</v>
      </c>
      <c r="X6" s="154">
        <f>+U6*W6</f>
        <v>18000</v>
      </c>
      <c r="Y6" s="154">
        <f>+V6*W6</f>
        <v>14220</v>
      </c>
    </row>
    <row r="7" spans="1:25" ht="13.5" customHeight="1" thickBot="1">
      <c r="A7" s="762"/>
      <c r="B7" s="220" t="s">
        <v>498</v>
      </c>
      <c r="C7" s="221">
        <v>14246</v>
      </c>
      <c r="D7" s="222"/>
      <c r="E7" s="223"/>
      <c r="F7" s="233">
        <v>9</v>
      </c>
      <c r="G7" s="234" t="s">
        <v>12</v>
      </c>
      <c r="H7" s="235" t="s">
        <v>458</v>
      </c>
      <c r="I7" s="765" t="s">
        <v>570</v>
      </c>
      <c r="J7" s="219" t="str">
        <f>+'14'!J7</f>
        <v>F 12 VP OW</v>
      </c>
      <c r="K7" s="243"/>
      <c r="L7" s="247"/>
      <c r="M7" s="122">
        <f>+K7+'14'!M7+L7</f>
        <v>89181</v>
      </c>
      <c r="O7" s="154">
        <v>1180</v>
      </c>
      <c r="P7" s="154">
        <f>+O7-O7*0.23</f>
        <v>908.59999999999991</v>
      </c>
      <c r="Q7" s="154">
        <f>60-15+300+40</f>
        <v>385</v>
      </c>
      <c r="R7" s="154">
        <f>+O7*Q7</f>
        <v>454300</v>
      </c>
      <c r="S7" s="154">
        <f>+P7*Q7</f>
        <v>349810.99999999994</v>
      </c>
      <c r="U7" s="154">
        <v>1180</v>
      </c>
      <c r="V7" s="154">
        <f>+U7-U7*0.23</f>
        <v>908.59999999999991</v>
      </c>
      <c r="W7" s="154">
        <f>60-15+300+40</f>
        <v>385</v>
      </c>
      <c r="X7" s="154">
        <f>+U7*W7</f>
        <v>454300</v>
      </c>
      <c r="Y7" s="154">
        <f>+V7*W7</f>
        <v>349810.99999999994</v>
      </c>
    </row>
    <row r="8" spans="1:25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+'14'!J8</f>
        <v>F 12,5 VP OW</v>
      </c>
      <c r="K8" s="244">
        <f>+C17+C25</f>
        <v>19666</v>
      </c>
      <c r="L8" s="244"/>
      <c r="M8" s="122">
        <f>+K8+'14'!M8+L8</f>
        <v>30146</v>
      </c>
      <c r="N8" s="154" t="s">
        <v>463</v>
      </c>
      <c r="O8" s="154">
        <v>1180</v>
      </c>
      <c r="P8" s="154">
        <f>+O8-O8*0.24</f>
        <v>896.8</v>
      </c>
      <c r="Q8" s="154">
        <f>60-40+60</f>
        <v>80</v>
      </c>
      <c r="R8" s="154">
        <f t="shared" ref="R8:R11" si="0">+O8*Q8</f>
        <v>94400</v>
      </c>
      <c r="S8" s="154">
        <f t="shared" ref="S8:S11" si="1">+P8*Q8</f>
        <v>71744</v>
      </c>
      <c r="X8" s="154">
        <f t="shared" ref="X8:X11" si="2">+U8*W8</f>
        <v>0</v>
      </c>
      <c r="Y8" s="154">
        <f t="shared" ref="Y8:Y11" si="3">+V8*W8</f>
        <v>0</v>
      </c>
    </row>
    <row r="9" spans="1:25" ht="13.5" thickBot="1">
      <c r="A9" s="763"/>
      <c r="B9" s="220"/>
      <c r="C9" s="221"/>
      <c r="D9" s="222"/>
      <c r="E9" s="225"/>
      <c r="F9" s="233">
        <f>26-9</f>
        <v>17</v>
      </c>
      <c r="G9" s="574" t="s">
        <v>12</v>
      </c>
      <c r="H9" s="238" t="s">
        <v>461</v>
      </c>
      <c r="I9" s="766"/>
      <c r="J9" s="219" t="str">
        <f>+'14'!J9</f>
        <v>T 13 VP OW</v>
      </c>
      <c r="K9" s="244"/>
      <c r="L9" s="244"/>
      <c r="M9" s="122">
        <f>+K9+'14'!M9+L9</f>
        <v>112205</v>
      </c>
      <c r="P9" s="154">
        <f t="shared" ref="P9" si="4">+O9-O9*0.23</f>
        <v>0</v>
      </c>
      <c r="R9" s="154">
        <f t="shared" si="0"/>
        <v>0</v>
      </c>
      <c r="S9" s="154">
        <f t="shared" si="1"/>
        <v>0</v>
      </c>
      <c r="V9" s="154">
        <f t="shared" ref="V9" si="5">+U9-U9*0.23</f>
        <v>0</v>
      </c>
      <c r="X9" s="154">
        <f t="shared" si="2"/>
        <v>0</v>
      </c>
      <c r="Y9" s="154">
        <f t="shared" si="3"/>
        <v>0</v>
      </c>
    </row>
    <row r="10" spans="1:25" ht="51.75" thickBot="1">
      <c r="A10" s="763"/>
      <c r="B10" s="220"/>
      <c r="C10" s="221"/>
      <c r="D10" s="222"/>
      <c r="E10" s="224"/>
      <c r="F10" s="233"/>
      <c r="G10" s="242"/>
      <c r="H10" s="238" t="s">
        <v>567</v>
      </c>
      <c r="I10" s="766"/>
      <c r="J10" s="219" t="str">
        <f>+'14'!J10</f>
        <v>T 12,5 VP OW</v>
      </c>
      <c r="K10" s="244">
        <f>+C7+C16</f>
        <v>15006</v>
      </c>
      <c r="L10" s="244"/>
      <c r="M10" s="122">
        <f>+K10+'14'!M10+L10</f>
        <v>310471</v>
      </c>
      <c r="R10" s="154">
        <f t="shared" si="0"/>
        <v>0</v>
      </c>
      <c r="S10" s="154">
        <f t="shared" si="1"/>
        <v>0</v>
      </c>
      <c r="X10" s="154">
        <f t="shared" si="2"/>
        <v>0</v>
      </c>
      <c r="Y10" s="154">
        <f t="shared" si="3"/>
        <v>0</v>
      </c>
    </row>
    <row r="11" spans="1:25" ht="108.75" customHeight="1" thickBot="1">
      <c r="A11" s="763"/>
      <c r="B11" s="220"/>
      <c r="C11" s="221"/>
      <c r="D11" s="222"/>
      <c r="E11" s="224"/>
      <c r="F11" s="233"/>
      <c r="G11" s="237"/>
      <c r="H11" s="238" t="s">
        <v>568</v>
      </c>
      <c r="I11" s="766"/>
      <c r="J11" s="219" t="str">
        <f>+'14'!J11</f>
        <v>T 12 VP OW</v>
      </c>
      <c r="K11" s="244"/>
      <c r="L11" s="244"/>
      <c r="M11" s="122">
        <f>+K11+'14'!M11+L11</f>
        <v>11128</v>
      </c>
      <c r="R11" s="154">
        <f t="shared" si="0"/>
        <v>0</v>
      </c>
      <c r="S11" s="154">
        <f t="shared" si="1"/>
        <v>0</v>
      </c>
      <c r="X11" s="154">
        <f t="shared" si="2"/>
        <v>0</v>
      </c>
      <c r="Y11" s="154">
        <f t="shared" si="3"/>
        <v>0</v>
      </c>
    </row>
    <row r="12" spans="1:25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+'14'!J12</f>
        <v>0</v>
      </c>
      <c r="K12" s="244"/>
      <c r="L12" s="244"/>
      <c r="M12" s="122">
        <f>+K12+'14'!M12+L12</f>
        <v>0</v>
      </c>
      <c r="P12" s="154">
        <f t="shared" ref="P12" si="6">+O12-O12*0.17</f>
        <v>0</v>
      </c>
      <c r="V12" s="154">
        <f t="shared" ref="V12" si="7">+U12-U12*0.17</f>
        <v>0</v>
      </c>
    </row>
    <row r="13" spans="1:25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+'14'!J13</f>
        <v>0</v>
      </c>
      <c r="K13" s="244"/>
      <c r="L13" s="244"/>
      <c r="M13" s="122">
        <f>+K13+'14'!M13+L13</f>
        <v>0</v>
      </c>
      <c r="Q13" s="154">
        <f>SUM(Q5:Q11)</f>
        <v>480</v>
      </c>
      <c r="R13" s="154">
        <f>SUM(R5:R11)</f>
        <v>566700</v>
      </c>
      <c r="S13" s="154">
        <f>SUM(S5:S11)</f>
        <v>435774.99999999994</v>
      </c>
      <c r="W13" s="154">
        <f>SUM(W5:W11)</f>
        <v>400</v>
      </c>
      <c r="X13" s="154">
        <f>SUM(X5:X11)</f>
        <v>472300</v>
      </c>
      <c r="Y13" s="154">
        <f>SUM(Y5:Y11)</f>
        <v>364030.99999999994</v>
      </c>
    </row>
    <row r="14" spans="1:25" ht="13.5" thickBot="1">
      <c r="A14" s="764"/>
      <c r="B14" s="170" t="s">
        <v>2</v>
      </c>
      <c r="C14" s="104">
        <f>SUM(C7:C13)</f>
        <v>14246</v>
      </c>
      <c r="D14" s="116">
        <f>SUM(D7:D13)</f>
        <v>0</v>
      </c>
      <c r="E14" s="117">
        <f>SUM(E5:E13)</f>
        <v>0</v>
      </c>
      <c r="F14" s="121">
        <f>SUM(F7:F13)</f>
        <v>26</v>
      </c>
      <c r="G14" s="164"/>
      <c r="H14" s="171"/>
      <c r="I14" s="172"/>
      <c r="J14" s="219">
        <f>+'14'!J14</f>
        <v>0</v>
      </c>
      <c r="K14" s="244"/>
      <c r="L14" s="244"/>
      <c r="M14" s="122">
        <f>+K14+'14'!M14+L14</f>
        <v>0</v>
      </c>
      <c r="N14" s="154" t="s">
        <v>399</v>
      </c>
      <c r="Q14" s="154">
        <f>480-Q13</f>
        <v>0</v>
      </c>
      <c r="R14" s="154">
        <f>+R13/Q13</f>
        <v>1180.625</v>
      </c>
      <c r="S14" s="154">
        <f>+S13/Q13</f>
        <v>907.86458333333326</v>
      </c>
      <c r="T14" s="154" t="s">
        <v>399</v>
      </c>
      <c r="W14" s="154">
        <f>480-W13</f>
        <v>80</v>
      </c>
      <c r="X14" s="154">
        <f>+X13/W13</f>
        <v>1180.75</v>
      </c>
      <c r="Y14" s="154">
        <f>+Y13/W13</f>
        <v>910.07749999999987</v>
      </c>
    </row>
    <row r="15" spans="1:25" ht="13.5" customHeight="1" thickBot="1">
      <c r="A15" s="762"/>
      <c r="B15" s="170"/>
      <c r="C15" s="118">
        <f>C14/($C$23+$D$23+$E$23)</f>
        <v>1.8644156524015181</v>
      </c>
      <c r="D15" s="119">
        <f>D14/($C$23+$D$23+$E$23)</f>
        <v>0</v>
      </c>
      <c r="E15" s="120">
        <f>E14/($C$23+$D$23+$E$23)</f>
        <v>0</v>
      </c>
      <c r="F15" s="233">
        <v>9</v>
      </c>
      <c r="G15" s="234" t="s">
        <v>12</v>
      </c>
      <c r="H15" s="235" t="s">
        <v>458</v>
      </c>
      <c r="I15" s="765" t="s">
        <v>571</v>
      </c>
      <c r="J15" s="219">
        <f>+'14'!J15</f>
        <v>0</v>
      </c>
      <c r="K15" s="244"/>
      <c r="L15" s="244"/>
      <c r="M15" s="122">
        <f>+K15+'14'!M15+L15</f>
        <v>0</v>
      </c>
    </row>
    <row r="16" spans="1:25" ht="13.5" thickBot="1">
      <c r="A16" s="768"/>
      <c r="B16" s="220" t="s">
        <v>498</v>
      </c>
      <c r="C16" s="227">
        <v>760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+'14'!J16</f>
        <v>0</v>
      </c>
      <c r="K16" s="234"/>
      <c r="L16" s="234"/>
      <c r="M16" s="122">
        <f>+K16+'14'!M16+L16</f>
        <v>0</v>
      </c>
      <c r="N16" s="154" t="s">
        <v>463</v>
      </c>
      <c r="O16" s="154">
        <v>1180</v>
      </c>
      <c r="P16" s="154">
        <f>+O16-O16*0.23</f>
        <v>908.59999999999991</v>
      </c>
      <c r="Q16" s="154">
        <f>60*5+17</f>
        <v>317</v>
      </c>
      <c r="R16" s="154">
        <f>+O16*Q16</f>
        <v>374060</v>
      </c>
      <c r="S16" s="154">
        <f>+P16*Q16</f>
        <v>288026.19999999995</v>
      </c>
      <c r="T16" s="154" t="s">
        <v>463</v>
      </c>
      <c r="U16" s="154">
        <v>1180</v>
      </c>
      <c r="V16" s="154">
        <v>896.8</v>
      </c>
      <c r="W16" s="154">
        <v>80</v>
      </c>
      <c r="X16" s="154">
        <f>+U16*W16</f>
        <v>94400</v>
      </c>
      <c r="Y16" s="154">
        <f>+V16*W16</f>
        <v>71744</v>
      </c>
    </row>
    <row r="17" spans="1:25" ht="13.5" thickBot="1">
      <c r="A17" s="768"/>
      <c r="B17" s="220" t="s">
        <v>478</v>
      </c>
      <c r="C17" s="221">
        <f>3681+3200</f>
        <v>6881</v>
      </c>
      <c r="D17" s="222"/>
      <c r="E17" s="230"/>
      <c r="F17" s="233">
        <v>30</v>
      </c>
      <c r="G17" s="574" t="s">
        <v>12</v>
      </c>
      <c r="H17" s="238" t="s">
        <v>429</v>
      </c>
      <c r="I17" s="766"/>
      <c r="J17" s="219">
        <f>+'14'!J17</f>
        <v>0</v>
      </c>
      <c r="K17" s="234"/>
      <c r="L17" s="234"/>
      <c r="M17" s="122">
        <f>+K17+'14'!M17+L17</f>
        <v>0</v>
      </c>
      <c r="O17" s="154">
        <v>1200</v>
      </c>
      <c r="P17" s="154">
        <f>+O17-O17*0.23</f>
        <v>924</v>
      </c>
      <c r="Q17" s="154">
        <f>60-44+60</f>
        <v>76</v>
      </c>
      <c r="R17" s="154">
        <f>+O17*Q17</f>
        <v>91200</v>
      </c>
      <c r="S17" s="154">
        <f>+P17*Q17</f>
        <v>70224</v>
      </c>
      <c r="T17" s="154" t="s">
        <v>463</v>
      </c>
      <c r="U17" s="154">
        <v>1180</v>
      </c>
      <c r="V17" s="154">
        <v>908.59999999999991</v>
      </c>
      <c r="W17" s="154">
        <v>317</v>
      </c>
      <c r="X17" s="154">
        <f>+U17*W17</f>
        <v>374060</v>
      </c>
      <c r="Y17" s="154">
        <f>+V17*W17</f>
        <v>288026.19999999995</v>
      </c>
    </row>
    <row r="18" spans="1:25" ht="26.25" thickBot="1">
      <c r="A18" s="768"/>
      <c r="B18" s="220"/>
      <c r="C18" s="221"/>
      <c r="D18" s="222"/>
      <c r="E18" s="230"/>
      <c r="F18" s="233"/>
      <c r="G18" s="242"/>
      <c r="H18" s="238" t="s">
        <v>569</v>
      </c>
      <c r="I18" s="766"/>
      <c r="J18" s="219">
        <f>+'14'!J18</f>
        <v>0</v>
      </c>
      <c r="K18" s="244"/>
      <c r="L18" s="244"/>
      <c r="M18" s="122">
        <f>+K18+'14'!M18+L18</f>
        <v>0</v>
      </c>
      <c r="R18" s="154">
        <f t="shared" ref="R18:R21" si="8">+O18*Q18</f>
        <v>0</v>
      </c>
      <c r="S18" s="154">
        <f t="shared" ref="S18:S21" si="9">+P18*Q18</f>
        <v>0</v>
      </c>
      <c r="U18" s="154">
        <v>1200</v>
      </c>
      <c r="V18" s="154">
        <v>924</v>
      </c>
      <c r="W18" s="154">
        <v>76</v>
      </c>
      <c r="X18" s="154">
        <f t="shared" ref="X18:X21" si="10">+U18*W18</f>
        <v>91200</v>
      </c>
      <c r="Y18" s="154">
        <f t="shared" ref="Y18:Y21" si="11">+V18*W18</f>
        <v>70224</v>
      </c>
    </row>
    <row r="19" spans="1:25" ht="150.75" customHeight="1" thickBot="1">
      <c r="A19" s="768"/>
      <c r="B19" s="220"/>
      <c r="C19" s="221"/>
      <c r="D19" s="222"/>
      <c r="E19" s="230"/>
      <c r="F19" s="240">
        <v>87</v>
      </c>
      <c r="G19" s="237" t="s">
        <v>68</v>
      </c>
      <c r="H19" s="238" t="s">
        <v>566</v>
      </c>
      <c r="I19" s="766"/>
      <c r="J19" s="219">
        <f>+'14'!J19</f>
        <v>0</v>
      </c>
      <c r="K19" s="244"/>
      <c r="L19" s="244"/>
      <c r="M19" s="122">
        <f>+K19+'14'!M19+L19</f>
        <v>0</v>
      </c>
      <c r="R19" s="154">
        <f t="shared" si="8"/>
        <v>0</v>
      </c>
      <c r="S19" s="154">
        <f t="shared" si="9"/>
        <v>0</v>
      </c>
      <c r="T19" s="154" t="s">
        <v>463</v>
      </c>
      <c r="U19" s="154">
        <v>1200</v>
      </c>
      <c r="V19" s="154">
        <v>924</v>
      </c>
      <c r="W19" s="154">
        <v>55</v>
      </c>
      <c r="X19" s="154">
        <f t="shared" si="10"/>
        <v>66000</v>
      </c>
      <c r="Y19" s="154">
        <f t="shared" si="11"/>
        <v>50820</v>
      </c>
    </row>
    <row r="20" spans="1:25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+'14'!J20</f>
        <v>0</v>
      </c>
      <c r="K20" s="245"/>
      <c r="L20" s="245"/>
      <c r="M20" s="122">
        <f>+K20+'14'!M20+L20</f>
        <v>0</v>
      </c>
      <c r="R20" s="154">
        <f t="shared" si="8"/>
        <v>0</v>
      </c>
      <c r="S20" s="154">
        <f t="shared" si="9"/>
        <v>0</v>
      </c>
      <c r="U20" s="154">
        <v>1220</v>
      </c>
      <c r="V20" s="154">
        <v>939.4</v>
      </c>
      <c r="W20" s="154">
        <v>425</v>
      </c>
      <c r="X20" s="154">
        <f t="shared" si="10"/>
        <v>518500</v>
      </c>
      <c r="Y20" s="154">
        <f t="shared" si="11"/>
        <v>399245</v>
      </c>
    </row>
    <row r="21" spans="1:25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+'14'!J21</f>
        <v>0</v>
      </c>
      <c r="K21" s="244"/>
      <c r="L21" s="244"/>
      <c r="M21" s="122">
        <f>+K21+'14'!M21+L21</f>
        <v>0</v>
      </c>
      <c r="R21" s="154">
        <f t="shared" si="8"/>
        <v>0</v>
      </c>
      <c r="S21" s="154">
        <f t="shared" si="9"/>
        <v>0</v>
      </c>
      <c r="X21" s="154">
        <f t="shared" si="10"/>
        <v>0</v>
      </c>
      <c r="Y21" s="154">
        <f t="shared" si="11"/>
        <v>0</v>
      </c>
    </row>
    <row r="22" spans="1:25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+'14'!J22</f>
        <v>0</v>
      </c>
      <c r="K22" s="244"/>
      <c r="L22" s="244"/>
      <c r="M22" s="122">
        <f>+K22+'14'!M22+L22</f>
        <v>0</v>
      </c>
      <c r="P22" s="154">
        <f t="shared" ref="P22" si="12">+O22-O22*0.17</f>
        <v>0</v>
      </c>
      <c r="V22" s="154">
        <f t="shared" ref="V22" si="13">+U22-U22*0.17</f>
        <v>0</v>
      </c>
    </row>
    <row r="23" spans="1:25" ht="13.5" thickBot="1">
      <c r="A23" s="769"/>
      <c r="B23" s="173" t="s">
        <v>2</v>
      </c>
      <c r="C23" s="105">
        <f>SUM(C16:C22)</f>
        <v>7641</v>
      </c>
      <c r="D23" s="116">
        <f>SUM(D16:D22)</f>
        <v>0</v>
      </c>
      <c r="E23" s="117">
        <f>SUM(E18:E22)</f>
        <v>0</v>
      </c>
      <c r="F23" s="121">
        <f>SUM(F15:F22)</f>
        <v>126</v>
      </c>
      <c r="G23" s="164"/>
      <c r="H23" s="171"/>
      <c r="I23" s="174"/>
      <c r="J23" s="219">
        <f>+'14'!J23</f>
        <v>0</v>
      </c>
      <c r="K23" s="244"/>
      <c r="L23" s="244"/>
      <c r="M23" s="122">
        <f>+K23+'14'!M23+L23</f>
        <v>0</v>
      </c>
      <c r="Q23" s="154">
        <f>SUM(Q15:Q21)</f>
        <v>393</v>
      </c>
      <c r="R23" s="154">
        <f>SUM(R15:R21)</f>
        <v>465260</v>
      </c>
      <c r="S23" s="154">
        <f>SUM(S15:S21)</f>
        <v>358250.19999999995</v>
      </c>
      <c r="W23" s="154">
        <f>SUM(W15:W21)</f>
        <v>953</v>
      </c>
      <c r="X23" s="154">
        <f>SUM(X15:X21)</f>
        <v>1144160</v>
      </c>
      <c r="Y23" s="154">
        <f>SUM(Y15:Y21)</f>
        <v>880059.2</v>
      </c>
    </row>
    <row r="24" spans="1:25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572</v>
      </c>
      <c r="J24" s="219">
        <f>+'14'!J24</f>
        <v>0</v>
      </c>
      <c r="K24" s="244"/>
      <c r="L24" s="244"/>
      <c r="M24" s="122">
        <f>+K24+'14'!M24+L24</f>
        <v>0</v>
      </c>
      <c r="N24" s="154" t="s">
        <v>399</v>
      </c>
      <c r="Q24" s="154">
        <f>480-Q23</f>
        <v>87</v>
      </c>
      <c r="R24" s="154">
        <f>+R23/Q23</f>
        <v>1183.8676844783715</v>
      </c>
      <c r="S24" s="154">
        <f>+S23/Q23</f>
        <v>911.57811704834592</v>
      </c>
      <c r="T24" s="154" t="s">
        <v>399</v>
      </c>
      <c r="W24" s="154">
        <f>480-W23</f>
        <v>-473</v>
      </c>
      <c r="X24" s="154">
        <f>+X23/W23</f>
        <v>1200.5876180482687</v>
      </c>
      <c r="Y24" s="154">
        <f>+Y23/W23</f>
        <v>923.46190975865682</v>
      </c>
    </row>
    <row r="25" spans="1:25" ht="13.5" thickBot="1">
      <c r="A25" s="768"/>
      <c r="B25" s="220" t="s">
        <v>478</v>
      </c>
      <c r="C25" s="231">
        <v>12785</v>
      </c>
      <c r="D25" s="222"/>
      <c r="E25" s="230"/>
      <c r="F25" s="236">
        <v>6</v>
      </c>
      <c r="G25" s="574" t="s">
        <v>12</v>
      </c>
      <c r="H25" s="235" t="s">
        <v>442</v>
      </c>
      <c r="I25" s="766"/>
      <c r="J25" s="219">
        <f>+'14'!J25</f>
        <v>0</v>
      </c>
      <c r="K25" s="244"/>
      <c r="L25" s="244"/>
      <c r="M25" s="122">
        <f>+K25+'14'!M25+L25</f>
        <v>0</v>
      </c>
    </row>
    <row r="26" spans="1:25" ht="13.5" thickBot="1">
      <c r="A26" s="768"/>
      <c r="B26" s="220"/>
      <c r="C26" s="231"/>
      <c r="D26" s="222"/>
      <c r="E26" s="232"/>
      <c r="F26" s="233">
        <v>12</v>
      </c>
      <c r="G26" s="574" t="s">
        <v>12</v>
      </c>
      <c r="H26" s="238" t="s">
        <v>429</v>
      </c>
      <c r="I26" s="766"/>
      <c r="J26" s="219">
        <f>+'14'!J26</f>
        <v>0</v>
      </c>
      <c r="K26" s="244"/>
      <c r="L26" s="244"/>
      <c r="M26" s="122">
        <f>+K26+'14'!M26+L26</f>
        <v>0</v>
      </c>
      <c r="N26" s="154" t="s">
        <v>463</v>
      </c>
      <c r="O26" s="154">
        <v>1200</v>
      </c>
      <c r="P26" s="154">
        <f>+O26-O26*0.23</f>
        <v>924</v>
      </c>
      <c r="Q26" s="154">
        <v>55</v>
      </c>
      <c r="R26" s="154">
        <f>+O26*Q26</f>
        <v>66000</v>
      </c>
      <c r="S26" s="154">
        <f>+P26*Q26</f>
        <v>50820</v>
      </c>
    </row>
    <row r="27" spans="1:25" ht="26.25" thickBot="1">
      <c r="A27" s="768"/>
      <c r="B27" s="220"/>
      <c r="C27" s="221"/>
      <c r="D27" s="222"/>
      <c r="E27" s="230"/>
      <c r="F27" s="233"/>
      <c r="G27" s="242"/>
      <c r="H27" s="238" t="s">
        <v>564</v>
      </c>
      <c r="I27" s="766"/>
      <c r="J27" s="219">
        <f>+'14'!J27</f>
        <v>0</v>
      </c>
      <c r="K27" s="244"/>
      <c r="L27" s="244"/>
      <c r="M27" s="122">
        <f>+K27+'14'!M27+L27</f>
        <v>0</v>
      </c>
      <c r="O27" s="154">
        <v>1220</v>
      </c>
      <c r="P27" s="154">
        <f>+O27-O27*0.23</f>
        <v>939.4</v>
      </c>
      <c r="Q27" s="154">
        <f>480-Q26</f>
        <v>425</v>
      </c>
      <c r="R27" s="154">
        <f>+O27*Q27</f>
        <v>518500</v>
      </c>
      <c r="S27" s="154">
        <f>+P27*Q27</f>
        <v>399245</v>
      </c>
    </row>
    <row r="28" spans="1:25" ht="13.5" thickBot="1">
      <c r="A28" s="768"/>
      <c r="B28" s="220"/>
      <c r="C28" s="221"/>
      <c r="D28" s="222"/>
      <c r="E28" s="230"/>
      <c r="F28" s="236"/>
      <c r="G28" s="237"/>
      <c r="H28" s="238" t="s">
        <v>565</v>
      </c>
      <c r="I28" s="766"/>
      <c r="J28" s="219">
        <f>+'14'!J28</f>
        <v>0</v>
      </c>
      <c r="K28" s="244"/>
      <c r="L28" s="244"/>
      <c r="M28" s="122">
        <f>+K28+'14'!M28+L28</f>
        <v>0</v>
      </c>
      <c r="R28" s="154">
        <f t="shared" ref="R28:R31" si="14">+O28*Q28</f>
        <v>0</v>
      </c>
      <c r="S28" s="154">
        <f t="shared" ref="S28:S31" si="15">+P28*Q28</f>
        <v>0</v>
      </c>
    </row>
    <row r="29" spans="1:25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+'14'!J29</f>
        <v>0</v>
      </c>
      <c r="K29" s="244"/>
      <c r="L29" s="244"/>
      <c r="M29" s="122">
        <f>+K29+'14'!M29+L29</f>
        <v>0</v>
      </c>
      <c r="R29" s="154">
        <f t="shared" si="14"/>
        <v>0</v>
      </c>
      <c r="S29" s="154">
        <f t="shared" si="15"/>
        <v>0</v>
      </c>
    </row>
    <row r="30" spans="1:25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+'14'!J30</f>
        <v>0</v>
      </c>
      <c r="K30" s="244"/>
      <c r="L30" s="244"/>
      <c r="M30" s="122">
        <f>+K30+'14'!M30+L30</f>
        <v>0</v>
      </c>
      <c r="R30" s="154">
        <f t="shared" si="14"/>
        <v>0</v>
      </c>
      <c r="S30" s="154">
        <f t="shared" si="15"/>
        <v>0</v>
      </c>
    </row>
    <row r="31" spans="1:25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+'14'!J31</f>
        <v>0</v>
      </c>
      <c r="K31" s="244"/>
      <c r="L31" s="244"/>
      <c r="M31" s="122">
        <f>+K31+'14'!M31+L31</f>
        <v>0</v>
      </c>
      <c r="R31" s="154">
        <f t="shared" si="14"/>
        <v>0</v>
      </c>
      <c r="S31" s="154">
        <f t="shared" si="15"/>
        <v>0</v>
      </c>
    </row>
    <row r="32" spans="1:25" ht="13.5" thickBot="1">
      <c r="A32" s="769"/>
      <c r="B32" s="170" t="s">
        <v>2</v>
      </c>
      <c r="C32" s="104">
        <f>SUM(C25:C31)</f>
        <v>12785</v>
      </c>
      <c r="D32" s="105">
        <f>SUM(D25:D31)</f>
        <v>0</v>
      </c>
      <c r="E32" s="106">
        <f>SUM(E25:E31)</f>
        <v>0</v>
      </c>
      <c r="F32" s="107">
        <f>SUM(F24:F31)</f>
        <v>18</v>
      </c>
      <c r="G32" s="176"/>
      <c r="H32" s="177"/>
      <c r="I32" s="174"/>
      <c r="J32" s="219">
        <f>+'14'!J32</f>
        <v>0</v>
      </c>
      <c r="K32" s="246"/>
      <c r="L32" s="248"/>
      <c r="M32" s="122">
        <f>+K32+'14'!M32+L32</f>
        <v>0</v>
      </c>
      <c r="P32" s="154">
        <f t="shared" ref="P32" si="16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584500</v>
      </c>
      <c r="S33" s="154">
        <f>SUM(S25:S31)</f>
        <v>450065</v>
      </c>
    </row>
    <row r="34" spans="1:19" ht="13.5" thickBot="1">
      <c r="A34" s="770" t="s">
        <v>57</v>
      </c>
      <c r="B34" s="771"/>
      <c r="C34" s="112">
        <f>C14+C23+C32</f>
        <v>34672</v>
      </c>
      <c r="D34" s="112">
        <f>D14+D23+D32</f>
        <v>0</v>
      </c>
      <c r="E34" s="112">
        <f>E14+E23+E32</f>
        <v>0</v>
      </c>
      <c r="F34" s="113">
        <f>F14+F23+F32</f>
        <v>170</v>
      </c>
      <c r="G34" s="154">
        <f>18+6+59</f>
        <v>83</v>
      </c>
      <c r="H34" s="183"/>
      <c r="I34" s="183"/>
      <c r="J34" s="128" t="s">
        <v>28</v>
      </c>
      <c r="K34" s="129">
        <f>SUM(K7:K32)</f>
        <v>34672</v>
      </c>
      <c r="L34" s="217">
        <f>SUM(L7:L32)</f>
        <v>0</v>
      </c>
      <c r="M34" s="125">
        <f>SUM(M7:M32)</f>
        <v>553131</v>
      </c>
      <c r="N34" s="154" t="s">
        <v>399</v>
      </c>
      <c r="Q34" s="154">
        <f>480-Q33</f>
        <v>0</v>
      </c>
      <c r="R34" s="154">
        <f>+R33/Q33</f>
        <v>1217.7083333333333</v>
      </c>
      <c r="S34" s="154">
        <f>+S33/Q33</f>
        <v>937.63541666666663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(12.5*400+953*12.5)/1440*G42*2.74*1440/1000000</f>
        <v>42.610089350000003</v>
      </c>
      <c r="J37" s="130">
        <f>+I37+'14'!J37</f>
        <v>655.08733959593678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83</v>
      </c>
      <c r="D38" s="123">
        <f>+C38+'14'!D38</f>
        <v>996</v>
      </c>
      <c r="E38" s="148">
        <f t="shared" ref="E38:E51" si="17">D38/60</f>
        <v>16.600000000000001</v>
      </c>
      <c r="F38" s="328">
        <v>1180.625</v>
      </c>
      <c r="G38" s="328">
        <v>907.86458333333326</v>
      </c>
      <c r="H38" s="192" t="s">
        <v>64</v>
      </c>
      <c r="I38" s="250">
        <f>13.036+7.608+13.568</f>
        <v>34.211999999999996</v>
      </c>
      <c r="J38" s="132">
        <f>+I38+'14'!J38</f>
        <v>582.68499999999995</v>
      </c>
      <c r="K38" s="133" t="s">
        <v>63</v>
      </c>
      <c r="N38" s="154">
        <v>480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+C39+'14'!D39</f>
        <v>0</v>
      </c>
      <c r="E39" s="148">
        <f t="shared" si="17"/>
        <v>0</v>
      </c>
      <c r="F39" s="328">
        <v>1183.8676844783715</v>
      </c>
      <c r="G39" s="328">
        <v>911.57811704834592</v>
      </c>
      <c r="H39" s="192" t="s">
        <v>65</v>
      </c>
      <c r="I39" s="147"/>
      <c r="J39" s="134">
        <f>J37/G4</f>
        <v>43.672489306395782</v>
      </c>
      <c r="K39" s="135" t="s">
        <v>63</v>
      </c>
      <c r="N39" s="154">
        <v>393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+C40+'14'!D40</f>
        <v>0</v>
      </c>
      <c r="E40" s="148">
        <f t="shared" si="17"/>
        <v>0</v>
      </c>
      <c r="F40" s="328">
        <v>1217.7083333333333</v>
      </c>
      <c r="G40" s="328">
        <v>937.63541666666663</v>
      </c>
      <c r="H40" s="192" t="s">
        <v>67</v>
      </c>
      <c r="I40" s="123">
        <f>(K34+L34)/1000</f>
        <v>34.671999999999997</v>
      </c>
      <c r="J40" s="136">
        <f>+I40+'14'!J40</f>
        <v>553.13099999999997</v>
      </c>
      <c r="K40" s="135" t="s">
        <v>63</v>
      </c>
      <c r="N40" s="154">
        <v>480</v>
      </c>
    </row>
    <row r="41" spans="1:19" ht="17.45" customHeight="1">
      <c r="A41" s="776" t="s">
        <v>68</v>
      </c>
      <c r="B41" s="777"/>
      <c r="C41" s="169">
        <f>SUMIF($G$7:$G$31,"Electrical",$F$7:$F$31)</f>
        <v>87</v>
      </c>
      <c r="D41" s="123">
        <f>+C41+'14'!D41</f>
        <v>144</v>
      </c>
      <c r="E41" s="148">
        <f t="shared" si="17"/>
        <v>2.4</v>
      </c>
      <c r="F41" s="328"/>
      <c r="G41" s="328"/>
      <c r="H41" s="192" t="s">
        <v>69</v>
      </c>
      <c r="I41" s="147"/>
      <c r="J41" s="134">
        <f>J40/G4</f>
        <v>36.875399999999999</v>
      </c>
      <c r="K41" s="135" t="s">
        <v>63</v>
      </c>
      <c r="N41" s="154">
        <f>+N38+N39+N40</f>
        <v>1353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+C42+'14'!D42</f>
        <v>0</v>
      </c>
      <c r="E42" s="148">
        <f t="shared" si="17"/>
        <v>0</v>
      </c>
      <c r="F42" s="328">
        <f>+(480*F38+393*F39+480*F40)/1353</f>
        <v>1194.7228381374723</v>
      </c>
      <c r="G42" s="328">
        <f>+(480*G38+393*G39+480*G40)/1353</f>
        <v>919.50495195861049</v>
      </c>
      <c r="H42" s="192" t="s">
        <v>70</v>
      </c>
      <c r="I42" s="251" t="s">
        <v>573</v>
      </c>
      <c r="J42" s="137"/>
      <c r="K42" s="135" t="s">
        <v>71</v>
      </c>
    </row>
    <row r="43" spans="1:19" ht="17.45" customHeight="1">
      <c r="A43" s="776" t="s">
        <v>222</v>
      </c>
      <c r="B43" s="777"/>
      <c r="C43" s="169">
        <f>SUMIF($G$7:$G$31,"Change Grade",$F$7:$F$31)</f>
        <v>0</v>
      </c>
      <c r="D43" s="123">
        <f>+C43+'14'!D43</f>
        <v>0</v>
      </c>
      <c r="E43" s="148">
        <f t="shared" si="17"/>
        <v>0</v>
      </c>
      <c r="F43" s="328"/>
      <c r="G43" s="329"/>
      <c r="H43" s="193" t="s">
        <v>73</v>
      </c>
      <c r="I43" s="123">
        <f>+Report1!Z23</f>
        <v>57.3</v>
      </c>
      <c r="J43" s="138">
        <f>+I43+'14'!J43</f>
        <v>868.69999999999993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+C44+'14'!D44</f>
        <v>0</v>
      </c>
      <c r="E44" s="148">
        <f t="shared" si="17"/>
        <v>0</v>
      </c>
      <c r="F44" s="328"/>
      <c r="G44" s="329"/>
      <c r="H44" s="193" t="s">
        <v>74</v>
      </c>
      <c r="I44" s="123">
        <f>I43/I38</f>
        <v>1.6748509294984217</v>
      </c>
      <c r="J44" s="139">
        <f>J43/J38</f>
        <v>1.4908569810446468</v>
      </c>
      <c r="K44" s="135" t="s">
        <v>63</v>
      </c>
      <c r="N44" s="154" t="s">
        <v>491</v>
      </c>
      <c r="O44" s="154">
        <v>1180.75</v>
      </c>
      <c r="P44" s="154">
        <v>910.07749999999987</v>
      </c>
      <c r="Q44" s="154">
        <v>400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+C45+'14'!D45</f>
        <v>0</v>
      </c>
      <c r="E45" s="148">
        <f t="shared" si="17"/>
        <v>0</v>
      </c>
      <c r="F45" s="328"/>
      <c r="G45" s="331"/>
      <c r="H45" s="193" t="s">
        <v>75</v>
      </c>
      <c r="I45" s="123">
        <f>I43/I40</f>
        <v>1.6526303645592986</v>
      </c>
      <c r="J45" s="139">
        <f>J43/J40</f>
        <v>1.5705140373618545</v>
      </c>
      <c r="K45" s="135" t="s">
        <v>63</v>
      </c>
      <c r="N45" s="154" t="s">
        <v>463</v>
      </c>
      <c r="O45" s="154">
        <v>1200.5876180482687</v>
      </c>
      <c r="P45" s="154">
        <v>923.46190975865682</v>
      </c>
      <c r="Q45" s="154">
        <v>953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+C46+'14'!D46</f>
        <v>0</v>
      </c>
      <c r="E46" s="148">
        <f t="shared" si="17"/>
        <v>0</v>
      </c>
      <c r="F46" s="328"/>
      <c r="G46" s="329"/>
      <c r="H46" s="193" t="s">
        <v>77</v>
      </c>
      <c r="I46" s="145">
        <f>+SUMIF(Listrik!P22,"&gt;0")</f>
        <v>38927.199999999269</v>
      </c>
      <c r="J46" s="140">
        <f>+I46+'14'!J46</f>
        <v>562746.51999999932</v>
      </c>
      <c r="K46" s="135" t="s">
        <v>78</v>
      </c>
      <c r="Q46" s="154">
        <f>+Q44+Q45</f>
        <v>1353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+C47+'14'!D47</f>
        <v>0</v>
      </c>
      <c r="E47" s="148">
        <f t="shared" si="17"/>
        <v>0</v>
      </c>
      <c r="F47" s="328"/>
      <c r="G47" s="329"/>
      <c r="H47" s="193" t="s">
        <v>80</v>
      </c>
      <c r="I47" s="123">
        <f>I46/I38</f>
        <v>1137.822986086732</v>
      </c>
      <c r="J47" s="140">
        <f>J46/J38</f>
        <v>965.78171739447453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+C48+'14'!D48</f>
        <v>0</v>
      </c>
      <c r="E48" s="148">
        <f t="shared" si="17"/>
        <v>0</v>
      </c>
      <c r="F48" s="328"/>
      <c r="G48" s="329"/>
      <c r="H48" s="193" t="s">
        <v>81</v>
      </c>
      <c r="I48" s="123">
        <f>I46/I40</f>
        <v>1122.7272727272518</v>
      </c>
      <c r="J48" s="140">
        <f>J46/J40</f>
        <v>1017.383802390391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+C49+'14'!D49</f>
        <v>720</v>
      </c>
      <c r="E49" s="148">
        <f t="shared" si="17"/>
        <v>12</v>
      </c>
      <c r="F49" s="190"/>
      <c r="H49" s="193" t="s">
        <v>271</v>
      </c>
      <c r="I49" s="123">
        <f>+Report1!T23</f>
        <v>3585.3573409737919</v>
      </c>
      <c r="J49" s="140">
        <f>+I49+'14'!J49</f>
        <v>61828.701422381331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+C50+'14'!D50</f>
        <v>0</v>
      </c>
      <c r="E50" s="148">
        <f t="shared" si="17"/>
        <v>0</v>
      </c>
      <c r="F50" s="190"/>
      <c r="H50" s="193" t="s">
        <v>83</v>
      </c>
      <c r="I50" s="145">
        <f>I49/I38</f>
        <v>104.79823865818403</v>
      </c>
      <c r="J50" s="138">
        <f>J49/J38</f>
        <v>106.10999325944779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+C51+'14'!D51</f>
        <v>0</v>
      </c>
      <c r="E51" s="148">
        <f t="shared" si="17"/>
        <v>0</v>
      </c>
      <c r="F51" s="190"/>
      <c r="H51" s="195" t="s">
        <v>85</v>
      </c>
      <c r="I51" s="146">
        <f>I49/I40</f>
        <v>103.40786054954408</v>
      </c>
      <c r="J51" s="141">
        <f>J49/J40</f>
        <v>111.77949061322062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170</v>
      </c>
      <c r="D52" s="149">
        <f>SUM(D38:D51)</f>
        <v>1860</v>
      </c>
      <c r="E52" s="150">
        <f>SUM(E38:E51)</f>
        <v>31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0.11805555555555555</v>
      </c>
      <c r="D53" s="151">
        <f>D52/(24*60*G4)</f>
        <v>8.611111111111111E-2</v>
      </c>
      <c r="E53" s="152">
        <f>E52/(G4*24)</f>
        <v>8.611111111111111E-2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+D34+'14'!J56</f>
        <v>2698</v>
      </c>
      <c r="K56" s="206">
        <f>J56/(J40+J56/1000)/1000</f>
        <v>4.8540108558567481E-3</v>
      </c>
    </row>
    <row r="57" spans="1:11">
      <c r="A57" s="181"/>
      <c r="I57" s="204" t="s">
        <v>88</v>
      </c>
      <c r="J57" s="205">
        <f>+E34+'14'!J57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view="pageBreakPreview" topLeftCell="F4" zoomScale="80" zoomScaleNormal="75" zoomScaleSheetLayoutView="80" workbookViewId="0">
      <selection activeCell="N6" sqref="N6:S1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14</v>
      </c>
      <c r="H4" s="159" t="str">
        <f>+'1'!H4</f>
        <v>.10.25</v>
      </c>
      <c r="J4" s="154">
        <f>557+662+539</f>
        <v>1758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491</v>
      </c>
      <c r="O6" s="154">
        <v>1180</v>
      </c>
      <c r="P6" s="154">
        <f>+O6-O6*0.21</f>
        <v>932.2</v>
      </c>
      <c r="Q6" s="154">
        <v>46</v>
      </c>
      <c r="R6" s="154">
        <f>+O6*Q6</f>
        <v>54280</v>
      </c>
      <c r="S6" s="154">
        <f>+P6*Q6</f>
        <v>42881.200000000004</v>
      </c>
    </row>
    <row r="7" spans="1:19" ht="13.5" customHeight="1" thickBot="1">
      <c r="A7" s="762"/>
      <c r="B7" s="220" t="s">
        <v>498</v>
      </c>
      <c r="C7" s="221">
        <v>11963</v>
      </c>
      <c r="D7" s="222"/>
      <c r="E7" s="223"/>
      <c r="F7" s="233">
        <v>9</v>
      </c>
      <c r="G7" s="234" t="s">
        <v>12</v>
      </c>
      <c r="H7" s="235" t="s">
        <v>458</v>
      </c>
      <c r="I7" s="765" t="s">
        <v>561</v>
      </c>
      <c r="J7" s="219" t="str">
        <f>+'13'!J7</f>
        <v>F 12 VP OW</v>
      </c>
      <c r="K7" s="243"/>
      <c r="L7" s="247"/>
      <c r="M7" s="122">
        <f>+K7+'13'!M7+L7</f>
        <v>89181</v>
      </c>
      <c r="O7" s="154">
        <v>1170</v>
      </c>
      <c r="P7" s="154">
        <f>+O7-O7*0.23</f>
        <v>900.9</v>
      </c>
      <c r="Q7" s="154">
        <f>480-Q6</f>
        <v>434</v>
      </c>
      <c r="R7" s="154">
        <f>+O7*Q7</f>
        <v>507780</v>
      </c>
      <c r="S7" s="154">
        <f>+P7*Q7</f>
        <v>390990.6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+'13'!J8</f>
        <v>F 12,5 VP OW</v>
      </c>
      <c r="K8" s="244"/>
      <c r="L8" s="244"/>
      <c r="M8" s="122">
        <f>+K8+'13'!M8+L8</f>
        <v>10480</v>
      </c>
      <c r="R8" s="154">
        <f t="shared" ref="R8:R11" si="0">+O8*Q8</f>
        <v>0</v>
      </c>
      <c r="S8" s="154">
        <f t="shared" ref="S8:S11" si="1">+P8*Q8</f>
        <v>0</v>
      </c>
    </row>
    <row r="9" spans="1:19" ht="13.5" thickBot="1">
      <c r="A9" s="763"/>
      <c r="B9" s="220"/>
      <c r="C9" s="221"/>
      <c r="D9" s="222"/>
      <c r="E9" s="225"/>
      <c r="F9" s="233">
        <f>36-9</f>
        <v>27</v>
      </c>
      <c r="G9" s="574" t="s">
        <v>12</v>
      </c>
      <c r="H9" s="238" t="s">
        <v>461</v>
      </c>
      <c r="I9" s="766"/>
      <c r="J9" s="219" t="str">
        <f>+'13'!J9</f>
        <v>T 13 VP OW</v>
      </c>
      <c r="K9" s="244"/>
      <c r="L9" s="244"/>
      <c r="M9" s="122">
        <f>+K9+'13'!M9+L9</f>
        <v>112205</v>
      </c>
      <c r="P9" s="154">
        <f t="shared" ref="P9" si="2">+O9-O9*0.23</f>
        <v>0</v>
      </c>
      <c r="R9" s="154">
        <f t="shared" si="0"/>
        <v>0</v>
      </c>
      <c r="S9" s="154">
        <f t="shared" si="1"/>
        <v>0</v>
      </c>
    </row>
    <row r="10" spans="1:19" ht="51.75" thickBot="1">
      <c r="A10" s="763"/>
      <c r="B10" s="220"/>
      <c r="C10" s="221"/>
      <c r="D10" s="222"/>
      <c r="E10" s="224"/>
      <c r="F10" s="233"/>
      <c r="G10" s="242"/>
      <c r="H10" s="238" t="s">
        <v>558</v>
      </c>
      <c r="I10" s="766"/>
      <c r="J10" s="219" t="str">
        <f>+'13'!J10</f>
        <v>T 12,5 VP OW</v>
      </c>
      <c r="K10" s="244">
        <f>+C34</f>
        <v>34833</v>
      </c>
      <c r="L10" s="244"/>
      <c r="M10" s="122">
        <f>+K10+'13'!M10+L10</f>
        <v>295465</v>
      </c>
      <c r="R10" s="154">
        <f t="shared" si="0"/>
        <v>0</v>
      </c>
      <c r="S10" s="154">
        <f t="shared" si="1"/>
        <v>0</v>
      </c>
    </row>
    <row r="11" spans="1:19" ht="104.25" customHeight="1" thickBot="1">
      <c r="A11" s="763"/>
      <c r="B11" s="220"/>
      <c r="C11" s="221"/>
      <c r="D11" s="222"/>
      <c r="E11" s="224"/>
      <c r="F11" s="233"/>
      <c r="G11" s="237"/>
      <c r="H11" s="238" t="s">
        <v>559</v>
      </c>
      <c r="I11" s="766"/>
      <c r="J11" s="219" t="str">
        <f>+'13'!J11</f>
        <v>T 12 VP OW</v>
      </c>
      <c r="K11" s="244"/>
      <c r="L11" s="244"/>
      <c r="M11" s="122">
        <f>+K11+'13'!M11+L11</f>
        <v>11128</v>
      </c>
      <c r="R11" s="154">
        <f t="shared" si="0"/>
        <v>0</v>
      </c>
      <c r="S11" s="154">
        <f t="shared" si="1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+'13'!J12</f>
        <v>0</v>
      </c>
      <c r="K12" s="244"/>
      <c r="L12" s="244"/>
      <c r="M12" s="122">
        <f>+K12+'13'!M12+L12</f>
        <v>0</v>
      </c>
      <c r="P12" s="154">
        <f t="shared" ref="P12" si="3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+'13'!J13</f>
        <v>0</v>
      </c>
      <c r="K13" s="244"/>
      <c r="L13" s="244"/>
      <c r="M13" s="122">
        <f>+K13+'13'!M13+L13</f>
        <v>0</v>
      </c>
      <c r="Q13" s="154">
        <f>SUM(Q5:Q11)</f>
        <v>480</v>
      </c>
      <c r="R13" s="154">
        <f>SUM(R5:R11)</f>
        <v>562060</v>
      </c>
      <c r="S13" s="154">
        <f>SUM(S5:S11)</f>
        <v>433871.8</v>
      </c>
    </row>
    <row r="14" spans="1:19" ht="13.5" thickBot="1">
      <c r="A14" s="764"/>
      <c r="B14" s="170" t="s">
        <v>2</v>
      </c>
      <c r="C14" s="104">
        <f>SUM(C7:C13)</f>
        <v>11963</v>
      </c>
      <c r="D14" s="116">
        <f>SUM(D7:D13)</f>
        <v>0</v>
      </c>
      <c r="E14" s="117">
        <f>SUM(E5:E13)</f>
        <v>0</v>
      </c>
      <c r="F14" s="121">
        <f>SUM(F7:F13)</f>
        <v>36</v>
      </c>
      <c r="G14" s="164"/>
      <c r="H14" s="171"/>
      <c r="I14" s="172"/>
      <c r="J14" s="219">
        <f>+'13'!J14</f>
        <v>0</v>
      </c>
      <c r="K14" s="244"/>
      <c r="L14" s="244"/>
      <c r="M14" s="122">
        <f>+K14+'13'!M14+L14</f>
        <v>0</v>
      </c>
      <c r="N14" s="154" t="s">
        <v>399</v>
      </c>
      <c r="Q14" s="154">
        <f>480-Q13</f>
        <v>0</v>
      </c>
      <c r="R14" s="154">
        <f>+R13/Q13</f>
        <v>1170.9583333333333</v>
      </c>
      <c r="S14" s="154">
        <f>+S13/Q13</f>
        <v>903.89958333333334</v>
      </c>
    </row>
    <row r="15" spans="1:19" ht="13.5" customHeight="1" thickBot="1">
      <c r="A15" s="762"/>
      <c r="B15" s="170"/>
      <c r="C15" s="118">
        <f>C14/($C$23+$D$23+$E$23)</f>
        <v>1.0123550816620124</v>
      </c>
      <c r="D15" s="119">
        <f>D14/($C$23+$D$23+$E$23)</f>
        <v>0</v>
      </c>
      <c r="E15" s="120">
        <f>E14/($C$23+$D$23+$E$23)</f>
        <v>0</v>
      </c>
      <c r="F15" s="233">
        <v>6</v>
      </c>
      <c r="G15" s="234" t="s">
        <v>12</v>
      </c>
      <c r="H15" s="235" t="s">
        <v>458</v>
      </c>
      <c r="I15" s="765" t="s">
        <v>562</v>
      </c>
      <c r="J15" s="219">
        <f>+'13'!J15</f>
        <v>0</v>
      </c>
      <c r="K15" s="244"/>
      <c r="L15" s="244"/>
      <c r="M15" s="122">
        <f>+K15+'13'!M15+L15</f>
        <v>0</v>
      </c>
    </row>
    <row r="16" spans="1:19" ht="13.5" thickBot="1">
      <c r="A16" s="768"/>
      <c r="B16" s="220" t="s">
        <v>498</v>
      </c>
      <c r="C16" s="227">
        <v>11817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+'13'!J16</f>
        <v>0</v>
      </c>
      <c r="K16" s="234"/>
      <c r="L16" s="234"/>
      <c r="M16" s="122">
        <f>+K16+'13'!M16+L16</f>
        <v>0</v>
      </c>
      <c r="N16" s="154" t="s">
        <v>491</v>
      </c>
      <c r="O16" s="154">
        <v>1180</v>
      </c>
      <c r="P16" s="154">
        <f>+O16-O16*0.2</f>
        <v>944</v>
      </c>
      <c r="Q16" s="154">
        <f>60*4+12</f>
        <v>252</v>
      </c>
      <c r="R16" s="154">
        <f>+O16*Q16</f>
        <v>297360</v>
      </c>
      <c r="S16" s="154">
        <f>+P16*Q16</f>
        <v>237888</v>
      </c>
    </row>
    <row r="17" spans="1:19" ht="13.5" thickBot="1">
      <c r="A17" s="768"/>
      <c r="B17" s="220"/>
      <c r="C17" s="221"/>
      <c r="D17" s="222"/>
      <c r="E17" s="230"/>
      <c r="F17" s="233">
        <f>22-6</f>
        <v>16</v>
      </c>
      <c r="G17" s="574" t="s">
        <v>12</v>
      </c>
      <c r="H17" s="238" t="s">
        <v>429</v>
      </c>
      <c r="I17" s="766"/>
      <c r="J17" s="219">
        <f>+'13'!J17</f>
        <v>0</v>
      </c>
      <c r="K17" s="234"/>
      <c r="L17" s="234"/>
      <c r="M17" s="122">
        <f>+K17+'13'!M17+L17</f>
        <v>0</v>
      </c>
      <c r="O17" s="154">
        <v>1190</v>
      </c>
      <c r="P17" s="154">
        <f>+O17-O17*0.2</f>
        <v>952</v>
      </c>
      <c r="Q17" s="154">
        <f>60-12+4</f>
        <v>52</v>
      </c>
      <c r="R17" s="154">
        <f>+O17*Q17</f>
        <v>61880</v>
      </c>
      <c r="S17" s="154">
        <f>+P17*Q17</f>
        <v>49504</v>
      </c>
    </row>
    <row r="18" spans="1:19" ht="26.25" thickBot="1">
      <c r="A18" s="768"/>
      <c r="B18" s="220"/>
      <c r="C18" s="221"/>
      <c r="D18" s="222"/>
      <c r="E18" s="230"/>
      <c r="F18" s="233"/>
      <c r="G18" s="242"/>
      <c r="H18" s="238" t="s">
        <v>556</v>
      </c>
      <c r="I18" s="766"/>
      <c r="J18" s="219">
        <f>+'13'!J18</f>
        <v>0</v>
      </c>
      <c r="K18" s="244"/>
      <c r="L18" s="244"/>
      <c r="M18" s="122">
        <f>+K18+'13'!M18+L18</f>
        <v>0</v>
      </c>
      <c r="O18" s="154">
        <v>1200</v>
      </c>
      <c r="P18" s="154">
        <f>+O18-O18*0.2</f>
        <v>960</v>
      </c>
      <c r="Q18" s="154">
        <f>60-4+120</f>
        <v>176</v>
      </c>
      <c r="R18" s="154">
        <f t="shared" ref="R18:R21" si="4">+O18*Q18</f>
        <v>211200</v>
      </c>
      <c r="S18" s="154">
        <f t="shared" ref="S18:S21" si="5">+P18*Q18</f>
        <v>168960</v>
      </c>
    </row>
    <row r="19" spans="1:19" ht="39" thickBot="1">
      <c r="A19" s="768"/>
      <c r="B19" s="220"/>
      <c r="C19" s="221"/>
      <c r="D19" s="222"/>
      <c r="E19" s="230"/>
      <c r="F19" s="240"/>
      <c r="G19" s="237"/>
      <c r="H19" s="238" t="s">
        <v>557</v>
      </c>
      <c r="I19" s="766"/>
      <c r="J19" s="219">
        <f>+'13'!J19</f>
        <v>0</v>
      </c>
      <c r="K19" s="244"/>
      <c r="L19" s="244"/>
      <c r="M19" s="122">
        <f>+K19+'13'!M19+L19</f>
        <v>0</v>
      </c>
      <c r="P19" s="154">
        <f t="shared" ref="P19" si="6">+O19-O19*0.23</f>
        <v>0</v>
      </c>
      <c r="R19" s="154">
        <f t="shared" si="4"/>
        <v>0</v>
      </c>
      <c r="S19" s="154">
        <f t="shared" si="5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+'13'!J20</f>
        <v>0</v>
      </c>
      <c r="K20" s="245"/>
      <c r="L20" s="245"/>
      <c r="M20" s="122">
        <f>+K20+'13'!M20+L20</f>
        <v>0</v>
      </c>
      <c r="R20" s="154">
        <f t="shared" si="4"/>
        <v>0</v>
      </c>
      <c r="S20" s="154">
        <f t="shared" si="5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+'13'!J21</f>
        <v>0</v>
      </c>
      <c r="K21" s="244"/>
      <c r="L21" s="244"/>
      <c r="M21" s="122">
        <f>+K21+'13'!M21+L21</f>
        <v>0</v>
      </c>
      <c r="R21" s="154">
        <f t="shared" si="4"/>
        <v>0</v>
      </c>
      <c r="S21" s="154">
        <f t="shared" si="5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+'13'!J22</f>
        <v>0</v>
      </c>
      <c r="K22" s="244"/>
      <c r="L22" s="244"/>
      <c r="M22" s="122">
        <f>+K22+'13'!M22+L22</f>
        <v>0</v>
      </c>
      <c r="P22" s="154">
        <f t="shared" ref="P22" si="7">+O22-O22*0.17</f>
        <v>0</v>
      </c>
    </row>
    <row r="23" spans="1:19" ht="13.5" thickBot="1">
      <c r="A23" s="769"/>
      <c r="B23" s="173" t="s">
        <v>2</v>
      </c>
      <c r="C23" s="105">
        <f>SUM(C16:C22)</f>
        <v>11817</v>
      </c>
      <c r="D23" s="116">
        <f>SUM(D16:D22)</f>
        <v>0</v>
      </c>
      <c r="E23" s="117">
        <f>SUM(E18:E22)</f>
        <v>0</v>
      </c>
      <c r="F23" s="121">
        <f>SUM(F15:F22)</f>
        <v>22</v>
      </c>
      <c r="G23" s="164"/>
      <c r="H23" s="171"/>
      <c r="I23" s="174"/>
      <c r="J23" s="219">
        <f>+'13'!J23</f>
        <v>0</v>
      </c>
      <c r="K23" s="244"/>
      <c r="L23" s="244"/>
      <c r="M23" s="122">
        <f>+K23+'13'!M23+L23</f>
        <v>0</v>
      </c>
      <c r="Q23" s="154">
        <f>SUM(Q15:Q21)</f>
        <v>480</v>
      </c>
      <c r="R23" s="154">
        <f>SUM(R15:R21)</f>
        <v>570440</v>
      </c>
      <c r="S23" s="154">
        <f>SUM(S15:S21)</f>
        <v>456352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563</v>
      </c>
      <c r="J24" s="219">
        <f>+'13'!J24</f>
        <v>0</v>
      </c>
      <c r="K24" s="244"/>
      <c r="L24" s="244"/>
      <c r="M24" s="122">
        <f>+K24+'13'!M24+L24</f>
        <v>0</v>
      </c>
      <c r="N24" s="154" t="s">
        <v>399</v>
      </c>
      <c r="Q24" s="154">
        <f>480-Q23</f>
        <v>0</v>
      </c>
      <c r="R24" s="154">
        <f>+R23/Q23</f>
        <v>1188.4166666666667</v>
      </c>
      <c r="S24" s="154">
        <f>+S23/Q23</f>
        <v>950.73333333333335</v>
      </c>
    </row>
    <row r="25" spans="1:19" ht="13.5" thickBot="1">
      <c r="A25" s="768"/>
      <c r="B25" s="220" t="s">
        <v>498</v>
      </c>
      <c r="C25" s="231">
        <v>11053</v>
      </c>
      <c r="D25" s="222"/>
      <c r="E25" s="230"/>
      <c r="F25" s="236">
        <v>12</v>
      </c>
      <c r="G25" s="574" t="s">
        <v>12</v>
      </c>
      <c r="H25" s="235" t="s">
        <v>537</v>
      </c>
      <c r="I25" s="766"/>
      <c r="J25" s="219">
        <f>+'13'!J25</f>
        <v>0</v>
      </c>
      <c r="K25" s="244"/>
      <c r="L25" s="244"/>
      <c r="M25" s="122">
        <f>+K25+'13'!M25+L25</f>
        <v>0</v>
      </c>
    </row>
    <row r="26" spans="1:19" ht="13.5" thickBot="1">
      <c r="A26" s="768"/>
      <c r="B26" s="220"/>
      <c r="C26" s="231"/>
      <c r="D26" s="222"/>
      <c r="E26" s="232"/>
      <c r="F26" s="233">
        <f>23-12</f>
        <v>11</v>
      </c>
      <c r="G26" s="574" t="s">
        <v>12</v>
      </c>
      <c r="H26" s="238" t="s">
        <v>429</v>
      </c>
      <c r="I26" s="766"/>
      <c r="J26" s="219">
        <f>+'13'!J26</f>
        <v>0</v>
      </c>
      <c r="K26" s="244"/>
      <c r="L26" s="244"/>
      <c r="M26" s="122">
        <f>+K26+'13'!M26+L26</f>
        <v>0</v>
      </c>
      <c r="N26" s="154" t="s">
        <v>491</v>
      </c>
      <c r="O26" s="154">
        <v>1200</v>
      </c>
      <c r="P26" s="154">
        <f>+O26-O26*0.21</f>
        <v>948</v>
      </c>
      <c r="Q26" s="154">
        <v>480</v>
      </c>
      <c r="R26" s="154">
        <f>+O26*Q26</f>
        <v>576000</v>
      </c>
      <c r="S26" s="154">
        <f>+P26*Q26</f>
        <v>455040</v>
      </c>
    </row>
    <row r="27" spans="1:19" ht="26.25" thickBot="1">
      <c r="A27" s="768"/>
      <c r="B27" s="220"/>
      <c r="C27" s="221"/>
      <c r="D27" s="222"/>
      <c r="E27" s="230"/>
      <c r="F27" s="233"/>
      <c r="G27" s="242"/>
      <c r="H27" s="238" t="s">
        <v>554</v>
      </c>
      <c r="I27" s="766"/>
      <c r="J27" s="219">
        <f>+'13'!J27</f>
        <v>0</v>
      </c>
      <c r="K27" s="244"/>
      <c r="L27" s="244"/>
      <c r="M27" s="122">
        <f>+K27+'13'!M27+L27</f>
        <v>0</v>
      </c>
      <c r="P27" s="154">
        <f>+O27-O27*0.2</f>
        <v>0</v>
      </c>
      <c r="R27" s="154">
        <f>+O27*Q27</f>
        <v>0</v>
      </c>
      <c r="S27" s="154">
        <f>+P27*Q27</f>
        <v>0</v>
      </c>
    </row>
    <row r="28" spans="1:19" ht="149.25" customHeight="1" thickBot="1">
      <c r="A28" s="768"/>
      <c r="B28" s="220"/>
      <c r="C28" s="221"/>
      <c r="D28" s="222"/>
      <c r="E28" s="230"/>
      <c r="F28" s="236"/>
      <c r="G28" s="237"/>
      <c r="H28" s="238" t="s">
        <v>555</v>
      </c>
      <c r="I28" s="766"/>
      <c r="J28" s="219">
        <f>+'13'!J28</f>
        <v>0</v>
      </c>
      <c r="K28" s="244"/>
      <c r="L28" s="244"/>
      <c r="M28" s="122">
        <f>+K28+'13'!M28+L28</f>
        <v>0</v>
      </c>
      <c r="P28" s="154">
        <f>+O28-O28*0.2</f>
        <v>0</v>
      </c>
      <c r="R28" s="154">
        <f t="shared" ref="R28:R31" si="8">+O28*Q28</f>
        <v>0</v>
      </c>
      <c r="S28" s="154">
        <f t="shared" ref="S28:S31" si="9">+P28*Q28</f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+'13'!J29</f>
        <v>0</v>
      </c>
      <c r="K29" s="244"/>
      <c r="L29" s="244"/>
      <c r="M29" s="122">
        <f>+K29+'13'!M29+L29</f>
        <v>0</v>
      </c>
      <c r="P29" s="154">
        <f t="shared" ref="P29" si="10">+O29-O29*0.23</f>
        <v>0</v>
      </c>
      <c r="R29" s="154">
        <f t="shared" si="8"/>
        <v>0</v>
      </c>
      <c r="S29" s="154">
        <f t="shared" si="9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+'13'!J30</f>
        <v>0</v>
      </c>
      <c r="K30" s="244"/>
      <c r="L30" s="244"/>
      <c r="M30" s="122">
        <f>+K30+'13'!M30+L30</f>
        <v>0</v>
      </c>
      <c r="R30" s="154">
        <f t="shared" si="8"/>
        <v>0</v>
      </c>
      <c r="S30" s="154">
        <f t="shared" si="9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+'13'!J31</f>
        <v>0</v>
      </c>
      <c r="K31" s="244"/>
      <c r="L31" s="244"/>
      <c r="M31" s="122">
        <f>+K31+'13'!M31+L31</f>
        <v>0</v>
      </c>
      <c r="R31" s="154">
        <f t="shared" si="8"/>
        <v>0</v>
      </c>
      <c r="S31" s="154">
        <f t="shared" si="9"/>
        <v>0</v>
      </c>
    </row>
    <row r="32" spans="1:19" ht="13.5" thickBot="1">
      <c r="A32" s="769"/>
      <c r="B32" s="170" t="s">
        <v>2</v>
      </c>
      <c r="C32" s="104">
        <f>SUM(C25:C31)</f>
        <v>11053</v>
      </c>
      <c r="D32" s="105">
        <f>SUM(D25:D31)</f>
        <v>0</v>
      </c>
      <c r="E32" s="106">
        <f>SUM(E25:E31)</f>
        <v>0</v>
      </c>
      <c r="F32" s="107">
        <f>SUM(F24:F31)</f>
        <v>23</v>
      </c>
      <c r="G32" s="176"/>
      <c r="H32" s="177"/>
      <c r="I32" s="174"/>
      <c r="J32" s="219">
        <f>+'13'!J32</f>
        <v>0</v>
      </c>
      <c r="K32" s="246"/>
      <c r="L32" s="248"/>
      <c r="M32" s="122">
        <f>+K32+'13'!M32+L32</f>
        <v>0</v>
      </c>
      <c r="P32" s="154">
        <f t="shared" ref="P32" si="11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576000</v>
      </c>
      <c r="S33" s="154">
        <f>SUM(S25:S31)</f>
        <v>455040</v>
      </c>
    </row>
    <row r="34" spans="1:19" ht="13.5" thickBot="1">
      <c r="A34" s="770" t="s">
        <v>57</v>
      </c>
      <c r="B34" s="771"/>
      <c r="C34" s="112">
        <f>C14+C23+C32</f>
        <v>34833</v>
      </c>
      <c r="D34" s="112">
        <f>D14+D23+D32</f>
        <v>0</v>
      </c>
      <c r="E34" s="112">
        <f>E14+E23+E32</f>
        <v>0</v>
      </c>
      <c r="F34" s="113">
        <f>F14+F23+F32</f>
        <v>81</v>
      </c>
      <c r="H34" s="183"/>
      <c r="I34" s="183"/>
      <c r="J34" s="128" t="s">
        <v>28</v>
      </c>
      <c r="K34" s="129">
        <f>SUM(K7:K32)</f>
        <v>34833</v>
      </c>
      <c r="L34" s="217">
        <f>SUM(L7:L32)</f>
        <v>0</v>
      </c>
      <c r="M34" s="125">
        <f>SUM(M7:M32)</f>
        <v>518459</v>
      </c>
      <c r="N34" s="154" t="s">
        <v>399</v>
      </c>
      <c r="Q34" s="154">
        <f>480-Q33</f>
        <v>0</v>
      </c>
      <c r="R34" s="154">
        <f>+R33/Q33</f>
        <v>1200</v>
      </c>
      <c r="S34" s="154">
        <f>+S33/Q33</f>
        <v>948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(12.5*1440)/1440*G42*2.74*1440/1000000</f>
        <v>46.075285150000013</v>
      </c>
      <c r="J37" s="130">
        <f>+I37+'13'!J37</f>
        <v>612.47725024593683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81</v>
      </c>
      <c r="D38" s="123">
        <f>+C38+'13'!D38</f>
        <v>913</v>
      </c>
      <c r="E38" s="148">
        <f t="shared" ref="E38:E51" si="12">D38/60</f>
        <v>15.216666666666667</v>
      </c>
      <c r="F38" s="328">
        <v>1170.9583333333333</v>
      </c>
      <c r="G38" s="328">
        <v>903.89958333333334</v>
      </c>
      <c r="H38" s="192" t="s">
        <v>64</v>
      </c>
      <c r="I38" s="250">
        <f>13+13.317+13.528</f>
        <v>39.844999999999999</v>
      </c>
      <c r="J38" s="132">
        <f>+I38+'13'!J38</f>
        <v>548.47299999999996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+C39+'13'!D39</f>
        <v>0</v>
      </c>
      <c r="E39" s="148">
        <f t="shared" si="12"/>
        <v>0</v>
      </c>
      <c r="F39" s="328">
        <v>1188.4166666666667</v>
      </c>
      <c r="G39" s="328">
        <v>950.73333333333335</v>
      </c>
      <c r="H39" s="192" t="s">
        <v>65</v>
      </c>
      <c r="I39" s="147"/>
      <c r="J39" s="134">
        <f>J37/G4</f>
        <v>43.748375017566914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+C40+'13'!D40</f>
        <v>0</v>
      </c>
      <c r="E40" s="148">
        <f t="shared" si="12"/>
        <v>0</v>
      </c>
      <c r="F40" s="328">
        <v>1200</v>
      </c>
      <c r="G40" s="328">
        <v>948</v>
      </c>
      <c r="H40" s="192" t="s">
        <v>67</v>
      </c>
      <c r="I40" s="123">
        <f>(K34+L34)/1000</f>
        <v>34.832999999999998</v>
      </c>
      <c r="J40" s="136">
        <f>+I40+'13'!J40</f>
        <v>518.45899999999995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+C41+'13'!D41</f>
        <v>57</v>
      </c>
      <c r="E41" s="148">
        <f t="shared" si="12"/>
        <v>0.95</v>
      </c>
      <c r="F41" s="328"/>
      <c r="G41" s="328"/>
      <c r="H41" s="192" t="s">
        <v>69</v>
      </c>
      <c r="I41" s="147"/>
      <c r="J41" s="134">
        <f>J40/G4</f>
        <v>37.032785714285708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+C42+'13'!D42</f>
        <v>0</v>
      </c>
      <c r="E42" s="148">
        <f t="shared" si="12"/>
        <v>0</v>
      </c>
      <c r="F42" s="328">
        <f>+(480*F38+480*F39+480*F40)/1440</f>
        <v>1186.4583333333333</v>
      </c>
      <c r="G42" s="328">
        <f>+(480*G38+480*G39+480*G40)/1440</f>
        <v>934.21097222222227</v>
      </c>
      <c r="H42" s="192" t="s">
        <v>70</v>
      </c>
      <c r="I42" s="251" t="s">
        <v>560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+C43+'13'!D43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+Report1!Z22</f>
        <v>59.7</v>
      </c>
      <c r="J43" s="138">
        <f>+I43+'13'!J43</f>
        <v>811.4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+C44+'13'!D44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1.4983059355000627</v>
      </c>
      <c r="J44" s="139">
        <f>J43/J38</f>
        <v>1.4793800241762129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+C45+'13'!D45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1.7138919989664974</v>
      </c>
      <c r="J45" s="139">
        <f>J43/J40</f>
        <v>1.5650224993683204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+C46+'13'!D46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+SUMIF(Listrik!P21,"&gt;0")</f>
        <v>37272.400000000001</v>
      </c>
      <c r="J46" s="140">
        <f>+I46+'13'!J46</f>
        <v>523819.32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+C47+'13'!D47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935.43480988831732</v>
      </c>
      <c r="J47" s="140">
        <f>J46/J38</f>
        <v>955.05033064526435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+C48+'13'!D48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1070.0312921654754</v>
      </c>
      <c r="J48" s="140">
        <f>J46/J40</f>
        <v>1010.3389467633893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+C49+'13'!D49</f>
        <v>720</v>
      </c>
      <c r="E49" s="148">
        <f t="shared" si="12"/>
        <v>12</v>
      </c>
      <c r="F49" s="190"/>
      <c r="H49" s="193" t="s">
        <v>271</v>
      </c>
      <c r="I49" s="123">
        <f>+Report1!T22</f>
        <v>4089.8407153718454</v>
      </c>
      <c r="J49" s="140">
        <f>+I49+'13'!J49</f>
        <v>58243.344081407537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+C50+'13'!D50</f>
        <v>0</v>
      </c>
      <c r="E50" s="148">
        <f t="shared" si="12"/>
        <v>0</v>
      </c>
      <c r="F50" s="190"/>
      <c r="H50" s="193" t="s">
        <v>83</v>
      </c>
      <c r="I50" s="145">
        <f>I49/I38</f>
        <v>102.64376246384353</v>
      </c>
      <c r="J50" s="138">
        <f>J49/J38</f>
        <v>106.19181633627825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+C51+'13'!D51</f>
        <v>0</v>
      </c>
      <c r="E51" s="148">
        <f t="shared" si="12"/>
        <v>0</v>
      </c>
      <c r="F51" s="190"/>
      <c r="H51" s="195" t="s">
        <v>85</v>
      </c>
      <c r="I51" s="146">
        <f>I49/I40</f>
        <v>117.4128187457826</v>
      </c>
      <c r="J51" s="141">
        <f>J49/J40</f>
        <v>112.33934425172973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81</v>
      </c>
      <c r="D52" s="149">
        <f>SUM(D38:D51)</f>
        <v>1690</v>
      </c>
      <c r="E52" s="150">
        <f>SUM(E38:E51)</f>
        <v>28.166666666666668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5.6250000000000001E-2</v>
      </c>
      <c r="D53" s="151">
        <f>D52/(24*60*G4)</f>
        <v>8.3829365079365073E-2</v>
      </c>
      <c r="E53" s="152">
        <f>E52/(G4*24)</f>
        <v>8.3829365079365087E-2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+D34+'13'!J56</f>
        <v>2698</v>
      </c>
      <c r="K56" s="206">
        <f>J56/(J40+J56/1000)/1000</f>
        <v>5.1769428406411126E-3</v>
      </c>
    </row>
    <row r="57" spans="1:11">
      <c r="A57" s="181"/>
      <c r="I57" s="204" t="s">
        <v>88</v>
      </c>
      <c r="J57" s="205">
        <f>+E34+'13'!J57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  <row r="78" spans="23:23">
      <c r="W78" s="154">
        <f>+'14'!K8/1000</f>
        <v>0</v>
      </c>
    </row>
  </sheetData>
  <mergeCells count="24">
    <mergeCell ref="A45:B45"/>
    <mergeCell ref="A42:B42"/>
    <mergeCell ref="A43:B43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G4" zoomScale="85" zoomScaleNormal="70" zoomScaleSheetLayoutView="85" workbookViewId="0">
      <selection activeCell="N6" sqref="N6:S1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13</v>
      </c>
      <c r="H4" s="159" t="str">
        <f>+'1'!H4</f>
        <v>.10.25</v>
      </c>
      <c r="J4" s="154">
        <f>475+638+648</f>
        <v>1761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491</v>
      </c>
      <c r="O6" s="154">
        <v>1200</v>
      </c>
      <c r="P6" s="154">
        <f>+O6-O6*0.23</f>
        <v>924</v>
      </c>
      <c r="Q6" s="154">
        <f>60+39</f>
        <v>99</v>
      </c>
      <c r="R6" s="154">
        <f>+O6*Q6</f>
        <v>118800</v>
      </c>
      <c r="S6" s="154">
        <f>+P6*Q6</f>
        <v>91476</v>
      </c>
    </row>
    <row r="7" spans="1:19" ht="13.5" customHeight="1" thickBot="1">
      <c r="A7" s="762"/>
      <c r="B7" s="220" t="s">
        <v>498</v>
      </c>
      <c r="C7" s="221">
        <v>12001</v>
      </c>
      <c r="D7" s="222"/>
      <c r="E7" s="223"/>
      <c r="F7" s="233">
        <v>20</v>
      </c>
      <c r="G7" s="234" t="s">
        <v>12</v>
      </c>
      <c r="H7" s="235" t="s">
        <v>507</v>
      </c>
      <c r="I7" s="765" t="s">
        <v>549</v>
      </c>
      <c r="J7" s="219" t="str">
        <f>+'12'!J7</f>
        <v>F 12 VP OW</v>
      </c>
      <c r="K7" s="243"/>
      <c r="L7" s="247"/>
      <c r="M7" s="122">
        <f>+K7+'12'!M7+L7</f>
        <v>89181</v>
      </c>
      <c r="O7" s="154">
        <v>1180</v>
      </c>
      <c r="P7" s="154">
        <f>+O7-O7*0.23</f>
        <v>908.59999999999991</v>
      </c>
      <c r="Q7" s="154">
        <f>480-Q6</f>
        <v>381</v>
      </c>
      <c r="R7" s="154">
        <f>+O7*Q7</f>
        <v>449580</v>
      </c>
      <c r="S7" s="154">
        <f>+P7*Q7</f>
        <v>346176.6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+'12'!J8</f>
        <v>F 12,5 VP OW</v>
      </c>
      <c r="K8" s="244"/>
      <c r="L8" s="244"/>
      <c r="M8" s="122">
        <f>+K8+'12'!M8+L8</f>
        <v>10480</v>
      </c>
      <c r="R8" s="154">
        <f t="shared" ref="R8:R11" si="0">+O8*Q8</f>
        <v>0</v>
      </c>
      <c r="S8" s="154">
        <f t="shared" ref="S8:S11" si="1">+P8*Q8</f>
        <v>0</v>
      </c>
    </row>
    <row r="9" spans="1:19" ht="13.5" thickBot="1">
      <c r="A9" s="763"/>
      <c r="B9" s="220"/>
      <c r="C9" s="221"/>
      <c r="D9" s="222"/>
      <c r="E9" s="225"/>
      <c r="F9" s="233">
        <v>22</v>
      </c>
      <c r="G9" s="574" t="s">
        <v>12</v>
      </c>
      <c r="H9" s="238" t="s">
        <v>461</v>
      </c>
      <c r="I9" s="766"/>
      <c r="J9" s="219" t="str">
        <f>+'12'!J9</f>
        <v>T 13 VP OW</v>
      </c>
      <c r="K9" s="244"/>
      <c r="L9" s="244"/>
      <c r="M9" s="122">
        <f>+K9+'12'!M9+L9</f>
        <v>112205</v>
      </c>
      <c r="P9" s="154">
        <f t="shared" ref="P9" si="2">+O9-O9*0.23</f>
        <v>0</v>
      </c>
      <c r="R9" s="154">
        <f t="shared" si="0"/>
        <v>0</v>
      </c>
      <c r="S9" s="154">
        <f t="shared" si="1"/>
        <v>0</v>
      </c>
    </row>
    <row r="10" spans="1:19" ht="51.75" thickBot="1">
      <c r="A10" s="763"/>
      <c r="B10" s="220"/>
      <c r="C10" s="221"/>
      <c r="D10" s="222"/>
      <c r="E10" s="224"/>
      <c r="F10" s="233"/>
      <c r="G10" s="242"/>
      <c r="H10" s="238" t="s">
        <v>547</v>
      </c>
      <c r="I10" s="766"/>
      <c r="J10" s="219" t="str">
        <f>+'12'!J10</f>
        <v>T 12,5 VP OW</v>
      </c>
      <c r="K10" s="244">
        <f>+C34</f>
        <v>39529</v>
      </c>
      <c r="L10" s="244"/>
      <c r="M10" s="122">
        <f>+K10+'12'!M10+L10</f>
        <v>260632</v>
      </c>
      <c r="R10" s="154">
        <f t="shared" si="0"/>
        <v>0</v>
      </c>
      <c r="S10" s="154">
        <f t="shared" si="1"/>
        <v>0</v>
      </c>
    </row>
    <row r="11" spans="1:19" ht="102.75" thickBot="1">
      <c r="A11" s="763"/>
      <c r="B11" s="220"/>
      <c r="C11" s="221"/>
      <c r="D11" s="222"/>
      <c r="E11" s="224"/>
      <c r="F11" s="233"/>
      <c r="G11" s="237"/>
      <c r="H11" s="238" t="s">
        <v>548</v>
      </c>
      <c r="I11" s="766"/>
      <c r="J11" s="219" t="str">
        <f>+'12'!J11</f>
        <v>T 12 VP OW</v>
      </c>
      <c r="K11" s="244"/>
      <c r="L11" s="244"/>
      <c r="M11" s="122">
        <f>+K11+'12'!M11+L11</f>
        <v>11128</v>
      </c>
      <c r="R11" s="154">
        <f t="shared" si="0"/>
        <v>0</v>
      </c>
      <c r="S11" s="154">
        <f t="shared" si="1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+'12'!J12</f>
        <v>0</v>
      </c>
      <c r="K12" s="244"/>
      <c r="L12" s="244"/>
      <c r="M12" s="122">
        <f>+K12+'12'!M12+L12</f>
        <v>0</v>
      </c>
      <c r="P12" s="154">
        <f t="shared" ref="P12" si="3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+'12'!J13</f>
        <v>0</v>
      </c>
      <c r="K13" s="244"/>
      <c r="L13" s="244"/>
      <c r="M13" s="122">
        <f>+K13+'12'!M13+L13</f>
        <v>0</v>
      </c>
      <c r="Q13" s="154">
        <f>SUM(Q5:Q11)</f>
        <v>480</v>
      </c>
      <c r="R13" s="154">
        <f>SUM(R5:R11)</f>
        <v>568380</v>
      </c>
      <c r="S13" s="154">
        <f>SUM(S5:S11)</f>
        <v>437652.6</v>
      </c>
    </row>
    <row r="14" spans="1:19" ht="13.5" thickBot="1">
      <c r="A14" s="764"/>
      <c r="B14" s="170" t="s">
        <v>2</v>
      </c>
      <c r="C14" s="104">
        <f>SUM(C7:C13)</f>
        <v>12001</v>
      </c>
      <c r="D14" s="116">
        <f>SUM(D7:D13)</f>
        <v>0</v>
      </c>
      <c r="E14" s="117">
        <f>SUM(E5:E13)</f>
        <v>0</v>
      </c>
      <c r="F14" s="121">
        <f>SUM(F7:F13)</f>
        <v>42</v>
      </c>
      <c r="G14" s="164"/>
      <c r="H14" s="171"/>
      <c r="I14" s="172"/>
      <c r="J14" s="219">
        <f>+'12'!J14</f>
        <v>0</v>
      </c>
      <c r="K14" s="244"/>
      <c r="L14" s="244"/>
      <c r="M14" s="122">
        <f>+K14+'12'!M14+L14</f>
        <v>0</v>
      </c>
      <c r="N14" s="154" t="s">
        <v>399</v>
      </c>
      <c r="Q14" s="154">
        <f>480-Q13</f>
        <v>0</v>
      </c>
      <c r="R14" s="154">
        <f>+R13/Q13</f>
        <v>1184.125</v>
      </c>
      <c r="S14" s="154">
        <f>+S13/Q13</f>
        <v>911.77625</v>
      </c>
    </row>
    <row r="15" spans="1:19" ht="13.5" customHeight="1" thickBot="1">
      <c r="A15" s="762"/>
      <c r="B15" s="170"/>
      <c r="C15" s="118">
        <f>C14/($C$23+$D$23+$E$23)</f>
        <v>0.80896528479946073</v>
      </c>
      <c r="D15" s="119">
        <f>D14/($C$23+$D$23+$E$23)</f>
        <v>0</v>
      </c>
      <c r="E15" s="120">
        <f>E14/($C$23+$D$23+$E$23)</f>
        <v>0</v>
      </c>
      <c r="F15" s="233">
        <v>9</v>
      </c>
      <c r="G15" s="234" t="s">
        <v>12</v>
      </c>
      <c r="H15" s="235" t="s">
        <v>458</v>
      </c>
      <c r="I15" s="765" t="s">
        <v>551</v>
      </c>
      <c r="J15" s="219">
        <f>+'12'!J15</f>
        <v>0</v>
      </c>
      <c r="K15" s="244"/>
      <c r="L15" s="244"/>
      <c r="M15" s="122">
        <f>+K15+'12'!M15+L15</f>
        <v>0</v>
      </c>
    </row>
    <row r="16" spans="1:19" ht="13.5" thickBot="1">
      <c r="A16" s="768"/>
      <c r="B16" s="220" t="s">
        <v>498</v>
      </c>
      <c r="C16" s="227">
        <v>14835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+'12'!J16</f>
        <v>0</v>
      </c>
      <c r="K16" s="234"/>
      <c r="L16" s="234"/>
      <c r="M16" s="122">
        <f>+K16+'12'!M16+L16</f>
        <v>0</v>
      </c>
      <c r="N16" s="154" t="s">
        <v>491</v>
      </c>
      <c r="O16" s="154">
        <v>1180</v>
      </c>
      <c r="P16" s="154">
        <f>+O16-O16*0.21</f>
        <v>932.2</v>
      </c>
      <c r="Q16" s="154">
        <v>480</v>
      </c>
      <c r="R16" s="154">
        <f>+O16*Q16</f>
        <v>566400</v>
      </c>
      <c r="S16" s="154">
        <f>+P16*Q16</f>
        <v>447456</v>
      </c>
    </row>
    <row r="17" spans="1:19" ht="13.5" thickBot="1">
      <c r="A17" s="768"/>
      <c r="B17" s="220"/>
      <c r="C17" s="221"/>
      <c r="D17" s="222"/>
      <c r="E17" s="230"/>
      <c r="F17" s="233">
        <v>11</v>
      </c>
      <c r="G17" s="574" t="s">
        <v>12</v>
      </c>
      <c r="H17" s="238" t="s">
        <v>429</v>
      </c>
      <c r="I17" s="766"/>
      <c r="J17" s="219">
        <f>+'12'!J17</f>
        <v>0</v>
      </c>
      <c r="K17" s="234"/>
      <c r="L17" s="234"/>
      <c r="M17" s="122">
        <f>+K17+'12'!M17+L17</f>
        <v>0</v>
      </c>
      <c r="P17" s="154">
        <f>+O17-O17*0.23</f>
        <v>0</v>
      </c>
      <c r="Q17" s="154">
        <f>480-Q16</f>
        <v>0</v>
      </c>
      <c r="R17" s="154">
        <f>+O17*Q17</f>
        <v>0</v>
      </c>
      <c r="S17" s="154">
        <f>+P17*Q17</f>
        <v>0</v>
      </c>
    </row>
    <row r="18" spans="1:19" ht="26.25" thickBot="1">
      <c r="A18" s="768"/>
      <c r="B18" s="220"/>
      <c r="C18" s="221"/>
      <c r="D18" s="222"/>
      <c r="E18" s="230"/>
      <c r="F18" s="233"/>
      <c r="G18" s="242"/>
      <c r="H18" s="238" t="s">
        <v>545</v>
      </c>
      <c r="I18" s="766"/>
      <c r="J18" s="219">
        <f>+'12'!J18</f>
        <v>0</v>
      </c>
      <c r="K18" s="244"/>
      <c r="L18" s="244"/>
      <c r="M18" s="122">
        <f>+K18+'12'!M18+L18</f>
        <v>0</v>
      </c>
      <c r="R18" s="154">
        <f t="shared" ref="R18:R21" si="4">+O18*Q18</f>
        <v>0</v>
      </c>
      <c r="S18" s="154">
        <f t="shared" ref="S18:S21" si="5">+P18*Q18</f>
        <v>0</v>
      </c>
    </row>
    <row r="19" spans="1:19" ht="13.5" thickBot="1">
      <c r="A19" s="768"/>
      <c r="B19" s="220"/>
      <c r="C19" s="221"/>
      <c r="D19" s="222"/>
      <c r="E19" s="230"/>
      <c r="F19" s="240"/>
      <c r="G19" s="237"/>
      <c r="H19" s="238" t="s">
        <v>546</v>
      </c>
      <c r="I19" s="766"/>
      <c r="J19" s="219">
        <f>+'12'!J19</f>
        <v>0</v>
      </c>
      <c r="K19" s="244"/>
      <c r="L19" s="244"/>
      <c r="M19" s="122">
        <f>+K19+'12'!M19+L19</f>
        <v>0</v>
      </c>
      <c r="P19" s="154">
        <f t="shared" ref="P19" si="6">+O19-O19*0.23</f>
        <v>0</v>
      </c>
      <c r="R19" s="154">
        <f t="shared" si="4"/>
        <v>0</v>
      </c>
      <c r="S19" s="154">
        <f t="shared" si="5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+'12'!J20</f>
        <v>0</v>
      </c>
      <c r="K20" s="245"/>
      <c r="L20" s="245"/>
      <c r="M20" s="122">
        <f>+K20+'12'!M20+L20</f>
        <v>0</v>
      </c>
      <c r="R20" s="154">
        <f t="shared" si="4"/>
        <v>0</v>
      </c>
      <c r="S20" s="154">
        <f t="shared" si="5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+'12'!J21</f>
        <v>0</v>
      </c>
      <c r="K21" s="244"/>
      <c r="L21" s="244"/>
      <c r="M21" s="122">
        <f>+K21+'12'!M21+L21</f>
        <v>0</v>
      </c>
      <c r="R21" s="154">
        <f t="shared" si="4"/>
        <v>0</v>
      </c>
      <c r="S21" s="154">
        <f t="shared" si="5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+'12'!J22</f>
        <v>0</v>
      </c>
      <c r="K22" s="244"/>
      <c r="L22" s="244"/>
      <c r="M22" s="122">
        <f>+K22+'12'!M22+L22</f>
        <v>0</v>
      </c>
      <c r="P22" s="154">
        <f t="shared" ref="P22" si="7">+O22-O22*0.17</f>
        <v>0</v>
      </c>
    </row>
    <row r="23" spans="1:19" ht="13.5" thickBot="1">
      <c r="A23" s="769"/>
      <c r="B23" s="173" t="s">
        <v>2</v>
      </c>
      <c r="C23" s="105">
        <f>SUM(C16:C22)</f>
        <v>14835</v>
      </c>
      <c r="D23" s="116">
        <f>SUM(D16:D22)</f>
        <v>0</v>
      </c>
      <c r="E23" s="117">
        <f>SUM(E18:E22)</f>
        <v>0</v>
      </c>
      <c r="F23" s="121">
        <f>SUM(F15:F22)</f>
        <v>20</v>
      </c>
      <c r="G23" s="164"/>
      <c r="H23" s="171"/>
      <c r="I23" s="174"/>
      <c r="J23" s="219">
        <f>+'12'!J23</f>
        <v>0</v>
      </c>
      <c r="K23" s="244"/>
      <c r="L23" s="244"/>
      <c r="M23" s="122">
        <f>+K23+'12'!M23+L23</f>
        <v>0</v>
      </c>
      <c r="Q23" s="154">
        <f>SUM(Q15:Q21)</f>
        <v>480</v>
      </c>
      <c r="R23" s="154">
        <f>SUM(R15:R21)</f>
        <v>566400</v>
      </c>
      <c r="S23" s="154">
        <f>SUM(S15:S21)</f>
        <v>447456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9</v>
      </c>
      <c r="G24" s="234" t="s">
        <v>12</v>
      </c>
      <c r="H24" s="235" t="s">
        <v>458</v>
      </c>
      <c r="I24" s="765" t="s">
        <v>550</v>
      </c>
      <c r="J24" s="219">
        <f>+'12'!J24</f>
        <v>0</v>
      </c>
      <c r="K24" s="244"/>
      <c r="L24" s="244"/>
      <c r="M24" s="122">
        <f>+K24+'12'!M24+L24</f>
        <v>0</v>
      </c>
      <c r="N24" s="154" t="s">
        <v>399</v>
      </c>
      <c r="Q24" s="154">
        <f>480-Q23</f>
        <v>0</v>
      </c>
      <c r="R24" s="154">
        <f>+R23/Q23</f>
        <v>1180</v>
      </c>
      <c r="S24" s="154">
        <f>+S23/Q23</f>
        <v>932.2</v>
      </c>
    </row>
    <row r="25" spans="1:19" ht="13.5" thickBot="1">
      <c r="A25" s="768"/>
      <c r="B25" s="220" t="s">
        <v>498</v>
      </c>
      <c r="C25" s="231">
        <v>12693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+'12'!J25</f>
        <v>0</v>
      </c>
      <c r="K25" s="244"/>
      <c r="L25" s="244"/>
      <c r="M25" s="122">
        <f>+K25+'12'!M25+L25</f>
        <v>0</v>
      </c>
    </row>
    <row r="26" spans="1:19" ht="13.5" thickBot="1">
      <c r="A26" s="768"/>
      <c r="B26" s="220"/>
      <c r="C26" s="231"/>
      <c r="D26" s="222"/>
      <c r="E26" s="232"/>
      <c r="F26" s="233">
        <f>27-9</f>
        <v>18</v>
      </c>
      <c r="G26" s="574" t="s">
        <v>12</v>
      </c>
      <c r="H26" s="238" t="s">
        <v>461</v>
      </c>
      <c r="I26" s="766"/>
      <c r="J26" s="219">
        <f>+'12'!J26</f>
        <v>0</v>
      </c>
      <c r="K26" s="244"/>
      <c r="L26" s="244"/>
      <c r="M26" s="122">
        <f>+K26+'12'!M26+L26</f>
        <v>0</v>
      </c>
      <c r="N26" s="154" t="s">
        <v>491</v>
      </c>
      <c r="O26" s="154">
        <v>1190</v>
      </c>
      <c r="P26" s="154">
        <f>+O26-O26*0.21</f>
        <v>940.1</v>
      </c>
      <c r="Q26" s="154">
        <v>480</v>
      </c>
      <c r="R26" s="154">
        <f>+O26*Q26</f>
        <v>571200</v>
      </c>
      <c r="S26" s="154">
        <f>+P26*Q26</f>
        <v>451248</v>
      </c>
    </row>
    <row r="27" spans="1:19" ht="26.25" thickBot="1">
      <c r="A27" s="768"/>
      <c r="B27" s="220"/>
      <c r="C27" s="221"/>
      <c r="D27" s="222"/>
      <c r="E27" s="230"/>
      <c r="F27" s="233"/>
      <c r="G27" s="242"/>
      <c r="H27" s="238" t="s">
        <v>543</v>
      </c>
      <c r="I27" s="766"/>
      <c r="J27" s="219">
        <f>+'12'!J27</f>
        <v>0</v>
      </c>
      <c r="K27" s="244"/>
      <c r="L27" s="244"/>
      <c r="M27" s="122">
        <f>+K27+'12'!M27+L27</f>
        <v>0</v>
      </c>
      <c r="P27" s="154">
        <f>+O27-O27*0.23</f>
        <v>0</v>
      </c>
      <c r="Q27" s="154">
        <f>480-Q26</f>
        <v>0</v>
      </c>
      <c r="R27" s="154">
        <f>+O27*Q27</f>
        <v>0</v>
      </c>
      <c r="S27" s="154">
        <f>+P27*Q27</f>
        <v>0</v>
      </c>
    </row>
    <row r="28" spans="1:19" ht="51.75" thickBot="1">
      <c r="A28" s="768"/>
      <c r="B28" s="220"/>
      <c r="C28" s="221"/>
      <c r="D28" s="222"/>
      <c r="E28" s="230"/>
      <c r="F28" s="236"/>
      <c r="G28" s="237"/>
      <c r="H28" s="238" t="s">
        <v>544</v>
      </c>
      <c r="I28" s="766"/>
      <c r="J28" s="219">
        <f>+'12'!J28</f>
        <v>0</v>
      </c>
      <c r="K28" s="244"/>
      <c r="L28" s="244"/>
      <c r="M28" s="122">
        <f>+K28+'12'!M28+L28</f>
        <v>0</v>
      </c>
      <c r="R28" s="154">
        <f t="shared" ref="R28:R31" si="8">+O28*Q28</f>
        <v>0</v>
      </c>
      <c r="S28" s="154">
        <f t="shared" ref="S28:S31" si="9">+P28*Q28</f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+'12'!J29</f>
        <v>0</v>
      </c>
      <c r="K29" s="244"/>
      <c r="L29" s="244"/>
      <c r="M29" s="122">
        <f>+K29+'12'!M29+L29</f>
        <v>0</v>
      </c>
      <c r="P29" s="154">
        <f t="shared" ref="P29" si="10">+O29-O29*0.23</f>
        <v>0</v>
      </c>
      <c r="R29" s="154">
        <f t="shared" si="8"/>
        <v>0</v>
      </c>
      <c r="S29" s="154">
        <f t="shared" si="9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+'12'!J30</f>
        <v>0</v>
      </c>
      <c r="K30" s="244"/>
      <c r="L30" s="244"/>
      <c r="M30" s="122">
        <f>+K30+'12'!M30+L30</f>
        <v>0</v>
      </c>
      <c r="R30" s="154">
        <f t="shared" si="8"/>
        <v>0</v>
      </c>
      <c r="S30" s="154">
        <f t="shared" si="9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+'12'!J31</f>
        <v>0</v>
      </c>
      <c r="K31" s="244"/>
      <c r="L31" s="244"/>
      <c r="M31" s="122">
        <f>+K31+'12'!M31+L31</f>
        <v>0</v>
      </c>
      <c r="R31" s="154">
        <f t="shared" si="8"/>
        <v>0</v>
      </c>
      <c r="S31" s="154">
        <f t="shared" si="9"/>
        <v>0</v>
      </c>
    </row>
    <row r="32" spans="1:19" ht="13.5" thickBot="1">
      <c r="A32" s="769"/>
      <c r="B32" s="170" t="s">
        <v>2</v>
      </c>
      <c r="C32" s="104">
        <f>SUM(C25:C31)</f>
        <v>12693</v>
      </c>
      <c r="D32" s="105">
        <f>SUM(D25:D31)</f>
        <v>0</v>
      </c>
      <c r="E32" s="106">
        <f>SUM(E25:E31)</f>
        <v>0</v>
      </c>
      <c r="F32" s="107">
        <f>SUM(F24:F31)</f>
        <v>27</v>
      </c>
      <c r="G32" s="176"/>
      <c r="H32" s="177"/>
      <c r="I32" s="174"/>
      <c r="J32" s="219">
        <f>+'12'!J32</f>
        <v>0</v>
      </c>
      <c r="K32" s="246"/>
      <c r="L32" s="248"/>
      <c r="M32" s="122">
        <f>+K32+'12'!M32+L32</f>
        <v>0</v>
      </c>
      <c r="P32" s="154">
        <f t="shared" ref="P32" si="11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571200</v>
      </c>
      <c r="S33" s="154">
        <f>SUM(S25:S31)</f>
        <v>451248</v>
      </c>
    </row>
    <row r="34" spans="1:19" ht="13.5" thickBot="1">
      <c r="A34" s="770" t="s">
        <v>57</v>
      </c>
      <c r="B34" s="771"/>
      <c r="C34" s="112">
        <f>C14+C23+C32</f>
        <v>39529</v>
      </c>
      <c r="D34" s="112">
        <f>D14+D23+D32</f>
        <v>0</v>
      </c>
      <c r="E34" s="112">
        <f>E14+E23+E32</f>
        <v>0</v>
      </c>
      <c r="F34" s="113">
        <f>F14+F23+F32</f>
        <v>89</v>
      </c>
      <c r="H34" s="183"/>
      <c r="I34" s="183"/>
      <c r="J34" s="128" t="s">
        <v>28</v>
      </c>
      <c r="K34" s="129">
        <f>SUM(K7:K32)</f>
        <v>39529</v>
      </c>
      <c r="L34" s="217">
        <f>SUM(L7:L32)</f>
        <v>0</v>
      </c>
      <c r="M34" s="125">
        <f>SUM(M7:M32)</f>
        <v>483626</v>
      </c>
      <c r="N34" s="154" t="s">
        <v>399</v>
      </c>
      <c r="Q34" s="154">
        <f>480-Q33</f>
        <v>0</v>
      </c>
      <c r="R34" s="154">
        <f>+R33/Q33</f>
        <v>1190</v>
      </c>
      <c r="S34" s="154">
        <f>+S33/Q33</f>
        <v>940.1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(12*1440)/1440*G42*2.74*1440/1000000</f>
        <v>43.939405008000001</v>
      </c>
      <c r="J37" s="130">
        <f>+I37+'12'!J37</f>
        <v>566.40196509593682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89</v>
      </c>
      <c r="D38" s="123">
        <f>+C38+'12'!D38</f>
        <v>832</v>
      </c>
      <c r="E38" s="148">
        <f t="shared" ref="E38:E51" si="12">D38/60</f>
        <v>13.866666666666667</v>
      </c>
      <c r="F38" s="328">
        <v>1184.125</v>
      </c>
      <c r="G38" s="328">
        <v>911.77625</v>
      </c>
      <c r="H38" s="192" t="s">
        <v>64</v>
      </c>
      <c r="I38" s="250">
        <f>13.6+13.798+13.417</f>
        <v>40.814999999999998</v>
      </c>
      <c r="J38" s="132">
        <f>+I38+'12'!J38</f>
        <v>508.62799999999999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+C39+'12'!D39</f>
        <v>0</v>
      </c>
      <c r="E39" s="148">
        <f t="shared" si="12"/>
        <v>0</v>
      </c>
      <c r="F39" s="328">
        <v>1180</v>
      </c>
      <c r="G39" s="328">
        <v>932.2</v>
      </c>
      <c r="H39" s="192" t="s">
        <v>65</v>
      </c>
      <c r="I39" s="147"/>
      <c r="J39" s="134">
        <f>J37/G4</f>
        <v>43.569381930456679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+C40+'12'!D40</f>
        <v>0</v>
      </c>
      <c r="E40" s="148">
        <f t="shared" si="12"/>
        <v>0</v>
      </c>
      <c r="F40" s="328">
        <v>1190</v>
      </c>
      <c r="G40" s="328">
        <v>940.1</v>
      </c>
      <c r="H40" s="192" t="s">
        <v>67</v>
      </c>
      <c r="I40" s="123">
        <f>(K34+L34)/1000</f>
        <v>39.529000000000003</v>
      </c>
      <c r="J40" s="136">
        <f>+I40+'12'!J40</f>
        <v>483.62599999999998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+C41+'12'!D41</f>
        <v>57</v>
      </c>
      <c r="E41" s="148">
        <f t="shared" si="12"/>
        <v>0.95</v>
      </c>
      <c r="F41" s="328"/>
      <c r="G41" s="328"/>
      <c r="H41" s="192" t="s">
        <v>69</v>
      </c>
      <c r="I41" s="147"/>
      <c r="J41" s="134">
        <f>J40/G4</f>
        <v>37.201999999999998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+C42+'12'!D42</f>
        <v>0</v>
      </c>
      <c r="E42" s="148">
        <f t="shared" si="12"/>
        <v>0</v>
      </c>
      <c r="F42" s="328">
        <f>+(480*F38+480*F39+480*F40)/1440</f>
        <v>1184.7083333333333</v>
      </c>
      <c r="G42" s="328">
        <f>+(480*G38+480*G39+480*G40)/1440</f>
        <v>928.02541666666673</v>
      </c>
      <c r="H42" s="192" t="s">
        <v>70</v>
      </c>
      <c r="I42" s="251" t="s">
        <v>552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+C43+'12'!D43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+Report1!Z21</f>
        <v>61</v>
      </c>
      <c r="J43" s="138">
        <f>+I43+'12'!J43</f>
        <v>751.69999999999993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+C44+'12'!D44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1.494548572828617</v>
      </c>
      <c r="J44" s="139">
        <f>J43/J38</f>
        <v>1.4778974024237752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+C45+'12'!D45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1.5431708366009764</v>
      </c>
      <c r="J45" s="139">
        <f>J43/J40</f>
        <v>1.5543002237265986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+C46+'12'!D46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+SUMIF(Listrik!P20,"&gt;0")</f>
        <v>37582.94</v>
      </c>
      <c r="J46" s="140">
        <f>+I46+'12'!J46</f>
        <v>486546.92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+C47+'12'!D47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920.81195638858276</v>
      </c>
      <c r="J47" s="140">
        <f>J46/J38</f>
        <v>956.5869751566961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+C48+'12'!D48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950.76880265121804</v>
      </c>
      <c r="J48" s="140">
        <f>J46/J40</f>
        <v>1006.0396256611514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+C49+'12'!D49</f>
        <v>720</v>
      </c>
      <c r="E49" s="148">
        <f t="shared" si="12"/>
        <v>12</v>
      </c>
      <c r="F49" s="190"/>
      <c r="H49" s="193" t="s">
        <v>271</v>
      </c>
      <c r="I49" s="123">
        <f>+Report1!T21</f>
        <v>4251.7672993941014</v>
      </c>
      <c r="J49" s="140">
        <f>+I49+'12'!J49</f>
        <v>54153.503366035693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+C50+'12'!D50</f>
        <v>0</v>
      </c>
      <c r="E50" s="148">
        <f t="shared" si="12"/>
        <v>0</v>
      </c>
      <c r="F50" s="190"/>
      <c r="H50" s="193" t="s">
        <v>83</v>
      </c>
      <c r="I50" s="145">
        <f>I49/I38</f>
        <v>104.17168441489898</v>
      </c>
      <c r="J50" s="138">
        <f>J49/J38</f>
        <v>106.46976447626889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+C51+'12'!D51</f>
        <v>0</v>
      </c>
      <c r="E51" s="148">
        <f t="shared" si="12"/>
        <v>0</v>
      </c>
      <c r="F51" s="190"/>
      <c r="H51" s="195" t="s">
        <v>85</v>
      </c>
      <c r="I51" s="146">
        <f>I49/I40</f>
        <v>107.56070984325687</v>
      </c>
      <c r="J51" s="141">
        <f>J49/J40</f>
        <v>111.97392895757403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89</v>
      </c>
      <c r="D52" s="149">
        <f>SUM(D38:D51)</f>
        <v>1609</v>
      </c>
      <c r="E52" s="150">
        <f>SUM(E38:E51)</f>
        <v>26.816666666666666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6.1805555555555558E-2</v>
      </c>
      <c r="D53" s="151">
        <f>D52/(24*60*G4)</f>
        <v>8.5950854700854701E-2</v>
      </c>
      <c r="E53" s="152">
        <f>E52/(G4*24)</f>
        <v>8.5950854700854701E-2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+D34+'12'!J56</f>
        <v>2698</v>
      </c>
      <c r="K56" s="206">
        <f>J56/(J40+J56/1000)/1000</f>
        <v>5.5477418346616663E-3</v>
      </c>
    </row>
    <row r="57" spans="1:11">
      <c r="A57" s="181"/>
      <c r="I57" s="204" t="s">
        <v>88</v>
      </c>
      <c r="J57" s="205">
        <f>+E34+'12'!J57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topLeftCell="F1" zoomScale="80" zoomScaleNormal="80" workbookViewId="0">
      <selection activeCell="N26" sqref="N26:S3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8.28515625" style="154" customWidth="1"/>
    <col min="13" max="13" width="15" style="154" bestFit="1" customWidth="1"/>
    <col min="14" max="16384" width="9.140625" style="154"/>
  </cols>
  <sheetData>
    <row r="1" spans="1:26" ht="15.75">
      <c r="A1" s="153"/>
    </row>
    <row r="2" spans="1:26" ht="15.75">
      <c r="A2" s="153" t="s">
        <v>184</v>
      </c>
    </row>
    <row r="3" spans="1:26" ht="15">
      <c r="A3" s="155"/>
    </row>
    <row r="4" spans="1:26" ht="20.25">
      <c r="A4" s="156" t="s">
        <v>3</v>
      </c>
      <c r="B4" s="157"/>
      <c r="F4" s="158" t="s">
        <v>29</v>
      </c>
      <c r="G4" s="159">
        <v>12</v>
      </c>
      <c r="H4" s="159" t="str">
        <f>+'1'!H4</f>
        <v>.10.25</v>
      </c>
      <c r="J4" s="154">
        <f>436+478+568</f>
        <v>1482</v>
      </c>
    </row>
    <row r="5" spans="1:26" ht="13.5" thickBot="1">
      <c r="C5" s="160"/>
      <c r="D5" s="160"/>
    </row>
    <row r="6" spans="1:26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525</v>
      </c>
      <c r="O6" s="154">
        <v>1200</v>
      </c>
      <c r="P6" s="154">
        <f>+O6-O6*0.23</f>
        <v>924</v>
      </c>
      <c r="Q6" s="154">
        <f>60*2+26</f>
        <v>146</v>
      </c>
      <c r="R6" s="154">
        <f>+O6*Q6</f>
        <v>175200</v>
      </c>
      <c r="S6" s="154">
        <f>+P6*Q6</f>
        <v>134904</v>
      </c>
      <c r="U6" s="154" t="s">
        <v>491</v>
      </c>
      <c r="V6" s="154">
        <v>1180</v>
      </c>
      <c r="W6" s="154">
        <v>932.2</v>
      </c>
      <c r="X6" s="154">
        <v>334</v>
      </c>
      <c r="Y6" s="154">
        <f>+V6*X6</f>
        <v>394120</v>
      </c>
      <c r="Z6" s="154">
        <f>+W6*X6</f>
        <v>311354.8</v>
      </c>
    </row>
    <row r="7" spans="1:26" ht="13.5" customHeight="1" thickBot="1">
      <c r="A7" s="762"/>
      <c r="B7" s="220" t="s">
        <v>540</v>
      </c>
      <c r="C7" s="221">
        <v>7721</v>
      </c>
      <c r="D7" s="222"/>
      <c r="E7" s="223"/>
      <c r="F7" s="233">
        <v>6</v>
      </c>
      <c r="G7" s="234" t="s">
        <v>12</v>
      </c>
      <c r="H7" s="235" t="s">
        <v>458</v>
      </c>
      <c r="I7" s="765" t="s">
        <v>532</v>
      </c>
      <c r="J7" s="219" t="str">
        <f>+'11'!J7</f>
        <v>F 12 VP OW</v>
      </c>
      <c r="K7" s="243"/>
      <c r="L7" s="247"/>
      <c r="M7" s="122">
        <f>+K7+'11'!M7+L7</f>
        <v>89181</v>
      </c>
      <c r="N7" s="154" t="s">
        <v>491</v>
      </c>
      <c r="O7" s="154">
        <f>1200-20</f>
        <v>1180</v>
      </c>
      <c r="P7" s="154">
        <f>+O7-O7*0.21</f>
        <v>932.2</v>
      </c>
      <c r="Q7" s="154">
        <f>480-Q6</f>
        <v>334</v>
      </c>
      <c r="R7" s="154">
        <f>+O7*Q7</f>
        <v>394120</v>
      </c>
      <c r="S7" s="154">
        <f>+P7*Q7</f>
        <v>311354.8</v>
      </c>
      <c r="U7" s="154" t="s">
        <v>491</v>
      </c>
      <c r="V7" s="154">
        <v>1170</v>
      </c>
      <c r="W7" s="154">
        <v>924.3</v>
      </c>
      <c r="X7" s="154">
        <v>196</v>
      </c>
      <c r="Y7" s="154">
        <f>+V7*X7</f>
        <v>229320</v>
      </c>
      <c r="Z7" s="154">
        <f>+W7*X7</f>
        <v>181162.8</v>
      </c>
    </row>
    <row r="8" spans="1:26" ht="13.5" thickBot="1">
      <c r="A8" s="763"/>
      <c r="B8" s="220" t="s">
        <v>498</v>
      </c>
      <c r="C8" s="221">
        <v>5802</v>
      </c>
      <c r="D8" s="222"/>
      <c r="E8" s="224"/>
      <c r="F8" s="236"/>
      <c r="G8" s="574" t="s">
        <v>12</v>
      </c>
      <c r="H8" s="235" t="s">
        <v>286</v>
      </c>
      <c r="I8" s="766"/>
      <c r="J8" s="219" t="str">
        <f>+'11'!J8</f>
        <v>F 12,5 VP OW</v>
      </c>
      <c r="K8" s="244"/>
      <c r="L8" s="244"/>
      <c r="M8" s="122">
        <f>+K8+'11'!M8+L8</f>
        <v>10480</v>
      </c>
      <c r="P8" s="154">
        <f t="shared" ref="P8:P9" si="0">+O8-O8*0.23</f>
        <v>0</v>
      </c>
      <c r="R8" s="154">
        <f t="shared" ref="R8:R11" si="1">+O8*Q8</f>
        <v>0</v>
      </c>
      <c r="S8" s="154">
        <f t="shared" ref="S8:S11" si="2">+P8*Q8</f>
        <v>0</v>
      </c>
      <c r="V8" s="154">
        <v>1160</v>
      </c>
      <c r="W8" s="154">
        <v>916.4</v>
      </c>
      <c r="X8" s="154">
        <v>55</v>
      </c>
      <c r="Y8" s="154">
        <f t="shared" ref="Y8:Y11" si="3">+V8*X8</f>
        <v>63800</v>
      </c>
      <c r="Z8" s="154">
        <f t="shared" ref="Z8:Z11" si="4">+W8*X8</f>
        <v>50402</v>
      </c>
    </row>
    <row r="9" spans="1:26" ht="13.5" thickBot="1">
      <c r="A9" s="763"/>
      <c r="B9" s="220"/>
      <c r="C9" s="221"/>
      <c r="D9" s="222"/>
      <c r="E9" s="225"/>
      <c r="F9" s="233">
        <v>22</v>
      </c>
      <c r="G9" s="574" t="s">
        <v>12</v>
      </c>
      <c r="H9" s="238" t="s">
        <v>429</v>
      </c>
      <c r="I9" s="766"/>
      <c r="J9" s="219" t="str">
        <f>+'11'!J9</f>
        <v>T 13 VP OW</v>
      </c>
      <c r="K9" s="244"/>
      <c r="L9" s="244"/>
      <c r="M9" s="122">
        <f>+K9+'11'!M9+L9</f>
        <v>112205</v>
      </c>
      <c r="P9" s="154">
        <f t="shared" si="0"/>
        <v>0</v>
      </c>
      <c r="R9" s="154">
        <f t="shared" si="1"/>
        <v>0</v>
      </c>
      <c r="S9" s="154">
        <f t="shared" si="2"/>
        <v>0</v>
      </c>
      <c r="V9" s="154">
        <v>1150</v>
      </c>
      <c r="W9" s="154">
        <v>908.5</v>
      </c>
      <c r="X9" s="154">
        <v>229</v>
      </c>
      <c r="Y9" s="154">
        <f t="shared" si="3"/>
        <v>263350</v>
      </c>
      <c r="Z9" s="154">
        <f t="shared" si="4"/>
        <v>208046.5</v>
      </c>
    </row>
    <row r="10" spans="1:26" ht="51.75" thickBot="1">
      <c r="A10" s="763"/>
      <c r="B10" s="220"/>
      <c r="C10" s="221"/>
      <c r="D10" s="222"/>
      <c r="E10" s="224"/>
      <c r="F10" s="233"/>
      <c r="G10" s="242"/>
      <c r="H10" s="238" t="s">
        <v>518</v>
      </c>
      <c r="I10" s="766"/>
      <c r="J10" s="219" t="str">
        <f>+'11'!J10</f>
        <v>T 12,5 VP OW</v>
      </c>
      <c r="K10" s="244">
        <f>+C8+C16+C25</f>
        <v>33001</v>
      </c>
      <c r="L10" s="244"/>
      <c r="M10" s="122">
        <f>+K10+'11'!M10+L10</f>
        <v>221103</v>
      </c>
      <c r="R10" s="154">
        <f t="shared" si="1"/>
        <v>0</v>
      </c>
      <c r="S10" s="154">
        <f t="shared" si="2"/>
        <v>0</v>
      </c>
      <c r="U10" s="154" t="s">
        <v>491</v>
      </c>
      <c r="V10" s="154">
        <v>1170</v>
      </c>
      <c r="W10" s="154">
        <v>924.3</v>
      </c>
      <c r="X10" s="154">
        <v>480</v>
      </c>
      <c r="Y10" s="154">
        <f t="shared" si="3"/>
        <v>561600</v>
      </c>
      <c r="Z10" s="154">
        <f t="shared" si="4"/>
        <v>443664</v>
      </c>
    </row>
    <row r="11" spans="1:26" ht="26.25" thickBot="1">
      <c r="A11" s="763"/>
      <c r="B11" s="220"/>
      <c r="C11" s="221"/>
      <c r="D11" s="222"/>
      <c r="E11" s="224"/>
      <c r="F11" s="233"/>
      <c r="G11" s="237"/>
      <c r="H11" s="238" t="s">
        <v>519</v>
      </c>
      <c r="I11" s="766"/>
      <c r="J11" s="219" t="str">
        <f>+'11'!J11</f>
        <v>T 12 VP OW</v>
      </c>
      <c r="K11" s="244">
        <f>+C7</f>
        <v>7721</v>
      </c>
      <c r="L11" s="244"/>
      <c r="M11" s="122">
        <f>+K11+'11'!M11+L11</f>
        <v>11128</v>
      </c>
      <c r="R11" s="154">
        <f t="shared" si="1"/>
        <v>0</v>
      </c>
      <c r="S11" s="154">
        <f t="shared" si="2"/>
        <v>0</v>
      </c>
      <c r="Y11" s="154">
        <f t="shared" si="3"/>
        <v>0</v>
      </c>
      <c r="Z11" s="154">
        <f t="shared" si="4"/>
        <v>0</v>
      </c>
    </row>
    <row r="12" spans="1:26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+'11'!J12</f>
        <v>0</v>
      </c>
      <c r="K12" s="244"/>
      <c r="L12" s="244"/>
      <c r="M12" s="122">
        <f>+K12+'11'!M12+L12</f>
        <v>0</v>
      </c>
      <c r="P12" s="154">
        <f t="shared" ref="P12" si="5">+O12-O12*0.17</f>
        <v>0</v>
      </c>
      <c r="W12" s="154">
        <f t="shared" ref="W12" si="6">+V12-V12*0.17</f>
        <v>0</v>
      </c>
    </row>
    <row r="13" spans="1:26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+'11'!J13</f>
        <v>0</v>
      </c>
      <c r="K13" s="244"/>
      <c r="L13" s="244"/>
      <c r="M13" s="122">
        <f>+K13+'11'!M13+L13</f>
        <v>0</v>
      </c>
      <c r="Q13" s="154">
        <f>SUM(Q5:Q11)</f>
        <v>480</v>
      </c>
      <c r="R13" s="154">
        <f>SUM(R5:R11)</f>
        <v>569320</v>
      </c>
      <c r="S13" s="154">
        <f>SUM(S5:S11)</f>
        <v>446258.8</v>
      </c>
      <c r="X13" s="154">
        <f>SUM(X5:X11)</f>
        <v>1294</v>
      </c>
      <c r="Y13" s="154">
        <f>SUM(Y5:Y11)</f>
        <v>1512190</v>
      </c>
      <c r="Z13" s="154">
        <f>SUM(Z5:Z11)</f>
        <v>1194630.1000000001</v>
      </c>
    </row>
    <row r="14" spans="1:26" ht="13.5" thickBot="1">
      <c r="A14" s="764"/>
      <c r="B14" s="170" t="s">
        <v>2</v>
      </c>
      <c r="C14" s="104">
        <f>SUM(C7:C13)</f>
        <v>13523</v>
      </c>
      <c r="D14" s="116">
        <f>SUM(D7:D13)</f>
        <v>0</v>
      </c>
      <c r="E14" s="117">
        <f>SUM(E5:E13)</f>
        <v>0</v>
      </c>
      <c r="F14" s="121">
        <f>SUM(F7:F13)</f>
        <v>28</v>
      </c>
      <c r="G14" s="164"/>
      <c r="H14" s="171"/>
      <c r="I14" s="172"/>
      <c r="J14" s="219">
        <f>+'11'!J14</f>
        <v>0</v>
      </c>
      <c r="K14" s="244"/>
      <c r="L14" s="244"/>
      <c r="M14" s="122">
        <f>+K14+'11'!M14+L14</f>
        <v>0</v>
      </c>
      <c r="N14" s="154" t="s">
        <v>399</v>
      </c>
      <c r="Q14" s="154">
        <f>480-Q13</f>
        <v>0</v>
      </c>
      <c r="R14" s="154">
        <f>+R13/Q13</f>
        <v>1186.0833333333333</v>
      </c>
      <c r="S14" s="154">
        <f>+S13/Q13</f>
        <v>929.70583333333332</v>
      </c>
      <c r="U14" s="154" t="s">
        <v>399</v>
      </c>
      <c r="X14" s="154">
        <f>480-X13</f>
        <v>-814</v>
      </c>
      <c r="Y14" s="154">
        <f>+Y13/X13</f>
        <v>1168.6166924265842</v>
      </c>
      <c r="Z14" s="154">
        <f>+Z13/X13</f>
        <v>923.20718701700162</v>
      </c>
    </row>
    <row r="15" spans="1:26" ht="13.5" customHeight="1" thickBot="1">
      <c r="A15" s="762"/>
      <c r="B15" s="170"/>
      <c r="C15" s="118">
        <f>C14/($C$23+$D$23+$E$23)</f>
        <v>0.97329782639988482</v>
      </c>
      <c r="D15" s="119">
        <f>D14/($C$23+$D$23+$E$23)</f>
        <v>0</v>
      </c>
      <c r="E15" s="120">
        <f>E14/($C$23+$D$23+$E$23)</f>
        <v>0</v>
      </c>
      <c r="F15" s="233">
        <v>6</v>
      </c>
      <c r="G15" s="234" t="s">
        <v>12</v>
      </c>
      <c r="H15" s="235" t="s">
        <v>458</v>
      </c>
      <c r="I15" s="765" t="s">
        <v>533</v>
      </c>
      <c r="J15" s="219">
        <f>+'11'!J15</f>
        <v>0</v>
      </c>
      <c r="K15" s="244"/>
      <c r="L15" s="244"/>
      <c r="M15" s="122">
        <f>+K15+'11'!M15+L15</f>
        <v>0</v>
      </c>
    </row>
    <row r="16" spans="1:26" ht="13.5" thickBot="1">
      <c r="A16" s="768"/>
      <c r="B16" s="220" t="s">
        <v>498</v>
      </c>
      <c r="C16" s="227">
        <v>13894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+'11'!J16</f>
        <v>0</v>
      </c>
      <c r="K16" s="234"/>
      <c r="L16" s="234"/>
      <c r="M16" s="122">
        <f>+K16+'11'!M16+L16</f>
        <v>0</v>
      </c>
      <c r="N16" s="154" t="s">
        <v>491</v>
      </c>
      <c r="O16" s="154">
        <v>1170</v>
      </c>
      <c r="P16" s="154">
        <f>+O16-O16*0.21</f>
        <v>924.3</v>
      </c>
      <c r="Q16" s="154">
        <f>60*3+16</f>
        <v>196</v>
      </c>
      <c r="R16" s="154">
        <f>+O16*Q16</f>
        <v>229320</v>
      </c>
      <c r="S16" s="154">
        <f>+P16*Q16</f>
        <v>181162.8</v>
      </c>
    </row>
    <row r="17" spans="1:19" ht="13.5" thickBot="1">
      <c r="A17" s="768"/>
      <c r="B17" s="220"/>
      <c r="C17" s="221"/>
      <c r="D17" s="222"/>
      <c r="E17" s="230"/>
      <c r="F17" s="233">
        <v>22</v>
      </c>
      <c r="G17" s="574" t="s">
        <v>12</v>
      </c>
      <c r="H17" s="238" t="s">
        <v>412</v>
      </c>
      <c r="I17" s="766"/>
      <c r="J17" s="219">
        <f>+'11'!J17</f>
        <v>0</v>
      </c>
      <c r="K17" s="234"/>
      <c r="L17" s="234"/>
      <c r="M17" s="122">
        <f>+K17+'11'!M17+L17</f>
        <v>0</v>
      </c>
      <c r="O17" s="154">
        <f>+O16-10</f>
        <v>1160</v>
      </c>
      <c r="P17" s="154">
        <f>+O17-O17*0.21</f>
        <v>916.4</v>
      </c>
      <c r="Q17" s="154">
        <f>60-16+11</f>
        <v>55</v>
      </c>
      <c r="R17" s="154">
        <f>+O17*Q17</f>
        <v>63800</v>
      </c>
      <c r="S17" s="154">
        <f>+P17*Q17</f>
        <v>50402</v>
      </c>
    </row>
    <row r="18" spans="1:19" ht="39" thickBot="1">
      <c r="A18" s="768"/>
      <c r="B18" s="220"/>
      <c r="C18" s="221"/>
      <c r="D18" s="222"/>
      <c r="E18" s="230"/>
      <c r="F18" s="233"/>
      <c r="G18" s="242"/>
      <c r="H18" s="238" t="s">
        <v>541</v>
      </c>
      <c r="I18" s="766"/>
      <c r="J18" s="219">
        <f>+'11'!J18</f>
        <v>0</v>
      </c>
      <c r="K18" s="244"/>
      <c r="L18" s="244"/>
      <c r="M18" s="122">
        <f>+K18+'11'!M18+L18</f>
        <v>0</v>
      </c>
      <c r="O18" s="154">
        <f>+O17-10</f>
        <v>1150</v>
      </c>
      <c r="P18" s="154">
        <f>+O18-O18*0.21</f>
        <v>908.5</v>
      </c>
      <c r="Q18" s="154">
        <f>60-11+180</f>
        <v>229</v>
      </c>
      <c r="R18" s="154">
        <f t="shared" ref="R18:R21" si="7">+O18*Q18</f>
        <v>263350</v>
      </c>
      <c r="S18" s="154">
        <f t="shared" ref="S18:S21" si="8">+P18*Q18</f>
        <v>208046.5</v>
      </c>
    </row>
    <row r="19" spans="1:19" ht="64.5" thickBot="1">
      <c r="A19" s="768"/>
      <c r="B19" s="220"/>
      <c r="C19" s="221"/>
      <c r="D19" s="222"/>
      <c r="E19" s="230"/>
      <c r="F19" s="240"/>
      <c r="G19" s="237"/>
      <c r="H19" s="238" t="s">
        <v>517</v>
      </c>
      <c r="I19" s="766"/>
      <c r="J19" s="219">
        <f>+'11'!J19</f>
        <v>0</v>
      </c>
      <c r="K19" s="244"/>
      <c r="L19" s="244"/>
      <c r="M19" s="122">
        <f>+K19+'11'!M19+L19</f>
        <v>0</v>
      </c>
      <c r="P19" s="154">
        <f t="shared" ref="P19" si="9">+O19-O19*0.23</f>
        <v>0</v>
      </c>
      <c r="R19" s="154">
        <f t="shared" si="7"/>
        <v>0</v>
      </c>
      <c r="S19" s="154">
        <f t="shared" si="8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+'11'!J20</f>
        <v>0</v>
      </c>
      <c r="K20" s="245"/>
      <c r="L20" s="245"/>
      <c r="M20" s="122">
        <f>+K20+'11'!M20+L20</f>
        <v>0</v>
      </c>
      <c r="R20" s="154">
        <f t="shared" si="7"/>
        <v>0</v>
      </c>
      <c r="S20" s="154">
        <f t="shared" si="8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+'11'!J21</f>
        <v>0</v>
      </c>
      <c r="K21" s="244"/>
      <c r="L21" s="244"/>
      <c r="M21" s="122">
        <f>+K21+'11'!M21+L21</f>
        <v>0</v>
      </c>
      <c r="R21" s="154">
        <f t="shared" si="7"/>
        <v>0</v>
      </c>
      <c r="S21" s="154">
        <f t="shared" si="8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+'11'!J22</f>
        <v>0</v>
      </c>
      <c r="K22" s="244"/>
      <c r="L22" s="244"/>
      <c r="M22" s="122">
        <f>+K22+'11'!M22+L22</f>
        <v>0</v>
      </c>
      <c r="P22" s="154">
        <f t="shared" ref="P22" si="10">+O22-O22*0.17</f>
        <v>0</v>
      </c>
    </row>
    <row r="23" spans="1:19" ht="13.5" thickBot="1">
      <c r="A23" s="769"/>
      <c r="B23" s="173" t="s">
        <v>2</v>
      </c>
      <c r="C23" s="105">
        <f>SUM(C16:C22)</f>
        <v>13894</v>
      </c>
      <c r="D23" s="116">
        <f>SUM(D16:D22)</f>
        <v>0</v>
      </c>
      <c r="E23" s="117">
        <f>SUM(E18:E22)</f>
        <v>0</v>
      </c>
      <c r="F23" s="121">
        <f>SUM(F15:F22)</f>
        <v>28</v>
      </c>
      <c r="G23" s="164"/>
      <c r="H23" s="171"/>
      <c r="I23" s="174"/>
      <c r="J23" s="219">
        <f>+'11'!J23</f>
        <v>0</v>
      </c>
      <c r="K23" s="244"/>
      <c r="L23" s="244"/>
      <c r="M23" s="122">
        <f>+K23+'11'!M23+L23</f>
        <v>0</v>
      </c>
      <c r="Q23" s="154">
        <f>SUM(Q15:Q21)</f>
        <v>480</v>
      </c>
      <c r="R23" s="154">
        <f>SUM(R15:R21)</f>
        <v>556470</v>
      </c>
      <c r="S23" s="154">
        <f>SUM(S15:S21)</f>
        <v>439611.3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9</v>
      </c>
      <c r="G24" s="234" t="s">
        <v>12</v>
      </c>
      <c r="H24" s="235" t="s">
        <v>458</v>
      </c>
      <c r="I24" s="765" t="s">
        <v>534</v>
      </c>
      <c r="J24" s="219">
        <f>+'11'!J24</f>
        <v>0</v>
      </c>
      <c r="K24" s="244"/>
      <c r="L24" s="244"/>
      <c r="M24" s="122">
        <f>+K24+'11'!M24+L24</f>
        <v>0</v>
      </c>
      <c r="N24" s="154" t="s">
        <v>399</v>
      </c>
      <c r="Q24" s="154">
        <f>480-Q23</f>
        <v>0</v>
      </c>
      <c r="R24" s="154">
        <f>+R23/Q23</f>
        <v>1159.3125</v>
      </c>
      <c r="S24" s="154">
        <f>+S23/Q23</f>
        <v>915.85687499999995</v>
      </c>
    </row>
    <row r="25" spans="1:19" ht="13.5" customHeight="1" thickBot="1">
      <c r="A25" s="768"/>
      <c r="B25" s="220" t="s">
        <v>498</v>
      </c>
      <c r="C25" s="231">
        <v>13305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+'11'!J25</f>
        <v>0</v>
      </c>
      <c r="K25" s="244"/>
      <c r="L25" s="244"/>
      <c r="M25" s="122">
        <f>+K25+'11'!M25+L25</f>
        <v>0</v>
      </c>
    </row>
    <row r="26" spans="1:19" ht="13.5" customHeight="1" thickBot="1">
      <c r="A26" s="768"/>
      <c r="B26" s="220"/>
      <c r="C26" s="231"/>
      <c r="D26" s="222"/>
      <c r="E26" s="232"/>
      <c r="F26" s="233">
        <v>21</v>
      </c>
      <c r="G26" s="574" t="s">
        <v>12</v>
      </c>
      <c r="H26" s="238" t="s">
        <v>412</v>
      </c>
      <c r="I26" s="766"/>
      <c r="J26" s="219">
        <f>+'11'!J26</f>
        <v>0</v>
      </c>
      <c r="K26" s="244"/>
      <c r="L26" s="244"/>
      <c r="M26" s="122">
        <f>+K26+'11'!M26+L26</f>
        <v>0</v>
      </c>
      <c r="N26" s="154" t="s">
        <v>491</v>
      </c>
      <c r="O26" s="154">
        <v>1170</v>
      </c>
      <c r="P26" s="154">
        <f>+O26-O26*0.21</f>
        <v>924.3</v>
      </c>
      <c r="Q26" s="154">
        <v>480</v>
      </c>
      <c r="R26" s="154">
        <f>+O26*Q26</f>
        <v>561600</v>
      </c>
      <c r="S26" s="154">
        <f>+P26*Q26</f>
        <v>443664</v>
      </c>
    </row>
    <row r="27" spans="1:19" ht="39" thickBot="1">
      <c r="A27" s="768"/>
      <c r="B27" s="220"/>
      <c r="C27" s="221"/>
      <c r="D27" s="222"/>
      <c r="E27" s="230"/>
      <c r="F27" s="233"/>
      <c r="G27" s="242"/>
      <c r="H27" s="238" t="s">
        <v>542</v>
      </c>
      <c r="I27" s="766"/>
      <c r="J27" s="219">
        <f>+'11'!J27</f>
        <v>0</v>
      </c>
      <c r="K27" s="244"/>
      <c r="L27" s="244"/>
      <c r="M27" s="122">
        <f>+K27+'11'!M27+L27</f>
        <v>0</v>
      </c>
      <c r="R27" s="154">
        <f>+O27*Q27</f>
        <v>0</v>
      </c>
      <c r="S27" s="154">
        <f>+P27*Q27</f>
        <v>0</v>
      </c>
    </row>
    <row r="28" spans="1:19" ht="26.25" thickBot="1">
      <c r="A28" s="768"/>
      <c r="B28" s="220"/>
      <c r="C28" s="221"/>
      <c r="D28" s="222"/>
      <c r="E28" s="230"/>
      <c r="F28" s="236"/>
      <c r="G28" s="237"/>
      <c r="H28" s="238" t="s">
        <v>536</v>
      </c>
      <c r="I28" s="766"/>
      <c r="J28" s="219">
        <f>+'11'!J28</f>
        <v>0</v>
      </c>
      <c r="K28" s="244"/>
      <c r="L28" s="244"/>
      <c r="M28" s="122">
        <f>+K28+'11'!M28+L28</f>
        <v>0</v>
      </c>
      <c r="R28" s="154">
        <f t="shared" ref="R28:R31" si="11">+O28*Q28</f>
        <v>0</v>
      </c>
      <c r="S28" s="154">
        <f t="shared" ref="S28:S31" si="12">+P28*Q28</f>
        <v>0</v>
      </c>
    </row>
    <row r="29" spans="1:19" ht="13.5" customHeight="1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+'11'!J29</f>
        <v>0</v>
      </c>
      <c r="K29" s="244"/>
      <c r="L29" s="244"/>
      <c r="M29" s="122">
        <f>+K29+'11'!M29+L29</f>
        <v>0</v>
      </c>
      <c r="P29" s="154">
        <f t="shared" ref="P29" si="13">+O29-O29*0.23</f>
        <v>0</v>
      </c>
      <c r="R29" s="154">
        <f t="shared" si="11"/>
        <v>0</v>
      </c>
      <c r="S29" s="154">
        <f t="shared" si="12"/>
        <v>0</v>
      </c>
    </row>
    <row r="30" spans="1:19" ht="13.5" customHeight="1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+'11'!J30</f>
        <v>0</v>
      </c>
      <c r="K30" s="244"/>
      <c r="L30" s="244"/>
      <c r="M30" s="122">
        <f>+K30+'11'!M30+L30</f>
        <v>0</v>
      </c>
      <c r="R30" s="154">
        <f t="shared" si="11"/>
        <v>0</v>
      </c>
      <c r="S30" s="154">
        <f t="shared" si="12"/>
        <v>0</v>
      </c>
    </row>
    <row r="31" spans="1:19" ht="13.5" customHeight="1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+'11'!J31</f>
        <v>0</v>
      </c>
      <c r="K31" s="244"/>
      <c r="L31" s="244"/>
      <c r="M31" s="122">
        <f>+K31+'11'!M31+L31</f>
        <v>0</v>
      </c>
      <c r="R31" s="154">
        <f t="shared" si="11"/>
        <v>0</v>
      </c>
      <c r="S31" s="154">
        <f t="shared" si="12"/>
        <v>0</v>
      </c>
    </row>
    <row r="32" spans="1:19" ht="13.5" customHeight="1" thickBot="1">
      <c r="A32" s="769"/>
      <c r="B32" s="170" t="s">
        <v>2</v>
      </c>
      <c r="C32" s="104">
        <f>SUM(C25:C31)</f>
        <v>13305</v>
      </c>
      <c r="D32" s="105">
        <f>SUM(D25:D31)</f>
        <v>0</v>
      </c>
      <c r="E32" s="106">
        <f>SUM(E25:E31)</f>
        <v>0</v>
      </c>
      <c r="F32" s="107">
        <f>SUM(F24:F31)</f>
        <v>30</v>
      </c>
      <c r="G32" s="176"/>
      <c r="H32" s="177"/>
      <c r="I32" s="174"/>
      <c r="J32" s="219">
        <f>+'1'!J32</f>
        <v>0</v>
      </c>
      <c r="K32" s="246"/>
      <c r="L32" s="248"/>
      <c r="M32" s="122">
        <f>+K32+'11'!M32+L32</f>
        <v>0</v>
      </c>
      <c r="P32" s="154">
        <f t="shared" ref="P32" si="14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561600</v>
      </c>
      <c r="S33" s="154">
        <f>SUM(S25:S31)</f>
        <v>443664</v>
      </c>
    </row>
    <row r="34" spans="1:19" ht="13.5" thickBot="1">
      <c r="A34" s="770" t="s">
        <v>57</v>
      </c>
      <c r="B34" s="771"/>
      <c r="C34" s="112">
        <f>C14+C23+C32</f>
        <v>40722</v>
      </c>
      <c r="D34" s="112">
        <f>D14+D23+D32</f>
        <v>0</v>
      </c>
      <c r="E34" s="112">
        <f>E14+E23+E32</f>
        <v>0</v>
      </c>
      <c r="F34" s="113">
        <f>F14+F23+F32</f>
        <v>86</v>
      </c>
      <c r="H34" s="183"/>
      <c r="I34" s="183"/>
      <c r="J34" s="128" t="s">
        <v>28</v>
      </c>
      <c r="K34" s="129">
        <f>SUM(K7:K32)</f>
        <v>40722</v>
      </c>
      <c r="L34" s="217">
        <f>SUM(L7:L32)</f>
        <v>0</v>
      </c>
      <c r="M34" s="125">
        <f>SUM(M7:M32)</f>
        <v>444097</v>
      </c>
      <c r="N34" s="154" t="s">
        <v>399</v>
      </c>
      <c r="Q34" s="154">
        <f>480-Q33</f>
        <v>0</v>
      </c>
      <c r="R34" s="154">
        <f>+R33/Q33</f>
        <v>1170</v>
      </c>
      <c r="S34" s="154">
        <f>+S33/Q33</f>
        <v>924.3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  <c r="N36" s="154" t="s">
        <v>525</v>
      </c>
      <c r="O36" s="154">
        <v>1200</v>
      </c>
      <c r="P36" s="154">
        <v>924</v>
      </c>
      <c r="Q36" s="154">
        <v>146</v>
      </c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(12*146+12.5*1294)/1440*G42*2.74*1440/1000000</f>
        <v>45.351866945359731</v>
      </c>
      <c r="J37" s="130">
        <f>+I37+'11'!J37</f>
        <v>522.46256008793682</v>
      </c>
      <c r="K37" s="131" t="s">
        <v>63</v>
      </c>
      <c r="N37" s="154" t="s">
        <v>491</v>
      </c>
      <c r="O37" s="154">
        <v>1168.6166924265842</v>
      </c>
      <c r="P37" s="154">
        <v>923.20718701700162</v>
      </c>
      <c r="Q37" s="154">
        <v>1294</v>
      </c>
    </row>
    <row r="38" spans="1:19" ht="17.45" customHeight="1">
      <c r="A38" s="774" t="s">
        <v>12</v>
      </c>
      <c r="B38" s="775"/>
      <c r="C38" s="169">
        <f>SUMIF($G$7:$G$31,"Process",$F$7:$F$31)</f>
        <v>86</v>
      </c>
      <c r="D38" s="123">
        <f>+C38+'11'!D38</f>
        <v>743</v>
      </c>
      <c r="E38" s="148">
        <f t="shared" ref="E38:E51" si="15">D38/60</f>
        <v>12.383333333333333</v>
      </c>
      <c r="F38" s="328">
        <v>1186.0833333333333</v>
      </c>
      <c r="G38" s="328">
        <v>929.70583333333332</v>
      </c>
      <c r="H38" s="192" t="s">
        <v>64</v>
      </c>
      <c r="I38" s="250">
        <f>15.214+13.649+13.684</f>
        <v>42.546999999999997</v>
      </c>
      <c r="J38" s="132">
        <f>+I38+'11'!J38</f>
        <v>467.81299999999999</v>
      </c>
      <c r="K38" s="133" t="s">
        <v>63</v>
      </c>
      <c r="Q38" s="154">
        <f>+Q36+Q37</f>
        <v>1440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+C39+'11'!D39</f>
        <v>0</v>
      </c>
      <c r="E39" s="148">
        <f t="shared" si="15"/>
        <v>0</v>
      </c>
      <c r="F39" s="328">
        <v>1159.3125</v>
      </c>
      <c r="G39" s="328">
        <v>915.85687499999995</v>
      </c>
      <c r="H39" s="192" t="s">
        <v>65</v>
      </c>
      <c r="I39" s="147"/>
      <c r="J39" s="134">
        <f>J37/G4</f>
        <v>43.538546673994738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+C40+'11'!D40</f>
        <v>0</v>
      </c>
      <c r="E40" s="148">
        <f t="shared" si="15"/>
        <v>0</v>
      </c>
      <c r="F40" s="328">
        <v>1170</v>
      </c>
      <c r="G40" s="328">
        <v>924.3</v>
      </c>
      <c r="H40" s="192" t="s">
        <v>67</v>
      </c>
      <c r="I40" s="123">
        <f>(K34+L34)/1000</f>
        <v>40.722000000000001</v>
      </c>
      <c r="J40" s="136">
        <f>+I40+'11'!J40</f>
        <v>444.09699999999998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+C41+'11'!D41</f>
        <v>57</v>
      </c>
      <c r="E41" s="148">
        <f t="shared" si="15"/>
        <v>0.95</v>
      </c>
      <c r="F41" s="328"/>
      <c r="G41" s="328"/>
      <c r="H41" s="192" t="s">
        <v>69</v>
      </c>
      <c r="I41" s="147"/>
      <c r="J41" s="134">
        <f>J40/G4</f>
        <v>37.008083333333332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+C42+'11'!D42</f>
        <v>0</v>
      </c>
      <c r="E42" s="148">
        <f t="shared" si="15"/>
        <v>0</v>
      </c>
      <c r="F42" s="328">
        <f>+(480*F38+480*F39+480*F40)/1440</f>
        <v>1171.7986111111111</v>
      </c>
      <c r="G42" s="328">
        <f>+(480*G38+480*G39+480*G40)/1440</f>
        <v>923.28756944444456</v>
      </c>
      <c r="H42" s="192" t="s">
        <v>70</v>
      </c>
      <c r="I42" s="251" t="s">
        <v>535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+C43+'11'!D43</f>
        <v>0</v>
      </c>
      <c r="E43" s="148">
        <f t="shared" si="15"/>
        <v>0</v>
      </c>
      <c r="F43" s="328"/>
      <c r="G43" s="329"/>
      <c r="H43" s="193" t="s">
        <v>73</v>
      </c>
      <c r="I43" s="123">
        <f>+Report1!Z20</f>
        <v>60.4</v>
      </c>
      <c r="J43" s="138">
        <f>+I43+'11'!J43</f>
        <v>690.69999999999993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+C44+'11'!D44</f>
        <v>0</v>
      </c>
      <c r="E44" s="148">
        <f t="shared" si="15"/>
        <v>0</v>
      </c>
      <c r="F44" s="328"/>
      <c r="G44" s="329"/>
      <c r="H44" s="193" t="s">
        <v>74</v>
      </c>
      <c r="I44" s="123">
        <f>I43/I38</f>
        <v>1.4196065527534256</v>
      </c>
      <c r="J44" s="139">
        <f>J43/J38</f>
        <v>1.4764446477545514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+C45+'11'!D45</f>
        <v>0</v>
      </c>
      <c r="E45" s="148">
        <f t="shared" si="15"/>
        <v>0</v>
      </c>
      <c r="F45" s="328"/>
      <c r="G45" s="331"/>
      <c r="H45" s="193" t="s">
        <v>75</v>
      </c>
      <c r="I45" s="123">
        <f>I43/I40</f>
        <v>1.4832277393055351</v>
      </c>
      <c r="J45" s="139">
        <f>J43/J40</f>
        <v>1.5552908486209094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+C46+'11'!D46</f>
        <v>0</v>
      </c>
      <c r="E46" s="148">
        <f t="shared" si="15"/>
        <v>0</v>
      </c>
      <c r="F46" s="328"/>
      <c r="G46" s="329"/>
      <c r="H46" s="193" t="s">
        <v>77</v>
      </c>
      <c r="I46" s="145">
        <f>+SUMIF(Listrik!P19,"&gt;0")</f>
        <v>37891.079999999638</v>
      </c>
      <c r="J46" s="140">
        <f>+I46+'11'!J46</f>
        <v>448963.98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+C47+'11'!D47</f>
        <v>0</v>
      </c>
      <c r="E47" s="148">
        <f t="shared" si="15"/>
        <v>0</v>
      </c>
      <c r="F47" s="328"/>
      <c r="G47" s="329"/>
      <c r="H47" s="193" t="s">
        <v>80</v>
      </c>
      <c r="I47" s="123">
        <f>I46/I38</f>
        <v>890.56995792887017</v>
      </c>
      <c r="J47" s="140">
        <f>J46/J38</f>
        <v>959.70821674472495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+C48+'11'!D48</f>
        <v>0</v>
      </c>
      <c r="E48" s="148">
        <f t="shared" si="15"/>
        <v>0</v>
      </c>
      <c r="F48" s="328"/>
      <c r="G48" s="329"/>
      <c r="H48" s="193" t="s">
        <v>81</v>
      </c>
      <c r="I48" s="123">
        <f>I46/I40</f>
        <v>930.48180344775892</v>
      </c>
      <c r="J48" s="140">
        <f>J46/J40</f>
        <v>1010.9592724112075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+C49+'11'!D49</f>
        <v>720</v>
      </c>
      <c r="E49" s="148">
        <f t="shared" si="15"/>
        <v>12</v>
      </c>
      <c r="F49" s="190"/>
      <c r="H49" s="193" t="s">
        <v>271</v>
      </c>
      <c r="I49" s="123">
        <f>+Report1!T20</f>
        <v>4182.6529497004522</v>
      </c>
      <c r="J49" s="140">
        <f>+I49+'11'!J49</f>
        <v>49901.736066641592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+C50+'11'!D50</f>
        <v>0</v>
      </c>
      <c r="E50" s="148">
        <f t="shared" si="15"/>
        <v>0</v>
      </c>
      <c r="F50" s="190"/>
      <c r="H50" s="193" t="s">
        <v>83</v>
      </c>
      <c r="I50" s="145">
        <f>I49/I38</f>
        <v>98.306647935235205</v>
      </c>
      <c r="J50" s="138">
        <f>J49/J38</f>
        <v>106.67026368792999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+C51+'11'!D51</f>
        <v>0</v>
      </c>
      <c r="E51" s="148">
        <f t="shared" si="15"/>
        <v>0</v>
      </c>
      <c r="F51" s="190"/>
      <c r="H51" s="195" t="s">
        <v>85</v>
      </c>
      <c r="I51" s="146">
        <f>I49/I40</f>
        <v>102.71236554443426</v>
      </c>
      <c r="J51" s="141">
        <f>J49/J40</f>
        <v>112.36674885586166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86</v>
      </c>
      <c r="D52" s="149">
        <f>SUM(D38:D51)</f>
        <v>1520</v>
      </c>
      <c r="E52" s="150">
        <f>SUM(E38:E51)</f>
        <v>25.333333333333332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5.9722222222222225E-2</v>
      </c>
      <c r="D53" s="151">
        <f>D52/(24*60*G4)</f>
        <v>8.7962962962962965E-2</v>
      </c>
      <c r="E53" s="152">
        <f>E52/(G4*24)</f>
        <v>8.7962962962962965E-2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+D34+'11'!J56</f>
        <v>2698</v>
      </c>
      <c r="K56" s="206">
        <f>J56/(J40+J56/1000)/1000</f>
        <v>6.0385635470405893E-3</v>
      </c>
    </row>
    <row r="57" spans="1:11">
      <c r="A57" s="181"/>
      <c r="I57" s="204" t="s">
        <v>88</v>
      </c>
      <c r="J57" s="205">
        <f>+E34+'11'!J57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2:B52"/>
    <mergeCell ref="A53:B53"/>
    <mergeCell ref="A48:B48"/>
    <mergeCell ref="A49:B49"/>
    <mergeCell ref="A50:B50"/>
    <mergeCell ref="A51:B51"/>
    <mergeCell ref="A46:B46"/>
    <mergeCell ref="A47:B47"/>
    <mergeCell ref="A39:B39"/>
    <mergeCell ref="I24:I31"/>
    <mergeCell ref="A37:B37"/>
    <mergeCell ref="A38:B38"/>
    <mergeCell ref="A45:B45"/>
    <mergeCell ref="A40:B40"/>
    <mergeCell ref="A41:B41"/>
    <mergeCell ref="A34:B34"/>
    <mergeCell ref="A42:B42"/>
    <mergeCell ref="A43:B43"/>
    <mergeCell ref="A44:B44"/>
    <mergeCell ref="A7:A14"/>
    <mergeCell ref="I7:I13"/>
    <mergeCell ref="A15:A23"/>
    <mergeCell ref="I15:I22"/>
    <mergeCell ref="A24:A32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zoomScale="80" zoomScaleNormal="70" zoomScaleSheetLayoutView="80" workbookViewId="0">
      <selection activeCell="H18" sqref="H1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26" ht="15.75">
      <c r="A1" s="153"/>
    </row>
    <row r="2" spans="1:26" ht="15.75">
      <c r="A2" s="153" t="s">
        <v>184</v>
      </c>
    </row>
    <row r="3" spans="1:26" ht="15">
      <c r="A3" s="155"/>
    </row>
    <row r="4" spans="1:26" ht="20.25">
      <c r="A4" s="156" t="s">
        <v>3</v>
      </c>
      <c r="B4" s="157"/>
      <c r="F4" s="158" t="s">
        <v>29</v>
      </c>
      <c r="G4" s="159">
        <v>11</v>
      </c>
      <c r="H4" s="159" t="str">
        <f>+'1'!H4</f>
        <v>.10.25</v>
      </c>
      <c r="J4" s="154">
        <f>577+500+556</f>
        <v>1633</v>
      </c>
    </row>
    <row r="5" spans="1:26" ht="13.5" thickBot="1">
      <c r="C5" s="160"/>
      <c r="D5" s="160"/>
    </row>
    <row r="6" spans="1:26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491</v>
      </c>
      <c r="O6" s="154">
        <v>1200</v>
      </c>
      <c r="P6" s="154">
        <f>+O6-O6*0.23</f>
        <v>924</v>
      </c>
      <c r="Q6" s="154">
        <v>480</v>
      </c>
      <c r="R6" s="154">
        <f>+O6*Q6</f>
        <v>576000</v>
      </c>
      <c r="S6" s="154">
        <f>+P6*Q6</f>
        <v>443520</v>
      </c>
      <c r="U6" s="154" t="s">
        <v>491</v>
      </c>
      <c r="V6" s="154">
        <v>1200</v>
      </c>
      <c r="W6" s="154">
        <f>+V6-V6*0.23</f>
        <v>924</v>
      </c>
      <c r="X6" s="154">
        <v>480</v>
      </c>
      <c r="Y6" s="154">
        <f>+V6*X6</f>
        <v>576000</v>
      </c>
      <c r="Z6" s="154">
        <f>+W6*X6</f>
        <v>443520</v>
      </c>
    </row>
    <row r="7" spans="1:26" ht="13.5" customHeight="1" thickBot="1">
      <c r="A7" s="762"/>
      <c r="B7" s="220" t="s">
        <v>498</v>
      </c>
      <c r="C7" s="221">
        <v>15167</v>
      </c>
      <c r="D7" s="222"/>
      <c r="E7" s="223"/>
      <c r="F7" s="233"/>
      <c r="G7" s="234" t="s">
        <v>12</v>
      </c>
      <c r="H7" s="235" t="s">
        <v>386</v>
      </c>
      <c r="I7" s="765" t="s">
        <v>529</v>
      </c>
      <c r="J7" s="219" t="str">
        <f>+'10'!J7</f>
        <v>F 12 VP OW</v>
      </c>
      <c r="K7" s="243"/>
      <c r="L7" s="247"/>
      <c r="M7" s="122">
        <f>+K7+'10'!M7+L7</f>
        <v>89181</v>
      </c>
      <c r="P7" s="154">
        <f>+O7-O7*0.23</f>
        <v>0</v>
      </c>
      <c r="Q7" s="154">
        <f>480-Q6</f>
        <v>0</v>
      </c>
      <c r="R7" s="154">
        <f>+O7*Q7</f>
        <v>0</v>
      </c>
      <c r="S7" s="154">
        <f>+P7*Q7</f>
        <v>0</v>
      </c>
      <c r="V7" s="154">
        <v>1200</v>
      </c>
      <c r="W7" s="154">
        <v>924</v>
      </c>
      <c r="X7" s="154">
        <v>365</v>
      </c>
      <c r="Y7" s="154">
        <f>+V7*X7</f>
        <v>438000</v>
      </c>
      <c r="Z7" s="154">
        <f>+W7*X7</f>
        <v>337260</v>
      </c>
    </row>
    <row r="8" spans="1:26" ht="13.5" thickBot="1">
      <c r="A8" s="763"/>
      <c r="B8" s="220"/>
      <c r="C8" s="221"/>
      <c r="D8" s="222"/>
      <c r="E8" s="224"/>
      <c r="F8" s="236">
        <v>8</v>
      </c>
      <c r="G8" s="574" t="s">
        <v>12</v>
      </c>
      <c r="H8" s="235" t="s">
        <v>431</v>
      </c>
      <c r="I8" s="766"/>
      <c r="J8" s="219" t="str">
        <f>+'10'!J8</f>
        <v>F 12,5 VP OW</v>
      </c>
      <c r="K8" s="244"/>
      <c r="L8" s="244"/>
      <c r="M8" s="122">
        <f>+K8+'10'!M8+L8</f>
        <v>10480</v>
      </c>
      <c r="P8" s="154">
        <f t="shared" ref="P8:P9" si="0">+O8-O8*0.23</f>
        <v>0</v>
      </c>
      <c r="R8" s="154">
        <f t="shared" ref="R8:R11" si="1">+O8*Q8</f>
        <v>0</v>
      </c>
      <c r="S8" s="154">
        <f t="shared" ref="S8:S11" si="2">+P8*Q8</f>
        <v>0</v>
      </c>
      <c r="V8" s="154">
        <v>1180</v>
      </c>
      <c r="W8" s="154">
        <v>908.59999999999991</v>
      </c>
      <c r="X8" s="154">
        <v>115</v>
      </c>
      <c r="Y8" s="154">
        <f t="shared" ref="Y8:Y11" si="3">+V8*X8</f>
        <v>135700</v>
      </c>
      <c r="Z8" s="154">
        <f t="shared" ref="Z8:Z11" si="4">+W8*X8</f>
        <v>104488.99999999999</v>
      </c>
    </row>
    <row r="9" spans="1:26" ht="13.5" thickBot="1">
      <c r="A9" s="763"/>
      <c r="B9" s="220"/>
      <c r="C9" s="221"/>
      <c r="D9" s="222"/>
      <c r="E9" s="225"/>
      <c r="F9" s="233">
        <f>19-8</f>
        <v>11</v>
      </c>
      <c r="G9" s="574" t="s">
        <v>12</v>
      </c>
      <c r="H9" s="238" t="s">
        <v>429</v>
      </c>
      <c r="I9" s="766"/>
      <c r="J9" s="219" t="str">
        <f>+'10'!J9</f>
        <v>T 13 VP OW</v>
      </c>
      <c r="K9" s="244"/>
      <c r="L9" s="244"/>
      <c r="M9" s="122">
        <f>+K9+'10'!M9+L9</f>
        <v>112205</v>
      </c>
      <c r="P9" s="154">
        <f t="shared" si="0"/>
        <v>0</v>
      </c>
      <c r="R9" s="154">
        <f t="shared" si="1"/>
        <v>0</v>
      </c>
      <c r="S9" s="154">
        <f t="shared" si="2"/>
        <v>0</v>
      </c>
      <c r="V9" s="154">
        <v>1180</v>
      </c>
      <c r="W9" s="154">
        <v>908.59999999999991</v>
      </c>
      <c r="X9" s="154">
        <v>137</v>
      </c>
      <c r="Y9" s="154">
        <f t="shared" si="3"/>
        <v>161660</v>
      </c>
      <c r="Z9" s="154">
        <f t="shared" si="4"/>
        <v>124478.19999999998</v>
      </c>
    </row>
    <row r="10" spans="1:26" ht="26.25" thickBot="1">
      <c r="A10" s="763"/>
      <c r="B10" s="220"/>
      <c r="C10" s="221"/>
      <c r="D10" s="222"/>
      <c r="E10" s="224"/>
      <c r="F10" s="233"/>
      <c r="G10" s="242"/>
      <c r="H10" s="238" t="s">
        <v>524</v>
      </c>
      <c r="I10" s="766"/>
      <c r="J10" s="219" t="str">
        <f>+'10'!J10</f>
        <v>T 12,5 VP OW</v>
      </c>
      <c r="K10" s="244">
        <f>+C7+C16+C25</f>
        <v>36798</v>
      </c>
      <c r="L10" s="244"/>
      <c r="M10" s="122">
        <f>+K10+'10'!M10+L10</f>
        <v>188102</v>
      </c>
      <c r="R10" s="154">
        <f t="shared" si="1"/>
        <v>0</v>
      </c>
      <c r="S10" s="154">
        <f t="shared" si="2"/>
        <v>0</v>
      </c>
      <c r="V10" s="154">
        <v>1170</v>
      </c>
      <c r="W10" s="154">
        <v>900.9</v>
      </c>
      <c r="X10" s="154">
        <v>173</v>
      </c>
      <c r="Y10" s="154">
        <f t="shared" si="3"/>
        <v>202410</v>
      </c>
      <c r="Z10" s="154">
        <f t="shared" si="4"/>
        <v>155855.69999999998</v>
      </c>
    </row>
    <row r="11" spans="1:26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 t="s">
        <v>540</v>
      </c>
      <c r="K11" s="244">
        <f>+C26</f>
        <v>3407</v>
      </c>
      <c r="L11" s="244"/>
      <c r="M11" s="122">
        <f>+K11+'10'!M11+L11</f>
        <v>3407</v>
      </c>
      <c r="R11" s="154">
        <f t="shared" si="1"/>
        <v>0</v>
      </c>
      <c r="S11" s="154">
        <f t="shared" si="2"/>
        <v>0</v>
      </c>
      <c r="Y11" s="154">
        <f t="shared" si="3"/>
        <v>0</v>
      </c>
      <c r="Z11" s="154">
        <f t="shared" si="4"/>
        <v>0</v>
      </c>
    </row>
    <row r="12" spans="1:26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+'10'!J12</f>
        <v>0</v>
      </c>
      <c r="K12" s="244"/>
      <c r="L12" s="244"/>
      <c r="M12" s="122">
        <f>+K12+'10'!M12+L12</f>
        <v>0</v>
      </c>
      <c r="P12" s="154">
        <f t="shared" ref="P12" si="5">+O12-O12*0.17</f>
        <v>0</v>
      </c>
      <c r="W12" s="154">
        <f t="shared" ref="W12" si="6">+V12-V12*0.17</f>
        <v>0</v>
      </c>
    </row>
    <row r="13" spans="1:26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+'10'!J13</f>
        <v>0</v>
      </c>
      <c r="K13" s="244"/>
      <c r="L13" s="244"/>
      <c r="M13" s="122">
        <f>+K13+'10'!M13+L13</f>
        <v>0</v>
      </c>
      <c r="Q13" s="154">
        <f>SUM(Q5:Q11)</f>
        <v>480</v>
      </c>
      <c r="R13" s="154">
        <f>SUM(R5:R11)</f>
        <v>576000</v>
      </c>
      <c r="S13" s="154">
        <f>SUM(S5:S11)</f>
        <v>443520</v>
      </c>
      <c r="X13" s="154">
        <f>SUM(X5:X11)</f>
        <v>1270</v>
      </c>
      <c r="Y13" s="154">
        <f>SUM(Y5:Y11)</f>
        <v>1513770</v>
      </c>
      <c r="Z13" s="154">
        <f>SUM(Z5:Z11)</f>
        <v>1165602.8999999999</v>
      </c>
    </row>
    <row r="14" spans="1:26" ht="13.5" thickBot="1">
      <c r="A14" s="764"/>
      <c r="B14" s="170" t="s">
        <v>2</v>
      </c>
      <c r="C14" s="104">
        <f>SUM(C7:C13)</f>
        <v>15167</v>
      </c>
      <c r="D14" s="116">
        <f>SUM(D7:D13)</f>
        <v>0</v>
      </c>
      <c r="E14" s="117">
        <f>SUM(E5:E13)</f>
        <v>0</v>
      </c>
      <c r="F14" s="121">
        <f>SUM(F7:F13)</f>
        <v>19</v>
      </c>
      <c r="G14" s="164"/>
      <c r="H14" s="171"/>
      <c r="I14" s="172"/>
      <c r="J14" s="219">
        <f>+'10'!J14</f>
        <v>0</v>
      </c>
      <c r="K14" s="244"/>
      <c r="L14" s="244"/>
      <c r="M14" s="122">
        <f>+K14+'10'!M14+L14</f>
        <v>0</v>
      </c>
      <c r="N14" s="154" t="s">
        <v>399</v>
      </c>
      <c r="Q14" s="154">
        <f>480-Q13</f>
        <v>0</v>
      </c>
      <c r="R14" s="154">
        <f>+R13/Q13</f>
        <v>1200</v>
      </c>
      <c r="S14" s="154">
        <f>+S13/Q13</f>
        <v>924</v>
      </c>
      <c r="U14" s="154" t="s">
        <v>399</v>
      </c>
      <c r="X14" s="154">
        <f>480-X13</f>
        <v>-790</v>
      </c>
      <c r="Y14" s="154">
        <f>+Y13/X13</f>
        <v>1191.9448818897638</v>
      </c>
      <c r="Z14" s="154">
        <f>+Z13/X13</f>
        <v>917.79755905511809</v>
      </c>
    </row>
    <row r="15" spans="1:26" ht="13.5" customHeight="1" thickBot="1">
      <c r="A15" s="762"/>
      <c r="B15" s="170"/>
      <c r="C15" s="118">
        <f>C14/($C$23+$D$23+$E$23)</f>
        <v>1.1673208650811975</v>
      </c>
      <c r="D15" s="119">
        <f>D14/($C$23+$D$23+$E$23)</f>
        <v>0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530</v>
      </c>
      <c r="J15" s="219">
        <f>+'10'!J15</f>
        <v>0</v>
      </c>
      <c r="K15" s="244"/>
      <c r="L15" s="244"/>
      <c r="M15" s="122">
        <f>+K15+'10'!M15+L15</f>
        <v>0</v>
      </c>
    </row>
    <row r="16" spans="1:26" ht="13.5" thickBot="1">
      <c r="A16" s="768"/>
      <c r="B16" s="220" t="s">
        <v>498</v>
      </c>
      <c r="C16" s="227">
        <v>12993</v>
      </c>
      <c r="D16" s="228"/>
      <c r="E16" s="229"/>
      <c r="F16" s="236">
        <v>6</v>
      </c>
      <c r="G16" s="574" t="s">
        <v>12</v>
      </c>
      <c r="H16" s="235" t="s">
        <v>442</v>
      </c>
      <c r="I16" s="766"/>
      <c r="J16" s="219">
        <f>+'10'!J16</f>
        <v>0</v>
      </c>
      <c r="K16" s="234"/>
      <c r="L16" s="234"/>
      <c r="M16" s="122">
        <f>+K16+'10'!M16+L16</f>
        <v>0</v>
      </c>
      <c r="N16" s="154" t="s">
        <v>491</v>
      </c>
      <c r="O16" s="154">
        <v>1200</v>
      </c>
      <c r="P16" s="154">
        <f>+O16-O16*0.23</f>
        <v>924</v>
      </c>
      <c r="Q16" s="154">
        <f>60*6+5</f>
        <v>365</v>
      </c>
      <c r="R16" s="154">
        <f>+O16*Q16</f>
        <v>438000</v>
      </c>
      <c r="S16" s="154">
        <f>+P16*Q16</f>
        <v>337260</v>
      </c>
    </row>
    <row r="17" spans="1:19" ht="13.5" thickBot="1">
      <c r="A17" s="768"/>
      <c r="B17" s="220"/>
      <c r="C17" s="221"/>
      <c r="D17" s="222"/>
      <c r="E17" s="230"/>
      <c r="F17" s="233">
        <v>16</v>
      </c>
      <c r="G17" s="574" t="s">
        <v>12</v>
      </c>
      <c r="H17" s="238" t="s">
        <v>429</v>
      </c>
      <c r="I17" s="766"/>
      <c r="J17" s="219">
        <f>+'10'!J17</f>
        <v>0</v>
      </c>
      <c r="K17" s="234"/>
      <c r="L17" s="234"/>
      <c r="M17" s="122">
        <f>+K17+'10'!M17+L17</f>
        <v>0</v>
      </c>
      <c r="O17" s="154">
        <f>1200-20</f>
        <v>1180</v>
      </c>
      <c r="P17" s="154">
        <f>+O17-O17*0.23</f>
        <v>908.59999999999991</v>
      </c>
      <c r="Q17" s="154">
        <f>480-Q16</f>
        <v>115</v>
      </c>
      <c r="R17" s="154">
        <f>+O17*Q17</f>
        <v>135700</v>
      </c>
      <c r="S17" s="154">
        <f>+P17*Q17</f>
        <v>104488.99999999999</v>
      </c>
    </row>
    <row r="18" spans="1:19" ht="39" thickBot="1">
      <c r="A18" s="768"/>
      <c r="B18" s="220"/>
      <c r="C18" s="221"/>
      <c r="D18" s="222"/>
      <c r="E18" s="230"/>
      <c r="F18" s="233"/>
      <c r="G18" s="242"/>
      <c r="H18" s="238" t="s">
        <v>522</v>
      </c>
      <c r="I18" s="766"/>
      <c r="J18" s="219">
        <f>+'10'!J18</f>
        <v>0</v>
      </c>
      <c r="K18" s="244"/>
      <c r="L18" s="244"/>
      <c r="M18" s="122">
        <f>+K18+'10'!M18+L18</f>
        <v>0</v>
      </c>
      <c r="P18" s="154">
        <f t="shared" ref="P18:P19" si="7">+O18-O18*0.23</f>
        <v>0</v>
      </c>
      <c r="R18" s="154">
        <f t="shared" ref="R18:R21" si="8">+O18*Q18</f>
        <v>0</v>
      </c>
      <c r="S18" s="154">
        <f t="shared" ref="S18:S21" si="9">+P18*Q18</f>
        <v>0</v>
      </c>
    </row>
    <row r="19" spans="1:19" ht="26.25" thickBot="1">
      <c r="A19" s="768"/>
      <c r="B19" s="220"/>
      <c r="C19" s="221"/>
      <c r="D19" s="222"/>
      <c r="E19" s="230"/>
      <c r="F19" s="240"/>
      <c r="G19" s="237"/>
      <c r="H19" s="238" t="s">
        <v>523</v>
      </c>
      <c r="I19" s="766"/>
      <c r="J19" s="219">
        <f>+'10'!J19</f>
        <v>0</v>
      </c>
      <c r="K19" s="244"/>
      <c r="L19" s="244"/>
      <c r="M19" s="122">
        <f>+K19+'10'!M19+L19</f>
        <v>0</v>
      </c>
      <c r="P19" s="154">
        <f t="shared" si="7"/>
        <v>0</v>
      </c>
      <c r="R19" s="154">
        <f t="shared" si="8"/>
        <v>0</v>
      </c>
      <c r="S19" s="154">
        <f t="shared" si="9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+'10'!J20</f>
        <v>0</v>
      </c>
      <c r="K20" s="245"/>
      <c r="L20" s="245"/>
      <c r="M20" s="122">
        <f>+K20+'10'!M20+L20</f>
        <v>0</v>
      </c>
      <c r="R20" s="154">
        <f t="shared" si="8"/>
        <v>0</v>
      </c>
      <c r="S20" s="154">
        <f t="shared" si="9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+'10'!J21</f>
        <v>0</v>
      </c>
      <c r="K21" s="244"/>
      <c r="L21" s="244"/>
      <c r="M21" s="122">
        <f>+K21+'10'!M21+L21</f>
        <v>0</v>
      </c>
      <c r="R21" s="154">
        <f t="shared" si="8"/>
        <v>0</v>
      </c>
      <c r="S21" s="154">
        <f t="shared" si="9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+'10'!J22</f>
        <v>0</v>
      </c>
      <c r="K22" s="244"/>
      <c r="L22" s="244"/>
      <c r="M22" s="122">
        <f>+K22+'10'!M22+L22</f>
        <v>0</v>
      </c>
      <c r="P22" s="154">
        <f t="shared" ref="P22" si="10">+O22-O22*0.17</f>
        <v>0</v>
      </c>
    </row>
    <row r="23" spans="1:19" ht="13.5" thickBot="1">
      <c r="A23" s="769"/>
      <c r="B23" s="173" t="s">
        <v>2</v>
      </c>
      <c r="C23" s="105">
        <f>SUM(C16:C22)</f>
        <v>12993</v>
      </c>
      <c r="D23" s="116">
        <f>SUM(D16:D22)</f>
        <v>0</v>
      </c>
      <c r="E23" s="117">
        <f>SUM(E18:E22)</f>
        <v>0</v>
      </c>
      <c r="F23" s="121">
        <f>SUM(F15:F22)</f>
        <v>22</v>
      </c>
      <c r="G23" s="164"/>
      <c r="H23" s="171"/>
      <c r="I23" s="174"/>
      <c r="J23" s="219">
        <f>+'10'!J23</f>
        <v>0</v>
      </c>
      <c r="K23" s="244"/>
      <c r="L23" s="244"/>
      <c r="M23" s="122">
        <f>+K23+'10'!M23+L23</f>
        <v>0</v>
      </c>
      <c r="Q23" s="154">
        <f>SUM(Q15:Q21)</f>
        <v>480</v>
      </c>
      <c r="R23" s="154">
        <f>SUM(R15:R21)</f>
        <v>573700</v>
      </c>
      <c r="S23" s="154">
        <f>SUM(S15:S21)</f>
        <v>441749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6</v>
      </c>
      <c r="G24" s="234" t="s">
        <v>12</v>
      </c>
      <c r="H24" s="235" t="s">
        <v>458</v>
      </c>
      <c r="I24" s="765" t="s">
        <v>531</v>
      </c>
      <c r="J24" s="219">
        <f>+'10'!J24</f>
        <v>0</v>
      </c>
      <c r="K24" s="244"/>
      <c r="L24" s="244"/>
      <c r="M24" s="122">
        <f>+K24+'10'!M24+L24</f>
        <v>0</v>
      </c>
      <c r="N24" s="154" t="s">
        <v>399</v>
      </c>
      <c r="Q24" s="154">
        <f>480-Q23</f>
        <v>0</v>
      </c>
      <c r="R24" s="154">
        <f>+R23/Q23</f>
        <v>1195.2083333333333</v>
      </c>
      <c r="S24" s="154">
        <f>+S23/Q23</f>
        <v>920.3104166666667</v>
      </c>
    </row>
    <row r="25" spans="1:19" ht="13.5" thickBot="1">
      <c r="A25" s="768"/>
      <c r="B25" s="220" t="s">
        <v>498</v>
      </c>
      <c r="C25" s="231">
        <v>8638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+'10'!J25</f>
        <v>0</v>
      </c>
      <c r="K25" s="244"/>
      <c r="L25" s="244"/>
      <c r="M25" s="122">
        <f>+K25+'10'!M25+L25</f>
        <v>0</v>
      </c>
    </row>
    <row r="26" spans="1:19" ht="13.5" thickBot="1">
      <c r="A26" s="768"/>
      <c r="B26" s="220" t="s">
        <v>540</v>
      </c>
      <c r="C26" s="231">
        <v>3407</v>
      </c>
      <c r="D26" s="222"/>
      <c r="E26" s="232"/>
      <c r="F26" s="233">
        <v>14</v>
      </c>
      <c r="G26" s="574" t="s">
        <v>12</v>
      </c>
      <c r="H26" s="238" t="s">
        <v>429</v>
      </c>
      <c r="I26" s="766"/>
      <c r="J26" s="219">
        <f>+'10'!J26</f>
        <v>0</v>
      </c>
      <c r="K26" s="234"/>
      <c r="L26" s="234"/>
      <c r="M26" s="122">
        <f>+K26+'10'!M26+L26</f>
        <v>0</v>
      </c>
      <c r="N26" s="154" t="s">
        <v>491</v>
      </c>
      <c r="O26" s="154">
        <v>1180</v>
      </c>
      <c r="P26" s="154">
        <f>+O26-O26*0.23</f>
        <v>908.59999999999991</v>
      </c>
      <c r="Q26" s="154">
        <f>60*2+17</f>
        <v>137</v>
      </c>
      <c r="R26" s="154">
        <f>+O26*Q26</f>
        <v>161660</v>
      </c>
      <c r="S26" s="154">
        <f>+P26*Q26</f>
        <v>124478.19999999998</v>
      </c>
    </row>
    <row r="27" spans="1:19" ht="39" thickBot="1">
      <c r="A27" s="768"/>
      <c r="B27" s="220"/>
      <c r="C27" s="221"/>
      <c r="D27" s="222"/>
      <c r="E27" s="230"/>
      <c r="F27" s="233"/>
      <c r="G27" s="242"/>
      <c r="H27" s="238" t="s">
        <v>520</v>
      </c>
      <c r="I27" s="766"/>
      <c r="J27" s="219">
        <f>+'10'!J27</f>
        <v>0</v>
      </c>
      <c r="K27" s="234"/>
      <c r="L27" s="234"/>
      <c r="M27" s="122">
        <f>+K27+'10'!M27+L27</f>
        <v>0</v>
      </c>
      <c r="O27" s="154">
        <v>1170</v>
      </c>
      <c r="P27" s="154">
        <f>+O27-O27*0.23</f>
        <v>900.9</v>
      </c>
      <c r="Q27" s="154">
        <f>60-17+120+10</f>
        <v>173</v>
      </c>
      <c r="R27" s="154">
        <f>+O27*Q27</f>
        <v>202410</v>
      </c>
      <c r="S27" s="154">
        <f>+P27*Q27</f>
        <v>155855.69999999998</v>
      </c>
    </row>
    <row r="28" spans="1:19" ht="26.25" thickBot="1">
      <c r="A28" s="768"/>
      <c r="B28" s="220"/>
      <c r="C28" s="221"/>
      <c r="D28" s="222"/>
      <c r="E28" s="230"/>
      <c r="F28" s="236"/>
      <c r="G28" s="237"/>
      <c r="H28" s="238" t="s">
        <v>521</v>
      </c>
      <c r="I28" s="766"/>
      <c r="J28" s="219">
        <f>+'10'!J28</f>
        <v>0</v>
      </c>
      <c r="K28" s="244"/>
      <c r="L28" s="244"/>
      <c r="M28" s="122">
        <f>+K28+'10'!M28+L28</f>
        <v>0</v>
      </c>
      <c r="N28" s="154" t="s">
        <v>525</v>
      </c>
      <c r="O28" s="154">
        <v>1200</v>
      </c>
      <c r="P28" s="154">
        <f t="shared" ref="P28:P29" si="11">+O28-O28*0.23</f>
        <v>924</v>
      </c>
      <c r="Q28" s="154">
        <f>60-10+120</f>
        <v>170</v>
      </c>
      <c r="R28" s="154">
        <f t="shared" ref="R28:R31" si="12">+O28*Q28</f>
        <v>204000</v>
      </c>
      <c r="S28" s="154">
        <f t="shared" ref="S28:S31" si="13">+P28*Q28</f>
        <v>157080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+'10'!J29</f>
        <v>0</v>
      </c>
      <c r="K29" s="244"/>
      <c r="L29" s="244"/>
      <c r="M29" s="122">
        <f>+K29+'10'!M29+L29</f>
        <v>0</v>
      </c>
      <c r="P29" s="154">
        <f t="shared" si="11"/>
        <v>0</v>
      </c>
      <c r="R29" s="154">
        <f t="shared" si="12"/>
        <v>0</v>
      </c>
      <c r="S29" s="154">
        <f t="shared" si="13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+'10'!J30</f>
        <v>0</v>
      </c>
      <c r="K30" s="245"/>
      <c r="L30" s="245"/>
      <c r="M30" s="122">
        <f>+K30+'10'!M30+L30</f>
        <v>0</v>
      </c>
      <c r="R30" s="154">
        <f t="shared" si="12"/>
        <v>0</v>
      </c>
      <c r="S30" s="154">
        <f t="shared" si="13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+'10'!J31</f>
        <v>0</v>
      </c>
      <c r="K31" s="244"/>
      <c r="L31" s="244"/>
      <c r="M31" s="122">
        <f>+K31+'10'!M31+L31</f>
        <v>0</v>
      </c>
      <c r="R31" s="154">
        <f t="shared" si="12"/>
        <v>0</v>
      </c>
      <c r="S31" s="154">
        <f t="shared" si="13"/>
        <v>0</v>
      </c>
    </row>
    <row r="32" spans="1:19" ht="13.5" thickBot="1">
      <c r="A32" s="769"/>
      <c r="B32" s="170" t="s">
        <v>2</v>
      </c>
      <c r="C32" s="104">
        <f>SUM(C25:C31)</f>
        <v>12045</v>
      </c>
      <c r="D32" s="105">
        <f>SUM(D25:D31)</f>
        <v>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+'10'!J32</f>
        <v>0</v>
      </c>
      <c r="K32" s="244"/>
      <c r="L32" s="244"/>
      <c r="M32" s="122">
        <f>+K32+'10'!M32+L32</f>
        <v>0</v>
      </c>
      <c r="P32" s="154">
        <f t="shared" ref="P32" si="14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568070</v>
      </c>
      <c r="S33" s="154">
        <f>SUM(S25:S31)</f>
        <v>437413.89999999997</v>
      </c>
    </row>
    <row r="34" spans="1:19" ht="13.5" thickBot="1">
      <c r="A34" s="770" t="s">
        <v>57</v>
      </c>
      <c r="B34" s="771"/>
      <c r="C34" s="112">
        <f>C14+C23+C32</f>
        <v>40205</v>
      </c>
      <c r="D34" s="112">
        <f>D14+D23+D32</f>
        <v>0</v>
      </c>
      <c r="E34" s="112">
        <f>E14+E23+E32</f>
        <v>0</v>
      </c>
      <c r="F34" s="113">
        <f>F14+F23+F32</f>
        <v>61</v>
      </c>
      <c r="H34" s="183"/>
      <c r="I34" s="183"/>
      <c r="J34" s="128" t="s">
        <v>28</v>
      </c>
      <c r="K34" s="129">
        <f>SUM(K7:K32)</f>
        <v>40205</v>
      </c>
      <c r="L34" s="217">
        <f>SUM(L7:L32)</f>
        <v>0</v>
      </c>
      <c r="M34" s="125">
        <f>SUM(M7:M32)</f>
        <v>403375</v>
      </c>
      <c r="N34" s="154" t="s">
        <v>399</v>
      </c>
      <c r="Q34" s="154">
        <f>480-Q33</f>
        <v>0</v>
      </c>
      <c r="R34" s="154">
        <f>+R33/Q33</f>
        <v>1183.4791666666667</v>
      </c>
      <c r="S34" s="154">
        <f>+S33/Q33</f>
        <v>911.27895833333321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(12.5*1270+12*170)/1440*G42*2.74*1440/1000000</f>
        <v>45.087963736520834</v>
      </c>
      <c r="J37" s="130">
        <f>+I37+'10'!J37</f>
        <v>477.11069314257713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61</v>
      </c>
      <c r="D38" s="123">
        <f>+C38+'10'!D38</f>
        <v>657</v>
      </c>
      <c r="E38" s="148">
        <f t="shared" ref="E38:E51" si="15">D38/60</f>
        <v>10.95</v>
      </c>
      <c r="F38" s="328">
        <v>1200</v>
      </c>
      <c r="G38" s="328">
        <v>924</v>
      </c>
      <c r="H38" s="192" t="s">
        <v>64</v>
      </c>
      <c r="I38" s="250">
        <f>13.731+13.023+8.545+4.309</f>
        <v>39.607999999999997</v>
      </c>
      <c r="J38" s="132">
        <f>+I38+'10'!J38</f>
        <v>425.26600000000002</v>
      </c>
      <c r="K38" s="133" t="s">
        <v>63</v>
      </c>
      <c r="N38" s="154" t="s">
        <v>491</v>
      </c>
      <c r="O38" s="154">
        <v>1191.9448818897638</v>
      </c>
      <c r="P38" s="154">
        <v>917.79755905511809</v>
      </c>
      <c r="Q38" s="154">
        <v>1270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+C39+'10'!D39</f>
        <v>0</v>
      </c>
      <c r="E39" s="148">
        <f t="shared" si="15"/>
        <v>0</v>
      </c>
      <c r="F39" s="328">
        <v>1195.2083333333333</v>
      </c>
      <c r="G39" s="328">
        <v>920.3104166666667</v>
      </c>
      <c r="H39" s="192" t="s">
        <v>65</v>
      </c>
      <c r="I39" s="147"/>
      <c r="J39" s="134">
        <f>J37/G4</f>
        <v>43.373699376597919</v>
      </c>
      <c r="K39" s="135" t="s">
        <v>63</v>
      </c>
      <c r="N39" s="154" t="s">
        <v>525</v>
      </c>
      <c r="O39" s="154">
        <v>1200</v>
      </c>
      <c r="P39" s="154">
        <v>924</v>
      </c>
      <c r="Q39" s="154">
        <v>170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+C40+'10'!D40</f>
        <v>0</v>
      </c>
      <c r="E40" s="148">
        <f t="shared" si="15"/>
        <v>0</v>
      </c>
      <c r="F40" s="328">
        <v>1183.4791666666667</v>
      </c>
      <c r="G40" s="328">
        <v>911.27895833333321</v>
      </c>
      <c r="H40" s="192" t="s">
        <v>67</v>
      </c>
      <c r="I40" s="123">
        <f>(K34+L34)/1000</f>
        <v>40.204999999999998</v>
      </c>
      <c r="J40" s="136">
        <f>+I40+'10'!J40</f>
        <v>403.375</v>
      </c>
      <c r="K40" s="135" t="s">
        <v>63</v>
      </c>
      <c r="Q40" s="154">
        <f>+Q38+Q39</f>
        <v>1440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+C41+'10'!D41</f>
        <v>57</v>
      </c>
      <c r="E41" s="148">
        <f t="shared" si="15"/>
        <v>0.95</v>
      </c>
      <c r="F41" s="328"/>
      <c r="G41" s="328"/>
      <c r="H41" s="192" t="s">
        <v>69</v>
      </c>
      <c r="I41" s="147"/>
      <c r="J41" s="134">
        <f>J40/G4</f>
        <v>36.670454545454547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+C42+'10'!D42</f>
        <v>0</v>
      </c>
      <c r="E42" s="148">
        <f t="shared" si="15"/>
        <v>0</v>
      </c>
      <c r="F42" s="328">
        <f>+(480*F38+480*F39+480*F40)/1440</f>
        <v>1192.8958333333333</v>
      </c>
      <c r="G42" s="328">
        <f>+(480*G38+480*G39+480*G40)/1440</f>
        <v>918.5297916666666</v>
      </c>
      <c r="H42" s="192" t="s">
        <v>70</v>
      </c>
      <c r="I42" s="251" t="s">
        <v>528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+C43+'10'!D43</f>
        <v>0</v>
      </c>
      <c r="E43" s="148">
        <f t="shared" si="15"/>
        <v>0</v>
      </c>
      <c r="F43" s="328"/>
      <c r="G43" s="329"/>
      <c r="H43" s="193" t="s">
        <v>73</v>
      </c>
      <c r="I43" s="123">
        <f>+Report1!Z19</f>
        <v>59.1</v>
      </c>
      <c r="J43" s="138">
        <f>+I43+'10'!J43</f>
        <v>630.29999999999995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+C44+'10'!D44</f>
        <v>0</v>
      </c>
      <c r="E44" s="148">
        <f t="shared" si="15"/>
        <v>0</v>
      </c>
      <c r="F44" s="328"/>
      <c r="G44" s="329"/>
      <c r="H44" s="193" t="s">
        <v>74</v>
      </c>
      <c r="I44" s="123">
        <f>I43/I38</f>
        <v>1.4921228034740457</v>
      </c>
      <c r="J44" s="139">
        <f>J43/J38</f>
        <v>1.4821311837767419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+C45+'10'!D45</f>
        <v>0</v>
      </c>
      <c r="E45" s="148">
        <f t="shared" si="15"/>
        <v>0</v>
      </c>
      <c r="F45" s="328"/>
      <c r="G45" s="331"/>
      <c r="H45" s="193" t="s">
        <v>75</v>
      </c>
      <c r="I45" s="123">
        <f>I43/I40</f>
        <v>1.4699664220868052</v>
      </c>
      <c r="J45" s="139">
        <f>J43/J40</f>
        <v>1.5625658506352649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+C46+'10'!D46</f>
        <v>0</v>
      </c>
      <c r="E46" s="148">
        <f t="shared" si="15"/>
        <v>0</v>
      </c>
      <c r="F46" s="328"/>
      <c r="G46" s="329"/>
      <c r="H46" s="193" t="s">
        <v>77</v>
      </c>
      <c r="I46" s="145">
        <f>+SUMIF(Listrik!P18,"&gt;0")</f>
        <v>38902.780000000363</v>
      </c>
      <c r="J46" s="140">
        <f>+I46+'10'!J46</f>
        <v>411072.90000000037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+C47+'10'!D47</f>
        <v>0</v>
      </c>
      <c r="E47" s="148">
        <f t="shared" si="15"/>
        <v>0</v>
      </c>
      <c r="F47" s="328"/>
      <c r="G47" s="329"/>
      <c r="H47" s="193" t="s">
        <v>80</v>
      </c>
      <c r="I47" s="123">
        <f>I46/I38</f>
        <v>982.19501110887609</v>
      </c>
      <c r="J47" s="140">
        <f>J46/J38</f>
        <v>966.62535918695676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+C48+'10'!D48</f>
        <v>0</v>
      </c>
      <c r="E48" s="148">
        <f t="shared" si="15"/>
        <v>0</v>
      </c>
      <c r="F48" s="328"/>
      <c r="G48" s="329"/>
      <c r="H48" s="193" t="s">
        <v>81</v>
      </c>
      <c r="I48" s="123">
        <f>I46/I40</f>
        <v>967.61049620694848</v>
      </c>
      <c r="J48" s="140">
        <f>J46/J40</f>
        <v>1019.0837310195237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+C49+'10'!D49</f>
        <v>720</v>
      </c>
      <c r="E49" s="148">
        <f t="shared" si="15"/>
        <v>12</v>
      </c>
      <c r="F49" s="190"/>
      <c r="H49" s="193" t="s">
        <v>270</v>
      </c>
      <c r="I49" s="123">
        <f>+Report1!T19</f>
        <v>4123.4125195354927</v>
      </c>
      <c r="J49" s="140">
        <f>+I49+'10'!J49</f>
        <v>45719.083116941139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+C50+'10'!D50</f>
        <v>0</v>
      </c>
      <c r="E50" s="148">
        <f t="shared" si="15"/>
        <v>0</v>
      </c>
      <c r="F50" s="190"/>
      <c r="H50" s="193" t="s">
        <v>83</v>
      </c>
      <c r="I50" s="145">
        <f>I49/I38</f>
        <v>104.10554735244125</v>
      </c>
      <c r="J50" s="138">
        <f>J49/J38</f>
        <v>107.50702646565006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+C51+'10'!D51</f>
        <v>0</v>
      </c>
      <c r="E51" s="148">
        <f t="shared" si="15"/>
        <v>0</v>
      </c>
      <c r="F51" s="190"/>
      <c r="H51" s="195" t="s">
        <v>85</v>
      </c>
      <c r="I51" s="146">
        <f>I49/I40</f>
        <v>102.5596945537991</v>
      </c>
      <c r="J51" s="141">
        <f>J49/J40</f>
        <v>113.34138981578219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61</v>
      </c>
      <c r="D52" s="149">
        <f>SUM(D38:D51)</f>
        <v>1434</v>
      </c>
      <c r="E52" s="150">
        <f>SUM(E38:E51)</f>
        <v>23.9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4.2361111111111113E-2</v>
      </c>
      <c r="D53" s="151">
        <f>D52/(24*60*G4)</f>
        <v>9.053030303030303E-2</v>
      </c>
      <c r="E53" s="152">
        <f>E52/(G4*24)</f>
        <v>9.053030303030303E-2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+D34+'10'!J56</f>
        <v>2698</v>
      </c>
      <c r="K56" s="206">
        <f>J56/(J40+J56/1000)/1000</f>
        <v>6.6441255636301849E-3</v>
      </c>
    </row>
    <row r="57" spans="1:11">
      <c r="A57" s="181"/>
      <c r="I57" s="204" t="s">
        <v>88</v>
      </c>
      <c r="J57" s="205">
        <f>+E34+'10'!J57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2" type="noConversion"/>
  <pageMargins left="0.17" right="0.16" top="0.17" bottom="0.16" header="0" footer="0"/>
  <pageSetup paperSize="9" scale="53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F1" zoomScale="80" zoomScaleNormal="75" zoomScaleSheetLayoutView="80" workbookViewId="0">
      <selection activeCell="N6" sqref="N6:S1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10</v>
      </c>
      <c r="H4" s="159" t="str">
        <f>+'1'!H4</f>
        <v>.10.25</v>
      </c>
      <c r="J4" s="154">
        <f>626+496+488</f>
        <v>1610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491</v>
      </c>
      <c r="O6" s="154">
        <v>1220</v>
      </c>
      <c r="P6" s="154">
        <f>+O6-O6*0.23</f>
        <v>939.4</v>
      </c>
      <c r="Q6" s="154">
        <v>480</v>
      </c>
      <c r="R6" s="154">
        <f>+O6*Q6</f>
        <v>585600</v>
      </c>
      <c r="S6" s="154">
        <f>+P6*Q6</f>
        <v>450912</v>
      </c>
    </row>
    <row r="7" spans="1:19" ht="13.5" customHeight="1" thickBot="1">
      <c r="A7" s="762"/>
      <c r="B7" s="220" t="s">
        <v>498</v>
      </c>
      <c r="C7" s="221">
        <v>13010</v>
      </c>
      <c r="D7" s="222"/>
      <c r="E7" s="223"/>
      <c r="F7" s="233">
        <f>21-F8-F9</f>
        <v>11</v>
      </c>
      <c r="G7" s="234" t="s">
        <v>12</v>
      </c>
      <c r="H7" s="235" t="s">
        <v>458</v>
      </c>
      <c r="I7" s="765" t="s">
        <v>492</v>
      </c>
      <c r="J7" s="219" t="str">
        <f>+'9'!J7</f>
        <v>F 12 VP OW</v>
      </c>
      <c r="K7" s="243"/>
      <c r="L7" s="247"/>
      <c r="M7" s="122">
        <f>+K7+'9'!M7+L7</f>
        <v>89181</v>
      </c>
      <c r="P7" s="154">
        <f>+O7-O7*0.23</f>
        <v>0</v>
      </c>
      <c r="Q7" s="154">
        <f>480-Q6</f>
        <v>0</v>
      </c>
      <c r="R7" s="154">
        <f>+O7*Q7</f>
        <v>0</v>
      </c>
      <c r="S7" s="154">
        <f>+P7*Q7</f>
        <v>0</v>
      </c>
    </row>
    <row r="8" spans="1:19" ht="13.5" thickBot="1">
      <c r="A8" s="763"/>
      <c r="B8" s="220"/>
      <c r="C8" s="221"/>
      <c r="D8" s="222"/>
      <c r="E8" s="224"/>
      <c r="F8" s="236">
        <v>2</v>
      </c>
      <c r="G8" s="574" t="s">
        <v>12</v>
      </c>
      <c r="H8" s="235" t="s">
        <v>460</v>
      </c>
      <c r="I8" s="766"/>
      <c r="J8" s="219" t="str">
        <f>+'9'!J8</f>
        <v>F 12,5 VP OW</v>
      </c>
      <c r="K8" s="244"/>
      <c r="L8" s="244"/>
      <c r="M8" s="122">
        <f>+K8+'9'!M8+L8</f>
        <v>10480</v>
      </c>
      <c r="P8" s="154">
        <f t="shared" ref="P8:P9" si="0">+O8-O8*0.23</f>
        <v>0</v>
      </c>
      <c r="R8" s="154">
        <f t="shared" ref="R8:R11" si="1">+O8*Q8</f>
        <v>0</v>
      </c>
      <c r="S8" s="154">
        <f t="shared" ref="S8:S11" si="2">+P8*Q8</f>
        <v>0</v>
      </c>
    </row>
    <row r="9" spans="1:19" ht="13.5" thickBot="1">
      <c r="A9" s="763"/>
      <c r="B9" s="220"/>
      <c r="C9" s="221"/>
      <c r="D9" s="222"/>
      <c r="E9" s="225"/>
      <c r="F9" s="233">
        <v>8</v>
      </c>
      <c r="G9" s="574" t="s">
        <v>12</v>
      </c>
      <c r="H9" s="238" t="s">
        <v>461</v>
      </c>
      <c r="I9" s="766"/>
      <c r="J9" s="219" t="str">
        <f>+'9'!J9</f>
        <v>T 13 VP OW</v>
      </c>
      <c r="K9" s="244"/>
      <c r="L9" s="244"/>
      <c r="M9" s="122">
        <f>+K9+'9'!M9+L9</f>
        <v>112205</v>
      </c>
      <c r="P9" s="154">
        <f t="shared" si="0"/>
        <v>0</v>
      </c>
      <c r="R9" s="154">
        <f t="shared" si="1"/>
        <v>0</v>
      </c>
      <c r="S9" s="154">
        <f t="shared" si="2"/>
        <v>0</v>
      </c>
    </row>
    <row r="10" spans="1:19" ht="26.25" thickBot="1">
      <c r="A10" s="763"/>
      <c r="B10" s="220"/>
      <c r="C10" s="221"/>
      <c r="D10" s="222"/>
      <c r="E10" s="224"/>
      <c r="F10" s="233"/>
      <c r="G10" s="242"/>
      <c r="H10" s="238" t="s">
        <v>513</v>
      </c>
      <c r="I10" s="766"/>
      <c r="J10" s="219" t="str">
        <f>+'9'!J10</f>
        <v>T 12,5 VP OW</v>
      </c>
      <c r="K10" s="244">
        <f>+C34</f>
        <v>35942</v>
      </c>
      <c r="L10" s="244"/>
      <c r="M10" s="122">
        <f>+K10+'9'!M10+L10</f>
        <v>151304</v>
      </c>
      <c r="R10" s="154">
        <f t="shared" si="1"/>
        <v>0</v>
      </c>
      <c r="S10" s="154">
        <f t="shared" si="2"/>
        <v>0</v>
      </c>
    </row>
    <row r="11" spans="1:19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>
        <f>+'9'!J11</f>
        <v>0</v>
      </c>
      <c r="K11" s="244"/>
      <c r="L11" s="244"/>
      <c r="M11" s="122">
        <f>+K11+'9'!M11+L11</f>
        <v>0</v>
      </c>
      <c r="R11" s="154">
        <f t="shared" si="1"/>
        <v>0</v>
      </c>
      <c r="S11" s="154">
        <f t="shared" si="2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+'9'!J12</f>
        <v>0</v>
      </c>
      <c r="K12" s="244"/>
      <c r="L12" s="244"/>
      <c r="M12" s="122">
        <f>+K12+'9'!M12+L12</f>
        <v>0</v>
      </c>
      <c r="P12" s="154">
        <f t="shared" ref="P12" si="3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+'9'!J13</f>
        <v>0</v>
      </c>
      <c r="K13" s="244"/>
      <c r="L13" s="244"/>
      <c r="M13" s="122">
        <f>+K13+'9'!M13+L13</f>
        <v>0</v>
      </c>
      <c r="Q13" s="154">
        <f>SUM(Q5:Q11)</f>
        <v>480</v>
      </c>
      <c r="R13" s="154">
        <f>SUM(R5:R11)</f>
        <v>585600</v>
      </c>
      <c r="S13" s="154">
        <f>SUM(S5:S11)</f>
        <v>450912</v>
      </c>
    </row>
    <row r="14" spans="1:19" ht="13.5" thickBot="1">
      <c r="A14" s="764"/>
      <c r="B14" s="170" t="s">
        <v>2</v>
      </c>
      <c r="C14" s="104">
        <f>SUM(C7:C13)</f>
        <v>13010</v>
      </c>
      <c r="D14" s="116">
        <f>SUM(D7:D13)</f>
        <v>0</v>
      </c>
      <c r="E14" s="117">
        <f>SUM(E5:E13)</f>
        <v>0</v>
      </c>
      <c r="F14" s="121">
        <f>SUM(F7:F13)</f>
        <v>21</v>
      </c>
      <c r="G14" s="164"/>
      <c r="H14" s="171"/>
      <c r="I14" s="172"/>
      <c r="J14" s="219">
        <f>+'9'!J14</f>
        <v>0</v>
      </c>
      <c r="K14" s="244"/>
      <c r="L14" s="244"/>
      <c r="M14" s="122">
        <f>+K14+'9'!M14+L14</f>
        <v>0</v>
      </c>
      <c r="N14" s="154" t="s">
        <v>399</v>
      </c>
      <c r="Q14" s="154">
        <f>480-Q13</f>
        <v>0</v>
      </c>
      <c r="R14" s="154">
        <f>+R13/Q13</f>
        <v>1220</v>
      </c>
      <c r="S14" s="154">
        <f>+S13/Q13</f>
        <v>939.4</v>
      </c>
    </row>
    <row r="15" spans="1:19" ht="13.5" customHeight="1" thickBot="1">
      <c r="A15" s="762"/>
      <c r="B15" s="170"/>
      <c r="C15" s="118">
        <f>C14/($C$23+$D$23+$E$23)</f>
        <v>1.0323758133629584</v>
      </c>
      <c r="D15" s="119">
        <f>D14/($C$23+$D$23+$E$23)</f>
        <v>0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492</v>
      </c>
      <c r="J15" s="219">
        <f>+'9'!J15</f>
        <v>0</v>
      </c>
      <c r="K15" s="244"/>
      <c r="L15" s="244"/>
      <c r="M15" s="122">
        <f>+K15+'9'!M15+L15</f>
        <v>0</v>
      </c>
    </row>
    <row r="16" spans="1:19" ht="13.5" thickBot="1">
      <c r="A16" s="768"/>
      <c r="B16" s="220" t="s">
        <v>498</v>
      </c>
      <c r="C16" s="227">
        <v>12602</v>
      </c>
      <c r="D16" s="228"/>
      <c r="E16" s="229"/>
      <c r="F16" s="236">
        <v>6</v>
      </c>
      <c r="G16" s="574" t="s">
        <v>12</v>
      </c>
      <c r="H16" s="235" t="s">
        <v>442</v>
      </c>
      <c r="I16" s="766"/>
      <c r="J16" s="219">
        <f>+'9'!J16</f>
        <v>0</v>
      </c>
      <c r="K16" s="234"/>
      <c r="L16" s="234"/>
      <c r="M16" s="122">
        <f>+K16+'9'!M16+L16</f>
        <v>0</v>
      </c>
      <c r="N16" s="154" t="s">
        <v>491</v>
      </c>
      <c r="O16" s="154">
        <v>1220</v>
      </c>
      <c r="P16" s="154">
        <f>+O16-O16*0.23</f>
        <v>939.4</v>
      </c>
      <c r="Q16" s="154">
        <v>480</v>
      </c>
      <c r="R16" s="154">
        <f>+O16*Q16</f>
        <v>585600</v>
      </c>
      <c r="S16" s="154">
        <f>+P16*Q16</f>
        <v>450912</v>
      </c>
    </row>
    <row r="17" spans="1:19" ht="13.5" thickBot="1">
      <c r="A17" s="768"/>
      <c r="B17" s="220"/>
      <c r="C17" s="221"/>
      <c r="D17" s="222"/>
      <c r="E17" s="230"/>
      <c r="F17" s="233">
        <v>20</v>
      </c>
      <c r="G17" s="574" t="s">
        <v>12</v>
      </c>
      <c r="H17" s="238" t="s">
        <v>429</v>
      </c>
      <c r="I17" s="766"/>
      <c r="J17" s="219">
        <f>+'9'!J17</f>
        <v>0</v>
      </c>
      <c r="K17" s="234"/>
      <c r="L17" s="234"/>
      <c r="M17" s="122">
        <f>+K17+'9'!M17+L17</f>
        <v>0</v>
      </c>
      <c r="P17" s="154">
        <f>+O17-O17*0.23</f>
        <v>0</v>
      </c>
      <c r="Q17" s="154">
        <f>480-Q16</f>
        <v>0</v>
      </c>
      <c r="R17" s="154">
        <f>+O17*Q17</f>
        <v>0</v>
      </c>
      <c r="S17" s="154">
        <f>+P17*Q17</f>
        <v>0</v>
      </c>
    </row>
    <row r="18" spans="1:19" ht="26.25" thickBot="1">
      <c r="A18" s="768"/>
      <c r="B18" s="220"/>
      <c r="C18" s="221"/>
      <c r="D18" s="222"/>
      <c r="E18" s="230"/>
      <c r="F18" s="233"/>
      <c r="G18" s="242"/>
      <c r="H18" s="238" t="s">
        <v>511</v>
      </c>
      <c r="I18" s="766"/>
      <c r="J18" s="219">
        <f>+'9'!J18</f>
        <v>0</v>
      </c>
      <c r="K18" s="244"/>
      <c r="L18" s="244"/>
      <c r="M18" s="122">
        <f>+K18+'9'!M18+L18</f>
        <v>0</v>
      </c>
      <c r="P18" s="154">
        <f t="shared" ref="P18:P19" si="4">+O18-O18*0.23</f>
        <v>0</v>
      </c>
      <c r="R18" s="154">
        <f t="shared" ref="R18:R21" si="5">+O18*Q18</f>
        <v>0</v>
      </c>
      <c r="S18" s="154">
        <f t="shared" ref="S18:S21" si="6">+P18*Q18</f>
        <v>0</v>
      </c>
    </row>
    <row r="19" spans="1:19" ht="77.25" thickBot="1">
      <c r="A19" s="768"/>
      <c r="B19" s="220"/>
      <c r="C19" s="221"/>
      <c r="D19" s="222"/>
      <c r="E19" s="230"/>
      <c r="F19" s="240"/>
      <c r="G19" s="237"/>
      <c r="H19" s="238" t="s">
        <v>512</v>
      </c>
      <c r="I19" s="766"/>
      <c r="J19" s="219">
        <f>+'9'!J19</f>
        <v>0</v>
      </c>
      <c r="K19" s="244"/>
      <c r="L19" s="244"/>
      <c r="M19" s="122">
        <f>+K19+'9'!M19+L19</f>
        <v>0</v>
      </c>
      <c r="P19" s="154">
        <f t="shared" si="4"/>
        <v>0</v>
      </c>
      <c r="R19" s="154">
        <f t="shared" si="5"/>
        <v>0</v>
      </c>
      <c r="S19" s="154">
        <f t="shared" si="6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+'9'!J20</f>
        <v>0</v>
      </c>
      <c r="K20" s="245"/>
      <c r="L20" s="245"/>
      <c r="M20" s="122">
        <f>+K20+'9'!M20+L20</f>
        <v>0</v>
      </c>
      <c r="R20" s="154">
        <f t="shared" si="5"/>
        <v>0</v>
      </c>
      <c r="S20" s="154">
        <f t="shared" si="6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+'9'!J21</f>
        <v>0</v>
      </c>
      <c r="K21" s="244"/>
      <c r="L21" s="244"/>
      <c r="M21" s="122">
        <f>+K21+'9'!M21+L21</f>
        <v>0</v>
      </c>
      <c r="R21" s="154">
        <f t="shared" si="5"/>
        <v>0</v>
      </c>
      <c r="S21" s="154">
        <f t="shared" si="6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+'9'!J22</f>
        <v>0</v>
      </c>
      <c r="K22" s="244"/>
      <c r="L22" s="244"/>
      <c r="M22" s="122">
        <f>+K22+'9'!M22+L22</f>
        <v>0</v>
      </c>
      <c r="P22" s="154">
        <f t="shared" ref="P22" si="7">+O22-O22*0.17</f>
        <v>0</v>
      </c>
    </row>
    <row r="23" spans="1:19" ht="13.5" thickBot="1">
      <c r="A23" s="769"/>
      <c r="B23" s="173" t="s">
        <v>2</v>
      </c>
      <c r="C23" s="105">
        <f>SUM(C16:C22)</f>
        <v>12602</v>
      </c>
      <c r="D23" s="116">
        <f>SUM(D16:D22)</f>
        <v>0</v>
      </c>
      <c r="E23" s="117">
        <f>SUM(E18:E22)</f>
        <v>0</v>
      </c>
      <c r="F23" s="121">
        <f>SUM(F15:F22)</f>
        <v>26</v>
      </c>
      <c r="G23" s="164"/>
      <c r="H23" s="171"/>
      <c r="I23" s="174"/>
      <c r="J23" s="219">
        <f>+'9'!J23</f>
        <v>0</v>
      </c>
      <c r="K23" s="244"/>
      <c r="L23" s="244"/>
      <c r="M23" s="122">
        <f>+K23+'9'!M23+L23</f>
        <v>0</v>
      </c>
      <c r="Q23" s="154">
        <f>SUM(Q15:Q21)</f>
        <v>480</v>
      </c>
      <c r="R23" s="154">
        <f>SUM(R15:R21)</f>
        <v>585600</v>
      </c>
      <c r="S23" s="154">
        <f>SUM(S15:S21)</f>
        <v>450912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12</v>
      </c>
      <c r="G24" s="234" t="s">
        <v>12</v>
      </c>
      <c r="H24" s="235" t="s">
        <v>458</v>
      </c>
      <c r="I24" s="765" t="s">
        <v>514</v>
      </c>
      <c r="J24" s="219">
        <f>+'8'!J24</f>
        <v>0</v>
      </c>
      <c r="K24" s="244"/>
      <c r="L24" s="244"/>
      <c r="M24" s="122">
        <f>+K24+'9'!M24+L24</f>
        <v>0</v>
      </c>
      <c r="N24" s="154" t="s">
        <v>399</v>
      </c>
      <c r="Q24" s="154">
        <f>480-Q23</f>
        <v>0</v>
      </c>
      <c r="R24" s="154">
        <f>+R23/Q23</f>
        <v>1220</v>
      </c>
      <c r="S24" s="154">
        <f>+S23/Q23</f>
        <v>939.4</v>
      </c>
    </row>
    <row r="25" spans="1:19" ht="13.5" customHeight="1" thickBot="1">
      <c r="A25" s="768"/>
      <c r="B25" s="220" t="s">
        <v>498</v>
      </c>
      <c r="C25" s="231">
        <v>10330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+'8'!J25</f>
        <v>0</v>
      </c>
      <c r="K25" s="244"/>
      <c r="L25" s="244"/>
      <c r="M25" s="122">
        <f>+K25+'9'!M25+L25</f>
        <v>0</v>
      </c>
    </row>
    <row r="26" spans="1:19" ht="13.5" customHeight="1" thickBot="1">
      <c r="A26" s="768"/>
      <c r="B26" s="220"/>
      <c r="C26" s="231"/>
      <c r="D26" s="222"/>
      <c r="E26" s="232"/>
      <c r="F26" s="233">
        <f>36-12</f>
        <v>24</v>
      </c>
      <c r="G26" s="574" t="s">
        <v>12</v>
      </c>
      <c r="H26" s="238" t="s">
        <v>429</v>
      </c>
      <c r="I26" s="766"/>
      <c r="J26" s="219">
        <f>+'8'!J26</f>
        <v>0</v>
      </c>
      <c r="K26" s="244"/>
      <c r="L26" s="244"/>
      <c r="M26" s="122">
        <f>+K26+'9'!M26+L26</f>
        <v>0</v>
      </c>
      <c r="N26" s="154" t="s">
        <v>491</v>
      </c>
      <c r="O26" s="154">
        <v>1220</v>
      </c>
      <c r="P26" s="154">
        <f>+O26-O26*0.23</f>
        <v>939.4</v>
      </c>
      <c r="Q26" s="154">
        <f>60*4+3</f>
        <v>243</v>
      </c>
      <c r="R26" s="154">
        <f>+O26*Q26</f>
        <v>296460</v>
      </c>
      <c r="S26" s="154">
        <f>+P26*Q26</f>
        <v>228274.19999999998</v>
      </c>
    </row>
    <row r="27" spans="1:19" ht="13.5" customHeight="1" thickBot="1">
      <c r="A27" s="768"/>
      <c r="B27" s="220"/>
      <c r="C27" s="221"/>
      <c r="D27" s="222"/>
      <c r="E27" s="230"/>
      <c r="F27" s="233"/>
      <c r="G27" s="242"/>
      <c r="H27" s="238" t="s">
        <v>509</v>
      </c>
      <c r="I27" s="766"/>
      <c r="J27" s="219">
        <f>+'8'!J27</f>
        <v>0</v>
      </c>
      <c r="K27" s="244"/>
      <c r="L27" s="244"/>
      <c r="M27" s="122">
        <f>+K27+'9'!M27+L27</f>
        <v>0</v>
      </c>
      <c r="O27" s="154">
        <f>1220-30</f>
        <v>1190</v>
      </c>
      <c r="P27" s="154">
        <f>+O27-O27*0.23</f>
        <v>916.3</v>
      </c>
      <c r="Q27" s="154">
        <f>480-Q26</f>
        <v>237</v>
      </c>
      <c r="R27" s="154">
        <f>+O27*Q27</f>
        <v>282030</v>
      </c>
      <c r="S27" s="154">
        <f>+P27*Q27</f>
        <v>217163.09999999998</v>
      </c>
    </row>
    <row r="28" spans="1:19" ht="84.75" customHeight="1" thickBot="1">
      <c r="A28" s="768"/>
      <c r="B28" s="220"/>
      <c r="C28" s="221"/>
      <c r="D28" s="222"/>
      <c r="E28" s="230"/>
      <c r="F28" s="236"/>
      <c r="G28" s="237"/>
      <c r="H28" s="238" t="s">
        <v>510</v>
      </c>
      <c r="I28" s="766"/>
      <c r="J28" s="219">
        <f>+'8'!J28</f>
        <v>0</v>
      </c>
      <c r="K28" s="244"/>
      <c r="L28" s="244"/>
      <c r="M28" s="122">
        <f>+K28+'9'!M28+L28</f>
        <v>0</v>
      </c>
      <c r="P28" s="154">
        <f t="shared" ref="P28:P29" si="8">+O28-O28*0.23</f>
        <v>0</v>
      </c>
      <c r="R28" s="154">
        <f t="shared" ref="R28:R31" si="9">+O28*Q28</f>
        <v>0</v>
      </c>
      <c r="S28" s="154">
        <f t="shared" ref="S28:S31" si="10">+P28*Q28</f>
        <v>0</v>
      </c>
    </row>
    <row r="29" spans="1:19" ht="13.5" customHeight="1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+'8'!J29</f>
        <v>0</v>
      </c>
      <c r="K29" s="244"/>
      <c r="L29" s="244"/>
      <c r="M29" s="122">
        <f>+K29+'9'!M29+L29</f>
        <v>0</v>
      </c>
      <c r="P29" s="154">
        <f t="shared" si="8"/>
        <v>0</v>
      </c>
      <c r="R29" s="154">
        <f t="shared" si="9"/>
        <v>0</v>
      </c>
      <c r="S29" s="154">
        <f t="shared" si="10"/>
        <v>0</v>
      </c>
    </row>
    <row r="30" spans="1:19" ht="13.5" customHeight="1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+'8'!J30</f>
        <v>0</v>
      </c>
      <c r="K30" s="244"/>
      <c r="L30" s="244"/>
      <c r="M30" s="122">
        <f>+K30+'9'!M30+L30</f>
        <v>0</v>
      </c>
      <c r="R30" s="154">
        <f t="shared" si="9"/>
        <v>0</v>
      </c>
      <c r="S30" s="154">
        <f t="shared" si="10"/>
        <v>0</v>
      </c>
    </row>
    <row r="31" spans="1:19" ht="13.5" customHeight="1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+'8'!J31</f>
        <v>0</v>
      </c>
      <c r="K31" s="244"/>
      <c r="L31" s="244"/>
      <c r="M31" s="122">
        <f>+K31+'9'!M31+L31</f>
        <v>0</v>
      </c>
      <c r="R31" s="154">
        <f t="shared" si="9"/>
        <v>0</v>
      </c>
      <c r="S31" s="154">
        <f t="shared" si="10"/>
        <v>0</v>
      </c>
    </row>
    <row r="32" spans="1:19" ht="13.5" customHeight="1" thickBot="1">
      <c r="A32" s="769"/>
      <c r="B32" s="170" t="s">
        <v>2</v>
      </c>
      <c r="C32" s="104">
        <f>SUM(C25:C31)</f>
        <v>10330</v>
      </c>
      <c r="D32" s="105">
        <f>SUM(D25:D31)</f>
        <v>0</v>
      </c>
      <c r="E32" s="106">
        <f>SUM(E25:E31)</f>
        <v>0</v>
      </c>
      <c r="F32" s="107">
        <f>SUM(F24:F31)</f>
        <v>36</v>
      </c>
      <c r="G32" s="176"/>
      <c r="H32" s="177"/>
      <c r="I32" s="174"/>
      <c r="J32" s="219">
        <f>+'8'!J32</f>
        <v>0</v>
      </c>
      <c r="K32" s="246"/>
      <c r="L32" s="248"/>
      <c r="M32" s="122">
        <f>+K32+'9'!M32+L32</f>
        <v>0</v>
      </c>
      <c r="P32" s="154">
        <f t="shared" ref="P32" si="11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578490</v>
      </c>
      <c r="S33" s="154">
        <f>SUM(S25:S31)</f>
        <v>445437.29999999993</v>
      </c>
    </row>
    <row r="34" spans="1:19" ht="13.5" thickBot="1">
      <c r="A34" s="770" t="s">
        <v>57</v>
      </c>
      <c r="B34" s="771"/>
      <c r="C34" s="112">
        <f>C14+C23+C32</f>
        <v>35942</v>
      </c>
      <c r="D34" s="112">
        <f>D14+D23+D32</f>
        <v>0</v>
      </c>
      <c r="E34" s="112">
        <f>E14+E23+E32</f>
        <v>0</v>
      </c>
      <c r="F34" s="113">
        <f>F14+F23+F32</f>
        <v>83</v>
      </c>
      <c r="H34" s="183"/>
      <c r="I34" s="183"/>
      <c r="J34" s="128" t="s">
        <v>28</v>
      </c>
      <c r="K34" s="129">
        <f>SUM(K7:K32)</f>
        <v>35942</v>
      </c>
      <c r="L34" s="217">
        <f>SUM(L7:L32)</f>
        <v>0</v>
      </c>
      <c r="M34" s="125">
        <f>SUM(M7:M32)</f>
        <v>363170</v>
      </c>
      <c r="N34" s="154" t="s">
        <v>399</v>
      </c>
      <c r="Q34" s="154">
        <f>480-Q33</f>
        <v>0</v>
      </c>
      <c r="R34" s="154">
        <f>+R33/Q33</f>
        <v>1205.1875</v>
      </c>
      <c r="S34" s="154">
        <f>+S33/Q33</f>
        <v>927.99437499999988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(12.5*1440)/1440*G42*2.74*1440/1000000</f>
        <v>46.143699524999995</v>
      </c>
      <c r="J37" s="342">
        <f>+I37+'9'!J37</f>
        <v>432.02272940605633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83</v>
      </c>
      <c r="D38" s="123">
        <f>+C38+'9'!D38</f>
        <v>596</v>
      </c>
      <c r="E38" s="148">
        <f t="shared" ref="E38:E51" si="12">D38/60</f>
        <v>9.9333333333333336</v>
      </c>
      <c r="F38" s="328">
        <v>1220</v>
      </c>
      <c r="G38" s="328">
        <v>939.4</v>
      </c>
      <c r="H38" s="192" t="s">
        <v>64</v>
      </c>
      <c r="I38" s="250">
        <f>14.487+12.714+13.043</f>
        <v>40.244</v>
      </c>
      <c r="J38" s="343">
        <f>+I38+'9'!J38</f>
        <v>385.65800000000002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+C39+'9'!D39</f>
        <v>0</v>
      </c>
      <c r="E39" s="148">
        <f t="shared" si="12"/>
        <v>0</v>
      </c>
      <c r="F39" s="328">
        <v>1220</v>
      </c>
      <c r="G39" s="328">
        <v>939.4</v>
      </c>
      <c r="H39" s="192" t="s">
        <v>65</v>
      </c>
      <c r="I39" s="147"/>
      <c r="J39" s="344">
        <f>J37/G4</f>
        <v>43.202272940605631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+C40+'9'!D40</f>
        <v>0</v>
      </c>
      <c r="E40" s="148">
        <f t="shared" si="12"/>
        <v>0</v>
      </c>
      <c r="F40" s="328">
        <v>1205.1875</v>
      </c>
      <c r="G40" s="328">
        <v>927.99437499999988</v>
      </c>
      <c r="H40" s="192" t="s">
        <v>67</v>
      </c>
      <c r="I40" s="123">
        <f>+(K34+L34)/1000</f>
        <v>35.942</v>
      </c>
      <c r="J40" s="345">
        <f>+I40+'9'!J40</f>
        <v>363.17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SUMIF($G$7:$G$23,"Electrical",$F$7:$F$23)</f>
        <v>0</v>
      </c>
      <c r="D41" s="123">
        <f>+C41+'9'!D41</f>
        <v>57</v>
      </c>
      <c r="E41" s="148">
        <f t="shared" si="12"/>
        <v>0.95</v>
      </c>
      <c r="F41" s="328"/>
      <c r="G41" s="328"/>
      <c r="H41" s="192" t="s">
        <v>69</v>
      </c>
      <c r="I41" s="147"/>
      <c r="J41" s="344">
        <f>J40/G4</f>
        <v>36.317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SUMIF($G$7:$G$23,"Instrument",$F$7:$F$23)</f>
        <v>0</v>
      </c>
      <c r="D42" s="123">
        <f>+C42+'9'!D42</f>
        <v>0</v>
      </c>
      <c r="E42" s="148">
        <f t="shared" si="12"/>
        <v>0</v>
      </c>
      <c r="F42" s="328">
        <f>+(480*F38+480*F39+480*F40)/1440</f>
        <v>1215.0625</v>
      </c>
      <c r="G42" s="328">
        <f>+(480*G38+480*G39+480*G40)/1440</f>
        <v>935.59812499999987</v>
      </c>
      <c r="H42" s="192" t="s">
        <v>70</v>
      </c>
      <c r="I42" s="251" t="s">
        <v>515</v>
      </c>
      <c r="J42" s="346"/>
      <c r="K42" s="135" t="s">
        <v>71</v>
      </c>
    </row>
    <row r="43" spans="1:19" ht="17.45" customHeight="1">
      <c r="A43" s="776" t="s">
        <v>72</v>
      </c>
      <c r="B43" s="777"/>
      <c r="C43" s="169">
        <f>SUMIF($G$7:$G$23,"Water",$F$7:$F$23)</f>
        <v>0</v>
      </c>
      <c r="D43" s="123">
        <f>+C43+'9'!D43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+Report1!Z18</f>
        <v>58.9</v>
      </c>
      <c r="J43" s="347">
        <f>+I43+'9'!J43</f>
        <v>571.19999999999993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SUMIF($G$7:$G$23,"PLN",$F$7:$F$23)</f>
        <v>0</v>
      </c>
      <c r="D44" s="123">
        <f>+C44+'9'!D44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1.4635722095219164</v>
      </c>
      <c r="J44" s="347">
        <f>J43/J38</f>
        <v>1.4811050205104002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SUMIF($G$7:$G$23,"Boiler",$F$7:$F$23)</f>
        <v>0</v>
      </c>
      <c r="D45" s="123">
        <f>+C45+'9'!D45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1.6387513215736464</v>
      </c>
      <c r="J45" s="347">
        <f>J43/J40</f>
        <v>1.5728171379794584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SUMIF($G$7:$G$23,"Gas",$F$7:$F$23)</f>
        <v>0</v>
      </c>
      <c r="D46" s="123">
        <f>+C46+'9'!D46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+SUMIF(Listrik!P17,"&gt;0")</f>
        <v>38977.339999999997</v>
      </c>
      <c r="J46" s="347">
        <f>+I46+'9'!J46</f>
        <v>372170.12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SUMIF($G$7:$G$23,"Gas",$F$7:$F$23)</f>
        <v>0</v>
      </c>
      <c r="D47" s="123">
        <f>+C47+'9'!D47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968.52549448364971</v>
      </c>
      <c r="J47" s="347">
        <f>J46/J38</f>
        <v>965.02631865538888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SUMIF($G$7:$G$23,"Start Up",$F$7:$F$23)</f>
        <v>0</v>
      </c>
      <c r="D48" s="123">
        <f>+C48+'9'!D48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1084.4510600411772</v>
      </c>
      <c r="J48" s="347">
        <f>J46/J40</f>
        <v>1024.7821130599993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SUMIF($G$7:$G$23,"Others",$F$7:$F$23)</f>
        <v>0</v>
      </c>
      <c r="D49" s="123">
        <f>+C49+'9'!D49</f>
        <v>720</v>
      </c>
      <c r="E49" s="148">
        <f t="shared" si="12"/>
        <v>12</v>
      </c>
      <c r="F49" s="190"/>
      <c r="H49" s="193" t="s">
        <v>270</v>
      </c>
      <c r="I49" s="123">
        <f>+Report1!T18</f>
        <v>4182.7570988908892</v>
      </c>
      <c r="J49" s="347">
        <f>+I49+'9'!J49</f>
        <v>41595.670597405646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SUMIF($G$7:$G$23,"Steam",$F$7:$F$23)</f>
        <v>0</v>
      </c>
      <c r="D50" s="123">
        <f>+C50+'9'!D50</f>
        <v>0</v>
      </c>
      <c r="E50" s="148">
        <f t="shared" si="12"/>
        <v>0</v>
      </c>
      <c r="F50" s="190"/>
      <c r="H50" s="193" t="s">
        <v>83</v>
      </c>
      <c r="I50" s="145">
        <f>I49/I38</f>
        <v>103.93492443322953</v>
      </c>
      <c r="J50" s="347">
        <f>J49/J38</f>
        <v>107.85636651490607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SUMIF($G$7:$G$23,"Planned shut",$F$7:$F$23)</f>
        <v>0</v>
      </c>
      <c r="D51" s="123">
        <f>+C51+'9'!D51</f>
        <v>0</v>
      </c>
      <c r="E51" s="148">
        <f t="shared" si="12"/>
        <v>0</v>
      </c>
      <c r="F51" s="190"/>
      <c r="H51" s="195" t="s">
        <v>85</v>
      </c>
      <c r="I51" s="146">
        <f>I49/I40</f>
        <v>116.37519055397277</v>
      </c>
      <c r="J51" s="348">
        <f>J49/J40</f>
        <v>114.53498526146335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83</v>
      </c>
      <c r="D52" s="149">
        <f>SUM(D38:D51)</f>
        <v>1373</v>
      </c>
      <c r="E52" s="150">
        <f>SUM(E38:E51)</f>
        <v>22.883333333333333</v>
      </c>
      <c r="F52" s="190"/>
      <c r="H52" s="196"/>
      <c r="I52" s="197"/>
      <c r="J52" s="349"/>
      <c r="K52" s="144"/>
    </row>
    <row r="53" spans="1:11" ht="13.5" thickBot="1">
      <c r="A53" s="780"/>
      <c r="B53" s="781"/>
      <c r="C53" s="151">
        <f>C52/(24*60)</f>
        <v>5.7638888888888892E-2</v>
      </c>
      <c r="D53" s="151">
        <f>D52/(24*60*G4)</f>
        <v>9.5347222222222222E-2</v>
      </c>
      <c r="E53" s="152">
        <f>E52/(G4*24)</f>
        <v>9.5347222222222222E-2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+D34+'9'!J56</f>
        <v>2698</v>
      </c>
      <c r="K56" s="206">
        <f>J56/(J40+J56/1000)/1000</f>
        <v>7.3742442629582258E-3</v>
      </c>
    </row>
    <row r="57" spans="1:11">
      <c r="A57" s="181"/>
      <c r="I57" s="204" t="s">
        <v>88</v>
      </c>
      <c r="J57" s="205"/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F1" zoomScale="80" zoomScaleNormal="75" zoomScaleSheetLayoutView="80" workbookViewId="0">
      <selection activeCell="N25" sqref="N25:S33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5703125" style="154" bestFit="1" customWidth="1"/>
    <col min="12" max="12" width="10.5703125" style="154" bestFit="1" customWidth="1"/>
    <col min="13" max="13" width="12.140625" style="154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9</v>
      </c>
      <c r="H4" s="159" t="str">
        <f>+'1'!H4</f>
        <v>.10.25</v>
      </c>
      <c r="J4" s="154">
        <f>525+553+538</f>
        <v>1616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491</v>
      </c>
      <c r="O6" s="154">
        <v>1220</v>
      </c>
      <c r="P6" s="154">
        <f>+O6-O6*0.23</f>
        <v>939.4</v>
      </c>
      <c r="Q6" s="154">
        <v>480</v>
      </c>
      <c r="R6" s="154">
        <f>+O6*Q6</f>
        <v>585600</v>
      </c>
      <c r="S6" s="154">
        <f>+P6*Q6</f>
        <v>450912</v>
      </c>
    </row>
    <row r="7" spans="1:19" ht="13.5" customHeight="1" thickBot="1">
      <c r="A7" s="762"/>
      <c r="B7" s="220" t="s">
        <v>498</v>
      </c>
      <c r="C7" s="221">
        <v>11454</v>
      </c>
      <c r="D7" s="222"/>
      <c r="E7" s="223"/>
      <c r="F7" s="233"/>
      <c r="G7" s="234" t="s">
        <v>12</v>
      </c>
      <c r="H7" s="235" t="s">
        <v>386</v>
      </c>
      <c r="I7" s="765" t="s">
        <v>492</v>
      </c>
      <c r="J7" s="219" t="str">
        <f>+'8'!J7</f>
        <v>F 12 VP OW</v>
      </c>
      <c r="K7" s="243"/>
      <c r="L7" s="247"/>
      <c r="M7" s="122">
        <f>+K7+'8'!M7+L7</f>
        <v>89181</v>
      </c>
      <c r="P7" s="154">
        <f t="shared" ref="P7:P9" si="0">+O7-O7*0.23</f>
        <v>0</v>
      </c>
      <c r="R7" s="154">
        <f>+O7*Q7</f>
        <v>0</v>
      </c>
      <c r="S7" s="154">
        <f>+P7*Q7</f>
        <v>0</v>
      </c>
    </row>
    <row r="8" spans="1:19" ht="13.5" thickBot="1">
      <c r="A8" s="763"/>
      <c r="B8" s="220"/>
      <c r="C8" s="221"/>
      <c r="D8" s="222"/>
      <c r="E8" s="224"/>
      <c r="F8" s="236">
        <v>2</v>
      </c>
      <c r="G8" s="574" t="s">
        <v>12</v>
      </c>
      <c r="H8" s="235" t="s">
        <v>471</v>
      </c>
      <c r="I8" s="766"/>
      <c r="J8" s="219" t="str">
        <f>+'8'!J8</f>
        <v>F 12,5 VP OW</v>
      </c>
      <c r="K8" s="244"/>
      <c r="L8" s="244"/>
      <c r="M8" s="122">
        <f>+K8+'8'!M8+L8</f>
        <v>10480</v>
      </c>
      <c r="P8" s="154">
        <f t="shared" si="0"/>
        <v>0</v>
      </c>
      <c r="R8" s="154">
        <f t="shared" ref="R8:R11" si="1">+O8*Q8</f>
        <v>0</v>
      </c>
      <c r="S8" s="154">
        <f t="shared" ref="S8:S11" si="2">+P8*Q8</f>
        <v>0</v>
      </c>
    </row>
    <row r="9" spans="1:19" ht="13.5" thickBot="1">
      <c r="A9" s="763"/>
      <c r="B9" s="220"/>
      <c r="C9" s="221"/>
      <c r="D9" s="222"/>
      <c r="E9" s="225"/>
      <c r="F9" s="233">
        <v>3</v>
      </c>
      <c r="G9" s="574" t="s">
        <v>12</v>
      </c>
      <c r="H9" s="238" t="s">
        <v>461</v>
      </c>
      <c r="I9" s="766"/>
      <c r="J9" s="219" t="str">
        <f>+'8'!J9</f>
        <v>T 13 VP OW</v>
      </c>
      <c r="K9" s="244"/>
      <c r="L9" s="244"/>
      <c r="M9" s="122">
        <f>+K9+'8'!M9+L9</f>
        <v>112205</v>
      </c>
      <c r="P9" s="154">
        <f t="shared" si="0"/>
        <v>0</v>
      </c>
      <c r="R9" s="154">
        <f t="shared" si="1"/>
        <v>0</v>
      </c>
      <c r="S9" s="154">
        <f t="shared" si="2"/>
        <v>0</v>
      </c>
    </row>
    <row r="10" spans="1:19" ht="26.25" thickBot="1">
      <c r="A10" s="763"/>
      <c r="B10" s="220"/>
      <c r="C10" s="221"/>
      <c r="D10" s="222"/>
      <c r="E10" s="224"/>
      <c r="F10" s="233"/>
      <c r="G10" s="242"/>
      <c r="H10" s="238" t="s">
        <v>504</v>
      </c>
      <c r="I10" s="766"/>
      <c r="J10" s="219" t="str">
        <f>+'8'!J10</f>
        <v>T 12,5 VP OW</v>
      </c>
      <c r="K10" s="244">
        <f>+C34</f>
        <v>36543</v>
      </c>
      <c r="L10" s="244"/>
      <c r="M10" s="122">
        <f>+K10+'8'!M10+L10</f>
        <v>115362</v>
      </c>
      <c r="R10" s="154">
        <f t="shared" si="1"/>
        <v>0</v>
      </c>
      <c r="S10" s="154">
        <f t="shared" si="2"/>
        <v>0</v>
      </c>
    </row>
    <row r="11" spans="1:19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>
        <f>+'8'!J11</f>
        <v>0</v>
      </c>
      <c r="K11" s="244"/>
      <c r="L11" s="244"/>
      <c r="M11" s="122">
        <f>+K11+'8'!M11+L11</f>
        <v>0</v>
      </c>
      <c r="R11" s="154">
        <f t="shared" si="1"/>
        <v>0</v>
      </c>
      <c r="S11" s="154">
        <f t="shared" si="2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+'8'!J12</f>
        <v>0</v>
      </c>
      <c r="K12" s="244"/>
      <c r="L12" s="244"/>
      <c r="M12" s="122">
        <f>+K12+'8'!M12+L12</f>
        <v>0</v>
      </c>
      <c r="P12" s="154">
        <f t="shared" ref="P12" si="3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+'8'!J13</f>
        <v>0</v>
      </c>
      <c r="K13" s="244"/>
      <c r="L13" s="244"/>
      <c r="M13" s="122">
        <f>+K13+'8'!M13+L13</f>
        <v>0</v>
      </c>
      <c r="Q13" s="154">
        <f>SUM(Q5:Q11)</f>
        <v>480</v>
      </c>
      <c r="R13" s="154">
        <f>SUM(R5:R11)</f>
        <v>585600</v>
      </c>
      <c r="S13" s="154">
        <f>SUM(S5:S11)</f>
        <v>450912</v>
      </c>
    </row>
    <row r="14" spans="1:19" ht="13.5" thickBot="1">
      <c r="A14" s="764"/>
      <c r="B14" s="170" t="s">
        <v>2</v>
      </c>
      <c r="C14" s="104">
        <f>SUM(C7:C13)</f>
        <v>11454</v>
      </c>
      <c r="D14" s="116">
        <f>SUM(D7:D13)</f>
        <v>0</v>
      </c>
      <c r="E14" s="117">
        <f>SUM(E5:E13)</f>
        <v>0</v>
      </c>
      <c r="F14" s="121">
        <f>SUM(F7:F13)</f>
        <v>5</v>
      </c>
      <c r="G14" s="164"/>
      <c r="H14" s="171"/>
      <c r="I14" s="172"/>
      <c r="J14" s="219">
        <f>+'8'!J14</f>
        <v>0</v>
      </c>
      <c r="K14" s="244"/>
      <c r="L14" s="244"/>
      <c r="M14" s="122">
        <f>+K14+'8'!M14+L14</f>
        <v>0</v>
      </c>
      <c r="N14" s="154" t="s">
        <v>399</v>
      </c>
      <c r="Q14" s="154">
        <f>480-Q13</f>
        <v>0</v>
      </c>
      <c r="R14" s="154">
        <f>+R13/Q13</f>
        <v>1220</v>
      </c>
      <c r="S14" s="154">
        <f>+S13/Q13</f>
        <v>939.4</v>
      </c>
    </row>
    <row r="15" spans="1:19" ht="13.5" customHeight="1" thickBot="1">
      <c r="A15" s="762"/>
      <c r="B15" s="170"/>
      <c r="C15" s="118">
        <f>C14/($C$23+$D$23+$E$23)</f>
        <v>0.80137130063667528</v>
      </c>
      <c r="D15" s="119">
        <f>D14/($C$23+$D$23+$E$23)</f>
        <v>0</v>
      </c>
      <c r="E15" s="120">
        <f>E14/($C$23+$D$23+$E$23)</f>
        <v>0</v>
      </c>
      <c r="F15" s="233">
        <v>4</v>
      </c>
      <c r="G15" s="234" t="s">
        <v>12</v>
      </c>
      <c r="H15" s="235" t="s">
        <v>500</v>
      </c>
      <c r="I15" s="765" t="s">
        <v>492</v>
      </c>
      <c r="J15" s="219">
        <f>+'8'!J15</f>
        <v>0</v>
      </c>
      <c r="K15" s="244"/>
      <c r="L15" s="244"/>
      <c r="M15" s="122">
        <f>+K15+'8'!M15+L15</f>
        <v>0</v>
      </c>
    </row>
    <row r="16" spans="1:19" ht="13.5" thickBot="1">
      <c r="A16" s="768"/>
      <c r="B16" s="220" t="s">
        <v>498</v>
      </c>
      <c r="C16" s="227">
        <v>14293</v>
      </c>
      <c r="D16" s="228"/>
      <c r="E16" s="229"/>
      <c r="F16" s="236">
        <v>10</v>
      </c>
      <c r="G16" s="574" t="s">
        <v>12</v>
      </c>
      <c r="H16" s="235" t="s">
        <v>388</v>
      </c>
      <c r="I16" s="766"/>
      <c r="J16" s="219">
        <f>+'8'!J16</f>
        <v>0</v>
      </c>
      <c r="K16" s="244"/>
      <c r="L16" s="234"/>
      <c r="M16" s="122">
        <f>+K16+'8'!M16+L16</f>
        <v>0</v>
      </c>
      <c r="N16" s="154" t="s">
        <v>491</v>
      </c>
      <c r="O16" s="154">
        <v>1220</v>
      </c>
      <c r="P16" s="154">
        <f>+O16-O16*0.23</f>
        <v>939.4</v>
      </c>
      <c r="Q16" s="154">
        <v>480</v>
      </c>
      <c r="R16" s="154">
        <f>+O16*Q16</f>
        <v>585600</v>
      </c>
      <c r="S16" s="154">
        <f>+P16*Q16</f>
        <v>450912</v>
      </c>
    </row>
    <row r="17" spans="1:19" ht="13.5" thickBot="1">
      <c r="A17" s="768"/>
      <c r="B17" s="220"/>
      <c r="C17" s="221"/>
      <c r="D17" s="222"/>
      <c r="E17" s="230"/>
      <c r="F17" s="233">
        <f>29-14</f>
        <v>15</v>
      </c>
      <c r="G17" s="574" t="s">
        <v>12</v>
      </c>
      <c r="H17" s="238" t="s">
        <v>461</v>
      </c>
      <c r="I17" s="766"/>
      <c r="J17" s="219">
        <f>+'8'!J17</f>
        <v>0</v>
      </c>
      <c r="K17" s="234"/>
      <c r="L17" s="234"/>
      <c r="M17" s="122">
        <f>+K17+'8'!M17+L17</f>
        <v>0</v>
      </c>
      <c r="P17" s="154">
        <f t="shared" ref="P17:P19" si="4">+O17-O17*0.23</f>
        <v>0</v>
      </c>
      <c r="R17" s="154">
        <f>+O17*Q17</f>
        <v>0</v>
      </c>
      <c r="S17" s="154">
        <f>+P17*Q17</f>
        <v>0</v>
      </c>
    </row>
    <row r="18" spans="1:19" ht="51.75" thickBot="1">
      <c r="A18" s="768"/>
      <c r="B18" s="220"/>
      <c r="C18" s="221"/>
      <c r="D18" s="222"/>
      <c r="E18" s="230"/>
      <c r="F18" s="233"/>
      <c r="G18" s="242"/>
      <c r="H18" s="238" t="s">
        <v>489</v>
      </c>
      <c r="I18" s="766"/>
      <c r="J18" s="219">
        <f>+'8'!J18</f>
        <v>0</v>
      </c>
      <c r="K18" s="244"/>
      <c r="L18" s="244"/>
      <c r="M18" s="122">
        <f>+K18+'8'!M18+L18</f>
        <v>0</v>
      </c>
      <c r="P18" s="154">
        <f t="shared" si="4"/>
        <v>0</v>
      </c>
      <c r="R18" s="154">
        <f t="shared" ref="R18:R21" si="5">+O18*Q18</f>
        <v>0</v>
      </c>
      <c r="S18" s="154">
        <f t="shared" ref="S18:S21" si="6">+P18*Q18</f>
        <v>0</v>
      </c>
    </row>
    <row r="19" spans="1:19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+'8'!J19</f>
        <v>0</v>
      </c>
      <c r="K19" s="244"/>
      <c r="L19" s="244"/>
      <c r="M19" s="122">
        <f>+K19+'8'!M19+L19</f>
        <v>0</v>
      </c>
      <c r="P19" s="154">
        <f t="shared" si="4"/>
        <v>0</v>
      </c>
      <c r="R19" s="154">
        <f t="shared" si="5"/>
        <v>0</v>
      </c>
      <c r="S19" s="154">
        <f t="shared" si="6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+'8'!J20</f>
        <v>0</v>
      </c>
      <c r="K20" s="245"/>
      <c r="L20" s="245"/>
      <c r="M20" s="122">
        <f>+K20+'8'!M20+L20</f>
        <v>0</v>
      </c>
      <c r="R20" s="154">
        <f t="shared" si="5"/>
        <v>0</v>
      </c>
      <c r="S20" s="154">
        <f t="shared" si="6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+'8'!J21</f>
        <v>0</v>
      </c>
      <c r="K21" s="244"/>
      <c r="L21" s="244"/>
      <c r="M21" s="122">
        <f>+K21+'8'!M21+L21</f>
        <v>0</v>
      </c>
      <c r="R21" s="154">
        <f t="shared" si="5"/>
        <v>0</v>
      </c>
      <c r="S21" s="154">
        <f t="shared" si="6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+'8'!J22</f>
        <v>0</v>
      </c>
      <c r="K22" s="244"/>
      <c r="L22" s="244"/>
      <c r="M22" s="122">
        <f>+K22+'8'!M22+L22</f>
        <v>0</v>
      </c>
      <c r="P22" s="154">
        <f t="shared" ref="P22" si="7">+O22-O22*0.17</f>
        <v>0</v>
      </c>
    </row>
    <row r="23" spans="1:19" ht="13.5" thickBot="1">
      <c r="A23" s="769"/>
      <c r="B23" s="173" t="s">
        <v>2</v>
      </c>
      <c r="C23" s="105">
        <f>SUM(C16:C22)</f>
        <v>14293</v>
      </c>
      <c r="D23" s="116">
        <f>SUM(D16:D22)</f>
        <v>0</v>
      </c>
      <c r="E23" s="117">
        <f>SUM(E18:E22)</f>
        <v>0</v>
      </c>
      <c r="F23" s="121">
        <f>SUM(F15:F22)</f>
        <v>29</v>
      </c>
      <c r="G23" s="164"/>
      <c r="H23" s="171"/>
      <c r="I23" s="174"/>
      <c r="J23" s="219">
        <f>+'8'!J23</f>
        <v>0</v>
      </c>
      <c r="K23" s="244"/>
      <c r="L23" s="244"/>
      <c r="M23" s="122">
        <f>+K23+'8'!M23+L23</f>
        <v>0</v>
      </c>
      <c r="Q23" s="154">
        <f>SUM(Q15:Q21)</f>
        <v>480</v>
      </c>
      <c r="R23" s="154">
        <f>SUM(R15:R21)</f>
        <v>585600</v>
      </c>
      <c r="S23" s="154">
        <f>SUM(S15:S21)</f>
        <v>450912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15</v>
      </c>
      <c r="G24" s="234" t="s">
        <v>12</v>
      </c>
      <c r="H24" s="235" t="s">
        <v>458</v>
      </c>
      <c r="I24" s="765" t="s">
        <v>505</v>
      </c>
      <c r="J24" s="219">
        <f>+'8'!J24</f>
        <v>0</v>
      </c>
      <c r="K24" s="244"/>
      <c r="L24" s="244"/>
      <c r="M24" s="122">
        <f>+K24+'8'!M24+L24</f>
        <v>0</v>
      </c>
      <c r="N24" s="154" t="s">
        <v>399</v>
      </c>
      <c r="Q24" s="154">
        <f>480-Q23</f>
        <v>0</v>
      </c>
      <c r="R24" s="154">
        <f>+R23/Q23</f>
        <v>1220</v>
      </c>
      <c r="S24" s="154">
        <f>+S23/Q23</f>
        <v>939.4</v>
      </c>
    </row>
    <row r="25" spans="1:19" ht="13.5" thickBot="1">
      <c r="A25" s="768"/>
      <c r="B25" s="220" t="s">
        <v>498</v>
      </c>
      <c r="C25" s="231">
        <v>10796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+'8'!J25</f>
        <v>0</v>
      </c>
      <c r="K25" s="244"/>
      <c r="L25" s="244"/>
      <c r="M25" s="122">
        <f>+K25+'8'!M25+L25</f>
        <v>0</v>
      </c>
      <c r="N25" s="154" t="s">
        <v>491</v>
      </c>
      <c r="O25" s="154">
        <v>1220</v>
      </c>
      <c r="P25" s="154">
        <f>+O25-O25*0.23</f>
        <v>939.4</v>
      </c>
      <c r="Q25" s="154">
        <f>60*4+24</f>
        <v>264</v>
      </c>
      <c r="R25" s="154">
        <f>+O25*Q25</f>
        <v>322080</v>
      </c>
      <c r="S25" s="154">
        <f>+P25*Q25</f>
        <v>248001.6</v>
      </c>
    </row>
    <row r="26" spans="1:19" ht="13.5" thickBot="1">
      <c r="A26" s="768"/>
      <c r="B26" s="220"/>
      <c r="C26" s="231"/>
      <c r="D26" s="222"/>
      <c r="E26" s="232"/>
      <c r="F26" s="233">
        <f>33-15</f>
        <v>18</v>
      </c>
      <c r="G26" s="574" t="s">
        <v>12</v>
      </c>
      <c r="H26" s="238" t="s">
        <v>429</v>
      </c>
      <c r="I26" s="766"/>
      <c r="J26" s="219">
        <f>+'8'!J26</f>
        <v>0</v>
      </c>
      <c r="K26" s="244"/>
      <c r="L26" s="244"/>
      <c r="M26" s="122">
        <f>+K26+'8'!M26+L26</f>
        <v>0</v>
      </c>
      <c r="O26" s="154">
        <v>1200</v>
      </c>
      <c r="P26" s="154">
        <f>+O26-O26*0.23</f>
        <v>924</v>
      </c>
      <c r="Q26" s="154">
        <f>480-Q25</f>
        <v>216</v>
      </c>
      <c r="R26" s="154">
        <f>+O26*Q26</f>
        <v>259200</v>
      </c>
      <c r="S26" s="154">
        <f>+P26*Q26</f>
        <v>199584</v>
      </c>
    </row>
    <row r="27" spans="1:19" ht="51.75" thickBot="1">
      <c r="A27" s="768"/>
      <c r="B27" s="220"/>
      <c r="C27" s="221"/>
      <c r="D27" s="222"/>
      <c r="E27" s="230"/>
      <c r="F27" s="233"/>
      <c r="G27" s="242"/>
      <c r="H27" s="238" t="s">
        <v>489</v>
      </c>
      <c r="I27" s="766"/>
      <c r="J27" s="219">
        <f>+'8'!J27</f>
        <v>0</v>
      </c>
      <c r="K27" s="244"/>
      <c r="L27" s="244"/>
      <c r="M27" s="122">
        <f>+K27+'8'!M27+L27</f>
        <v>0</v>
      </c>
      <c r="P27" s="154">
        <f t="shared" ref="P27:P28" si="8">+O27-O27*0.23</f>
        <v>0</v>
      </c>
      <c r="R27" s="154">
        <f t="shared" ref="R27:R30" si="9">+O27*Q27</f>
        <v>0</v>
      </c>
      <c r="S27" s="154">
        <f t="shared" ref="S27:S30" si="10">+P27*Q27</f>
        <v>0</v>
      </c>
    </row>
    <row r="28" spans="1:19" ht="102.75" thickBot="1">
      <c r="A28" s="768"/>
      <c r="B28" s="220"/>
      <c r="C28" s="221"/>
      <c r="D28" s="222"/>
      <c r="E28" s="230"/>
      <c r="F28" s="236"/>
      <c r="G28" s="237"/>
      <c r="H28" s="238" t="s">
        <v>503</v>
      </c>
      <c r="I28" s="766"/>
      <c r="J28" s="219">
        <f>+'8'!J28</f>
        <v>0</v>
      </c>
      <c r="K28" s="244"/>
      <c r="L28" s="244"/>
      <c r="M28" s="122">
        <f>+K28+'8'!M28+L28</f>
        <v>0</v>
      </c>
      <c r="P28" s="154">
        <f t="shared" si="8"/>
        <v>0</v>
      </c>
      <c r="R28" s="154">
        <f t="shared" si="9"/>
        <v>0</v>
      </c>
      <c r="S28" s="154">
        <f t="shared" si="10"/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+'8'!J29</f>
        <v>0</v>
      </c>
      <c r="K29" s="244"/>
      <c r="L29" s="244"/>
      <c r="M29" s="122">
        <f>+K29+'8'!M29+L29</f>
        <v>0</v>
      </c>
      <c r="R29" s="154">
        <f t="shared" si="9"/>
        <v>0</v>
      </c>
      <c r="S29" s="154">
        <f t="shared" si="10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+'8'!J30</f>
        <v>0</v>
      </c>
      <c r="K30" s="244"/>
      <c r="L30" s="244"/>
      <c r="M30" s="122">
        <f>+K30+'8'!M30+L30</f>
        <v>0</v>
      </c>
      <c r="R30" s="154">
        <f t="shared" si="9"/>
        <v>0</v>
      </c>
      <c r="S30" s="154">
        <f t="shared" si="10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+'8'!J31</f>
        <v>0</v>
      </c>
      <c r="K31" s="244"/>
      <c r="L31" s="244"/>
      <c r="M31" s="122">
        <f>+K31+'8'!M31+L31</f>
        <v>0</v>
      </c>
      <c r="P31" s="154">
        <f t="shared" ref="P31" si="11">+O31-O31*0.17</f>
        <v>0</v>
      </c>
    </row>
    <row r="32" spans="1:19" ht="13.5" thickBot="1">
      <c r="A32" s="769"/>
      <c r="B32" s="170" t="s">
        <v>2</v>
      </c>
      <c r="C32" s="104">
        <f>SUM(C25:C31)</f>
        <v>10796</v>
      </c>
      <c r="D32" s="105">
        <f>SUM(D25:D31)</f>
        <v>0</v>
      </c>
      <c r="E32" s="106">
        <f>SUM(E25:E31)</f>
        <v>0</v>
      </c>
      <c r="F32" s="107">
        <f>SUM(F24:F31)</f>
        <v>33</v>
      </c>
      <c r="G32" s="176"/>
      <c r="H32" s="177"/>
      <c r="I32" s="174"/>
      <c r="J32" s="219">
        <f>+'8'!J32</f>
        <v>0</v>
      </c>
      <c r="K32" s="246"/>
      <c r="L32" s="248"/>
      <c r="M32" s="122">
        <f>+K32+'8'!M32+L32</f>
        <v>0</v>
      </c>
      <c r="Q32" s="154">
        <f>SUM(Q24:Q30)</f>
        <v>480</v>
      </c>
      <c r="R32" s="154">
        <f>SUM(R24:R30)</f>
        <v>582500</v>
      </c>
      <c r="S32" s="154">
        <f>SUM(S24:S30)</f>
        <v>448525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N33" s="154" t="s">
        <v>399</v>
      </c>
      <c r="Q33" s="154">
        <f>480-Q32</f>
        <v>0</v>
      </c>
      <c r="R33" s="154">
        <f>+R32/Q32</f>
        <v>1213.5416666666667</v>
      </c>
      <c r="S33" s="154">
        <f>+S32/Q32</f>
        <v>934.42708333333337</v>
      </c>
    </row>
    <row r="34" spans="1:19" ht="13.5" thickBot="1">
      <c r="A34" s="770" t="s">
        <v>57</v>
      </c>
      <c r="B34" s="771"/>
      <c r="C34" s="112">
        <f>C14+C23+C32</f>
        <v>36543</v>
      </c>
      <c r="D34" s="112">
        <f>D14+D23+D32</f>
        <v>0</v>
      </c>
      <c r="E34" s="112">
        <f>E14+E23+E32</f>
        <v>0</v>
      </c>
      <c r="F34" s="113">
        <f>F14+F23+F32</f>
        <v>67</v>
      </c>
      <c r="H34" s="183"/>
      <c r="I34" s="183"/>
      <c r="J34" s="128" t="s">
        <v>28</v>
      </c>
      <c r="K34" s="129">
        <f>SUM(K7:K32)</f>
        <v>36543</v>
      </c>
      <c r="L34" s="217">
        <f>SUM(L7:L32)</f>
        <v>0</v>
      </c>
      <c r="M34" s="125">
        <f>SUM(M7:M32)</f>
        <v>327228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(12.5*1440)/1440*G42*2.74*1440/1000000</f>
        <v>46.1676985</v>
      </c>
      <c r="J37" s="130">
        <f>+I37+'8'!J37</f>
        <v>385.87902988105634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67</v>
      </c>
      <c r="D38" s="123">
        <f>+C38+'8'!D38</f>
        <v>513</v>
      </c>
      <c r="E38" s="148">
        <f t="shared" ref="E38:E51" si="12">D38/60</f>
        <v>8.5500000000000007</v>
      </c>
      <c r="F38" s="328">
        <v>1220</v>
      </c>
      <c r="G38" s="328">
        <v>939.4</v>
      </c>
      <c r="H38" s="192" t="s">
        <v>64</v>
      </c>
      <c r="I38" s="250">
        <f>14.298+12.036+12.312</f>
        <v>38.646000000000001</v>
      </c>
      <c r="J38" s="132">
        <f>+I38+'8'!J38</f>
        <v>345.41400000000004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+C39+'8'!D39</f>
        <v>0</v>
      </c>
      <c r="E39" s="148">
        <f t="shared" si="12"/>
        <v>0</v>
      </c>
      <c r="F39" s="328">
        <v>1220</v>
      </c>
      <c r="G39" s="328">
        <v>939.4</v>
      </c>
      <c r="H39" s="192" t="s">
        <v>65</v>
      </c>
      <c r="I39" s="147"/>
      <c r="J39" s="134">
        <f>J37/G4</f>
        <v>42.875447764561812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+C40+'8'!D40</f>
        <v>0</v>
      </c>
      <c r="E40" s="148">
        <f t="shared" si="12"/>
        <v>0</v>
      </c>
      <c r="F40" s="328">
        <v>1213.5416666666667</v>
      </c>
      <c r="G40" s="328">
        <v>934.42708333333337</v>
      </c>
      <c r="H40" s="192" t="s">
        <v>67</v>
      </c>
      <c r="I40" s="123">
        <f>(K34+L34)/1000</f>
        <v>36.542999999999999</v>
      </c>
      <c r="J40" s="136">
        <f>+I40+'8'!J40</f>
        <v>327.22800000000001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+C41+'8'!D41</f>
        <v>57</v>
      </c>
      <c r="E41" s="148">
        <f t="shared" si="12"/>
        <v>0.95</v>
      </c>
      <c r="F41" s="328"/>
      <c r="G41" s="328"/>
      <c r="H41" s="192" t="s">
        <v>69</v>
      </c>
      <c r="I41" s="147"/>
      <c r="J41" s="134">
        <f>J40/G4</f>
        <v>36.358666666666664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+C42+'8'!D42</f>
        <v>0</v>
      </c>
      <c r="E42" s="148">
        <f t="shared" si="12"/>
        <v>0</v>
      </c>
      <c r="F42" s="328">
        <f>+(F38*480+F40*960)/1440</f>
        <v>1215.6944444444443</v>
      </c>
      <c r="G42" s="328">
        <f>+(G38*480+G40*960)/1440</f>
        <v>936.08472222222224</v>
      </c>
      <c r="H42" s="192" t="s">
        <v>70</v>
      </c>
      <c r="I42" s="251" t="s">
        <v>506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+C43+'8'!D43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+Report1!Z17</f>
        <v>58.3</v>
      </c>
      <c r="J43" s="138">
        <f>+I43+'8'!J43</f>
        <v>512.29999999999995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+C44+'8'!D44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1.5085649226310613</v>
      </c>
      <c r="J44" s="139">
        <f>J43/J38</f>
        <v>1.4831477589211783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+C45+'8'!D45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1.5953807842815313</v>
      </c>
      <c r="J45" s="139">
        <f>J43/J40</f>
        <v>1.5655750730377593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+C46+'8'!D46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+SUMIF(Listrik!P16,"&gt;0")</f>
        <v>37619.859999999637</v>
      </c>
      <c r="J46" s="140">
        <f>+I46+'8'!J46</f>
        <v>333192.77999999997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+C47+'8'!D47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973.44770480773263</v>
      </c>
      <c r="J47" s="140">
        <f>J46/J38</f>
        <v>964.6186315551771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+C48+'8'!D48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1029.4682976219697</v>
      </c>
      <c r="J48" s="140">
        <f>J46/J40</f>
        <v>1018.2282078550734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+C49+'8'!D49</f>
        <v>720</v>
      </c>
      <c r="E49" s="148">
        <f t="shared" si="12"/>
        <v>12</v>
      </c>
      <c r="F49" s="190"/>
      <c r="H49" s="193" t="s">
        <v>270</v>
      </c>
      <c r="I49" s="123">
        <f>+Report1!T17</f>
        <v>4318.1631504089128</v>
      </c>
      <c r="J49" s="140">
        <f>+I49+'8'!J49</f>
        <v>37412.913498514754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+C50+'8'!D50</f>
        <v>0</v>
      </c>
      <c r="E50" s="148">
        <f t="shared" si="12"/>
        <v>0</v>
      </c>
      <c r="F50" s="190"/>
      <c r="H50" s="193" t="s">
        <v>83</v>
      </c>
      <c r="I50" s="145">
        <f>I49/I38</f>
        <v>111.73635435514446</v>
      </c>
      <c r="J50" s="138">
        <f>J49/J38</f>
        <v>108.31325162997085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+C51+'8'!D51</f>
        <v>0</v>
      </c>
      <c r="E51" s="148">
        <f t="shared" si="12"/>
        <v>0</v>
      </c>
      <c r="F51" s="190"/>
      <c r="H51" s="195" t="s">
        <v>85</v>
      </c>
      <c r="I51" s="146">
        <f>I49/I40</f>
        <v>118.16662973507684</v>
      </c>
      <c r="J51" s="141">
        <f>J49/J40</f>
        <v>114.33286118093424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67</v>
      </c>
      <c r="D52" s="149">
        <f>SUM(D38:D51)</f>
        <v>1290</v>
      </c>
      <c r="E52" s="150">
        <f>SUM(E38:E51)</f>
        <v>21.5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4.6527777777777779E-2</v>
      </c>
      <c r="D53" s="151">
        <f>D52/(24*60*G4)</f>
        <v>9.9537037037037035E-2</v>
      </c>
      <c r="E53" s="152">
        <f>E52/(G4*24)</f>
        <v>9.9537037037037035E-2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+D34+'8'!J56</f>
        <v>2698</v>
      </c>
      <c r="K56" s="206">
        <f>J56/(J40+J56/1000)/1000</f>
        <v>8.1775913386638224E-3</v>
      </c>
    </row>
    <row r="57" spans="1:11">
      <c r="A57" s="181"/>
      <c r="I57" s="204" t="s">
        <v>88</v>
      </c>
      <c r="J57" s="205">
        <f>+E34+'8'!J57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C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13.7109375" style="154" bestFit="1" customWidth="1"/>
    <col min="13" max="13" width="15" style="154" bestFit="1" customWidth="1"/>
    <col min="14" max="16384" width="9.140625" style="154"/>
  </cols>
  <sheetData>
    <row r="1" spans="1:13" ht="15.75">
      <c r="A1" s="153"/>
    </row>
    <row r="2" spans="1:13" ht="15.75">
      <c r="A2" s="153" t="s">
        <v>184</v>
      </c>
    </row>
    <row r="3" spans="1:13" ht="15">
      <c r="A3" s="155"/>
    </row>
    <row r="4" spans="1:13" ht="20.25">
      <c r="A4" s="156" t="s">
        <v>3</v>
      </c>
      <c r="B4" s="157"/>
      <c r="F4" s="158" t="s">
        <v>29</v>
      </c>
      <c r="G4" s="159">
        <v>8</v>
      </c>
      <c r="H4" s="159" t="str">
        <f>+'1'!H4</f>
        <v>.10.25</v>
      </c>
      <c r="J4" s="154">
        <f>578+511+522</f>
        <v>1611</v>
      </c>
    </row>
    <row r="5" spans="1:13" ht="13.5" thickBot="1">
      <c r="C5" s="160"/>
      <c r="D5" s="160"/>
    </row>
    <row r="6" spans="1:13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3" ht="13.5" customHeight="1" thickBot="1">
      <c r="A7" s="762"/>
      <c r="B7" s="220" t="s">
        <v>498</v>
      </c>
      <c r="C7" s="221">
        <v>13209</v>
      </c>
      <c r="D7" s="222"/>
      <c r="E7" s="223"/>
      <c r="F7" s="233">
        <v>6</v>
      </c>
      <c r="G7" s="234" t="s">
        <v>12</v>
      </c>
      <c r="H7" s="235" t="s">
        <v>458</v>
      </c>
      <c r="I7" s="765" t="s">
        <v>492</v>
      </c>
      <c r="J7" s="219" t="str">
        <f>+'7'!J7</f>
        <v>F 12 VP OW</v>
      </c>
      <c r="K7" s="243"/>
      <c r="L7" s="247"/>
      <c r="M7" s="122">
        <f>+K7+'7'!M7+L7</f>
        <v>89181</v>
      </c>
    </row>
    <row r="8" spans="1:13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+'7'!J8</f>
        <v>F 12,5 VP OW</v>
      </c>
      <c r="K8" s="244"/>
      <c r="L8" s="244"/>
      <c r="M8" s="122">
        <f>+K8+'7'!M8+L8</f>
        <v>10480</v>
      </c>
    </row>
    <row r="9" spans="1:13" ht="13.5" thickBot="1">
      <c r="A9" s="763"/>
      <c r="B9" s="220"/>
      <c r="C9" s="221"/>
      <c r="D9" s="222"/>
      <c r="E9" s="225"/>
      <c r="F9" s="233">
        <v>11</v>
      </c>
      <c r="G9" s="574" t="s">
        <v>12</v>
      </c>
      <c r="H9" s="238" t="s">
        <v>429</v>
      </c>
      <c r="I9" s="766"/>
      <c r="J9" s="219" t="str">
        <f>+'7'!J9</f>
        <v>T 13 VP OW</v>
      </c>
      <c r="K9" s="244"/>
      <c r="L9" s="244"/>
      <c r="M9" s="122">
        <f>+K9+'7'!M9+L9</f>
        <v>112205</v>
      </c>
    </row>
    <row r="10" spans="1:13" ht="51.75" thickBot="1">
      <c r="A10" s="763"/>
      <c r="B10" s="220"/>
      <c r="C10" s="221"/>
      <c r="D10" s="222"/>
      <c r="E10" s="224"/>
      <c r="F10" s="233"/>
      <c r="G10" s="242"/>
      <c r="H10" s="238" t="s">
        <v>489</v>
      </c>
      <c r="I10" s="766"/>
      <c r="J10" s="219" t="str">
        <f>+'7'!J10</f>
        <v>T 12,5 VP OW</v>
      </c>
      <c r="K10" s="244">
        <f>+C34</f>
        <v>43187</v>
      </c>
      <c r="L10" s="244"/>
      <c r="M10" s="122">
        <f>+K10+'7'!M10+L10</f>
        <v>78819</v>
      </c>
    </row>
    <row r="11" spans="1:13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>
        <f>+'7'!J11</f>
        <v>0</v>
      </c>
      <c r="K11" s="244"/>
      <c r="L11" s="244"/>
      <c r="M11" s="122">
        <f>+K11+'7'!M11+L11</f>
        <v>0</v>
      </c>
    </row>
    <row r="12" spans="1:13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+'7'!J12</f>
        <v>0</v>
      </c>
      <c r="K12" s="244"/>
      <c r="L12" s="244"/>
      <c r="M12" s="122">
        <f>+K12+'7'!M12+L12</f>
        <v>0</v>
      </c>
    </row>
    <row r="13" spans="1:13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+'7'!J13</f>
        <v>0</v>
      </c>
      <c r="K13" s="244"/>
      <c r="L13" s="244"/>
      <c r="M13" s="122">
        <f>+K13+'7'!M13+L13</f>
        <v>0</v>
      </c>
    </row>
    <row r="14" spans="1:13" ht="13.5" thickBot="1">
      <c r="A14" s="764"/>
      <c r="B14" s="170" t="s">
        <v>2</v>
      </c>
      <c r="C14" s="104">
        <f>SUM(C7:C13)</f>
        <v>13209</v>
      </c>
      <c r="D14" s="116">
        <f>SUM(D7:D13)</f>
        <v>0</v>
      </c>
      <c r="E14" s="117">
        <f>SUM(E5:E13)</f>
        <v>0</v>
      </c>
      <c r="F14" s="121">
        <f>SUM(F7:F13)</f>
        <v>17</v>
      </c>
      <c r="G14" s="164"/>
      <c r="H14" s="171"/>
      <c r="I14" s="172"/>
      <c r="J14" s="219">
        <f>+'7'!J14</f>
        <v>0</v>
      </c>
      <c r="K14" s="244"/>
      <c r="L14" s="244"/>
      <c r="M14" s="122">
        <f>+K14+'7'!M14+L14</f>
        <v>0</v>
      </c>
    </row>
    <row r="15" spans="1:13" ht="13.5" customHeight="1" thickBot="1">
      <c r="A15" s="762"/>
      <c r="B15" s="170"/>
      <c r="C15" s="118">
        <f>C14/($C$23+$D$23+$E$23)</f>
        <v>0.84192746510293837</v>
      </c>
      <c r="D15" s="119">
        <f>D14/($C$23+$D$23+$E$23)</f>
        <v>0</v>
      </c>
      <c r="E15" s="120">
        <f>E14/($C$23+$D$23+$E$23)</f>
        <v>0</v>
      </c>
      <c r="F15" s="233">
        <v>4</v>
      </c>
      <c r="G15" s="234" t="s">
        <v>12</v>
      </c>
      <c r="H15" s="235" t="s">
        <v>500</v>
      </c>
      <c r="I15" s="765" t="s">
        <v>492</v>
      </c>
      <c r="J15" s="219">
        <f>+'7'!J15</f>
        <v>0</v>
      </c>
      <c r="K15" s="244"/>
      <c r="L15" s="244"/>
      <c r="M15" s="122">
        <f>+K15+'7'!M15+L15</f>
        <v>0</v>
      </c>
    </row>
    <row r="16" spans="1:13" ht="13.5" thickBot="1">
      <c r="A16" s="768"/>
      <c r="B16" s="220" t="s">
        <v>498</v>
      </c>
      <c r="C16" s="227">
        <v>15689</v>
      </c>
      <c r="D16" s="228"/>
      <c r="E16" s="229"/>
      <c r="F16" s="236">
        <v>14</v>
      </c>
      <c r="G16" s="574" t="s">
        <v>12</v>
      </c>
      <c r="H16" s="235" t="s">
        <v>460</v>
      </c>
      <c r="I16" s="766"/>
      <c r="J16" s="219">
        <f>+'7'!J16</f>
        <v>0</v>
      </c>
      <c r="K16" s="234"/>
      <c r="L16" s="234"/>
      <c r="M16" s="122">
        <f>+K16+'7'!M16+L16</f>
        <v>0</v>
      </c>
    </row>
    <row r="17" spans="1:18" ht="13.5" thickBot="1">
      <c r="A17" s="768"/>
      <c r="B17" s="220"/>
      <c r="C17" s="221"/>
      <c r="D17" s="222"/>
      <c r="E17" s="230"/>
      <c r="F17" s="233">
        <f>36-4-14</f>
        <v>18</v>
      </c>
      <c r="G17" s="574" t="s">
        <v>12</v>
      </c>
      <c r="H17" s="238" t="s">
        <v>429</v>
      </c>
      <c r="I17" s="766"/>
      <c r="J17" s="219">
        <f>+'7'!J17</f>
        <v>0</v>
      </c>
      <c r="K17" s="234"/>
      <c r="L17" s="234"/>
      <c r="M17" s="122">
        <f>+K17+'7'!M17+L17</f>
        <v>0</v>
      </c>
    </row>
    <row r="18" spans="1:18" ht="51.75" thickBot="1">
      <c r="A18" s="768"/>
      <c r="B18" s="220"/>
      <c r="C18" s="221"/>
      <c r="D18" s="222"/>
      <c r="E18" s="230"/>
      <c r="F18" s="233"/>
      <c r="G18" s="242"/>
      <c r="H18" s="238" t="s">
        <v>488</v>
      </c>
      <c r="I18" s="766"/>
      <c r="J18" s="219">
        <f>+'7'!J18</f>
        <v>0</v>
      </c>
      <c r="K18" s="244"/>
      <c r="L18" s="244"/>
      <c r="M18" s="122">
        <f>+K18+'7'!M18+L18</f>
        <v>0</v>
      </c>
      <c r="P18" s="181"/>
      <c r="Q18" s="181"/>
      <c r="R18" s="181"/>
    </row>
    <row r="19" spans="1:18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+'7'!J19</f>
        <v>0</v>
      </c>
      <c r="K19" s="244"/>
      <c r="L19" s="244"/>
      <c r="M19" s="122">
        <f>+K19+'7'!M19+L19</f>
        <v>0</v>
      </c>
      <c r="Q19" s="181"/>
      <c r="R19" s="181"/>
    </row>
    <row r="20" spans="1:18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+'7'!J20</f>
        <v>0</v>
      </c>
      <c r="K20" s="245"/>
      <c r="L20" s="245"/>
      <c r="M20" s="122">
        <f>+K20+'7'!M20+L20</f>
        <v>0</v>
      </c>
    </row>
    <row r="21" spans="1:18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+'7'!J21</f>
        <v>0</v>
      </c>
      <c r="K21" s="244"/>
      <c r="L21" s="244"/>
      <c r="M21" s="122">
        <f>+K21+'7'!M21+L21</f>
        <v>0</v>
      </c>
    </row>
    <row r="22" spans="1:18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+'7'!J22</f>
        <v>0</v>
      </c>
      <c r="K22" s="244"/>
      <c r="L22" s="244"/>
      <c r="M22" s="122">
        <f>+K22+'7'!M22+L22</f>
        <v>0</v>
      </c>
    </row>
    <row r="23" spans="1:18" ht="13.5" thickBot="1">
      <c r="A23" s="769"/>
      <c r="B23" s="173" t="s">
        <v>2</v>
      </c>
      <c r="C23" s="105">
        <f>SUM(C16:C22)</f>
        <v>15689</v>
      </c>
      <c r="D23" s="116">
        <f>SUM(D16:D22)</f>
        <v>0</v>
      </c>
      <c r="E23" s="117">
        <f>SUM(E18:E22)</f>
        <v>0</v>
      </c>
      <c r="F23" s="121">
        <f>SUM(F15:F22)</f>
        <v>36</v>
      </c>
      <c r="G23" s="164"/>
      <c r="H23" s="171"/>
      <c r="I23" s="174"/>
      <c r="J23" s="219">
        <f>+'7'!J23</f>
        <v>0</v>
      </c>
      <c r="K23" s="244"/>
      <c r="L23" s="244"/>
      <c r="M23" s="122">
        <f>+K23+'7'!M23+L23</f>
        <v>0</v>
      </c>
    </row>
    <row r="24" spans="1:18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7</v>
      </c>
      <c r="G24" s="234" t="s">
        <v>12</v>
      </c>
      <c r="H24" s="235" t="s">
        <v>458</v>
      </c>
      <c r="I24" s="765" t="s">
        <v>492</v>
      </c>
      <c r="J24" s="219">
        <f>+'7'!J24</f>
        <v>0</v>
      </c>
      <c r="K24" s="244"/>
      <c r="L24" s="244"/>
      <c r="M24" s="122">
        <f>+K24+'7'!M24+L24</f>
        <v>0</v>
      </c>
    </row>
    <row r="25" spans="1:18" ht="13.5" thickBot="1">
      <c r="A25" s="768"/>
      <c r="B25" s="220" t="s">
        <v>498</v>
      </c>
      <c r="C25" s="231">
        <v>14289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+'7'!J25</f>
        <v>0</v>
      </c>
      <c r="K25" s="244"/>
      <c r="L25" s="244"/>
      <c r="M25" s="122">
        <f>+K25+'7'!M25+L25</f>
        <v>0</v>
      </c>
    </row>
    <row r="26" spans="1:18" ht="13.5" thickBot="1">
      <c r="A26" s="768"/>
      <c r="B26" s="220"/>
      <c r="C26" s="231"/>
      <c r="D26" s="222"/>
      <c r="E26" s="232"/>
      <c r="F26" s="233">
        <v>20</v>
      </c>
      <c r="G26" s="574" t="s">
        <v>12</v>
      </c>
      <c r="H26" s="238" t="s">
        <v>459</v>
      </c>
      <c r="I26" s="766"/>
      <c r="J26" s="219">
        <f>+'7'!J26</f>
        <v>0</v>
      </c>
      <c r="K26" s="244"/>
      <c r="L26" s="244"/>
      <c r="M26" s="122">
        <f>+K26+'7'!M26+L26</f>
        <v>0</v>
      </c>
    </row>
    <row r="27" spans="1:18" ht="51.75" thickBot="1">
      <c r="A27" s="768"/>
      <c r="B27" s="220"/>
      <c r="C27" s="221"/>
      <c r="D27" s="222"/>
      <c r="E27" s="230"/>
      <c r="F27" s="233"/>
      <c r="G27" s="242"/>
      <c r="H27" s="238" t="s">
        <v>489</v>
      </c>
      <c r="I27" s="766"/>
      <c r="J27" s="219">
        <f>+'7'!J27</f>
        <v>0</v>
      </c>
      <c r="K27" s="244"/>
      <c r="L27" s="244"/>
      <c r="M27" s="122">
        <f>+K27+'7'!M27+L27</f>
        <v>0</v>
      </c>
    </row>
    <row r="28" spans="1:18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+'7'!J28</f>
        <v>0</v>
      </c>
      <c r="K28" s="244"/>
      <c r="L28" s="244"/>
      <c r="M28" s="122">
        <f>+K28+'7'!M28+L28</f>
        <v>0</v>
      </c>
      <c r="P28" s="181"/>
      <c r="Q28" s="181"/>
      <c r="R28" s="181"/>
    </row>
    <row r="29" spans="1:18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+'7'!J29</f>
        <v>0</v>
      </c>
      <c r="K29" s="244"/>
      <c r="L29" s="244"/>
      <c r="M29" s="122">
        <f>+K29+'7'!M29+L29</f>
        <v>0</v>
      </c>
      <c r="Q29" s="181"/>
      <c r="R29" s="181"/>
    </row>
    <row r="30" spans="1:18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+'7'!J30</f>
        <v>0</v>
      </c>
      <c r="K30" s="244"/>
      <c r="L30" s="244"/>
      <c r="M30" s="122">
        <f>+K30+'7'!M30+L30</f>
        <v>0</v>
      </c>
    </row>
    <row r="31" spans="1:18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+'7'!J31</f>
        <v>0</v>
      </c>
      <c r="K31" s="244"/>
      <c r="L31" s="244"/>
      <c r="M31" s="122">
        <f>+K31+'7'!M31+L31</f>
        <v>0</v>
      </c>
    </row>
    <row r="32" spans="1:18" ht="13.5" thickBot="1">
      <c r="A32" s="769"/>
      <c r="B32" s="170" t="s">
        <v>2</v>
      </c>
      <c r="C32" s="104">
        <f>SUM(C25:C31)</f>
        <v>14289</v>
      </c>
      <c r="D32" s="105">
        <f>SUM(D25:D31)</f>
        <v>0</v>
      </c>
      <c r="E32" s="106">
        <f>SUM(E25:E31)</f>
        <v>0</v>
      </c>
      <c r="F32" s="107">
        <f>SUM(F24:F31)</f>
        <v>27</v>
      </c>
      <c r="G32" s="176"/>
      <c r="H32" s="177"/>
      <c r="I32" s="174"/>
      <c r="J32" s="219">
        <f>+'7'!J32</f>
        <v>0</v>
      </c>
      <c r="K32" s="246"/>
      <c r="L32" s="248"/>
      <c r="M32" s="122">
        <f>+K32+'7'!M32+L32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43187</v>
      </c>
      <c r="D34" s="112">
        <f>D14+D23+D32</f>
        <v>0</v>
      </c>
      <c r="E34" s="112">
        <f>E14+E23+E32</f>
        <v>0</v>
      </c>
      <c r="F34" s="113">
        <f>F14+F23+F32</f>
        <v>80</v>
      </c>
      <c r="H34" s="183"/>
      <c r="I34" s="183"/>
      <c r="J34" s="128" t="s">
        <v>28</v>
      </c>
      <c r="K34" s="129">
        <f>SUM(K7:K32)</f>
        <v>43187</v>
      </c>
      <c r="L34" s="217">
        <f>SUM(L7:L32)</f>
        <v>0</v>
      </c>
      <c r="M34" s="125">
        <f>SUM(M7:M32)</f>
        <v>290685</v>
      </c>
    </row>
    <row r="35" spans="1:13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(12.5*1440)/1440*G42*2.74*1440/1000000</f>
        <v>46.331207999999997</v>
      </c>
      <c r="J37" s="130">
        <f>+I37+'7'!J37</f>
        <v>339.71133138105631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80</v>
      </c>
      <c r="D38" s="123">
        <f>+C38+'7'!D38</f>
        <v>446</v>
      </c>
      <c r="E38" s="148">
        <f t="shared" ref="E38:E51" si="0">D38/60</f>
        <v>7.4333333333333336</v>
      </c>
      <c r="F38" s="328">
        <v>1220</v>
      </c>
      <c r="G38" s="328">
        <v>939.4</v>
      </c>
      <c r="H38" s="192" t="s">
        <v>64</v>
      </c>
      <c r="I38" s="250">
        <f>13.209+13.733+15.198</f>
        <v>42.14</v>
      </c>
      <c r="J38" s="132">
        <f>+I38+'7'!J38</f>
        <v>306.76800000000003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+C39+'7'!D39</f>
        <v>0</v>
      </c>
      <c r="E39" s="148">
        <f t="shared" si="0"/>
        <v>0</v>
      </c>
      <c r="F39" s="328">
        <v>1220</v>
      </c>
      <c r="G39" s="328">
        <v>939.4</v>
      </c>
      <c r="H39" s="192" t="s">
        <v>65</v>
      </c>
      <c r="I39" s="147"/>
      <c r="J39" s="134">
        <f>J37/G4</f>
        <v>42.463916422632039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+C40+'7'!D40</f>
        <v>0</v>
      </c>
      <c r="E40" s="148">
        <f t="shared" si="0"/>
        <v>0</v>
      </c>
      <c r="F40" s="328">
        <v>1220</v>
      </c>
      <c r="G40" s="328">
        <v>939.4</v>
      </c>
      <c r="H40" s="192" t="s">
        <v>67</v>
      </c>
      <c r="I40" s="123">
        <f>(K34+L34)/1000</f>
        <v>43.186999999999998</v>
      </c>
      <c r="J40" s="136">
        <f>+I40+'7'!J40</f>
        <v>290.685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+C41+'7'!D41</f>
        <v>57</v>
      </c>
      <c r="E41" s="148">
        <f t="shared" si="0"/>
        <v>0.95</v>
      </c>
      <c r="F41" s="328"/>
      <c r="G41" s="328"/>
      <c r="H41" s="192" t="s">
        <v>69</v>
      </c>
      <c r="I41" s="147"/>
      <c r="J41" s="134">
        <f>J40/G4</f>
        <v>36.335625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+C42+'7'!D42</f>
        <v>0</v>
      </c>
      <c r="E42" s="148">
        <f t="shared" si="0"/>
        <v>0</v>
      </c>
      <c r="F42" s="328">
        <f>+(480*F38+480*F39+480*F40)/1440</f>
        <v>1220</v>
      </c>
      <c r="G42" s="328">
        <f>+(480*G38+480*G39+480*G40)/1440</f>
        <v>939.4</v>
      </c>
      <c r="H42" s="192" t="s">
        <v>70</v>
      </c>
      <c r="I42" s="251" t="s">
        <v>492</v>
      </c>
      <c r="J42" s="137"/>
      <c r="K42" s="135" t="s">
        <v>71</v>
      </c>
    </row>
    <row r="43" spans="1:13" ht="17.45" customHeight="1">
      <c r="A43" s="776" t="s">
        <v>222</v>
      </c>
      <c r="B43" s="777"/>
      <c r="C43" s="169">
        <f>SUMIF($G$7:$G$31,"Change Grade",$F$7:$F$31)</f>
        <v>0</v>
      </c>
      <c r="D43" s="123">
        <f>+C43+'7'!D43</f>
        <v>0</v>
      </c>
      <c r="E43" s="148">
        <f t="shared" si="0"/>
        <v>0</v>
      </c>
      <c r="F43" s="328"/>
      <c r="G43" s="329"/>
      <c r="H43" s="193" t="s">
        <v>73</v>
      </c>
      <c r="I43" s="123">
        <f>+Report1!Z16</f>
        <v>59.2</v>
      </c>
      <c r="J43" s="138">
        <f>+I43+'7'!J43</f>
        <v>454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+C44+'7'!D44</f>
        <v>0</v>
      </c>
      <c r="E44" s="148">
        <f t="shared" si="0"/>
        <v>0</v>
      </c>
      <c r="F44" s="328"/>
      <c r="G44" s="329"/>
      <c r="H44" s="193" t="s">
        <v>74</v>
      </c>
      <c r="I44" s="123">
        <f>I43/I38</f>
        <v>1.4048410061699099</v>
      </c>
      <c r="J44" s="139">
        <f>J43/J38</f>
        <v>1.4799457570541907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+C45+'7'!D45</f>
        <v>0</v>
      </c>
      <c r="E45" s="148">
        <f t="shared" si="0"/>
        <v>0</v>
      </c>
      <c r="F45" s="328"/>
      <c r="G45" s="331"/>
      <c r="H45" s="193" t="s">
        <v>75</v>
      </c>
      <c r="I45" s="123">
        <f>I43/I40</f>
        <v>1.3707828744761157</v>
      </c>
      <c r="J45" s="139">
        <f>J43/J40</f>
        <v>1.5618280957049728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+C46+'7'!D46</f>
        <v>0</v>
      </c>
      <c r="E46" s="148">
        <f t="shared" si="0"/>
        <v>0</v>
      </c>
      <c r="F46" s="328"/>
      <c r="G46" s="329"/>
      <c r="H46" s="193" t="s">
        <v>77</v>
      </c>
      <c r="I46" s="145">
        <f>+SUMIF(Listrik!P15,"&gt;0")</f>
        <v>37804.26000000073</v>
      </c>
      <c r="J46" s="140">
        <f>+I46+'7'!J46</f>
        <v>295572.92000000033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+C47+'7'!D47</f>
        <v>0</v>
      </c>
      <c r="E47" s="148">
        <f t="shared" si="0"/>
        <v>0</v>
      </c>
      <c r="F47" s="328"/>
      <c r="G47" s="329"/>
      <c r="H47" s="193" t="s">
        <v>80</v>
      </c>
      <c r="I47" s="123">
        <f>I46/I38</f>
        <v>897.11105837685636</v>
      </c>
      <c r="J47" s="140">
        <f>J46/J38</f>
        <v>963.50636311479786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+C48+'7'!D48</f>
        <v>0</v>
      </c>
      <c r="E48" s="148">
        <f t="shared" si="0"/>
        <v>0</v>
      </c>
      <c r="F48" s="328"/>
      <c r="G48" s="329"/>
      <c r="H48" s="193" t="s">
        <v>81</v>
      </c>
      <c r="I48" s="123">
        <f>I46/I40</f>
        <v>875.36203024059864</v>
      </c>
      <c r="J48" s="140">
        <f>J46/J40</f>
        <v>1016.8151779417594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+C49+'7'!D49</f>
        <v>720</v>
      </c>
      <c r="E49" s="148">
        <f t="shared" si="0"/>
        <v>12</v>
      </c>
      <c r="F49" s="190"/>
      <c r="H49" s="193" t="s">
        <v>270</v>
      </c>
      <c r="I49" s="123">
        <f>+Report1!T16</f>
        <v>4448.3362704584015</v>
      </c>
      <c r="J49" s="140">
        <f>+I49+'7'!J49</f>
        <v>33094.750348105845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+C50+'7'!D50</f>
        <v>0</v>
      </c>
      <c r="E50" s="148">
        <f t="shared" si="0"/>
        <v>0</v>
      </c>
      <c r="F50" s="190"/>
      <c r="H50" s="193" t="s">
        <v>83</v>
      </c>
      <c r="I50" s="145">
        <f>I49/I38</f>
        <v>105.56089868197441</v>
      </c>
      <c r="J50" s="138">
        <f>J49/J38</f>
        <v>107.88201620803292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+C51+'7'!D51</f>
        <v>0</v>
      </c>
      <c r="E51" s="148">
        <f t="shared" si="0"/>
        <v>0</v>
      </c>
      <c r="F51" s="190"/>
      <c r="H51" s="195" t="s">
        <v>85</v>
      </c>
      <c r="I51" s="146">
        <f>I49/I40</f>
        <v>103.00174289620492</v>
      </c>
      <c r="J51" s="141">
        <f>J49/J40</f>
        <v>113.85090509694633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80</v>
      </c>
      <c r="D52" s="149">
        <f>SUM(D38:D51)</f>
        <v>1223</v>
      </c>
      <c r="E52" s="150">
        <f>SUM(E38:E51)</f>
        <v>20.383333333333333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5.5555555555555552E-2</v>
      </c>
      <c r="D53" s="151">
        <f>D52/(24*60*G4)</f>
        <v>0.10616319444444444</v>
      </c>
      <c r="E53" s="152">
        <f>E52/(G4*24)</f>
        <v>0.10616319444444444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+D34+'7'!J56</f>
        <v>2698</v>
      </c>
      <c r="K56" s="206">
        <f>J56/(J40+J56/1000)/1000</f>
        <v>9.1961701939103496E-3</v>
      </c>
    </row>
    <row r="57" spans="1:11">
      <c r="A57" s="181"/>
      <c r="I57" s="204" t="s">
        <v>88</v>
      </c>
      <c r="J57" s="205">
        <f>+E34+'7'!J57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A13" zoomScale="80" zoomScaleNormal="75" zoomScaleSheetLayoutView="80" workbookViewId="0">
      <selection activeCell="I37" sqref="I3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3.28515625" style="154" bestFit="1" customWidth="1"/>
    <col min="12" max="12" width="12" style="154" bestFit="1" customWidth="1"/>
    <col min="13" max="13" width="15.5703125" style="154" bestFit="1" customWidth="1"/>
    <col min="14" max="16384" width="9.140625" style="154"/>
  </cols>
  <sheetData>
    <row r="1" spans="1:26" ht="15.75">
      <c r="A1" s="153"/>
    </row>
    <row r="2" spans="1:26" ht="15.75">
      <c r="A2" s="153" t="s">
        <v>184</v>
      </c>
    </row>
    <row r="3" spans="1:26" ht="15">
      <c r="A3" s="155"/>
    </row>
    <row r="4" spans="1:26" ht="20.25">
      <c r="A4" s="156" t="s">
        <v>3</v>
      </c>
      <c r="B4" s="157"/>
      <c r="F4" s="158" t="s">
        <v>29</v>
      </c>
      <c r="G4" s="159">
        <v>7</v>
      </c>
      <c r="H4" s="159" t="str">
        <f>+'1'!H4</f>
        <v>.10.25</v>
      </c>
      <c r="J4" s="154">
        <f>493+580+539</f>
        <v>1612</v>
      </c>
    </row>
    <row r="5" spans="1:26" ht="13.5" thickBot="1">
      <c r="C5" s="160"/>
      <c r="D5" s="160"/>
    </row>
    <row r="6" spans="1:26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454</v>
      </c>
      <c r="O6" s="154">
        <v>1180</v>
      </c>
      <c r="P6" s="154">
        <f>+O6-O6*0.23</f>
        <v>908.59999999999991</v>
      </c>
      <c r="Q6" s="154">
        <f>60+45</f>
        <v>105</v>
      </c>
      <c r="R6" s="154">
        <f>+O6*Q6</f>
        <v>123900</v>
      </c>
      <c r="S6" s="154">
        <f>+P6*Q6</f>
        <v>95402.999999999985</v>
      </c>
      <c r="U6" s="154" t="s">
        <v>491</v>
      </c>
      <c r="V6" s="154">
        <v>1220</v>
      </c>
      <c r="W6" s="154">
        <v>939.4</v>
      </c>
      <c r="X6" s="154">
        <v>375</v>
      </c>
      <c r="Y6" s="154">
        <f>+V6*X6</f>
        <v>457500</v>
      </c>
      <c r="Z6" s="154">
        <f>+W6*X6</f>
        <v>352275</v>
      </c>
    </row>
    <row r="7" spans="1:26" ht="13.5" customHeight="1" thickBot="1">
      <c r="A7" s="762"/>
      <c r="B7" s="220" t="s">
        <v>479</v>
      </c>
      <c r="C7" s="221">
        <v>6740</v>
      </c>
      <c r="D7" s="222"/>
      <c r="E7" s="223"/>
      <c r="F7" s="233">
        <v>6</v>
      </c>
      <c r="G7" s="234" t="s">
        <v>12</v>
      </c>
      <c r="H7" s="235" t="s">
        <v>458</v>
      </c>
      <c r="I7" s="765" t="s">
        <v>456</v>
      </c>
      <c r="J7" s="219" t="str">
        <f>+'6'!J7</f>
        <v>F 12 VP OW</v>
      </c>
      <c r="K7" s="243"/>
      <c r="L7" s="247"/>
      <c r="M7" s="122">
        <f>+K7+'6'!M7+L7</f>
        <v>89181</v>
      </c>
      <c r="N7" s="154" t="s">
        <v>491</v>
      </c>
      <c r="O7" s="154">
        <v>1220</v>
      </c>
      <c r="P7" s="154">
        <f t="shared" ref="P7:P9" si="0">+O7-O7*0.23</f>
        <v>939.4</v>
      </c>
      <c r="Q7" s="154">
        <f>480-Q6</f>
        <v>375</v>
      </c>
      <c r="R7" s="154">
        <f>+O7*Q7</f>
        <v>457500</v>
      </c>
      <c r="S7" s="154">
        <f>+P7*Q7</f>
        <v>352275</v>
      </c>
      <c r="U7" s="154" t="s">
        <v>491</v>
      </c>
      <c r="V7" s="154">
        <v>1220</v>
      </c>
      <c r="W7" s="154">
        <v>939.4</v>
      </c>
      <c r="X7" s="154">
        <v>480</v>
      </c>
      <c r="Y7" s="154">
        <f>+V7*X7</f>
        <v>585600</v>
      </c>
      <c r="Z7" s="154">
        <f>+W7*X7</f>
        <v>450912</v>
      </c>
    </row>
    <row r="8" spans="1:26" ht="13.5" thickBot="1">
      <c r="A8" s="763"/>
      <c r="B8" s="220" t="s">
        <v>498</v>
      </c>
      <c r="C8" s="221">
        <f>6324</f>
        <v>6324</v>
      </c>
      <c r="D8" s="222"/>
      <c r="E8" s="224"/>
      <c r="F8" s="236"/>
      <c r="G8" s="574" t="s">
        <v>12</v>
      </c>
      <c r="H8" s="235" t="s">
        <v>286</v>
      </c>
      <c r="I8" s="766"/>
      <c r="J8" s="219" t="str">
        <f>+'6'!J8</f>
        <v>F 12,5 VP OW</v>
      </c>
      <c r="K8" s="244"/>
      <c r="L8" s="244"/>
      <c r="M8" s="122">
        <f>+K8+'6'!M8+L8</f>
        <v>10480</v>
      </c>
      <c r="P8" s="154">
        <f t="shared" si="0"/>
        <v>0</v>
      </c>
      <c r="R8" s="154">
        <f t="shared" ref="R8:R11" si="1">+O8*Q8</f>
        <v>0</v>
      </c>
      <c r="S8" s="154">
        <f t="shared" ref="S8:S11" si="2">+P8*Q8</f>
        <v>0</v>
      </c>
      <c r="U8" s="154" t="s">
        <v>491</v>
      </c>
      <c r="V8" s="154">
        <v>1220</v>
      </c>
      <c r="W8" s="154">
        <v>939.4</v>
      </c>
      <c r="X8" s="154">
        <v>83</v>
      </c>
      <c r="Y8" s="154">
        <f t="shared" ref="Y8:Y11" si="3">+V8*X8</f>
        <v>101260</v>
      </c>
      <c r="Z8" s="154">
        <f t="shared" ref="Z8:Z11" si="4">+W8*X8</f>
        <v>77970.2</v>
      </c>
    </row>
    <row r="9" spans="1:26" ht="13.5" thickBot="1">
      <c r="A9" s="763"/>
      <c r="B9" s="220"/>
      <c r="C9" s="221"/>
      <c r="D9" s="222"/>
      <c r="E9" s="225"/>
      <c r="F9" s="233">
        <f>26-6</f>
        <v>20</v>
      </c>
      <c r="G9" s="574" t="s">
        <v>12</v>
      </c>
      <c r="H9" s="238" t="s">
        <v>461</v>
      </c>
      <c r="I9" s="766"/>
      <c r="J9" s="219" t="str">
        <f>+'6'!J9</f>
        <v>T 13 VP OW</v>
      </c>
      <c r="K9" s="244">
        <f>+C7</f>
        <v>6740</v>
      </c>
      <c r="L9" s="244"/>
      <c r="M9" s="122">
        <f>+K9+'6'!M9+L9</f>
        <v>112205</v>
      </c>
      <c r="P9" s="154">
        <f t="shared" si="0"/>
        <v>0</v>
      </c>
      <c r="R9" s="154">
        <f t="shared" si="1"/>
        <v>0</v>
      </c>
      <c r="S9" s="154">
        <f t="shared" si="2"/>
        <v>0</v>
      </c>
      <c r="V9" s="154">
        <v>1200</v>
      </c>
      <c r="W9" s="154">
        <v>924</v>
      </c>
      <c r="X9" s="154">
        <v>387</v>
      </c>
      <c r="Y9" s="154">
        <f t="shared" si="3"/>
        <v>464400</v>
      </c>
      <c r="Z9" s="154">
        <f t="shared" si="4"/>
        <v>357588</v>
      </c>
    </row>
    <row r="10" spans="1:26" ht="26.25" thickBot="1">
      <c r="A10" s="763"/>
      <c r="B10" s="220"/>
      <c r="C10" s="221"/>
      <c r="D10" s="222"/>
      <c r="E10" s="224"/>
      <c r="F10" s="233"/>
      <c r="G10" s="242"/>
      <c r="H10" s="238" t="s">
        <v>486</v>
      </c>
      <c r="I10" s="766"/>
      <c r="J10" s="219" t="s">
        <v>498</v>
      </c>
      <c r="K10" s="244">
        <f>+C8+C16+C25</f>
        <v>35632</v>
      </c>
      <c r="L10" s="244"/>
      <c r="M10" s="122">
        <f>+K10+'6'!M10+L10</f>
        <v>35632</v>
      </c>
      <c r="R10" s="154">
        <f t="shared" si="1"/>
        <v>0</v>
      </c>
      <c r="S10" s="154">
        <f t="shared" si="2"/>
        <v>0</v>
      </c>
      <c r="V10" s="154">
        <v>1220</v>
      </c>
      <c r="W10" s="154">
        <v>939.4</v>
      </c>
      <c r="X10" s="154">
        <v>10</v>
      </c>
      <c r="Y10" s="154">
        <f t="shared" si="3"/>
        <v>12200</v>
      </c>
      <c r="Z10" s="154">
        <f t="shared" si="4"/>
        <v>9394</v>
      </c>
    </row>
    <row r="11" spans="1:26" ht="13.5" thickBot="1">
      <c r="A11" s="763"/>
      <c r="B11" s="220"/>
      <c r="C11" s="221"/>
      <c r="D11" s="222"/>
      <c r="E11" s="224"/>
      <c r="F11" s="233"/>
      <c r="G11" s="237"/>
      <c r="H11" s="238" t="s">
        <v>487</v>
      </c>
      <c r="I11" s="766"/>
      <c r="J11" s="219">
        <f>+'6'!J11</f>
        <v>0</v>
      </c>
      <c r="K11" s="244"/>
      <c r="L11" s="244"/>
      <c r="M11" s="122">
        <f>+K11+'6'!M11+L11</f>
        <v>0</v>
      </c>
      <c r="R11" s="154">
        <f t="shared" si="1"/>
        <v>0</v>
      </c>
      <c r="S11" s="154">
        <f t="shared" si="2"/>
        <v>0</v>
      </c>
      <c r="Y11" s="154">
        <f t="shared" si="3"/>
        <v>0</v>
      </c>
      <c r="Z11" s="154">
        <f t="shared" si="4"/>
        <v>0</v>
      </c>
    </row>
    <row r="12" spans="1:26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+'6'!J12</f>
        <v>0</v>
      </c>
      <c r="K12" s="244"/>
      <c r="L12" s="244"/>
      <c r="M12" s="122">
        <f>+K12+'6'!M12+L12</f>
        <v>0</v>
      </c>
      <c r="P12" s="154">
        <f t="shared" ref="P12" si="5">+O12-O12*0.17</f>
        <v>0</v>
      </c>
      <c r="W12" s="154">
        <f t="shared" ref="W12" si="6">+V12-V12*0.17</f>
        <v>0</v>
      </c>
    </row>
    <row r="13" spans="1:26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+'6'!J13</f>
        <v>0</v>
      </c>
      <c r="K13" s="244"/>
      <c r="L13" s="244"/>
      <c r="M13" s="122">
        <f>+K13+'6'!M13+L13</f>
        <v>0</v>
      </c>
      <c r="Q13" s="154">
        <f>SUM(Q5:Q11)</f>
        <v>480</v>
      </c>
      <c r="R13" s="154">
        <f>SUM(R5:R11)</f>
        <v>581400</v>
      </c>
      <c r="S13" s="154">
        <f>SUM(S5:S11)</f>
        <v>447678</v>
      </c>
    </row>
    <row r="14" spans="1:26" ht="13.5" thickBot="1">
      <c r="A14" s="764"/>
      <c r="B14" s="170" t="s">
        <v>2</v>
      </c>
      <c r="C14" s="104">
        <f>SUM(C7:C13)</f>
        <v>13064</v>
      </c>
      <c r="D14" s="116">
        <f>SUM(D7:D13)</f>
        <v>0</v>
      </c>
      <c r="E14" s="117">
        <f>SUM(E5:E13)</f>
        <v>0</v>
      </c>
      <c r="F14" s="121">
        <f>SUM(F7:F13)</f>
        <v>26</v>
      </c>
      <c r="G14" s="164"/>
      <c r="H14" s="171"/>
      <c r="I14" s="172"/>
      <c r="J14" s="219">
        <f>+'6'!J14</f>
        <v>0</v>
      </c>
      <c r="K14" s="244"/>
      <c r="L14" s="244"/>
      <c r="M14" s="122">
        <f>+K14+'6'!M14+L14</f>
        <v>0</v>
      </c>
      <c r="N14" s="154" t="s">
        <v>399</v>
      </c>
      <c r="Q14" s="154">
        <f>480-Q13</f>
        <v>0</v>
      </c>
      <c r="R14" s="154">
        <f>+R13/Q13</f>
        <v>1211.25</v>
      </c>
      <c r="S14" s="154">
        <f>+S13/Q13</f>
        <v>932.66250000000002</v>
      </c>
      <c r="U14" s="154" t="s">
        <v>399</v>
      </c>
    </row>
    <row r="15" spans="1:26" ht="13.5" customHeight="1" thickBot="1">
      <c r="A15" s="762"/>
      <c r="B15" s="170"/>
      <c r="C15" s="118">
        <f>C14/($C$23+$D$23+$E$23)</f>
        <v>0.87736736064472798</v>
      </c>
      <c r="D15" s="119">
        <f>D14/($C$23+$D$23+$E$23)</f>
        <v>0</v>
      </c>
      <c r="E15" s="120">
        <f>E14/($C$23+$D$23+$E$23)</f>
        <v>0</v>
      </c>
      <c r="F15" s="233">
        <v>9</v>
      </c>
      <c r="G15" s="234" t="s">
        <v>12</v>
      </c>
      <c r="H15" s="235" t="s">
        <v>458</v>
      </c>
      <c r="I15" s="765" t="s">
        <v>492</v>
      </c>
      <c r="J15" s="219">
        <f>+'6'!J15</f>
        <v>0</v>
      </c>
      <c r="K15" s="244"/>
      <c r="L15" s="244"/>
      <c r="M15" s="122">
        <f>+K15+'6'!M15+L15</f>
        <v>0</v>
      </c>
      <c r="Q15" s="181" t="e">
        <f>+Q14/P14</f>
        <v>#DIV/0!</v>
      </c>
      <c r="R15" s="181" t="e">
        <f>+R14/P14</f>
        <v>#DIV/0!</v>
      </c>
    </row>
    <row r="16" spans="1:26" ht="13.5" thickBot="1">
      <c r="A16" s="768"/>
      <c r="B16" s="220" t="s">
        <v>498</v>
      </c>
      <c r="C16" s="227">
        <v>14890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+'6'!J16</f>
        <v>0</v>
      </c>
      <c r="K16" s="234"/>
      <c r="L16" s="234"/>
      <c r="M16" s="122">
        <f>+K16+'6'!M16+L16</f>
        <v>0</v>
      </c>
      <c r="X16" s="154">
        <f>SUM(X5:X11)</f>
        <v>1335</v>
      </c>
      <c r="Y16" s="154">
        <f>SUM(Y5:Y11)</f>
        <v>1620960</v>
      </c>
      <c r="Z16" s="154">
        <f>SUM(Z5:Z11)</f>
        <v>1248139.2</v>
      </c>
    </row>
    <row r="17" spans="1:26" ht="13.5" thickBot="1">
      <c r="A17" s="768"/>
      <c r="B17" s="220"/>
      <c r="C17" s="221"/>
      <c r="D17" s="222"/>
      <c r="E17" s="230"/>
      <c r="F17" s="233">
        <v>20</v>
      </c>
      <c r="G17" s="574" t="s">
        <v>12</v>
      </c>
      <c r="H17" s="238" t="s">
        <v>429</v>
      </c>
      <c r="I17" s="766"/>
      <c r="J17" s="219">
        <f>+'6'!J17</f>
        <v>0</v>
      </c>
      <c r="K17" s="234"/>
      <c r="L17" s="234"/>
      <c r="M17" s="122">
        <f>+K17+'6'!M17+L17</f>
        <v>0</v>
      </c>
      <c r="N17" s="154" t="s">
        <v>491</v>
      </c>
      <c r="O17" s="154">
        <v>1220</v>
      </c>
      <c r="P17" s="154">
        <f>+O17-O17*0.23</f>
        <v>939.4</v>
      </c>
      <c r="Q17" s="154">
        <v>480</v>
      </c>
      <c r="R17" s="154">
        <f>+O17*Q17</f>
        <v>585600</v>
      </c>
      <c r="S17" s="154">
        <f>+P17*Q17</f>
        <v>450912</v>
      </c>
      <c r="Y17" s="154">
        <f>+Y16/X16</f>
        <v>1214.2022471910113</v>
      </c>
      <c r="Z17" s="154">
        <f>+Z16/X16</f>
        <v>934.93573033707867</v>
      </c>
    </row>
    <row r="18" spans="1:26" ht="51.75" thickBot="1">
      <c r="A18" s="768"/>
      <c r="B18" s="220"/>
      <c r="C18" s="221"/>
      <c r="D18" s="222"/>
      <c r="E18" s="230"/>
      <c r="F18" s="233"/>
      <c r="G18" s="242"/>
      <c r="H18" s="238" t="s">
        <v>488</v>
      </c>
      <c r="I18" s="766"/>
      <c r="J18" s="219">
        <f>+'6'!J18</f>
        <v>0</v>
      </c>
      <c r="K18" s="244"/>
      <c r="L18" s="244"/>
      <c r="M18" s="122">
        <f>+K18+'6'!M18+L18</f>
        <v>0</v>
      </c>
      <c r="P18" s="154">
        <f t="shared" ref="P18:P20" si="7">+O18-O18*0.23</f>
        <v>0</v>
      </c>
      <c r="Q18" s="154">
        <f>480-Q17</f>
        <v>0</v>
      </c>
      <c r="R18" s="154">
        <f>+O18*Q18</f>
        <v>0</v>
      </c>
      <c r="S18" s="154">
        <f>+P18*Q18</f>
        <v>0</v>
      </c>
    </row>
    <row r="19" spans="1:26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+'6'!J19</f>
        <v>0</v>
      </c>
      <c r="K19" s="244"/>
      <c r="L19" s="244"/>
      <c r="M19" s="122">
        <f>+K19+'6'!M19+L19</f>
        <v>0</v>
      </c>
      <c r="P19" s="154">
        <f t="shared" si="7"/>
        <v>0</v>
      </c>
      <c r="R19" s="154">
        <f t="shared" ref="R19:R22" si="8">+O19*Q19</f>
        <v>0</v>
      </c>
      <c r="S19" s="154">
        <f t="shared" ref="S19:S22" si="9">+P19*Q19</f>
        <v>0</v>
      </c>
    </row>
    <row r="20" spans="1:26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+'6'!J20</f>
        <v>0</v>
      </c>
      <c r="K20" s="245"/>
      <c r="L20" s="245"/>
      <c r="M20" s="122">
        <f>+K20+'6'!M20+L20</f>
        <v>0</v>
      </c>
      <c r="P20" s="154">
        <f t="shared" si="7"/>
        <v>0</v>
      </c>
      <c r="R20" s="154">
        <f t="shared" si="8"/>
        <v>0</v>
      </c>
      <c r="S20" s="154">
        <f t="shared" si="9"/>
        <v>0</v>
      </c>
    </row>
    <row r="21" spans="1:26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+'6'!J21</f>
        <v>0</v>
      </c>
      <c r="K21" s="244"/>
      <c r="L21" s="244"/>
      <c r="M21" s="122">
        <f>+K21+'6'!M21+L21</f>
        <v>0</v>
      </c>
      <c r="R21" s="154">
        <f t="shared" si="8"/>
        <v>0</v>
      </c>
      <c r="S21" s="154">
        <f t="shared" si="9"/>
        <v>0</v>
      </c>
    </row>
    <row r="22" spans="1:26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+'6'!J22</f>
        <v>0</v>
      </c>
      <c r="K22" s="244"/>
      <c r="L22" s="244"/>
      <c r="M22" s="122">
        <f>+K22+'6'!M22+L22</f>
        <v>0</v>
      </c>
      <c r="R22" s="154">
        <f t="shared" si="8"/>
        <v>0</v>
      </c>
      <c r="S22" s="154">
        <f t="shared" si="9"/>
        <v>0</v>
      </c>
    </row>
    <row r="23" spans="1:26" ht="13.5" thickBot="1">
      <c r="A23" s="769"/>
      <c r="B23" s="173" t="s">
        <v>2</v>
      </c>
      <c r="C23" s="105">
        <f>SUM(C16:C22)</f>
        <v>14890</v>
      </c>
      <c r="D23" s="116">
        <f>SUM(D16:D22)</f>
        <v>0</v>
      </c>
      <c r="E23" s="117">
        <f>SUM(E18:E22)</f>
        <v>0</v>
      </c>
      <c r="F23" s="121">
        <f>SUM(F15:F22)</f>
        <v>29</v>
      </c>
      <c r="G23" s="164"/>
      <c r="H23" s="171"/>
      <c r="I23" s="174"/>
      <c r="J23" s="219">
        <f>+'6'!J23</f>
        <v>0</v>
      </c>
      <c r="K23" s="244"/>
      <c r="L23" s="244"/>
      <c r="M23" s="122">
        <f>+K23+'6'!M23+L23</f>
        <v>0</v>
      </c>
      <c r="P23" s="154">
        <f t="shared" ref="P23" si="10">+O23-O23*0.17</f>
        <v>0</v>
      </c>
    </row>
    <row r="24" spans="1:26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9</v>
      </c>
      <c r="G24" s="234" t="s">
        <v>12</v>
      </c>
      <c r="H24" s="235" t="s">
        <v>458</v>
      </c>
      <c r="I24" s="765" t="s">
        <v>493</v>
      </c>
      <c r="J24" s="219">
        <f>+'6'!J24</f>
        <v>0</v>
      </c>
      <c r="K24" s="244"/>
      <c r="L24" s="244"/>
      <c r="M24" s="122">
        <f>+K24+'6'!M24+L24</f>
        <v>0</v>
      </c>
      <c r="Q24" s="154">
        <f>SUM(Q16:Q22)</f>
        <v>480</v>
      </c>
      <c r="R24" s="154">
        <f>SUM(R16:R22)</f>
        <v>585600</v>
      </c>
      <c r="S24" s="154">
        <f>SUM(S16:S22)</f>
        <v>450912</v>
      </c>
    </row>
    <row r="25" spans="1:26" ht="13.5" thickBot="1">
      <c r="A25" s="768"/>
      <c r="B25" s="220" t="s">
        <v>498</v>
      </c>
      <c r="C25" s="231">
        <v>14418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+'6'!J25</f>
        <v>0</v>
      </c>
      <c r="K25" s="244"/>
      <c r="L25" s="244"/>
      <c r="M25" s="122">
        <f>+K25+'6'!M25+L25</f>
        <v>0</v>
      </c>
      <c r="N25" s="154" t="s">
        <v>399</v>
      </c>
      <c r="Q25" s="154">
        <f>480-Q24</f>
        <v>0</v>
      </c>
      <c r="R25" s="154">
        <f>+R24/Q24</f>
        <v>1220</v>
      </c>
      <c r="S25" s="154">
        <f>+S24/Q24</f>
        <v>939.4</v>
      </c>
    </row>
    <row r="26" spans="1:26" ht="13.5" thickBot="1">
      <c r="A26" s="768"/>
      <c r="B26" s="220"/>
      <c r="C26" s="231"/>
      <c r="D26" s="222"/>
      <c r="E26" s="232"/>
      <c r="F26" s="233">
        <f>31-9</f>
        <v>22</v>
      </c>
      <c r="G26" s="574" t="s">
        <v>12</v>
      </c>
      <c r="H26" s="238" t="s">
        <v>429</v>
      </c>
      <c r="I26" s="766"/>
      <c r="J26" s="219">
        <f>+'6'!J26</f>
        <v>0</v>
      </c>
      <c r="K26" s="244"/>
      <c r="L26" s="244"/>
      <c r="M26" s="122">
        <f>+K26+'6'!M26+L26</f>
        <v>0</v>
      </c>
      <c r="Q26" s="181" t="e">
        <f>+Q25/P25</f>
        <v>#DIV/0!</v>
      </c>
      <c r="R26" s="181" t="e">
        <f>+R25/P25</f>
        <v>#DIV/0!</v>
      </c>
    </row>
    <row r="27" spans="1:26" ht="51.75" thickBot="1">
      <c r="A27" s="768"/>
      <c r="B27" s="220"/>
      <c r="C27" s="221"/>
      <c r="D27" s="222"/>
      <c r="E27" s="230"/>
      <c r="F27" s="233"/>
      <c r="G27" s="242"/>
      <c r="H27" s="238" t="s">
        <v>489</v>
      </c>
      <c r="I27" s="766"/>
      <c r="J27" s="219">
        <f>+'6'!J27</f>
        <v>0</v>
      </c>
      <c r="K27" s="244"/>
      <c r="L27" s="244"/>
      <c r="M27" s="122">
        <f>+K27+'6'!M27+L27</f>
        <v>0</v>
      </c>
      <c r="N27" s="154" t="s">
        <v>491</v>
      </c>
      <c r="O27" s="154">
        <v>1220</v>
      </c>
      <c r="P27" s="154">
        <f>+O27-O27*0.23</f>
        <v>939.4</v>
      </c>
      <c r="Q27" s="154">
        <f>60+23</f>
        <v>83</v>
      </c>
      <c r="R27" s="154">
        <f>+O27*Q27</f>
        <v>101260</v>
      </c>
      <c r="S27" s="154">
        <f>+P27*Q27</f>
        <v>77970.2</v>
      </c>
    </row>
    <row r="28" spans="1:26" ht="64.5" thickBot="1">
      <c r="A28" s="768"/>
      <c r="B28" s="220"/>
      <c r="C28" s="221"/>
      <c r="D28" s="222"/>
      <c r="E28" s="230"/>
      <c r="F28" s="236"/>
      <c r="G28" s="237"/>
      <c r="H28" s="238" t="s">
        <v>490</v>
      </c>
      <c r="I28" s="766"/>
      <c r="J28" s="219">
        <f>+'6'!J28</f>
        <v>0</v>
      </c>
      <c r="K28" s="244"/>
      <c r="L28" s="244"/>
      <c r="M28" s="122">
        <f>+K28+'6'!M28+L28</f>
        <v>0</v>
      </c>
      <c r="O28" s="154">
        <v>1200</v>
      </c>
      <c r="P28" s="154">
        <f t="shared" ref="P28:P30" si="11">+O28-O28*0.23</f>
        <v>924</v>
      </c>
      <c r="Q28" s="154">
        <f>480-Q27-Q29</f>
        <v>387</v>
      </c>
      <c r="R28" s="154">
        <f>+O28*Q28</f>
        <v>464400</v>
      </c>
      <c r="S28" s="154">
        <f>+P28*Q28</f>
        <v>357588</v>
      </c>
    </row>
    <row r="29" spans="1:26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+'6'!J29</f>
        <v>0</v>
      </c>
      <c r="K29" s="244"/>
      <c r="L29" s="244"/>
      <c r="M29" s="122">
        <f>+K29+'6'!M29+L29</f>
        <v>0</v>
      </c>
      <c r="O29" s="154">
        <v>1220</v>
      </c>
      <c r="P29" s="154">
        <f t="shared" si="11"/>
        <v>939.4</v>
      </c>
      <c r="Q29" s="154">
        <v>10</v>
      </c>
      <c r="R29" s="154">
        <f t="shared" ref="R29:R32" si="12">+O29*Q29</f>
        <v>12200</v>
      </c>
      <c r="S29" s="154">
        <f t="shared" ref="S29:S32" si="13">+P29*Q29</f>
        <v>9394</v>
      </c>
    </row>
    <row r="30" spans="1:26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+'6'!J30</f>
        <v>0</v>
      </c>
      <c r="K30" s="244"/>
      <c r="L30" s="244"/>
      <c r="M30" s="122">
        <f>+K30+'6'!M30+L30</f>
        <v>0</v>
      </c>
      <c r="P30" s="154">
        <f t="shared" si="11"/>
        <v>0</v>
      </c>
      <c r="R30" s="154">
        <f t="shared" si="12"/>
        <v>0</v>
      </c>
      <c r="S30" s="154">
        <f t="shared" si="13"/>
        <v>0</v>
      </c>
    </row>
    <row r="31" spans="1:26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+'6'!J31</f>
        <v>0</v>
      </c>
      <c r="K31" s="244"/>
      <c r="L31" s="244"/>
      <c r="M31" s="122">
        <f>+K31+'6'!M31+L31</f>
        <v>0</v>
      </c>
      <c r="R31" s="154">
        <f t="shared" si="12"/>
        <v>0</v>
      </c>
      <c r="S31" s="154">
        <f t="shared" si="13"/>
        <v>0</v>
      </c>
    </row>
    <row r="32" spans="1:26" ht="13.5" thickBot="1">
      <c r="A32" s="769"/>
      <c r="B32" s="170" t="s">
        <v>2</v>
      </c>
      <c r="C32" s="104">
        <f>SUM(C25:C31)</f>
        <v>14418</v>
      </c>
      <c r="D32" s="105">
        <f>SUM(D25:D31)</f>
        <v>0</v>
      </c>
      <c r="E32" s="106">
        <f>SUM(E25:E31)</f>
        <v>0</v>
      </c>
      <c r="F32" s="107">
        <f>SUM(F24:F31)</f>
        <v>31</v>
      </c>
      <c r="G32" s="176"/>
      <c r="H32" s="177"/>
      <c r="I32" s="174"/>
      <c r="J32" s="219">
        <f>+'6'!J32</f>
        <v>0</v>
      </c>
      <c r="K32" s="246"/>
      <c r="L32" s="248"/>
      <c r="M32" s="122">
        <f>+K32+'6'!M32+L32</f>
        <v>0</v>
      </c>
      <c r="R32" s="154">
        <f t="shared" si="12"/>
        <v>0</v>
      </c>
      <c r="S32" s="154">
        <f t="shared" si="13"/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P33" s="154">
        <f t="shared" ref="P33" si="14">+O33-O33*0.17</f>
        <v>0</v>
      </c>
    </row>
    <row r="34" spans="1:19" ht="13.5" thickBot="1">
      <c r="A34" s="770" t="s">
        <v>57</v>
      </c>
      <c r="B34" s="771"/>
      <c r="C34" s="112">
        <f>C14+C23+C32</f>
        <v>42372</v>
      </c>
      <c r="D34" s="112">
        <f>D14+D23+D32</f>
        <v>0</v>
      </c>
      <c r="E34" s="112">
        <f>E14+E23+E32</f>
        <v>0</v>
      </c>
      <c r="F34" s="113">
        <f>F14+F23+F32</f>
        <v>86</v>
      </c>
      <c r="H34" s="183"/>
      <c r="I34" s="183"/>
      <c r="J34" s="128" t="s">
        <v>28</v>
      </c>
      <c r="K34" s="129">
        <f>SUM(K7:K32)</f>
        <v>42372</v>
      </c>
      <c r="L34" s="217">
        <f>SUM(L7:L32)</f>
        <v>0</v>
      </c>
      <c r="M34" s="125">
        <f>SUM(M7:M32)</f>
        <v>247498</v>
      </c>
      <c r="Q34" s="154">
        <f>+Q27+Q28+Q29</f>
        <v>480</v>
      </c>
      <c r="R34" s="154">
        <f>+R27+R28+R29</f>
        <v>577860</v>
      </c>
      <c r="S34" s="154">
        <f>+S27+S28+S29</f>
        <v>444952.2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N35" s="154" t="s">
        <v>399</v>
      </c>
      <c r="Q35" s="154">
        <f>480-Q34</f>
        <v>0</v>
      </c>
      <c r="R35" s="154">
        <f>+R34/Q34</f>
        <v>1203.875</v>
      </c>
      <c r="S35" s="154">
        <f>+S34/Q34</f>
        <v>926.98374999999999</v>
      </c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  <c r="Q36" s="181" t="e">
        <f>+Q35/P35</f>
        <v>#DIV/0!</v>
      </c>
      <c r="R36" s="181" t="e">
        <f>+R35/P35</f>
        <v>#DIV/0!</v>
      </c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(13*105+1335*12.5)/1440*G42*2.74*1440/1000000</f>
        <v>46.150534617687505</v>
      </c>
      <c r="J37" s="130">
        <f>+I37+'6'!J37</f>
        <v>293.38012338105631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86</v>
      </c>
      <c r="D38" s="123">
        <f>+C38+'6'!D38</f>
        <v>366</v>
      </c>
      <c r="E38" s="148">
        <f t="shared" ref="E38:E51" si="15">D38/60</f>
        <v>6.1</v>
      </c>
      <c r="F38" s="328">
        <v>1211.25</v>
      </c>
      <c r="G38" s="328">
        <v>932.66250000000002</v>
      </c>
      <c r="H38" s="192" t="s">
        <v>64</v>
      </c>
      <c r="I38" s="250">
        <f>4.075+10.376+14.697+13.836</f>
        <v>42.984000000000002</v>
      </c>
      <c r="J38" s="132">
        <f>+I38+'6'!J38</f>
        <v>264.62800000000004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+C39+'6'!D39</f>
        <v>0</v>
      </c>
      <c r="E39" s="148">
        <f t="shared" si="15"/>
        <v>0</v>
      </c>
      <c r="F39" s="328">
        <v>1220</v>
      </c>
      <c r="G39" s="328">
        <v>939.4</v>
      </c>
      <c r="H39" s="192" t="s">
        <v>65</v>
      </c>
      <c r="I39" s="147"/>
      <c r="J39" s="134">
        <f>J37/G4</f>
        <v>41.911446197293756</v>
      </c>
      <c r="K39" s="135" t="s">
        <v>63</v>
      </c>
      <c r="N39" s="154" t="s">
        <v>454</v>
      </c>
      <c r="O39" s="154">
        <v>1180</v>
      </c>
      <c r="P39" s="154">
        <v>908.59999999999991</v>
      </c>
      <c r="Q39" s="154">
        <v>105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+C40+'6'!D40</f>
        <v>0</v>
      </c>
      <c r="E40" s="148">
        <f t="shared" si="15"/>
        <v>0</v>
      </c>
      <c r="F40" s="328">
        <v>1203.875</v>
      </c>
      <c r="G40" s="328">
        <v>926.98374999999999</v>
      </c>
      <c r="H40" s="192" t="s">
        <v>67</v>
      </c>
      <c r="I40" s="123">
        <f>(K34+L34)/1000</f>
        <v>42.372</v>
      </c>
      <c r="J40" s="136">
        <f>+I40+'6'!J40</f>
        <v>247.49799999999999</v>
      </c>
      <c r="K40" s="135" t="s">
        <v>63</v>
      </c>
      <c r="N40" s="154" t="s">
        <v>491</v>
      </c>
      <c r="O40" s="154">
        <v>1214.2022471910113</v>
      </c>
      <c r="P40" s="154">
        <v>934.93573033707867</v>
      </c>
      <c r="Q40" s="154">
        <v>1335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+C41+'6'!D41</f>
        <v>57</v>
      </c>
      <c r="E41" s="148">
        <f t="shared" si="15"/>
        <v>0.95</v>
      </c>
      <c r="F41" s="328"/>
      <c r="G41" s="328"/>
      <c r="H41" s="192" t="s">
        <v>69</v>
      </c>
      <c r="I41" s="147"/>
      <c r="J41" s="134">
        <f>J40/G4</f>
        <v>35.356857142857145</v>
      </c>
      <c r="K41" s="135" t="s">
        <v>63</v>
      </c>
      <c r="Q41" s="154">
        <f>+Q39+Q40</f>
        <v>1440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+C42+'6'!D42</f>
        <v>0</v>
      </c>
      <c r="E42" s="148">
        <f t="shared" si="15"/>
        <v>0</v>
      </c>
      <c r="F42" s="328">
        <f>+(480*F38+480*F39+480*F40)/1440</f>
        <v>1211.7083333333333</v>
      </c>
      <c r="G42" s="328">
        <f>+(480*G38+480*G39+480*G40)/1440</f>
        <v>933.01541666666662</v>
      </c>
      <c r="H42" s="192" t="s">
        <v>70</v>
      </c>
      <c r="I42" s="251" t="s">
        <v>494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+C43+'6'!D43</f>
        <v>0</v>
      </c>
      <c r="E43" s="148">
        <f t="shared" si="15"/>
        <v>0</v>
      </c>
      <c r="F43" s="328"/>
      <c r="G43" s="329"/>
      <c r="H43" s="193" t="s">
        <v>73</v>
      </c>
      <c r="I43" s="123">
        <f>+Report1!Z15</f>
        <v>58.9</v>
      </c>
      <c r="J43" s="138">
        <f>+I43+'6'!J43</f>
        <v>394.8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+C44+'6'!D44</f>
        <v>0</v>
      </c>
      <c r="E44" s="148">
        <f t="shared" si="15"/>
        <v>0</v>
      </c>
      <c r="F44" s="328"/>
      <c r="G44" s="329"/>
      <c r="H44" s="193" t="s">
        <v>74</v>
      </c>
      <c r="I44" s="123">
        <f>I43/I38</f>
        <v>1.3702773124883676</v>
      </c>
      <c r="J44" s="139">
        <f>J43/J38</f>
        <v>1.4919056184530735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+C45+'6'!D45</f>
        <v>0</v>
      </c>
      <c r="E45" s="148">
        <f t="shared" si="15"/>
        <v>0</v>
      </c>
      <c r="F45" s="328"/>
      <c r="G45" s="331"/>
      <c r="H45" s="193" t="s">
        <v>75</v>
      </c>
      <c r="I45" s="123">
        <f>I43/I40</f>
        <v>1.3900689134333994</v>
      </c>
      <c r="J45" s="139">
        <f>J43/J40</f>
        <v>1.5951644053689324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+C46+'6'!D46</f>
        <v>0</v>
      </c>
      <c r="E46" s="148">
        <f t="shared" si="15"/>
        <v>0</v>
      </c>
      <c r="F46" s="328"/>
      <c r="G46" s="329"/>
      <c r="H46" s="193" t="s">
        <v>77</v>
      </c>
      <c r="I46" s="145">
        <f>+SUMIF(Listrik!P14,"&gt;0")</f>
        <v>39433.300000000003</v>
      </c>
      <c r="J46" s="140">
        <f>+I46+'6'!J46</f>
        <v>257768.65999999963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+C47+'6'!D47</f>
        <v>0</v>
      </c>
      <c r="E47" s="148">
        <f t="shared" si="15"/>
        <v>0</v>
      </c>
      <c r="F47" s="328"/>
      <c r="G47" s="329"/>
      <c r="H47" s="193" t="s">
        <v>80</v>
      </c>
      <c r="I47" s="123">
        <f>I46/I38</f>
        <v>917.3948445933371</v>
      </c>
      <c r="J47" s="140">
        <f>J46/J38</f>
        <v>974.07931133515569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+C48+'6'!D48</f>
        <v>0</v>
      </c>
      <c r="E48" s="148">
        <f t="shared" si="15"/>
        <v>0</v>
      </c>
      <c r="F48" s="328"/>
      <c r="G48" s="329"/>
      <c r="H48" s="193" t="s">
        <v>81</v>
      </c>
      <c r="I48" s="123">
        <f>I46/I40</f>
        <v>930.64523742093843</v>
      </c>
      <c r="J48" s="140">
        <f>J46/J40</f>
        <v>1041.4979514985964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+C49+'6'!D49</f>
        <v>720</v>
      </c>
      <c r="E49" s="148">
        <f t="shared" si="15"/>
        <v>12</v>
      </c>
      <c r="F49" s="190"/>
      <c r="H49" s="193" t="s">
        <v>270</v>
      </c>
      <c r="I49" s="123">
        <f>+Report1!T15</f>
        <v>4214.2000207598085</v>
      </c>
      <c r="J49" s="140">
        <f>+I49+'6'!J49</f>
        <v>28646.414077647445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+C50+'6'!D50</f>
        <v>0</v>
      </c>
      <c r="E50" s="148">
        <f t="shared" si="15"/>
        <v>0</v>
      </c>
      <c r="F50" s="190"/>
      <c r="H50" s="193" t="s">
        <v>83</v>
      </c>
      <c r="I50" s="145">
        <f>I49/I38</f>
        <v>98.041132066811102</v>
      </c>
      <c r="J50" s="138">
        <f>J49/J38</f>
        <v>108.2516365526227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+C51+'6'!D51</f>
        <v>0</v>
      </c>
      <c r="E51" s="148">
        <f t="shared" si="15"/>
        <v>0</v>
      </c>
      <c r="F51" s="190"/>
      <c r="H51" s="195" t="s">
        <v>85</v>
      </c>
      <c r="I51" s="146">
        <f>I49/I40</f>
        <v>99.457189199466825</v>
      </c>
      <c r="J51" s="141">
        <f>J49/J40</f>
        <v>115.74402248764615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86</v>
      </c>
      <c r="D52" s="149">
        <f>SUM(D38:D51)</f>
        <v>1143</v>
      </c>
      <c r="E52" s="150">
        <f>SUM(E38:E51)</f>
        <v>19.05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5.9722222222222225E-2</v>
      </c>
      <c r="D53" s="151">
        <f>D52/(24*60*G4)</f>
        <v>0.11339285714285714</v>
      </c>
      <c r="E53" s="152">
        <f>E52/(G4*24)</f>
        <v>0.11339285714285714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+D34+'6'!J56</f>
        <v>2698</v>
      </c>
      <c r="K56" s="206">
        <f>J56/(J40+J56/1000)/1000</f>
        <v>1.0783545700171066E-2</v>
      </c>
    </row>
    <row r="57" spans="1:11">
      <c r="A57" s="181"/>
      <c r="I57" s="204" t="s">
        <v>88</v>
      </c>
      <c r="J57" s="205">
        <f>+E34+'6'!J57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D1" zoomScale="80" zoomScaleNormal="75" zoomScaleSheetLayoutView="80" workbookViewId="0">
      <selection activeCell="H27" sqref="H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2.855468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184</v>
      </c>
    </row>
    <row r="3" spans="1:15" ht="15">
      <c r="A3" s="155"/>
    </row>
    <row r="4" spans="1:15" ht="20.25">
      <c r="A4" s="156" t="s">
        <v>3</v>
      </c>
      <c r="B4" s="157"/>
      <c r="F4" s="158" t="s">
        <v>29</v>
      </c>
      <c r="G4" s="159">
        <v>6</v>
      </c>
      <c r="H4" s="159" t="str">
        <f>+'1'!H4</f>
        <v>.10.25</v>
      </c>
      <c r="J4" s="154">
        <f>545+593+517</f>
        <v>1655</v>
      </c>
    </row>
    <row r="5" spans="1:15" ht="13.5" thickBot="1">
      <c r="C5" s="160"/>
      <c r="D5" s="160"/>
    </row>
    <row r="6" spans="1:15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5" ht="13.5" customHeight="1" thickBot="1">
      <c r="A7" s="762"/>
      <c r="B7" s="220" t="s">
        <v>479</v>
      </c>
      <c r="C7" s="221">
        <v>12404</v>
      </c>
      <c r="D7" s="222"/>
      <c r="E7" s="223"/>
      <c r="F7" s="233">
        <v>9</v>
      </c>
      <c r="G7" s="234" t="s">
        <v>12</v>
      </c>
      <c r="H7" s="235" t="s">
        <v>458</v>
      </c>
      <c r="I7" s="765" t="s">
        <v>456</v>
      </c>
      <c r="J7" s="219" t="str">
        <f>+'5'!J7</f>
        <v>F 12 VP OW</v>
      </c>
      <c r="K7" s="243"/>
      <c r="L7" s="247"/>
      <c r="M7" s="122">
        <f>+K7+'5'!M7+L7</f>
        <v>89181</v>
      </c>
      <c r="N7" s="154">
        <v>1180</v>
      </c>
      <c r="O7" s="154">
        <f t="shared" ref="O7" si="0">+N7-N7*0.23</f>
        <v>908.59999999999991</v>
      </c>
    </row>
    <row r="8" spans="1:15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+'5'!J8</f>
        <v>F 12,5 VP OW</v>
      </c>
      <c r="K8" s="244"/>
      <c r="L8" s="244"/>
      <c r="M8" s="122">
        <f>+K8+'5'!M8+L8</f>
        <v>10480</v>
      </c>
      <c r="N8" s="154">
        <v>1180</v>
      </c>
      <c r="O8" s="154">
        <f t="shared" ref="O8:O9" si="1">+N8-N8*0.23</f>
        <v>908.59999999999991</v>
      </c>
    </row>
    <row r="9" spans="1:15" ht="13.5" thickBot="1">
      <c r="A9" s="763"/>
      <c r="B9" s="220"/>
      <c r="C9" s="221"/>
      <c r="D9" s="222"/>
      <c r="E9" s="225"/>
      <c r="F9" s="233">
        <f>23-9</f>
        <v>14</v>
      </c>
      <c r="G9" s="574" t="s">
        <v>12</v>
      </c>
      <c r="H9" s="238" t="s">
        <v>429</v>
      </c>
      <c r="I9" s="766"/>
      <c r="J9" s="219" t="str">
        <f>+'5'!J9</f>
        <v>T 13 VP OW</v>
      </c>
      <c r="K9" s="244">
        <f>+C34</f>
        <v>41719</v>
      </c>
      <c r="L9" s="244"/>
      <c r="M9" s="122">
        <f>+K9+'5'!M9+L9</f>
        <v>105465</v>
      </c>
      <c r="N9" s="154">
        <v>1180</v>
      </c>
      <c r="O9" s="154">
        <f t="shared" si="1"/>
        <v>908.59999999999991</v>
      </c>
    </row>
    <row r="10" spans="1:15" ht="26.25" thickBot="1">
      <c r="A10" s="763"/>
      <c r="B10" s="220"/>
      <c r="C10" s="221"/>
      <c r="D10" s="222"/>
      <c r="E10" s="224"/>
      <c r="F10" s="233"/>
      <c r="G10" s="242"/>
      <c r="H10" s="238" t="s">
        <v>484</v>
      </c>
      <c r="I10" s="766"/>
      <c r="J10" s="219">
        <f>+'5'!J10</f>
        <v>0</v>
      </c>
      <c r="K10" s="244"/>
      <c r="L10" s="244"/>
      <c r="M10" s="122">
        <f>+K10+'5'!M10+L10</f>
        <v>0</v>
      </c>
    </row>
    <row r="11" spans="1:15" ht="13.5" thickBot="1">
      <c r="A11" s="763"/>
      <c r="B11" s="220"/>
      <c r="C11" s="221"/>
      <c r="D11" s="222"/>
      <c r="E11" s="224"/>
      <c r="F11" s="233"/>
      <c r="G11" s="237"/>
      <c r="H11" s="238"/>
      <c r="I11" s="766"/>
      <c r="J11" s="219">
        <f>+'5'!J11</f>
        <v>0</v>
      </c>
      <c r="K11" s="244"/>
      <c r="L11" s="244"/>
      <c r="M11" s="122">
        <f>+K11+'5'!M11+L11</f>
        <v>0</v>
      </c>
    </row>
    <row r="12" spans="1:15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+'5'!J12</f>
        <v>0</v>
      </c>
      <c r="K12" s="244"/>
      <c r="L12" s="244"/>
      <c r="M12" s="122">
        <f>+K12+'5'!M12+L12</f>
        <v>0</v>
      </c>
    </row>
    <row r="13" spans="1:15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+'5'!J13</f>
        <v>0</v>
      </c>
      <c r="K13" s="244"/>
      <c r="L13" s="244"/>
      <c r="M13" s="122">
        <f>+K13+'5'!M13+L13</f>
        <v>0</v>
      </c>
    </row>
    <row r="14" spans="1:15" ht="13.5" thickBot="1">
      <c r="A14" s="764"/>
      <c r="B14" s="170" t="s">
        <v>2</v>
      </c>
      <c r="C14" s="104">
        <f>SUM(C7:C13)</f>
        <v>12404</v>
      </c>
      <c r="D14" s="116">
        <f>SUM(D7:D13)</f>
        <v>0</v>
      </c>
      <c r="E14" s="117">
        <f>SUM(E5:E13)</f>
        <v>0</v>
      </c>
      <c r="F14" s="121">
        <f>SUM(F7:F13)</f>
        <v>23</v>
      </c>
      <c r="G14" s="164"/>
      <c r="H14" s="171"/>
      <c r="I14" s="172"/>
      <c r="J14" s="219">
        <f>+'5'!J14</f>
        <v>0</v>
      </c>
      <c r="K14" s="244"/>
      <c r="L14" s="244"/>
      <c r="M14" s="122">
        <f>+K14+'5'!M14+L14</f>
        <v>0</v>
      </c>
    </row>
    <row r="15" spans="1:15" ht="13.5" customHeight="1" thickBot="1">
      <c r="A15" s="762"/>
      <c r="B15" s="170"/>
      <c r="C15" s="118">
        <f>C14/($C$23+$D$23+$E$23)</f>
        <v>0.86850581151099282</v>
      </c>
      <c r="D15" s="119">
        <f>D14/($C$23+$D$23+$E$23)</f>
        <v>0</v>
      </c>
      <c r="E15" s="120">
        <f>E14/($C$23+$D$23+$E$23)</f>
        <v>0</v>
      </c>
      <c r="F15" s="233">
        <v>9</v>
      </c>
      <c r="G15" s="234" t="s">
        <v>12</v>
      </c>
      <c r="H15" s="235" t="s">
        <v>458</v>
      </c>
      <c r="I15" s="765" t="s">
        <v>456</v>
      </c>
      <c r="J15" s="219">
        <f>+'5'!J15</f>
        <v>0</v>
      </c>
      <c r="K15" s="244"/>
      <c r="L15" s="244"/>
      <c r="M15" s="122">
        <f>+K15+'5'!M15+L15</f>
        <v>0</v>
      </c>
    </row>
    <row r="16" spans="1:15" ht="13.5" thickBot="1">
      <c r="A16" s="768"/>
      <c r="B16" s="220" t="s">
        <v>479</v>
      </c>
      <c r="C16" s="227">
        <v>14282</v>
      </c>
      <c r="D16" s="228"/>
      <c r="E16" s="229"/>
      <c r="F16" s="236"/>
      <c r="G16" s="574" t="s">
        <v>12</v>
      </c>
      <c r="H16" s="235" t="s">
        <v>286</v>
      </c>
      <c r="I16" s="766"/>
      <c r="J16" s="219">
        <f>+'5'!J16</f>
        <v>0</v>
      </c>
      <c r="K16" s="234"/>
      <c r="L16" s="234"/>
      <c r="M16" s="122">
        <f>+K16+'5'!M16+L16</f>
        <v>0</v>
      </c>
    </row>
    <row r="17" spans="1:13" ht="13.5" thickBot="1">
      <c r="A17" s="768"/>
      <c r="B17" s="220"/>
      <c r="C17" s="221"/>
      <c r="D17" s="222"/>
      <c r="E17" s="230"/>
      <c r="F17" s="233">
        <f>25-9</f>
        <v>16</v>
      </c>
      <c r="G17" s="574" t="s">
        <v>12</v>
      </c>
      <c r="H17" s="238" t="s">
        <v>429</v>
      </c>
      <c r="I17" s="766"/>
      <c r="J17" s="219">
        <f>+'5'!J17</f>
        <v>0</v>
      </c>
      <c r="K17" s="234"/>
      <c r="L17" s="234"/>
      <c r="M17" s="122">
        <f>+K17+'5'!M17+L17</f>
        <v>0</v>
      </c>
    </row>
    <row r="18" spans="1:13" ht="51.75" thickBot="1">
      <c r="A18" s="768"/>
      <c r="B18" s="220"/>
      <c r="C18" s="221"/>
      <c r="D18" s="222"/>
      <c r="E18" s="230"/>
      <c r="F18" s="233"/>
      <c r="G18" s="242"/>
      <c r="H18" s="238" t="s">
        <v>482</v>
      </c>
      <c r="I18" s="766"/>
      <c r="J18" s="219">
        <f>+'5'!J18</f>
        <v>0</v>
      </c>
      <c r="K18" s="244"/>
      <c r="L18" s="244"/>
      <c r="M18" s="122">
        <f>+K18+'5'!M18+L18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 t="s">
        <v>483</v>
      </c>
      <c r="I19" s="766"/>
      <c r="J19" s="219">
        <f>+'5'!J19</f>
        <v>0</v>
      </c>
      <c r="K19" s="244"/>
      <c r="L19" s="244"/>
      <c r="M19" s="122">
        <f>+K19+'5'!M19+L19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+'5'!J20</f>
        <v>0</v>
      </c>
      <c r="K20" s="245"/>
      <c r="L20" s="245"/>
      <c r="M20" s="122">
        <f>+K20+'5'!M20+L20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+'5'!J21</f>
        <v>0</v>
      </c>
      <c r="K21" s="244"/>
      <c r="L21" s="244"/>
      <c r="M21" s="122">
        <f>+K21+'5'!M21+L21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+'5'!J22</f>
        <v>0</v>
      </c>
      <c r="K22" s="244"/>
      <c r="L22" s="244"/>
      <c r="M22" s="122">
        <f>+K22+'5'!M22+L22</f>
        <v>0</v>
      </c>
    </row>
    <row r="23" spans="1:13" ht="13.5" thickBot="1">
      <c r="A23" s="769"/>
      <c r="B23" s="173" t="s">
        <v>2</v>
      </c>
      <c r="C23" s="105">
        <f>SUM(C16:C22)</f>
        <v>14282</v>
      </c>
      <c r="D23" s="116">
        <f>SUM(D16:D22)</f>
        <v>0</v>
      </c>
      <c r="E23" s="117">
        <f>SUM(E18:E22)</f>
        <v>0</v>
      </c>
      <c r="F23" s="121">
        <f>SUM(F15:F22)</f>
        <v>25</v>
      </c>
      <c r="G23" s="164"/>
      <c r="H23" s="171"/>
      <c r="I23" s="174"/>
      <c r="J23" s="219">
        <f>+'5'!J23</f>
        <v>0</v>
      </c>
      <c r="K23" s="244"/>
      <c r="L23" s="244"/>
      <c r="M23" s="122">
        <f>+K23+'5'!M23+L23</f>
        <v>0</v>
      </c>
    </row>
    <row r="24" spans="1:13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9</v>
      </c>
      <c r="G24" s="234" t="s">
        <v>12</v>
      </c>
      <c r="H24" s="235" t="s">
        <v>458</v>
      </c>
      <c r="I24" s="765" t="s">
        <v>456</v>
      </c>
      <c r="J24" s="219">
        <f>+'5'!J24</f>
        <v>0</v>
      </c>
      <c r="K24" s="244"/>
      <c r="L24" s="244"/>
      <c r="M24" s="122">
        <f>+K24+'5'!M24+L24</f>
        <v>0</v>
      </c>
    </row>
    <row r="25" spans="1:13" ht="13.5" thickBot="1">
      <c r="A25" s="768"/>
      <c r="B25" s="220" t="s">
        <v>479</v>
      </c>
      <c r="C25" s="231">
        <v>15033</v>
      </c>
      <c r="D25" s="222"/>
      <c r="E25" s="230"/>
      <c r="F25" s="236"/>
      <c r="G25" s="574" t="s">
        <v>12</v>
      </c>
      <c r="H25" s="235" t="s">
        <v>286</v>
      </c>
      <c r="I25" s="766"/>
      <c r="J25" s="219">
        <f>+'5'!J25</f>
        <v>0</v>
      </c>
      <c r="K25" s="244"/>
      <c r="L25" s="244"/>
      <c r="M25" s="122">
        <f>+K25+'5'!M25+L25</f>
        <v>0</v>
      </c>
    </row>
    <row r="26" spans="1:13" ht="13.5" thickBot="1">
      <c r="A26" s="768"/>
      <c r="B26" s="220"/>
      <c r="C26" s="231"/>
      <c r="D26" s="222"/>
      <c r="E26" s="232"/>
      <c r="F26" s="233">
        <f>28-9</f>
        <v>19</v>
      </c>
      <c r="G26" s="574" t="s">
        <v>12</v>
      </c>
      <c r="H26" s="238" t="s">
        <v>429</v>
      </c>
      <c r="I26" s="766"/>
      <c r="J26" s="219">
        <f>+'5'!J26</f>
        <v>0</v>
      </c>
      <c r="K26" s="244"/>
      <c r="L26" s="244"/>
      <c r="M26" s="122">
        <f>+K26+'5'!M26+L26</f>
        <v>0</v>
      </c>
    </row>
    <row r="27" spans="1:13" ht="51.75" thickBot="1">
      <c r="A27" s="768"/>
      <c r="B27" s="220"/>
      <c r="C27" s="221"/>
      <c r="D27" s="222"/>
      <c r="E27" s="230"/>
      <c r="F27" s="233"/>
      <c r="G27" s="242"/>
      <c r="H27" s="238" t="s">
        <v>480</v>
      </c>
      <c r="I27" s="766"/>
      <c r="J27" s="219">
        <f>+'5'!J27</f>
        <v>0</v>
      </c>
      <c r="K27" s="244"/>
      <c r="L27" s="244"/>
      <c r="M27" s="122">
        <f>+K27+'5'!M27+L27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 t="s">
        <v>481</v>
      </c>
      <c r="I28" s="766"/>
      <c r="J28" s="219">
        <f>+'5'!J28</f>
        <v>0</v>
      </c>
      <c r="K28" s="244"/>
      <c r="L28" s="244"/>
      <c r="M28" s="122">
        <f>+K28+'5'!M28+L28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+'5'!J29</f>
        <v>0</v>
      </c>
      <c r="K29" s="244"/>
      <c r="L29" s="244"/>
      <c r="M29" s="122">
        <f>+K29+'5'!M29+L29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+'5'!J30</f>
        <v>0</v>
      </c>
      <c r="K30" s="244"/>
      <c r="L30" s="244"/>
      <c r="M30" s="122">
        <f>+K30+'5'!M30+L30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+'5'!J31</f>
        <v>0</v>
      </c>
      <c r="K31" s="244"/>
      <c r="L31" s="244"/>
      <c r="M31" s="122">
        <f>+K31+'5'!M31+L31</f>
        <v>0</v>
      </c>
    </row>
    <row r="32" spans="1:13" ht="13.5" thickBot="1">
      <c r="A32" s="769"/>
      <c r="B32" s="170" t="s">
        <v>2</v>
      </c>
      <c r="C32" s="104">
        <f>SUM(C25:C31)</f>
        <v>15033</v>
      </c>
      <c r="D32" s="105">
        <f>SUM(D25:D31)</f>
        <v>0</v>
      </c>
      <c r="E32" s="106">
        <f>SUM(E25:E31)</f>
        <v>0</v>
      </c>
      <c r="F32" s="107">
        <f>SUM(F24:F31)</f>
        <v>28</v>
      </c>
      <c r="G32" s="176"/>
      <c r="H32" s="177"/>
      <c r="I32" s="174"/>
      <c r="J32" s="219">
        <f>+'5'!J32</f>
        <v>0</v>
      </c>
      <c r="K32" s="246"/>
      <c r="L32" s="248"/>
      <c r="M32" s="122">
        <f>+K32+'5'!M32+L32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41719</v>
      </c>
      <c r="D34" s="112">
        <f>D14+D23+D32</f>
        <v>0</v>
      </c>
      <c r="E34" s="112">
        <f>E14+E23+E32</f>
        <v>0</v>
      </c>
      <c r="F34" s="113">
        <f>F14+F23+F32</f>
        <v>76</v>
      </c>
      <c r="H34" s="183"/>
      <c r="I34" s="183"/>
      <c r="J34" s="128" t="s">
        <v>28</v>
      </c>
      <c r="K34" s="129">
        <f>SUM(K7:K32)</f>
        <v>41719</v>
      </c>
      <c r="L34" s="217">
        <f>SUM(L7:L32)</f>
        <v>0</v>
      </c>
      <c r="M34" s="125">
        <f>SUM(M7:M32)</f>
        <v>205126</v>
      </c>
    </row>
    <row r="35" spans="1:13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(13*1440)/1440*G42*2.74*1440/1000000</f>
        <v>46.604638079999994</v>
      </c>
      <c r="J37" s="130">
        <f>+I37+'5'!J37</f>
        <v>247.22958876336878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76</v>
      </c>
      <c r="D38" s="123">
        <f>+C38+'5'!D38</f>
        <v>280</v>
      </c>
      <c r="E38" s="148">
        <f t="shared" ref="E38:E51" si="2">D38/60</f>
        <v>4.666666666666667</v>
      </c>
      <c r="F38" s="328">
        <v>1180</v>
      </c>
      <c r="G38" s="328">
        <v>908.59999999999991</v>
      </c>
      <c r="H38" s="192" t="s">
        <v>64</v>
      </c>
      <c r="I38" s="250">
        <f>13.655+14.56+14.744</f>
        <v>42.959000000000003</v>
      </c>
      <c r="J38" s="132">
        <f>+I38+'5'!J38</f>
        <v>221.64400000000003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+C39+'5'!D39</f>
        <v>0</v>
      </c>
      <c r="E39" s="148">
        <f t="shared" si="2"/>
        <v>0</v>
      </c>
      <c r="F39" s="328">
        <v>1180</v>
      </c>
      <c r="G39" s="328">
        <v>908.59999999999991</v>
      </c>
      <c r="H39" s="192" t="s">
        <v>65</v>
      </c>
      <c r="I39" s="147"/>
      <c r="J39" s="134">
        <f>J37/G4</f>
        <v>41.204931460561461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+C40+'5'!D40</f>
        <v>0</v>
      </c>
      <c r="E40" s="148">
        <f t="shared" si="2"/>
        <v>0</v>
      </c>
      <c r="F40" s="328">
        <v>1180</v>
      </c>
      <c r="G40" s="328">
        <v>908.59999999999991</v>
      </c>
      <c r="H40" s="192" t="s">
        <v>67</v>
      </c>
      <c r="I40" s="123">
        <f>(K34+L34)/1000</f>
        <v>41.719000000000001</v>
      </c>
      <c r="J40" s="136">
        <f>+I40+'5'!J40</f>
        <v>205.12599999999998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+C41+'5'!D41</f>
        <v>57</v>
      </c>
      <c r="E41" s="148">
        <f t="shared" si="2"/>
        <v>0.95</v>
      </c>
      <c r="F41" s="328"/>
      <c r="G41" s="328"/>
      <c r="H41" s="192" t="s">
        <v>69</v>
      </c>
      <c r="I41" s="147"/>
      <c r="J41" s="134">
        <f>J40/G4</f>
        <v>34.187666666666665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+C42+'5'!D42</f>
        <v>0</v>
      </c>
      <c r="E42" s="148">
        <f t="shared" si="2"/>
        <v>0</v>
      </c>
      <c r="F42" s="328">
        <f>+(F38*480+F39*480+F40*480)/1440</f>
        <v>1180</v>
      </c>
      <c r="G42" s="328">
        <f>+(G38*480+G39*480+G40*480)/1440</f>
        <v>908.5999999999998</v>
      </c>
      <c r="H42" s="192" t="s">
        <v>70</v>
      </c>
      <c r="I42" s="251" t="s">
        <v>456</v>
      </c>
      <c r="J42" s="137"/>
      <c r="K42" s="135" t="s">
        <v>71</v>
      </c>
    </row>
    <row r="43" spans="1:13" ht="17.45" customHeight="1">
      <c r="A43" s="776" t="s">
        <v>222</v>
      </c>
      <c r="B43" s="777"/>
      <c r="C43" s="169">
        <f>SUMIF($G$7:$G$31,"Change Grade",$F$7:$F$31)</f>
        <v>0</v>
      </c>
      <c r="D43" s="123">
        <f>+C43+'5'!D43</f>
        <v>0</v>
      </c>
      <c r="E43" s="148">
        <f t="shared" si="2"/>
        <v>0</v>
      </c>
      <c r="F43" s="328"/>
      <c r="G43" s="329"/>
      <c r="H43" s="193" t="s">
        <v>73</v>
      </c>
      <c r="I43" s="123">
        <f>+Report1!Z14</f>
        <v>59.1</v>
      </c>
      <c r="J43" s="138">
        <f>+I43+'5'!J43</f>
        <v>335.90000000000003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+C44+'5'!D44</f>
        <v>0</v>
      </c>
      <c r="E44" s="148">
        <f t="shared" si="2"/>
        <v>0</v>
      </c>
      <c r="F44" s="328"/>
      <c r="G44" s="329"/>
      <c r="H44" s="193" t="s">
        <v>74</v>
      </c>
      <c r="I44" s="123">
        <f>I43/I38</f>
        <v>1.3757303475406784</v>
      </c>
      <c r="J44" s="139">
        <f>J43/J38</f>
        <v>1.5154933136019924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+C45+'5'!D45</f>
        <v>0</v>
      </c>
      <c r="E45" s="148">
        <f t="shared" si="2"/>
        <v>0</v>
      </c>
      <c r="F45" s="328"/>
      <c r="G45" s="331"/>
      <c r="H45" s="193" t="s">
        <v>75</v>
      </c>
      <c r="I45" s="123">
        <f>I43/I40</f>
        <v>1.4166207243701909</v>
      </c>
      <c r="J45" s="139">
        <f>J43/J40</f>
        <v>1.6375301034486125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+C46+'5'!D46</f>
        <v>0</v>
      </c>
      <c r="E46" s="148">
        <f t="shared" si="2"/>
        <v>0</v>
      </c>
      <c r="F46" s="328"/>
      <c r="G46" s="329"/>
      <c r="H46" s="193" t="s">
        <v>77</v>
      </c>
      <c r="I46" s="145">
        <f>+SUMIF(Listrik!P13,"&gt;0")</f>
        <v>37424.74</v>
      </c>
      <c r="J46" s="140">
        <f>+I46+'5'!J46</f>
        <v>218335.35999999964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+C47+'5'!D47</f>
        <v>0</v>
      </c>
      <c r="E47" s="148">
        <f t="shared" si="2"/>
        <v>0</v>
      </c>
      <c r="F47" s="328"/>
      <c r="G47" s="329"/>
      <c r="H47" s="193" t="s">
        <v>80</v>
      </c>
      <c r="I47" s="123">
        <f>I46/I38</f>
        <v>871.17344444703076</v>
      </c>
      <c r="J47" s="140">
        <f>J46/J38</f>
        <v>985.07227806752996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+C48+'5'!D48</f>
        <v>0</v>
      </c>
      <c r="E48" s="148">
        <f t="shared" si="2"/>
        <v>0</v>
      </c>
      <c r="F48" s="328"/>
      <c r="G48" s="329"/>
      <c r="H48" s="193" t="s">
        <v>81</v>
      </c>
      <c r="I48" s="123">
        <f>I46/I40</f>
        <v>897.06704379299595</v>
      </c>
      <c r="J48" s="140">
        <f>J46/J40</f>
        <v>1064.3963222604627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+C49+'5'!D49</f>
        <v>720</v>
      </c>
      <c r="E49" s="148">
        <f t="shared" si="2"/>
        <v>12</v>
      </c>
      <c r="F49" s="190"/>
      <c r="H49" s="193" t="s">
        <v>270</v>
      </c>
      <c r="I49" s="123">
        <f>+Report1!T14</f>
        <v>4467.8396533630257</v>
      </c>
      <c r="J49" s="140">
        <f>+I49+'5'!J49</f>
        <v>24432.214056887635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+C50+'5'!D50</f>
        <v>0</v>
      </c>
      <c r="E50" s="148">
        <f t="shared" si="2"/>
        <v>0</v>
      </c>
      <c r="F50" s="190"/>
      <c r="H50" s="193" t="s">
        <v>83</v>
      </c>
      <c r="I50" s="145">
        <f>I49/I38</f>
        <v>104.00241284394481</v>
      </c>
      <c r="J50" s="138">
        <f>J49/J38</f>
        <v>110.23178636411376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+C51+'5'!D51</f>
        <v>0</v>
      </c>
      <c r="E51" s="148">
        <f t="shared" si="2"/>
        <v>0</v>
      </c>
      <c r="F51" s="190"/>
      <c r="H51" s="195" t="s">
        <v>85</v>
      </c>
      <c r="I51" s="146">
        <f>I49/I40</f>
        <v>107.09364206627737</v>
      </c>
      <c r="J51" s="141">
        <f>J49/J40</f>
        <v>119.1083239418096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76</v>
      </c>
      <c r="D52" s="149">
        <f>SUM(D38:D51)</f>
        <v>1057</v>
      </c>
      <c r="E52" s="150">
        <f>SUM(E38:E51)</f>
        <v>17.616666666666667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5.2777777777777778E-2</v>
      </c>
      <c r="D53" s="151">
        <f>D52/(24*60*G4)</f>
        <v>0.12233796296296297</v>
      </c>
      <c r="E53" s="152">
        <f>E52/(G4*24)</f>
        <v>0.12233796296296297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+D34+'5'!J56</f>
        <v>2698</v>
      </c>
      <c r="K56" s="206">
        <f>J56/(J40+J56/1000)/1000</f>
        <v>1.2982138732773887E-2</v>
      </c>
    </row>
    <row r="57" spans="1:11">
      <c r="A57" s="181"/>
      <c r="I57" s="204" t="s">
        <v>88</v>
      </c>
      <c r="J57" s="205">
        <f>+E34+'5'!J57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0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topLeftCell="F4" zoomScale="80" zoomScaleNormal="75" zoomScaleSheetLayoutView="80" workbookViewId="0">
      <selection activeCell="N7" sqref="N7:S1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5</v>
      </c>
      <c r="H4" s="159" t="str">
        <f>+'1'!H4</f>
        <v>.10.25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9" ht="13.5" customHeight="1" thickBot="1">
      <c r="A7" s="762"/>
      <c r="B7" s="220" t="s">
        <v>479</v>
      </c>
      <c r="C7" s="221">
        <v>12963</v>
      </c>
      <c r="D7" s="222"/>
      <c r="E7" s="223"/>
      <c r="F7" s="233">
        <v>9</v>
      </c>
      <c r="G7" s="234" t="s">
        <v>12</v>
      </c>
      <c r="H7" s="235" t="s">
        <v>458</v>
      </c>
      <c r="I7" s="765" t="s">
        <v>455</v>
      </c>
      <c r="J7" s="219" t="str">
        <f>+'4'!J7</f>
        <v>F 12 VP OW</v>
      </c>
      <c r="K7" s="243"/>
      <c r="L7" s="247"/>
      <c r="M7" s="122">
        <f>+K7+'4'!M7+L7</f>
        <v>89181</v>
      </c>
      <c r="N7" s="154" t="s">
        <v>454</v>
      </c>
      <c r="O7" s="154">
        <v>1160</v>
      </c>
      <c r="P7" s="154">
        <f>+O7-O7*0.23</f>
        <v>893.2</v>
      </c>
      <c r="Q7" s="154">
        <v>480</v>
      </c>
      <c r="R7" s="154">
        <f>+O7*Q7</f>
        <v>556800</v>
      </c>
      <c r="S7" s="154">
        <f>+P7*Q7</f>
        <v>428736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 t="str">
        <f>+'4'!J8</f>
        <v>F 12,5 VP OW</v>
      </c>
      <c r="K8" s="244"/>
      <c r="L8" s="244"/>
      <c r="M8" s="122">
        <f>+K8+'4'!M8+L8</f>
        <v>10480</v>
      </c>
      <c r="O8" s="154">
        <v>1160</v>
      </c>
      <c r="P8" s="154">
        <f t="shared" ref="P8:P9" si="0">+O8-O8*0.23</f>
        <v>893.2</v>
      </c>
      <c r="Q8" s="154">
        <v>480</v>
      </c>
      <c r="R8" s="154">
        <f>+O8*Q8</f>
        <v>556800</v>
      </c>
      <c r="S8" s="154">
        <f>+P8*Q8</f>
        <v>428736</v>
      </c>
    </row>
    <row r="9" spans="1:19" ht="13.5" thickBot="1">
      <c r="A9" s="763"/>
      <c r="B9" s="220"/>
      <c r="C9" s="221"/>
      <c r="D9" s="222"/>
      <c r="E9" s="225"/>
      <c r="F9" s="233">
        <f>26-9</f>
        <v>17</v>
      </c>
      <c r="G9" s="574" t="s">
        <v>12</v>
      </c>
      <c r="H9" s="238" t="s">
        <v>412</v>
      </c>
      <c r="I9" s="766"/>
      <c r="J9" s="219" t="str">
        <f>+'4'!J9</f>
        <v>T 13 VP OW</v>
      </c>
      <c r="K9" s="244">
        <f>+C34</f>
        <v>40324</v>
      </c>
      <c r="L9" s="244"/>
      <c r="M9" s="122">
        <f>+K9+'4'!M9+L9</f>
        <v>63746</v>
      </c>
      <c r="O9" s="154">
        <v>1180</v>
      </c>
      <c r="P9" s="154">
        <f t="shared" si="0"/>
        <v>908.59999999999991</v>
      </c>
      <c r="Q9" s="154">
        <v>480</v>
      </c>
      <c r="R9" s="154">
        <f t="shared" ref="R9:R12" si="1">+O9*Q9</f>
        <v>566400</v>
      </c>
      <c r="S9" s="154">
        <f t="shared" ref="S9:S12" si="2">+P9*Q9</f>
        <v>436127.99999999994</v>
      </c>
    </row>
    <row r="10" spans="1:19" ht="26.25" thickBot="1">
      <c r="A10" s="763"/>
      <c r="B10" s="220"/>
      <c r="C10" s="221"/>
      <c r="D10" s="222"/>
      <c r="E10" s="224"/>
      <c r="F10" s="233"/>
      <c r="G10" s="242"/>
      <c r="H10" s="238" t="s">
        <v>452</v>
      </c>
      <c r="I10" s="766"/>
      <c r="J10" s="219">
        <f>+'4'!J10</f>
        <v>0</v>
      </c>
      <c r="K10" s="244"/>
      <c r="L10" s="244"/>
      <c r="M10" s="122">
        <f>+K10+'4'!M10+L10</f>
        <v>0</v>
      </c>
      <c r="P10" s="154">
        <f t="shared" ref="P10" si="3">+O10-O10*0.23</f>
        <v>0</v>
      </c>
      <c r="R10" s="154">
        <f t="shared" si="1"/>
        <v>0</v>
      </c>
      <c r="S10" s="154">
        <f t="shared" si="2"/>
        <v>0</v>
      </c>
    </row>
    <row r="11" spans="1:19" ht="26.25" thickBot="1">
      <c r="A11" s="763"/>
      <c r="B11" s="220"/>
      <c r="C11" s="221"/>
      <c r="D11" s="222"/>
      <c r="E11" s="224"/>
      <c r="F11" s="233"/>
      <c r="G11" s="237"/>
      <c r="H11" s="238" t="s">
        <v>453</v>
      </c>
      <c r="I11" s="766"/>
      <c r="J11" s="219">
        <f>+'4'!J11</f>
        <v>0</v>
      </c>
      <c r="K11" s="244"/>
      <c r="L11" s="244"/>
      <c r="M11" s="122">
        <f>+K11+'4'!M11+L11</f>
        <v>0</v>
      </c>
      <c r="R11" s="154">
        <f t="shared" si="1"/>
        <v>0</v>
      </c>
      <c r="S11" s="154">
        <f t="shared" si="2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+'4'!J12</f>
        <v>0</v>
      </c>
      <c r="K12" s="244"/>
      <c r="L12" s="244"/>
      <c r="M12" s="122">
        <f>+K12+'4'!M12+L12</f>
        <v>0</v>
      </c>
      <c r="R12" s="154">
        <f t="shared" si="1"/>
        <v>0</v>
      </c>
      <c r="S12" s="154">
        <f t="shared" si="2"/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+'4'!J13</f>
        <v>0</v>
      </c>
      <c r="K13" s="244"/>
      <c r="L13" s="244"/>
      <c r="M13" s="122">
        <f>+K13+'4'!M13+L13</f>
        <v>0</v>
      </c>
      <c r="P13" s="154">
        <f t="shared" ref="P13" si="4">+O13-O13*0.17</f>
        <v>0</v>
      </c>
    </row>
    <row r="14" spans="1:19" ht="13.5" thickBot="1">
      <c r="A14" s="764"/>
      <c r="B14" s="170" t="s">
        <v>2</v>
      </c>
      <c r="C14" s="104">
        <f>SUM(C7:C13)</f>
        <v>12963</v>
      </c>
      <c r="D14" s="116">
        <f>SUM(D7:D13)</f>
        <v>0</v>
      </c>
      <c r="E14" s="117">
        <f>SUM(E5:E13)</f>
        <v>0</v>
      </c>
      <c r="F14" s="121">
        <f>SUM(F7:F13)</f>
        <v>26</v>
      </c>
      <c r="G14" s="164"/>
      <c r="H14" s="171"/>
      <c r="I14" s="172"/>
      <c r="J14" s="219">
        <f>+'4'!J14</f>
        <v>0</v>
      </c>
      <c r="K14" s="244"/>
      <c r="L14" s="244"/>
      <c r="M14" s="122">
        <f>+K14+'4'!M14+L14</f>
        <v>0</v>
      </c>
      <c r="Q14" s="154">
        <f>SUM(Q6:Q12)</f>
        <v>1440</v>
      </c>
      <c r="R14" s="154">
        <f>SUM(R6:R12)</f>
        <v>1680000</v>
      </c>
      <c r="S14" s="154">
        <f>SUM(S6:S12)</f>
        <v>1293600</v>
      </c>
    </row>
    <row r="15" spans="1:19" ht="13.5" customHeight="1" thickBot="1">
      <c r="A15" s="762"/>
      <c r="B15" s="170"/>
      <c r="C15" s="118">
        <f>C14/($C$23+$D$23+$E$23)</f>
        <v>0.90077131540546174</v>
      </c>
      <c r="D15" s="119">
        <f>D14/($C$23+$D$23+$E$23)</f>
        <v>0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455</v>
      </c>
      <c r="J15" s="219">
        <f>+'4'!J15</f>
        <v>0</v>
      </c>
      <c r="K15" s="244"/>
      <c r="L15" s="244"/>
      <c r="M15" s="122">
        <f>+K15+'4'!M15+L15</f>
        <v>0</v>
      </c>
      <c r="N15" s="154" t="s">
        <v>399</v>
      </c>
      <c r="Q15" s="154">
        <f>480-Q14</f>
        <v>-960</v>
      </c>
      <c r="R15" s="154">
        <f>+R14/Q14</f>
        <v>1166.6666666666667</v>
      </c>
      <c r="S15" s="154">
        <f>+S14/Q14</f>
        <v>898.33333333333337</v>
      </c>
    </row>
    <row r="16" spans="1:19" ht="13.5" thickBot="1">
      <c r="A16" s="768"/>
      <c r="B16" s="220" t="s">
        <v>479</v>
      </c>
      <c r="C16" s="227">
        <v>14391</v>
      </c>
      <c r="D16" s="228"/>
      <c r="E16" s="229"/>
      <c r="F16" s="236">
        <v>2</v>
      </c>
      <c r="G16" s="574" t="s">
        <v>12</v>
      </c>
      <c r="H16" s="235" t="s">
        <v>430</v>
      </c>
      <c r="I16" s="766"/>
      <c r="J16" s="219">
        <f>+'4'!J16</f>
        <v>0</v>
      </c>
      <c r="K16" s="234"/>
      <c r="L16" s="234"/>
      <c r="M16" s="122">
        <f>+K16+'4'!M16+L16</f>
        <v>0</v>
      </c>
      <c r="Q16" s="181" t="e">
        <f>+Q15/P15</f>
        <v>#DIV/0!</v>
      </c>
      <c r="R16" s="181" t="e">
        <f>+R15/P15</f>
        <v>#DIV/0!</v>
      </c>
    </row>
    <row r="17" spans="1:13" ht="13.5" thickBot="1">
      <c r="A17" s="768"/>
      <c r="B17" s="220"/>
      <c r="C17" s="221"/>
      <c r="D17" s="222"/>
      <c r="E17" s="230"/>
      <c r="F17" s="233">
        <v>3</v>
      </c>
      <c r="G17" s="574" t="s">
        <v>12</v>
      </c>
      <c r="H17" s="238" t="s">
        <v>459</v>
      </c>
      <c r="I17" s="766"/>
      <c r="J17" s="219">
        <f>+'4'!J17</f>
        <v>0</v>
      </c>
      <c r="K17" s="234"/>
      <c r="L17" s="234"/>
      <c r="M17" s="122">
        <f>+K17+'4'!M17+L17</f>
        <v>0</v>
      </c>
    </row>
    <row r="18" spans="1:13" ht="26.25" thickBot="1">
      <c r="A18" s="768"/>
      <c r="B18" s="220"/>
      <c r="C18" s="221"/>
      <c r="D18" s="222"/>
      <c r="E18" s="230"/>
      <c r="F18" s="233"/>
      <c r="G18" s="242"/>
      <c r="H18" s="238" t="s">
        <v>452</v>
      </c>
      <c r="I18" s="766"/>
      <c r="J18" s="219">
        <f>+'4'!J18</f>
        <v>0</v>
      </c>
      <c r="K18" s="244"/>
      <c r="L18" s="244"/>
      <c r="M18" s="122">
        <f>+K18+'4'!M18+L18</f>
        <v>0</v>
      </c>
    </row>
    <row r="19" spans="1:13" ht="13.5" thickBot="1">
      <c r="A19" s="768"/>
      <c r="B19" s="220"/>
      <c r="C19" s="221"/>
      <c r="D19" s="222"/>
      <c r="E19" s="230"/>
      <c r="F19" s="240"/>
      <c r="G19" s="237"/>
      <c r="H19" s="238"/>
      <c r="I19" s="766"/>
      <c r="J19" s="219">
        <f>+'4'!J19</f>
        <v>0</v>
      </c>
      <c r="K19" s="244"/>
      <c r="L19" s="244"/>
      <c r="M19" s="122">
        <f>+K19+'4'!M19+L19</f>
        <v>0</v>
      </c>
    </row>
    <row r="20" spans="1:13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+'4'!J20</f>
        <v>0</v>
      </c>
      <c r="K20" s="245"/>
      <c r="L20" s="245"/>
      <c r="M20" s="122">
        <f>+K20+'4'!M20+L20</f>
        <v>0</v>
      </c>
    </row>
    <row r="21" spans="1:13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+'4'!J21</f>
        <v>0</v>
      </c>
      <c r="K21" s="244"/>
      <c r="L21" s="244"/>
      <c r="M21" s="122">
        <f>+K21+'4'!M21+L21</f>
        <v>0</v>
      </c>
    </row>
    <row r="22" spans="1:13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+'4'!J22</f>
        <v>0</v>
      </c>
      <c r="K22" s="244"/>
      <c r="L22" s="244"/>
      <c r="M22" s="122">
        <f>+K22+'4'!M22+L22</f>
        <v>0</v>
      </c>
    </row>
    <row r="23" spans="1:13" ht="13.5" thickBot="1">
      <c r="A23" s="769"/>
      <c r="B23" s="173" t="s">
        <v>2</v>
      </c>
      <c r="C23" s="105">
        <f>SUM(C16:C22)</f>
        <v>14391</v>
      </c>
      <c r="D23" s="116">
        <f>SUM(D16:D22)</f>
        <v>0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19">
        <f>+'4'!J23</f>
        <v>0</v>
      </c>
      <c r="K23" s="244"/>
      <c r="L23" s="244"/>
      <c r="M23" s="122">
        <f>+K23+'4'!M23+L23</f>
        <v>0</v>
      </c>
    </row>
    <row r="24" spans="1:13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456</v>
      </c>
      <c r="J24" s="219">
        <f>+'4'!J24</f>
        <v>0</v>
      </c>
      <c r="K24" s="244"/>
      <c r="L24" s="244"/>
      <c r="M24" s="122">
        <f>+K24+'4'!M24+L24</f>
        <v>0</v>
      </c>
    </row>
    <row r="25" spans="1:13" ht="13.5" thickBot="1">
      <c r="A25" s="768"/>
      <c r="B25" s="220" t="s">
        <v>479</v>
      </c>
      <c r="C25" s="231">
        <v>12970</v>
      </c>
      <c r="D25" s="222">
        <v>256</v>
      </c>
      <c r="E25" s="230"/>
      <c r="F25" s="236">
        <v>9</v>
      </c>
      <c r="G25" s="574" t="s">
        <v>12</v>
      </c>
      <c r="H25" s="235" t="s">
        <v>460</v>
      </c>
      <c r="I25" s="766"/>
      <c r="J25" s="219">
        <f>+'4'!J25</f>
        <v>0</v>
      </c>
      <c r="K25" s="244"/>
      <c r="L25" s="244"/>
      <c r="M25" s="122">
        <f>+K25+'4'!M25+L25</f>
        <v>0</v>
      </c>
    </row>
    <row r="26" spans="1:13" ht="13.5" thickBot="1">
      <c r="A26" s="768"/>
      <c r="B26" s="220"/>
      <c r="C26" s="231"/>
      <c r="D26" s="222"/>
      <c r="E26" s="232"/>
      <c r="F26" s="233">
        <v>10</v>
      </c>
      <c r="G26" s="574" t="s">
        <v>12</v>
      </c>
      <c r="H26" s="238" t="s">
        <v>461</v>
      </c>
      <c r="I26" s="766"/>
      <c r="J26" s="219">
        <f>+'4'!J26</f>
        <v>0</v>
      </c>
      <c r="K26" s="244"/>
      <c r="L26" s="244"/>
      <c r="M26" s="122">
        <f>+K26+'4'!M26+L26</f>
        <v>0</v>
      </c>
    </row>
    <row r="27" spans="1:13" ht="26.25" thickBot="1">
      <c r="A27" s="768"/>
      <c r="B27" s="220"/>
      <c r="C27" s="221"/>
      <c r="D27" s="222"/>
      <c r="E27" s="230"/>
      <c r="F27" s="233"/>
      <c r="G27" s="242"/>
      <c r="H27" s="238" t="s">
        <v>451</v>
      </c>
      <c r="I27" s="766"/>
      <c r="J27" s="219">
        <f>+'4'!J27</f>
        <v>0</v>
      </c>
      <c r="K27" s="244"/>
      <c r="L27" s="244"/>
      <c r="M27" s="122">
        <f>+K27+'4'!M27+L27</f>
        <v>0</v>
      </c>
    </row>
    <row r="28" spans="1:13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+'4'!J28</f>
        <v>0</v>
      </c>
      <c r="K28" s="244"/>
      <c r="L28" s="244"/>
      <c r="M28" s="122">
        <f>+K28+'4'!M28+L28</f>
        <v>0</v>
      </c>
    </row>
    <row r="29" spans="1:13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+'4'!J29</f>
        <v>0</v>
      </c>
      <c r="K29" s="244"/>
      <c r="L29" s="244"/>
      <c r="M29" s="122">
        <f>+K29+'4'!M29+L29</f>
        <v>0</v>
      </c>
    </row>
    <row r="30" spans="1:13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+'4'!J30</f>
        <v>0</v>
      </c>
      <c r="K30" s="244"/>
      <c r="L30" s="244"/>
      <c r="M30" s="122">
        <f>+K30+'4'!M30+L30</f>
        <v>0</v>
      </c>
    </row>
    <row r="31" spans="1:13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+'4'!J31</f>
        <v>0</v>
      </c>
      <c r="K31" s="244"/>
      <c r="L31" s="244"/>
      <c r="M31" s="122">
        <f>+K31+'4'!M31+L31</f>
        <v>0</v>
      </c>
    </row>
    <row r="32" spans="1:13" ht="13.5" thickBot="1">
      <c r="A32" s="769"/>
      <c r="B32" s="170" t="s">
        <v>2</v>
      </c>
      <c r="C32" s="104">
        <f>SUM(C25:C31)</f>
        <v>12970</v>
      </c>
      <c r="D32" s="105">
        <f>SUM(D25:D31)</f>
        <v>256</v>
      </c>
      <c r="E32" s="106">
        <f>SUM(E25:E31)</f>
        <v>0</v>
      </c>
      <c r="F32" s="107">
        <f>SUM(F24:F31)</f>
        <v>19</v>
      </c>
      <c r="G32" s="176"/>
      <c r="H32" s="177"/>
      <c r="I32" s="174"/>
      <c r="J32" s="219">
        <f>+'4'!J32</f>
        <v>0</v>
      </c>
      <c r="K32" s="246"/>
      <c r="L32" s="248"/>
      <c r="M32" s="122">
        <f>+K32+'4'!M32+L32</f>
        <v>0</v>
      </c>
    </row>
    <row r="33" spans="1:13" ht="13.5" thickBot="1">
      <c r="A33" s="178"/>
      <c r="B33" s="179"/>
      <c r="C33" s="108">
        <f>C32/($C$32+$D$32+$E$32)</f>
        <v>0.98064418569484346</v>
      </c>
      <c r="D33" s="109">
        <f>D32/($C$32+$D$32+$E$32)</f>
        <v>1.935581430515651E-2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70" t="s">
        <v>57</v>
      </c>
      <c r="B34" s="771"/>
      <c r="C34" s="112">
        <f>C14+C23+C32</f>
        <v>40324</v>
      </c>
      <c r="D34" s="112">
        <f>D14+D23+D32</f>
        <v>256</v>
      </c>
      <c r="E34" s="112">
        <f>E14+E23+E32</f>
        <v>0</v>
      </c>
      <c r="F34" s="113">
        <f>F14+F23+F32</f>
        <v>50</v>
      </c>
      <c r="H34" s="183"/>
      <c r="I34" s="183"/>
      <c r="J34" s="128" t="s">
        <v>28</v>
      </c>
      <c r="K34" s="129">
        <f>SUM(K7:K32)</f>
        <v>40324</v>
      </c>
      <c r="L34" s="217">
        <f>SUM(L7:L32)</f>
        <v>0</v>
      </c>
      <c r="M34" s="125">
        <f>SUM(M7:M32)</f>
        <v>163407</v>
      </c>
    </row>
    <row r="35" spans="1:13" ht="13.5" thickBot="1">
      <c r="A35" s="184"/>
      <c r="B35" s="185"/>
      <c r="C35" s="109">
        <f>C34/($C$34+$D$34+$E$34)</f>
        <v>0.99369147363233123</v>
      </c>
      <c r="D35" s="109">
        <f>D34/($C$34+$D$34+$E$34)</f>
        <v>6.3085263676688026E-3</v>
      </c>
      <c r="E35" s="114">
        <f>E34/($C$34+$D$34+$E$34)</f>
        <v>0</v>
      </c>
      <c r="K35" s="160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3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(13*1440)/1440*G42*2.74*1440/1000000</f>
        <v>46.078032000000007</v>
      </c>
      <c r="J37" s="130">
        <f>+I37+'4'!J37</f>
        <v>200.62495068336878</v>
      </c>
      <c r="K37" s="131" t="s">
        <v>63</v>
      </c>
    </row>
    <row r="38" spans="1:13" ht="17.45" customHeight="1">
      <c r="A38" s="774" t="s">
        <v>12</v>
      </c>
      <c r="B38" s="775"/>
      <c r="C38" s="169">
        <f>SUMIF($G$7:$G$31,"Process",$F$7:$F$31)</f>
        <v>50</v>
      </c>
      <c r="D38" s="123">
        <f>+C38+'4'!D38</f>
        <v>204</v>
      </c>
      <c r="E38" s="148">
        <f t="shared" ref="E38:E51" si="5">D38/60</f>
        <v>3.4</v>
      </c>
      <c r="F38" s="328">
        <v>1160</v>
      </c>
      <c r="G38" s="328">
        <v>893.2</v>
      </c>
      <c r="H38" s="192" t="s">
        <v>64</v>
      </c>
      <c r="I38" s="250">
        <f>13.347+14.29+13.96</f>
        <v>41.597000000000001</v>
      </c>
      <c r="J38" s="132">
        <f>+I38+'4'!J38</f>
        <v>178.68500000000003</v>
      </c>
      <c r="K38" s="133" t="s">
        <v>63</v>
      </c>
    </row>
    <row r="39" spans="1:13" ht="17.45" customHeight="1">
      <c r="A39" s="776" t="s">
        <v>13</v>
      </c>
      <c r="B39" s="777"/>
      <c r="C39" s="169">
        <f>SUMIF($G$7:$G$31,"Cleaning",$F$7:$F$31)</f>
        <v>0</v>
      </c>
      <c r="D39" s="123">
        <f>+C39+'4'!D39</f>
        <v>0</v>
      </c>
      <c r="E39" s="148">
        <f t="shared" si="5"/>
        <v>0</v>
      </c>
      <c r="F39" s="328">
        <v>1160</v>
      </c>
      <c r="G39" s="328">
        <v>893.2</v>
      </c>
      <c r="H39" s="192" t="s">
        <v>65</v>
      </c>
      <c r="I39" s="147"/>
      <c r="J39" s="134">
        <f>J37/G4</f>
        <v>40.124990136673759</v>
      </c>
      <c r="K39" s="135" t="s">
        <v>63</v>
      </c>
    </row>
    <row r="40" spans="1:13" ht="17.45" customHeight="1">
      <c r="A40" s="776" t="s">
        <v>66</v>
      </c>
      <c r="B40" s="777"/>
      <c r="C40" s="169">
        <f>SUMIF($G$7:$G$31,"Mechanical",$F$7:$F$31)</f>
        <v>0</v>
      </c>
      <c r="D40" s="123">
        <f>+C40+'4'!D40</f>
        <v>0</v>
      </c>
      <c r="E40" s="148">
        <f t="shared" si="5"/>
        <v>0</v>
      </c>
      <c r="F40" s="328">
        <v>1180</v>
      </c>
      <c r="G40" s="328">
        <v>908.59999999999991</v>
      </c>
      <c r="H40" s="192" t="s">
        <v>67</v>
      </c>
      <c r="I40" s="123">
        <f>(K34+L34)/1000</f>
        <v>40.323999999999998</v>
      </c>
      <c r="J40" s="136">
        <f>+I40+'4'!J40</f>
        <v>163.40699999999998</v>
      </c>
      <c r="K40" s="135" t="s">
        <v>63</v>
      </c>
    </row>
    <row r="41" spans="1:13" ht="17.45" customHeight="1">
      <c r="A41" s="776" t="s">
        <v>68</v>
      </c>
      <c r="B41" s="777"/>
      <c r="C41" s="169">
        <f>SUMIF($G$7:$G$31,"Electrical",$F$7:$F$31)</f>
        <v>0</v>
      </c>
      <c r="D41" s="123">
        <f>+C41+'4'!D41</f>
        <v>57</v>
      </c>
      <c r="E41" s="148">
        <f t="shared" si="5"/>
        <v>0.95</v>
      </c>
      <c r="F41" s="328"/>
      <c r="G41" s="328"/>
      <c r="H41" s="192" t="s">
        <v>69</v>
      </c>
      <c r="I41" s="147"/>
      <c r="J41" s="134">
        <f>J40/G4</f>
        <v>32.681399999999996</v>
      </c>
      <c r="K41" s="135" t="s">
        <v>63</v>
      </c>
    </row>
    <row r="42" spans="1:13" ht="17.45" customHeight="1">
      <c r="A42" s="776" t="s">
        <v>16</v>
      </c>
      <c r="B42" s="777"/>
      <c r="C42" s="169">
        <f>SUMIF($G$7:$G$31,"Instrument",$F$7:$F$31)</f>
        <v>0</v>
      </c>
      <c r="D42" s="123">
        <f>+C42+'4'!D42</f>
        <v>0</v>
      </c>
      <c r="E42" s="148">
        <f t="shared" si="5"/>
        <v>0</v>
      </c>
      <c r="F42" s="328">
        <f>+(480*F38+480*F39+480*F40)/1440</f>
        <v>1166.6666666666667</v>
      </c>
      <c r="G42" s="328">
        <f>+(480*G38+480*G39+480*G40)/1440</f>
        <v>898.33333333333337</v>
      </c>
      <c r="H42" s="192" t="s">
        <v>70</v>
      </c>
      <c r="I42" s="251" t="s">
        <v>457</v>
      </c>
      <c r="J42" s="137"/>
      <c r="K42" s="135" t="s">
        <v>71</v>
      </c>
    </row>
    <row r="43" spans="1:13" ht="17.45" customHeight="1">
      <c r="A43" s="776" t="s">
        <v>222</v>
      </c>
      <c r="B43" s="777"/>
      <c r="C43" s="169">
        <f>SUMIF($G$7:$G$31,"Change Grade",$F$7:$F$31)</f>
        <v>0</v>
      </c>
      <c r="D43" s="123">
        <f>+C43+'4'!D43</f>
        <v>0</v>
      </c>
      <c r="E43" s="148">
        <f t="shared" si="5"/>
        <v>0</v>
      </c>
      <c r="F43" s="328"/>
      <c r="G43" s="329"/>
      <c r="H43" s="193" t="s">
        <v>73</v>
      </c>
      <c r="I43" s="123">
        <f>+Report1!Z13</f>
        <v>60.5</v>
      </c>
      <c r="J43" s="138">
        <f>+I43+'4'!J43</f>
        <v>276.8</v>
      </c>
      <c r="K43" s="135" t="s">
        <v>63</v>
      </c>
      <c r="L43" s="194"/>
    </row>
    <row r="44" spans="1:13" ht="17.45" customHeight="1">
      <c r="A44" s="776" t="s">
        <v>17</v>
      </c>
      <c r="B44" s="777"/>
      <c r="C44" s="169">
        <f>SUMIF($G$7:$G$31,"PLN",$F$7:$F$31)</f>
        <v>0</v>
      </c>
      <c r="D44" s="123">
        <f>+C44+'4'!D44</f>
        <v>0</v>
      </c>
      <c r="E44" s="148">
        <f t="shared" si="5"/>
        <v>0</v>
      </c>
      <c r="F44" s="328"/>
      <c r="G44" s="329"/>
      <c r="H44" s="193" t="s">
        <v>74</v>
      </c>
      <c r="I44" s="123">
        <f>I43/I38</f>
        <v>1.454431809986297</v>
      </c>
      <c r="J44" s="139">
        <f>J43/J38</f>
        <v>1.5490947757226401</v>
      </c>
      <c r="K44" s="135" t="s">
        <v>63</v>
      </c>
    </row>
    <row r="45" spans="1:13" ht="17.45" customHeight="1">
      <c r="A45" s="776" t="s">
        <v>18</v>
      </c>
      <c r="B45" s="777"/>
      <c r="C45" s="169">
        <f>SUMIF($G$7:$G$31,"Boiler",$F$7:$F$31)</f>
        <v>0</v>
      </c>
      <c r="D45" s="123">
        <f>+C45+'4'!D45</f>
        <v>0</v>
      </c>
      <c r="E45" s="148">
        <f t="shared" si="5"/>
        <v>0</v>
      </c>
      <c r="F45" s="328"/>
      <c r="G45" s="331"/>
      <c r="H45" s="193" t="s">
        <v>75</v>
      </c>
      <c r="I45" s="123">
        <f>I43/I40</f>
        <v>1.5003471877789902</v>
      </c>
      <c r="J45" s="139">
        <f>J43/J40</f>
        <v>1.6939298806048704</v>
      </c>
      <c r="K45" s="135" t="s">
        <v>63</v>
      </c>
    </row>
    <row r="46" spans="1:13" ht="17.45" customHeight="1">
      <c r="A46" s="776" t="s">
        <v>76</v>
      </c>
      <c r="B46" s="777"/>
      <c r="C46" s="169">
        <f>SUMIF($G$7:$G$31,"Gas",$F$7:$F$31)</f>
        <v>0</v>
      </c>
      <c r="D46" s="123">
        <f>+C46+'4'!D46</f>
        <v>0</v>
      </c>
      <c r="E46" s="148">
        <f t="shared" si="5"/>
        <v>0</v>
      </c>
      <c r="F46" s="328"/>
      <c r="G46" s="329"/>
      <c r="H46" s="193" t="s">
        <v>77</v>
      </c>
      <c r="I46" s="145">
        <f>+SUMIF(Listrik!P12,"&gt;0")</f>
        <v>39380.480000000003</v>
      </c>
      <c r="J46" s="140">
        <f>+I46+'4'!J46</f>
        <v>180910.61999999965</v>
      </c>
      <c r="K46" s="135" t="s">
        <v>78</v>
      </c>
    </row>
    <row r="47" spans="1:13" ht="17.45" customHeight="1">
      <c r="A47" s="776" t="s">
        <v>79</v>
      </c>
      <c r="B47" s="777"/>
      <c r="C47" s="169">
        <f>SUMIF($G$7:$G$31,"Gas",$F$7:$F$31)</f>
        <v>0</v>
      </c>
      <c r="D47" s="123">
        <f>+C47+'4'!D47</f>
        <v>0</v>
      </c>
      <c r="E47" s="148">
        <f t="shared" si="5"/>
        <v>0</v>
      </c>
      <c r="F47" s="328"/>
      <c r="G47" s="329"/>
      <c r="H47" s="193" t="s">
        <v>80</v>
      </c>
      <c r="I47" s="123">
        <f>I46/I38</f>
        <v>946.71442652114342</v>
      </c>
      <c r="J47" s="140">
        <f>J46/J38</f>
        <v>1012.4555502700262</v>
      </c>
      <c r="K47" s="135" t="s">
        <v>24</v>
      </c>
    </row>
    <row r="48" spans="1:13" ht="17.45" customHeight="1">
      <c r="A48" s="776" t="s">
        <v>14</v>
      </c>
      <c r="B48" s="777"/>
      <c r="C48" s="169">
        <f>SUMIF($G$7:$G$31,"Start Up",$F$7:$F$31)</f>
        <v>0</v>
      </c>
      <c r="D48" s="123">
        <f>+C48+'4'!D48</f>
        <v>0</v>
      </c>
      <c r="E48" s="148">
        <f t="shared" si="5"/>
        <v>0</v>
      </c>
      <c r="F48" s="328"/>
      <c r="G48" s="329"/>
      <c r="H48" s="193" t="s">
        <v>81</v>
      </c>
      <c r="I48" s="123">
        <f>I46/I40</f>
        <v>976.60152762622772</v>
      </c>
      <c r="J48" s="140">
        <f>J46/J40</f>
        <v>1107.1167085865334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+C49+'4'!D49</f>
        <v>720</v>
      </c>
      <c r="E49" s="148">
        <f t="shared" si="5"/>
        <v>12</v>
      </c>
      <c r="F49" s="190"/>
      <c r="H49" s="193" t="s">
        <v>270</v>
      </c>
      <c r="I49" s="123">
        <f>+Report1!T13</f>
        <v>4238.739666277831</v>
      </c>
      <c r="J49" s="140">
        <f>+I49+'4'!J49</f>
        <v>19964.374403524609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+C50+'4'!D50</f>
        <v>0</v>
      </c>
      <c r="E50" s="148">
        <f t="shared" si="5"/>
        <v>0</v>
      </c>
      <c r="F50" s="190"/>
      <c r="H50" s="193" t="s">
        <v>83</v>
      </c>
      <c r="I50" s="145">
        <f>I49/I38</f>
        <v>101.90012900636658</v>
      </c>
      <c r="J50" s="138">
        <f>J49/J38</f>
        <v>111.72943673797243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+C51+'4'!D51</f>
        <v>0</v>
      </c>
      <c r="E51" s="148">
        <f t="shared" si="5"/>
        <v>0</v>
      </c>
      <c r="F51" s="190"/>
      <c r="H51" s="195" t="s">
        <v>85</v>
      </c>
      <c r="I51" s="146">
        <f>I49/I40</f>
        <v>105.11704360375536</v>
      </c>
      <c r="J51" s="141">
        <f>J49/J40</f>
        <v>122.17575993393558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50</v>
      </c>
      <c r="D52" s="149">
        <f>SUM(D38:D51)</f>
        <v>981</v>
      </c>
      <c r="E52" s="150">
        <f>SUM(E38:E51)</f>
        <v>16.350000000000001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3.4722222222222224E-2</v>
      </c>
      <c r="D53" s="151">
        <f>D52/(24*60*G4)</f>
        <v>0.13625000000000001</v>
      </c>
      <c r="E53" s="152">
        <f>E52/(G4*24)</f>
        <v>0.13625000000000001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+D34+'4'!J56</f>
        <v>2698</v>
      </c>
      <c r="K56" s="206">
        <f>J56/(J40+J56/1000)/1000</f>
        <v>1.6242738027151499E-2</v>
      </c>
    </row>
    <row r="57" spans="1:11">
      <c r="A57" s="181"/>
      <c r="I57" s="204" t="s">
        <v>88</v>
      </c>
      <c r="J57" s="205">
        <f>+E34+'4'!J57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4027777777777778" header="0" footer="0"/>
  <pageSetup paperSize="9" scale="60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A4" zoomScale="80" zoomScaleNormal="75" zoomScaleSheetLayoutView="80" workbookViewId="0">
      <selection activeCell="G24" sqref="G2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25" ht="15.75">
      <c r="A1" s="153"/>
    </row>
    <row r="2" spans="1:25" ht="15.75">
      <c r="A2" s="153" t="s">
        <v>184</v>
      </c>
    </row>
    <row r="3" spans="1:25" ht="15">
      <c r="A3" s="155"/>
    </row>
    <row r="4" spans="1:25" ht="20.25">
      <c r="A4" s="156" t="s">
        <v>3</v>
      </c>
      <c r="B4" s="157"/>
      <c r="F4" s="158" t="s">
        <v>29</v>
      </c>
      <c r="G4" s="159">
        <v>4</v>
      </c>
      <c r="H4" s="159" t="str">
        <f>+'1'!H4</f>
        <v>.10.25</v>
      </c>
    </row>
    <row r="5" spans="1:25" ht="13.5" thickBot="1">
      <c r="C5" s="160"/>
      <c r="D5" s="160"/>
    </row>
    <row r="6" spans="1:25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389</v>
      </c>
      <c r="O6" s="154">
        <v>1200</v>
      </c>
      <c r="P6" s="154">
        <f>+O6-O6*0.23</f>
        <v>924</v>
      </c>
      <c r="Q6" s="154">
        <f>60+16</f>
        <v>76</v>
      </c>
      <c r="R6" s="154">
        <f>+O6*Q6</f>
        <v>91200</v>
      </c>
      <c r="S6" s="154">
        <f>+P6*Q6</f>
        <v>70224</v>
      </c>
      <c r="T6" s="154" t="s">
        <v>463</v>
      </c>
      <c r="U6" s="154">
        <v>1200</v>
      </c>
      <c r="V6" s="154">
        <f t="shared" ref="V6:V7" si="0">+U6-U6*0.23</f>
        <v>924</v>
      </c>
      <c r="W6" s="154">
        <f>60-16+120+18</f>
        <v>182</v>
      </c>
      <c r="X6" s="154">
        <f>+U6*W6</f>
        <v>218400</v>
      </c>
      <c r="Y6" s="154">
        <f>+V6*W6</f>
        <v>168168</v>
      </c>
    </row>
    <row r="7" spans="1:25" ht="13.5" customHeight="1" thickBot="1">
      <c r="A7" s="762"/>
      <c r="B7" s="220" t="s">
        <v>390</v>
      </c>
      <c r="C7" s="221">
        <v>7198</v>
      </c>
      <c r="D7" s="222">
        <v>263</v>
      </c>
      <c r="E7" s="223"/>
      <c r="F7" s="233">
        <v>9</v>
      </c>
      <c r="G7" s="234" t="s">
        <v>12</v>
      </c>
      <c r="H7" s="235" t="s">
        <v>458</v>
      </c>
      <c r="I7" s="765" t="s">
        <v>464</v>
      </c>
      <c r="J7" s="219" t="str">
        <f>+'3'!J7</f>
        <v>F 12 VP OW</v>
      </c>
      <c r="K7" s="243">
        <f>+C7</f>
        <v>7198</v>
      </c>
      <c r="L7" s="247"/>
      <c r="M7" s="122">
        <f>+K7+'3'!M7+L7</f>
        <v>89181</v>
      </c>
      <c r="N7" s="154" t="s">
        <v>463</v>
      </c>
      <c r="O7" s="154">
        <v>1200</v>
      </c>
      <c r="P7" s="154">
        <f t="shared" ref="P7:P9" si="1">+O7-O7*0.23</f>
        <v>924</v>
      </c>
      <c r="Q7" s="154">
        <f>60-16+120+18</f>
        <v>182</v>
      </c>
      <c r="R7" s="154">
        <f>+O7*Q7</f>
        <v>218400</v>
      </c>
      <c r="S7" s="154">
        <f>+P7*Q7</f>
        <v>168168</v>
      </c>
      <c r="T7" s="154" t="s">
        <v>463</v>
      </c>
      <c r="U7" s="154">
        <f>1200-20</f>
        <v>1180</v>
      </c>
      <c r="V7" s="154">
        <f t="shared" si="0"/>
        <v>908.59999999999991</v>
      </c>
      <c r="W7" s="154">
        <f>60-18+180</f>
        <v>222</v>
      </c>
      <c r="X7" s="154">
        <f>+U7*W7</f>
        <v>261960</v>
      </c>
      <c r="Y7" s="154">
        <f>+V7*W7</f>
        <v>201709.19999999998</v>
      </c>
    </row>
    <row r="8" spans="1:25" ht="13.5" thickBot="1">
      <c r="A8" s="763"/>
      <c r="B8" s="220" t="s">
        <v>478</v>
      </c>
      <c r="C8" s="221">
        <f>2871+3343</f>
        <v>6214</v>
      </c>
      <c r="D8" s="222"/>
      <c r="E8" s="224"/>
      <c r="F8" s="236"/>
      <c r="G8" s="574" t="s">
        <v>12</v>
      </c>
      <c r="H8" s="235" t="s">
        <v>286</v>
      </c>
      <c r="I8" s="766"/>
      <c r="J8" s="219" t="s">
        <v>478</v>
      </c>
      <c r="K8" s="244">
        <f>+C8+C16</f>
        <v>10480</v>
      </c>
      <c r="L8" s="244"/>
      <c r="M8" s="122">
        <f>+K8+'3'!M8+L8</f>
        <v>10480</v>
      </c>
      <c r="N8" s="154" t="s">
        <v>463</v>
      </c>
      <c r="O8" s="154">
        <f>1200-20</f>
        <v>1180</v>
      </c>
      <c r="P8" s="154">
        <f t="shared" si="1"/>
        <v>908.59999999999991</v>
      </c>
      <c r="Q8" s="154">
        <f>60-18+180</f>
        <v>222</v>
      </c>
      <c r="R8" s="154">
        <f t="shared" ref="R8:R11" si="2">+O8*Q8</f>
        <v>261960</v>
      </c>
      <c r="S8" s="154">
        <f t="shared" ref="S8:S11" si="3">+P8*Q8</f>
        <v>201709.19999999998</v>
      </c>
      <c r="T8" s="154" t="s">
        <v>463</v>
      </c>
      <c r="U8" s="154">
        <v>1160</v>
      </c>
      <c r="V8" s="154">
        <v>893.2</v>
      </c>
      <c r="W8" s="154">
        <v>15</v>
      </c>
      <c r="X8" s="154">
        <f t="shared" ref="X8:X11" si="4">+U8*W8</f>
        <v>17400</v>
      </c>
      <c r="Y8" s="154">
        <f t="shared" ref="Y8:Y11" si="5">+V8*W8</f>
        <v>13398</v>
      </c>
    </row>
    <row r="9" spans="1:25" ht="13.5" thickBot="1">
      <c r="A9" s="763"/>
      <c r="B9" s="220"/>
      <c r="C9" s="221"/>
      <c r="D9" s="222"/>
      <c r="E9" s="225"/>
      <c r="F9" s="233">
        <f>32-9</f>
        <v>23</v>
      </c>
      <c r="G9" s="574" t="s">
        <v>12</v>
      </c>
      <c r="H9" s="238" t="s">
        <v>461</v>
      </c>
      <c r="I9" s="766"/>
      <c r="J9" s="219" t="s">
        <v>479</v>
      </c>
      <c r="K9" s="244">
        <f>+C17+C25</f>
        <v>23422</v>
      </c>
      <c r="L9" s="244"/>
      <c r="M9" s="122">
        <f>+K9+'3'!M9+L9</f>
        <v>23422</v>
      </c>
      <c r="P9" s="154">
        <f t="shared" si="1"/>
        <v>0</v>
      </c>
      <c r="R9" s="154">
        <f t="shared" si="2"/>
        <v>0</v>
      </c>
      <c r="S9" s="154">
        <f t="shared" si="3"/>
        <v>0</v>
      </c>
      <c r="V9" s="154">
        <f t="shared" ref="V9" si="6">+U9-U9*0.23</f>
        <v>0</v>
      </c>
      <c r="X9" s="154">
        <f t="shared" si="4"/>
        <v>0</v>
      </c>
      <c r="Y9" s="154">
        <f t="shared" si="5"/>
        <v>0</v>
      </c>
    </row>
    <row r="10" spans="1:25" ht="39" thickBot="1">
      <c r="A10" s="763"/>
      <c r="B10" s="220"/>
      <c r="C10" s="221"/>
      <c r="D10" s="222"/>
      <c r="E10" s="224"/>
      <c r="F10" s="233"/>
      <c r="G10" s="242"/>
      <c r="H10" s="238" t="s">
        <v>449</v>
      </c>
      <c r="I10" s="766"/>
      <c r="J10" s="219">
        <f>+'3'!J10</f>
        <v>0</v>
      </c>
      <c r="K10" s="244"/>
      <c r="L10" s="244"/>
      <c r="M10" s="122">
        <f>+K10+'3'!M10+L10</f>
        <v>0</v>
      </c>
      <c r="R10" s="154">
        <f t="shared" si="2"/>
        <v>0</v>
      </c>
      <c r="S10" s="154">
        <f t="shared" si="3"/>
        <v>0</v>
      </c>
      <c r="X10" s="154">
        <f t="shared" si="4"/>
        <v>0</v>
      </c>
      <c r="Y10" s="154">
        <f t="shared" si="5"/>
        <v>0</v>
      </c>
    </row>
    <row r="11" spans="1:25" ht="64.5" thickBot="1">
      <c r="A11" s="763"/>
      <c r="B11" s="220"/>
      <c r="C11" s="221"/>
      <c r="D11" s="222"/>
      <c r="E11" s="224"/>
      <c r="F11" s="233"/>
      <c r="G11" s="237"/>
      <c r="H11" s="238" t="s">
        <v>450</v>
      </c>
      <c r="I11" s="766"/>
      <c r="J11" s="219">
        <f>+'3'!J11</f>
        <v>0</v>
      </c>
      <c r="K11" s="244"/>
      <c r="L11" s="244"/>
      <c r="M11" s="122">
        <f>+K11+'3'!M11+L11</f>
        <v>0</v>
      </c>
      <c r="R11" s="154">
        <f t="shared" si="2"/>
        <v>0</v>
      </c>
      <c r="S11" s="154">
        <f t="shared" si="3"/>
        <v>0</v>
      </c>
      <c r="X11" s="154">
        <f t="shared" si="4"/>
        <v>0</v>
      </c>
      <c r="Y11" s="154">
        <f t="shared" si="5"/>
        <v>0</v>
      </c>
    </row>
    <row r="12" spans="1:25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+'3'!J12</f>
        <v>0</v>
      </c>
      <c r="K12" s="244"/>
      <c r="L12" s="244"/>
      <c r="M12" s="122">
        <f>+K12+'3'!M12+L12</f>
        <v>0</v>
      </c>
      <c r="P12" s="154">
        <f t="shared" ref="P12" si="7">+O12-O12*0.17</f>
        <v>0</v>
      </c>
      <c r="V12" s="154">
        <f t="shared" ref="V12" si="8">+U12-U12*0.17</f>
        <v>0</v>
      </c>
    </row>
    <row r="13" spans="1:25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+'3'!J13</f>
        <v>0</v>
      </c>
      <c r="K13" s="244"/>
      <c r="L13" s="244"/>
      <c r="M13" s="122">
        <f>+K13+'3'!M13+L13</f>
        <v>0</v>
      </c>
      <c r="Q13" s="154">
        <f>SUM(Q5:Q11)</f>
        <v>480</v>
      </c>
      <c r="R13" s="154">
        <f>SUM(R5:R11)</f>
        <v>571560</v>
      </c>
      <c r="S13" s="154">
        <f>SUM(S5:S11)</f>
        <v>440101.19999999995</v>
      </c>
      <c r="W13" s="154">
        <f>SUM(W5:W11)</f>
        <v>419</v>
      </c>
      <c r="X13" s="154">
        <f>SUM(X5:X11)</f>
        <v>497760</v>
      </c>
      <c r="Y13" s="154">
        <f>SUM(Y5:Y11)</f>
        <v>383275.19999999995</v>
      </c>
    </row>
    <row r="14" spans="1:25" ht="13.5" thickBot="1">
      <c r="A14" s="764"/>
      <c r="B14" s="170" t="s">
        <v>2</v>
      </c>
      <c r="C14" s="104">
        <f>SUM(C7:C13)</f>
        <v>13412</v>
      </c>
      <c r="D14" s="116">
        <f>SUM(D7:D13)</f>
        <v>263</v>
      </c>
      <c r="E14" s="117">
        <f>SUM(E5:E13)</f>
        <v>0</v>
      </c>
      <c r="F14" s="121">
        <f>SUM(F7:F13)</f>
        <v>32</v>
      </c>
      <c r="G14" s="164"/>
      <c r="H14" s="171"/>
      <c r="I14" s="172"/>
      <c r="J14" s="219">
        <f>+'3'!J14</f>
        <v>0</v>
      </c>
      <c r="K14" s="244"/>
      <c r="L14" s="244"/>
      <c r="M14" s="122">
        <f>+K14+'3'!M14+L14</f>
        <v>0</v>
      </c>
      <c r="N14" s="154" t="s">
        <v>399</v>
      </c>
      <c r="Q14" s="154">
        <f>480-Q13</f>
        <v>0</v>
      </c>
      <c r="R14" s="154">
        <f>+R13/Q13</f>
        <v>1190.75</v>
      </c>
      <c r="S14" s="154">
        <f>+S13/Q13</f>
        <v>916.87749999999994</v>
      </c>
      <c r="T14" s="154" t="s">
        <v>399</v>
      </c>
      <c r="W14" s="154">
        <f>480-W13</f>
        <v>61</v>
      </c>
      <c r="X14" s="154">
        <f>+X13/W13</f>
        <v>1187.9713603818616</v>
      </c>
      <c r="Y14" s="154">
        <f>+Y13/W13</f>
        <v>914.73794749403328</v>
      </c>
    </row>
    <row r="15" spans="1:25" ht="13.5" customHeight="1" thickBot="1">
      <c r="A15" s="762"/>
      <c r="B15" s="170"/>
      <c r="C15" s="118">
        <f>C14/($C$23+$D$23+$E$23)</f>
        <v>1.0084210526315789</v>
      </c>
      <c r="D15" s="119">
        <f>D14/($C$23+$D$23+$E$23)</f>
        <v>1.9774436090225563E-2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465</v>
      </c>
      <c r="J15" s="219">
        <f>+'3'!J15</f>
        <v>0</v>
      </c>
      <c r="K15" s="244"/>
      <c r="L15" s="244"/>
      <c r="M15" s="122">
        <f>+K15+'3'!M15+L15</f>
        <v>0</v>
      </c>
      <c r="P15" s="181"/>
      <c r="Q15" s="181"/>
      <c r="R15" s="181"/>
    </row>
    <row r="16" spans="1:25" ht="13.5" thickBot="1">
      <c r="A16" s="768"/>
      <c r="B16" s="220" t="s">
        <v>478</v>
      </c>
      <c r="C16" s="227">
        <f>1971+2295</f>
        <v>4266</v>
      </c>
      <c r="D16" s="228"/>
      <c r="E16" s="229"/>
      <c r="F16" s="236">
        <v>2</v>
      </c>
      <c r="G16" s="574" t="s">
        <v>12</v>
      </c>
      <c r="H16" s="235" t="s">
        <v>430</v>
      </c>
      <c r="I16" s="766"/>
      <c r="J16" s="219">
        <f>+'3'!J16</f>
        <v>0</v>
      </c>
      <c r="K16" s="234"/>
      <c r="L16" s="234"/>
      <c r="M16" s="122">
        <f>+K16+'3'!M16+L16</f>
        <v>0</v>
      </c>
      <c r="N16" s="154" t="s">
        <v>463</v>
      </c>
      <c r="O16" s="154">
        <v>1160</v>
      </c>
      <c r="P16" s="154">
        <f>+O16-O16*0.23</f>
        <v>893.2</v>
      </c>
      <c r="Q16" s="154">
        <v>15</v>
      </c>
      <c r="R16" s="154">
        <f>+O16*Q16</f>
        <v>17400</v>
      </c>
      <c r="S16" s="154">
        <f>+P16*Q16</f>
        <v>13398</v>
      </c>
    </row>
    <row r="17" spans="1:19" ht="13.5" thickBot="1">
      <c r="A17" s="768"/>
      <c r="B17" s="220" t="s">
        <v>479</v>
      </c>
      <c r="C17" s="221">
        <v>9034</v>
      </c>
      <c r="D17" s="222"/>
      <c r="E17" s="230"/>
      <c r="F17" s="233">
        <v>3</v>
      </c>
      <c r="G17" s="574" t="s">
        <v>12</v>
      </c>
      <c r="H17" s="238" t="s">
        <v>429</v>
      </c>
      <c r="I17" s="766"/>
      <c r="J17" s="219">
        <f>+'3'!J17</f>
        <v>0</v>
      </c>
      <c r="K17" s="234"/>
      <c r="L17" s="234"/>
      <c r="M17" s="122">
        <f>+K17+'3'!M17+L17</f>
        <v>0</v>
      </c>
      <c r="N17" s="154" t="s">
        <v>454</v>
      </c>
      <c r="O17" s="154">
        <v>1230</v>
      </c>
      <c r="P17" s="154">
        <f t="shared" ref="P17:P19" si="9">+O17-O17*0.23</f>
        <v>947.09999999999991</v>
      </c>
      <c r="Q17" s="154">
        <f>480-Q16</f>
        <v>465</v>
      </c>
      <c r="R17" s="154">
        <f>+O17*Q17</f>
        <v>571950</v>
      </c>
      <c r="S17" s="154">
        <f>+P17*Q17</f>
        <v>440401.49999999994</v>
      </c>
    </row>
    <row r="18" spans="1:19" ht="39" thickBot="1">
      <c r="A18" s="768"/>
      <c r="B18" s="220"/>
      <c r="C18" s="221"/>
      <c r="D18" s="222"/>
      <c r="E18" s="230"/>
      <c r="F18" s="233"/>
      <c r="G18" s="242"/>
      <c r="H18" s="238" t="s">
        <v>462</v>
      </c>
      <c r="I18" s="766"/>
      <c r="J18" s="219">
        <f>+'3'!J18</f>
        <v>0</v>
      </c>
      <c r="K18" s="244"/>
      <c r="L18" s="244"/>
      <c r="M18" s="122">
        <f>+K18+'3'!M18+L18</f>
        <v>0</v>
      </c>
      <c r="P18" s="154">
        <f t="shared" si="9"/>
        <v>0</v>
      </c>
      <c r="R18" s="154">
        <f t="shared" ref="R18:R21" si="10">+O18*Q18</f>
        <v>0</v>
      </c>
      <c r="S18" s="154">
        <f t="shared" ref="S18:S21" si="11">+P18*Q18</f>
        <v>0</v>
      </c>
    </row>
    <row r="19" spans="1:19" ht="13.5" thickBot="1">
      <c r="A19" s="768"/>
      <c r="B19" s="220"/>
      <c r="C19" s="221"/>
      <c r="D19" s="222"/>
      <c r="E19" s="230"/>
      <c r="F19" s="240"/>
      <c r="G19" s="237"/>
      <c r="H19" s="238" t="s">
        <v>448</v>
      </c>
      <c r="I19" s="766"/>
      <c r="J19" s="219">
        <f>+'3'!J19</f>
        <v>0</v>
      </c>
      <c r="K19" s="244"/>
      <c r="L19" s="244"/>
      <c r="M19" s="122">
        <f>+K19+'3'!M19+L19</f>
        <v>0</v>
      </c>
      <c r="P19" s="154">
        <f t="shared" si="9"/>
        <v>0</v>
      </c>
      <c r="R19" s="154">
        <f t="shared" si="10"/>
        <v>0</v>
      </c>
      <c r="S19" s="154">
        <f t="shared" si="11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+'3'!J20</f>
        <v>0</v>
      </c>
      <c r="K20" s="245"/>
      <c r="L20" s="245"/>
      <c r="M20" s="122">
        <f>+K20+'3'!M20+L20</f>
        <v>0</v>
      </c>
      <c r="R20" s="154">
        <f t="shared" si="10"/>
        <v>0</v>
      </c>
      <c r="S20" s="154">
        <f t="shared" si="11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+'3'!J21</f>
        <v>0</v>
      </c>
      <c r="K21" s="244"/>
      <c r="L21" s="244"/>
      <c r="M21" s="122">
        <f>+K21+'3'!M21+L21</f>
        <v>0</v>
      </c>
      <c r="R21" s="154">
        <f t="shared" si="10"/>
        <v>0</v>
      </c>
      <c r="S21" s="154">
        <f t="shared" si="11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+'3'!J22</f>
        <v>0</v>
      </c>
      <c r="K22" s="244"/>
      <c r="L22" s="244"/>
      <c r="M22" s="122">
        <f>+K22+'3'!M22+L22</f>
        <v>0</v>
      </c>
      <c r="P22" s="154">
        <f t="shared" ref="P22" si="12">+O22-O22*0.17</f>
        <v>0</v>
      </c>
    </row>
    <row r="23" spans="1:19" ht="13.5" thickBot="1">
      <c r="A23" s="769"/>
      <c r="B23" s="173" t="s">
        <v>2</v>
      </c>
      <c r="C23" s="105">
        <f>SUM(C16:C22)</f>
        <v>13300</v>
      </c>
      <c r="D23" s="116">
        <f>SUM(D16:D22)</f>
        <v>0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19">
        <f>+'3'!J23</f>
        <v>0</v>
      </c>
      <c r="K23" s="244"/>
      <c r="L23" s="244"/>
      <c r="M23" s="122">
        <f>+K23+'3'!M23+L23</f>
        <v>0</v>
      </c>
      <c r="Q23" s="154">
        <f>SUM(Q15:Q21)</f>
        <v>480</v>
      </c>
      <c r="R23" s="154">
        <f>SUM(R15:R21)</f>
        <v>589350</v>
      </c>
      <c r="S23" s="154">
        <f>SUM(S15:S21)</f>
        <v>453799.49999999994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427</v>
      </c>
      <c r="J24" s="219">
        <f>+'3'!J24</f>
        <v>0</v>
      </c>
      <c r="K24" s="244"/>
      <c r="L24" s="244"/>
      <c r="M24" s="122">
        <f>+K24+'3'!M24+L24</f>
        <v>0</v>
      </c>
      <c r="N24" s="154" t="s">
        <v>399</v>
      </c>
      <c r="Q24" s="154">
        <f>480-Q23</f>
        <v>0</v>
      </c>
      <c r="R24" s="154">
        <f>+R23/Q23</f>
        <v>1227.8125</v>
      </c>
      <c r="S24" s="154">
        <f>+S23/Q23</f>
        <v>945.41562499999986</v>
      </c>
    </row>
    <row r="25" spans="1:19" ht="13.5" thickBot="1">
      <c r="A25" s="768"/>
      <c r="B25" s="220" t="s">
        <v>479</v>
      </c>
      <c r="C25" s="231">
        <v>14388</v>
      </c>
      <c r="D25" s="222"/>
      <c r="E25" s="230"/>
      <c r="F25" s="236">
        <v>7</v>
      </c>
      <c r="G25" s="574" t="s">
        <v>12</v>
      </c>
      <c r="H25" s="235" t="s">
        <v>460</v>
      </c>
      <c r="I25" s="766"/>
      <c r="J25" s="219">
        <f>+'3'!J25</f>
        <v>0</v>
      </c>
      <c r="K25" s="244"/>
      <c r="L25" s="244"/>
      <c r="M25" s="122">
        <f>+K25+'3'!M25+L25</f>
        <v>0</v>
      </c>
    </row>
    <row r="26" spans="1:19" ht="13.5" thickBot="1">
      <c r="A26" s="768"/>
      <c r="B26" s="220"/>
      <c r="C26" s="231"/>
      <c r="D26" s="222"/>
      <c r="E26" s="232"/>
      <c r="F26" s="233">
        <v>10</v>
      </c>
      <c r="G26" s="574" t="s">
        <v>12</v>
      </c>
      <c r="H26" s="238" t="s">
        <v>412</v>
      </c>
      <c r="I26" s="766"/>
      <c r="J26" s="219">
        <f>+'3'!J26</f>
        <v>0</v>
      </c>
      <c r="K26" s="244"/>
      <c r="L26" s="244"/>
      <c r="M26" s="122">
        <f>+K26+'3'!M26+L26</f>
        <v>0</v>
      </c>
      <c r="N26" s="154" t="s">
        <v>454</v>
      </c>
      <c r="O26" s="154">
        <v>1230</v>
      </c>
      <c r="P26" s="154">
        <f t="shared" ref="P26" si="13">+O26-O26*0.23</f>
        <v>947.09999999999991</v>
      </c>
      <c r="Q26" s="154">
        <f>480-Q25</f>
        <v>480</v>
      </c>
      <c r="R26" s="154">
        <f>+O26*Q26</f>
        <v>590400</v>
      </c>
      <c r="S26" s="154">
        <f>+P26*Q26</f>
        <v>454607.99999999994</v>
      </c>
    </row>
    <row r="27" spans="1:19" ht="39" thickBot="1">
      <c r="A27" s="768"/>
      <c r="B27" s="220"/>
      <c r="C27" s="221"/>
      <c r="D27" s="222"/>
      <c r="E27" s="230"/>
      <c r="F27" s="233"/>
      <c r="G27" s="242"/>
      <c r="H27" s="238" t="s">
        <v>447</v>
      </c>
      <c r="I27" s="766"/>
      <c r="J27" s="219">
        <f>+'3'!J27</f>
        <v>0</v>
      </c>
      <c r="K27" s="244"/>
      <c r="L27" s="244"/>
      <c r="M27" s="122">
        <f>+K27+'3'!M27+L27</f>
        <v>0</v>
      </c>
      <c r="R27" s="154">
        <f>+O27*Q27</f>
        <v>0</v>
      </c>
      <c r="S27" s="154">
        <f>+P27*Q27</f>
        <v>0</v>
      </c>
    </row>
    <row r="28" spans="1:19" ht="13.5" thickBot="1">
      <c r="A28" s="768"/>
      <c r="B28" s="220"/>
      <c r="C28" s="221"/>
      <c r="D28" s="222"/>
      <c r="E28" s="230"/>
      <c r="F28" s="236"/>
      <c r="G28" s="237"/>
      <c r="H28" s="238"/>
      <c r="I28" s="766"/>
      <c r="J28" s="219">
        <f>+'3'!J28</f>
        <v>0</v>
      </c>
      <c r="K28" s="244"/>
      <c r="L28" s="244"/>
      <c r="M28" s="122">
        <f>+K28+'3'!M28+L28</f>
        <v>0</v>
      </c>
      <c r="P28" s="154">
        <f t="shared" ref="P28:P29" si="14">+O28-O28*0.23</f>
        <v>0</v>
      </c>
      <c r="R28" s="154">
        <f t="shared" ref="R28:R31" si="15">+O28*Q28</f>
        <v>0</v>
      </c>
      <c r="S28" s="154">
        <f t="shared" ref="S28:S31" si="16">+P28*Q28</f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+'3'!J29</f>
        <v>0</v>
      </c>
      <c r="K29" s="244"/>
      <c r="L29" s="244"/>
      <c r="M29" s="122">
        <f>+K29+'3'!M29+L29</f>
        <v>0</v>
      </c>
      <c r="P29" s="154">
        <f t="shared" si="14"/>
        <v>0</v>
      </c>
      <c r="R29" s="154">
        <f t="shared" si="15"/>
        <v>0</v>
      </c>
      <c r="S29" s="154">
        <f t="shared" si="16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+'3'!J30</f>
        <v>0</v>
      </c>
      <c r="K30" s="244"/>
      <c r="L30" s="244"/>
      <c r="M30" s="122">
        <f>+K30+'3'!M30+L30</f>
        <v>0</v>
      </c>
      <c r="R30" s="154">
        <f t="shared" si="15"/>
        <v>0</v>
      </c>
      <c r="S30" s="154">
        <f t="shared" si="16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+'3'!J31</f>
        <v>0</v>
      </c>
      <c r="K31" s="244"/>
      <c r="L31" s="244"/>
      <c r="M31" s="122">
        <f>+K31+'3'!M31+L31</f>
        <v>0</v>
      </c>
      <c r="R31" s="154">
        <f t="shared" si="15"/>
        <v>0</v>
      </c>
      <c r="S31" s="154">
        <f t="shared" si="16"/>
        <v>0</v>
      </c>
    </row>
    <row r="32" spans="1:19" ht="13.5" thickBot="1">
      <c r="A32" s="769"/>
      <c r="B32" s="170" t="s">
        <v>2</v>
      </c>
      <c r="C32" s="104">
        <f>SUM(C25:C31)</f>
        <v>14388</v>
      </c>
      <c r="D32" s="105">
        <f>SUM(D25:D31)</f>
        <v>0</v>
      </c>
      <c r="E32" s="106">
        <f>SUM(E25:E31)</f>
        <v>0</v>
      </c>
      <c r="F32" s="107">
        <f>SUM(F24:F31)</f>
        <v>17</v>
      </c>
      <c r="G32" s="176"/>
      <c r="H32" s="177"/>
      <c r="I32" s="174"/>
      <c r="J32" s="219">
        <f>+'3'!J32</f>
        <v>0</v>
      </c>
      <c r="K32" s="246"/>
      <c r="L32" s="248"/>
      <c r="M32" s="122">
        <f>+K32+'3'!M32+L32</f>
        <v>0</v>
      </c>
      <c r="P32" s="154">
        <f t="shared" ref="P32" si="17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590400</v>
      </c>
      <c r="S33" s="154">
        <f>SUM(S25:S31)</f>
        <v>454607.99999999994</v>
      </c>
    </row>
    <row r="34" spans="1:19" ht="13.5" thickBot="1">
      <c r="A34" s="770" t="s">
        <v>57</v>
      </c>
      <c r="B34" s="771"/>
      <c r="C34" s="112">
        <f>C14+C23+C32</f>
        <v>41100</v>
      </c>
      <c r="D34" s="112">
        <f>D14+D23+D32</f>
        <v>263</v>
      </c>
      <c r="E34" s="112">
        <f>E14+E23+E32</f>
        <v>0</v>
      </c>
      <c r="F34" s="113">
        <f>F14+F23+F32</f>
        <v>54</v>
      </c>
      <c r="H34" s="183"/>
      <c r="I34" s="183"/>
      <c r="J34" s="128" t="s">
        <v>28</v>
      </c>
      <c r="K34" s="129">
        <f>SUM(K7:K32)</f>
        <v>41100</v>
      </c>
      <c r="L34" s="217">
        <f>SUM(L7:L32)</f>
        <v>0</v>
      </c>
      <c r="M34" s="125">
        <f>SUM(M7:M32)</f>
        <v>123083</v>
      </c>
      <c r="N34" s="154" t="s">
        <v>399</v>
      </c>
      <c r="Q34" s="154">
        <f>480-Q33</f>
        <v>0</v>
      </c>
      <c r="R34" s="154">
        <f>+R33/Q33</f>
        <v>1230</v>
      </c>
      <c r="S34" s="154">
        <f>+S33/Q33</f>
        <v>947.09999999999991</v>
      </c>
    </row>
    <row r="35" spans="1:19" ht="13.5" thickBot="1">
      <c r="A35" s="184"/>
      <c r="B35" s="185"/>
      <c r="C35" s="109">
        <f>C34/($C$34+$D$34+$E$34)</f>
        <v>0.99364166042114932</v>
      </c>
      <c r="D35" s="109">
        <f>D34/($C$34+$D$34+$E$34)</f>
        <v>6.3583395788506638E-3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(12*76+12.5*419+13*945)/1440*G42*2.74*1440/1000000</f>
        <v>47.301311907368756</v>
      </c>
      <c r="J37" s="130">
        <f>+I37+'3'!J37</f>
        <v>154.54691868336877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54</v>
      </c>
      <c r="D38" s="123">
        <f>+C38+'3'!D38</f>
        <v>154</v>
      </c>
      <c r="E38" s="148">
        <f t="shared" ref="E38:E51" si="18">D38/60</f>
        <v>2.5666666666666669</v>
      </c>
      <c r="F38" s="328">
        <v>1190.75</v>
      </c>
      <c r="G38" s="328">
        <v>916.87749999999994</v>
      </c>
      <c r="H38" s="192" t="s">
        <v>64</v>
      </c>
      <c r="I38" s="250">
        <f>3.326+10.498+13.514+15.1</f>
        <v>42.438000000000002</v>
      </c>
      <c r="J38" s="132">
        <f>+I38+'3'!J38</f>
        <v>137.08800000000002</v>
      </c>
      <c r="K38" s="133" t="s">
        <v>63</v>
      </c>
      <c r="N38" s="154" t="s">
        <v>389</v>
      </c>
      <c r="O38" s="154">
        <v>1200</v>
      </c>
      <c r="P38" s="154">
        <v>924</v>
      </c>
      <c r="Q38" s="154">
        <v>76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+C39+'3'!D39</f>
        <v>0</v>
      </c>
      <c r="E39" s="148">
        <f t="shared" si="18"/>
        <v>0</v>
      </c>
      <c r="F39" s="328">
        <v>1227.8125</v>
      </c>
      <c r="G39" s="328">
        <v>945.41562499999986</v>
      </c>
      <c r="H39" s="192" t="s">
        <v>65</v>
      </c>
      <c r="I39" s="147"/>
      <c r="J39" s="134">
        <f>J37/G4</f>
        <v>38.636729670842193</v>
      </c>
      <c r="K39" s="135" t="s">
        <v>63</v>
      </c>
      <c r="N39" s="154" t="s">
        <v>463</v>
      </c>
      <c r="O39" s="154">
        <v>1187.9713603818616</v>
      </c>
      <c r="P39" s="154">
        <v>914.73794749403328</v>
      </c>
      <c r="Q39" s="154">
        <v>419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+C40+'3'!D40</f>
        <v>0</v>
      </c>
      <c r="E40" s="148">
        <f t="shared" si="18"/>
        <v>0</v>
      </c>
      <c r="F40" s="328">
        <v>1230</v>
      </c>
      <c r="G40" s="328">
        <v>947.09999999999991</v>
      </c>
      <c r="H40" s="192" t="s">
        <v>67</v>
      </c>
      <c r="I40" s="123">
        <f>(K34+L34)/1000</f>
        <v>41.1</v>
      </c>
      <c r="J40" s="136">
        <f>+I40+'3'!J40</f>
        <v>123.083</v>
      </c>
      <c r="K40" s="135" t="s">
        <v>63</v>
      </c>
      <c r="N40" s="154" t="s">
        <v>454</v>
      </c>
      <c r="O40" s="154">
        <v>1230</v>
      </c>
      <c r="P40" s="154">
        <v>947.09999999999991</v>
      </c>
      <c r="Q40" s="154">
        <v>945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+C41+'3'!D41</f>
        <v>57</v>
      </c>
      <c r="E41" s="148">
        <f t="shared" si="18"/>
        <v>0.95</v>
      </c>
      <c r="F41" s="328"/>
      <c r="G41" s="328"/>
      <c r="H41" s="192" t="s">
        <v>69</v>
      </c>
      <c r="I41" s="147"/>
      <c r="J41" s="134">
        <f>J40/G4</f>
        <v>30.77075</v>
      </c>
      <c r="K41" s="135" t="s">
        <v>63</v>
      </c>
      <c r="Q41" s="154">
        <f>+Q38+Q39+Q40</f>
        <v>1440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+C42+'3'!D42</f>
        <v>0</v>
      </c>
      <c r="E42" s="148">
        <f t="shared" si="18"/>
        <v>0</v>
      </c>
      <c r="F42" s="328">
        <f>+(480*F38+480*F39+480*F40)/1440</f>
        <v>1216.1875</v>
      </c>
      <c r="G42" s="328">
        <f>+(480*G38+480*G39+480*G40)/1440</f>
        <v>936.46437500000002</v>
      </c>
      <c r="H42" s="192" t="s">
        <v>70</v>
      </c>
      <c r="I42" s="251" t="s">
        <v>466</v>
      </c>
      <c r="J42" s="137"/>
      <c r="K42" s="135" t="s">
        <v>71</v>
      </c>
    </row>
    <row r="43" spans="1:19" ht="17.45" customHeight="1">
      <c r="A43" s="776" t="s">
        <v>222</v>
      </c>
      <c r="B43" s="777"/>
      <c r="C43" s="169">
        <f>SUMIF($G$7:$G$31,"Change Grade",$F$7:$F$31)</f>
        <v>0</v>
      </c>
      <c r="D43" s="123">
        <f>+C43+'3'!D43</f>
        <v>0</v>
      </c>
      <c r="E43" s="148">
        <f t="shared" si="18"/>
        <v>0</v>
      </c>
      <c r="F43" s="328"/>
      <c r="G43" s="329"/>
      <c r="H43" s="193" t="s">
        <v>73</v>
      </c>
      <c r="I43" s="123">
        <f>+Report1!Z12</f>
        <v>60.8</v>
      </c>
      <c r="J43" s="138">
        <f>+I43+'3'!J43</f>
        <v>216.3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+C44+'3'!D44</f>
        <v>0</v>
      </c>
      <c r="E44" s="148">
        <f t="shared" si="18"/>
        <v>0</v>
      </c>
      <c r="F44" s="328"/>
      <c r="G44" s="329"/>
      <c r="H44" s="193" t="s">
        <v>74</v>
      </c>
      <c r="I44" s="123">
        <f>+Report1!Z12</f>
        <v>60.8</v>
      </c>
      <c r="J44" s="139">
        <f>J43/J38</f>
        <v>1.5778186274509802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+C45+'3'!D45</f>
        <v>0</v>
      </c>
      <c r="E45" s="148">
        <f t="shared" si="18"/>
        <v>0</v>
      </c>
      <c r="F45" s="328"/>
      <c r="G45" s="331"/>
      <c r="H45" s="193" t="s">
        <v>75</v>
      </c>
      <c r="I45" s="123">
        <f>I43/I40</f>
        <v>1.4793187347931873</v>
      </c>
      <c r="J45" s="139">
        <f>J43/J40</f>
        <v>1.7573507308076666</v>
      </c>
      <c r="K45" s="135" t="s">
        <v>63</v>
      </c>
    </row>
    <row r="46" spans="1:19" ht="17.45" customHeight="1">
      <c r="A46" s="776" t="s">
        <v>287</v>
      </c>
      <c r="B46" s="777"/>
      <c r="C46" s="169">
        <f>SUMIF($G$7:$G$31,"Sinergy",$F$7:$F$31)</f>
        <v>0</v>
      </c>
      <c r="D46" s="123">
        <f>+C46+'3'!D46</f>
        <v>0</v>
      </c>
      <c r="E46" s="148">
        <f t="shared" si="18"/>
        <v>0</v>
      </c>
      <c r="F46" s="328"/>
      <c r="G46" s="329"/>
      <c r="H46" s="193" t="s">
        <v>77</v>
      </c>
      <c r="I46" s="145">
        <f>+SUMIF(Listrik!P11,"&gt;0")</f>
        <v>37086.44000000073</v>
      </c>
      <c r="J46" s="140">
        <f>+I46+'3'!J46</f>
        <v>141530.13999999964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+C47+'3'!D47</f>
        <v>0</v>
      </c>
      <c r="E47" s="148">
        <f t="shared" si="18"/>
        <v>0</v>
      </c>
      <c r="F47" s="328"/>
      <c r="G47" s="329"/>
      <c r="H47" s="193" t="s">
        <v>80</v>
      </c>
      <c r="I47" s="123">
        <f>I46/I38</f>
        <v>873.89697912250176</v>
      </c>
      <c r="J47" s="140">
        <f>J46/J38</f>
        <v>1032.403565592901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+C48+'3'!D48</f>
        <v>0</v>
      </c>
      <c r="E48" s="148">
        <f t="shared" si="18"/>
        <v>0</v>
      </c>
      <c r="F48" s="328"/>
      <c r="G48" s="329"/>
      <c r="H48" s="193" t="s">
        <v>81</v>
      </c>
      <c r="I48" s="123">
        <f>I46/I40</f>
        <v>902.34647201948246</v>
      </c>
      <c r="J48" s="140">
        <f>J46/J40</f>
        <v>1149.8756123916353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+C49+'3'!D49</f>
        <v>720</v>
      </c>
      <c r="E49" s="148">
        <f t="shared" si="18"/>
        <v>12</v>
      </c>
      <c r="F49" s="190"/>
      <c r="H49" s="193" t="s">
        <v>270</v>
      </c>
      <c r="I49" s="123">
        <f>+Report1!T12</f>
        <v>4445.8054223148711</v>
      </c>
      <c r="J49" s="140">
        <f>+I49+'3'!J49</f>
        <v>15725.634737246779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+C50+'3'!D50</f>
        <v>0</v>
      </c>
      <c r="E50" s="148">
        <f t="shared" si="18"/>
        <v>0</v>
      </c>
      <c r="F50" s="190"/>
      <c r="H50" s="193" t="s">
        <v>83</v>
      </c>
      <c r="I50" s="145">
        <f>I49/I38</f>
        <v>104.76001277899219</v>
      </c>
      <c r="J50" s="138">
        <f>J49/J38</f>
        <v>114.71197141432347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+C51+'3'!D51</f>
        <v>0</v>
      </c>
      <c r="E51" s="148">
        <f t="shared" si="18"/>
        <v>0</v>
      </c>
      <c r="F51" s="190"/>
      <c r="H51" s="195" t="s">
        <v>85</v>
      </c>
      <c r="I51" s="146">
        <f>I49/I40</f>
        <v>108.17044823150538</v>
      </c>
      <c r="J51" s="141">
        <f>J49/J40</f>
        <v>127.76447386923279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54</v>
      </c>
      <c r="D52" s="149">
        <f>SUM(D38:D51)</f>
        <v>931</v>
      </c>
      <c r="E52" s="150">
        <f>SUM(E38:E51)</f>
        <v>15.516666666666666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3.7499999999999999E-2</v>
      </c>
      <c r="D53" s="151">
        <f>D52/(24*60*G4)</f>
        <v>0.16163194444444445</v>
      </c>
      <c r="E53" s="152">
        <f>E52/(G4*24)</f>
        <v>0.16163194444444443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+D34+'3'!J56</f>
        <v>2442</v>
      </c>
      <c r="K56" s="206">
        <f>J56/(J40+J56/1000)/1000</f>
        <v>1.9454291973710416E-2</v>
      </c>
    </row>
    <row r="57" spans="1:11">
      <c r="A57" s="181"/>
      <c r="I57" s="204" t="s">
        <v>88</v>
      </c>
      <c r="J57" s="205">
        <f>+E34+'3'!J57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zoomScale="80" zoomScaleNormal="75" zoomScaleSheetLayoutView="80" workbookViewId="0">
      <selection activeCell="N27" sqref="N27:S35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3.71093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3</v>
      </c>
      <c r="H4" s="159" t="str">
        <f>+'1'!H4</f>
        <v>.10.25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</row>
    <row r="7" spans="1:19" ht="13.5" customHeight="1" thickBot="1">
      <c r="A7" s="762"/>
      <c r="B7" s="220" t="s">
        <v>390</v>
      </c>
      <c r="C7" s="221">
        <v>9957</v>
      </c>
      <c r="D7" s="222"/>
      <c r="E7" s="223"/>
      <c r="F7" s="233"/>
      <c r="G7" s="234" t="s">
        <v>12</v>
      </c>
      <c r="H7" s="235" t="s">
        <v>386</v>
      </c>
      <c r="I7" s="765" t="s">
        <v>440</v>
      </c>
      <c r="J7" s="219" t="str">
        <f>+'2'!J7</f>
        <v>F 12 VP OW</v>
      </c>
      <c r="K7" s="243">
        <f>+C34</f>
        <v>36483</v>
      </c>
      <c r="L7" s="247"/>
      <c r="M7" s="122">
        <f>+K7+'2'!M7+L7</f>
        <v>81983</v>
      </c>
      <c r="N7" s="154" t="s">
        <v>389</v>
      </c>
      <c r="O7" s="154">
        <v>1200</v>
      </c>
      <c r="P7" s="154">
        <f>+O7-O7*0.23</f>
        <v>924</v>
      </c>
      <c r="Q7" s="154">
        <f>60+40</f>
        <v>100</v>
      </c>
      <c r="R7" s="154">
        <f>+O7*Q7</f>
        <v>120000</v>
      </c>
      <c r="S7" s="154">
        <f>+P7*Q7</f>
        <v>92400</v>
      </c>
    </row>
    <row r="8" spans="1:19" ht="13.5" thickBot="1">
      <c r="A8" s="763"/>
      <c r="B8" s="220"/>
      <c r="C8" s="221"/>
      <c r="D8" s="222"/>
      <c r="E8" s="224"/>
      <c r="F8" s="236">
        <v>8</v>
      </c>
      <c r="G8" s="574" t="s">
        <v>12</v>
      </c>
      <c r="H8" s="235" t="s">
        <v>431</v>
      </c>
      <c r="I8" s="766"/>
      <c r="J8" s="219">
        <f>+'2'!J8</f>
        <v>0</v>
      </c>
      <c r="K8" s="244"/>
      <c r="L8" s="244"/>
      <c r="M8" s="122">
        <f>+K8+'2'!M8+L8</f>
        <v>0</v>
      </c>
      <c r="O8" s="154">
        <v>1210</v>
      </c>
      <c r="P8" s="154">
        <f t="shared" ref="P8:P10" si="0">+O8-O8*0.23</f>
        <v>931.7</v>
      </c>
      <c r="Q8" s="154">
        <f>480-Q7</f>
        <v>380</v>
      </c>
      <c r="R8" s="154">
        <f>+O8*Q8</f>
        <v>459800</v>
      </c>
      <c r="S8" s="154">
        <f>+P8*Q8</f>
        <v>354046</v>
      </c>
    </row>
    <row r="9" spans="1:19" ht="13.5" thickBot="1">
      <c r="A9" s="763"/>
      <c r="B9" s="220"/>
      <c r="C9" s="221"/>
      <c r="D9" s="222"/>
      <c r="E9" s="225"/>
      <c r="F9" s="233">
        <f>26-8</f>
        <v>18</v>
      </c>
      <c r="G9" s="574" t="s">
        <v>12</v>
      </c>
      <c r="H9" s="238" t="s">
        <v>412</v>
      </c>
      <c r="I9" s="766"/>
      <c r="J9" s="219">
        <f>+'2'!J9</f>
        <v>0</v>
      </c>
      <c r="K9" s="244"/>
      <c r="L9" s="244"/>
      <c r="M9" s="122">
        <f>+K9+'2'!M9+L9</f>
        <v>0</v>
      </c>
      <c r="P9" s="154">
        <f t="shared" si="0"/>
        <v>0</v>
      </c>
      <c r="R9" s="154">
        <f t="shared" ref="R9:R12" si="1">+O9*Q9</f>
        <v>0</v>
      </c>
      <c r="S9" s="154">
        <f t="shared" ref="S9:S12" si="2">+P9*Q9</f>
        <v>0</v>
      </c>
    </row>
    <row r="10" spans="1:19" ht="39" thickBot="1">
      <c r="A10" s="763"/>
      <c r="B10" s="220"/>
      <c r="C10" s="221"/>
      <c r="D10" s="222"/>
      <c r="E10" s="224"/>
      <c r="F10" s="233"/>
      <c r="G10" s="242"/>
      <c r="H10" s="238" t="s">
        <v>434</v>
      </c>
      <c r="I10" s="766"/>
      <c r="J10" s="219">
        <f>+'2'!J10</f>
        <v>0</v>
      </c>
      <c r="K10" s="244"/>
      <c r="L10" s="244"/>
      <c r="M10" s="122">
        <f>+K10+'2'!M10+L10</f>
        <v>0</v>
      </c>
      <c r="P10" s="154">
        <f t="shared" si="0"/>
        <v>0</v>
      </c>
      <c r="R10" s="154">
        <f t="shared" si="1"/>
        <v>0</v>
      </c>
      <c r="S10" s="154">
        <f t="shared" si="2"/>
        <v>0</v>
      </c>
    </row>
    <row r="11" spans="1:19" ht="13.5" thickBot="1">
      <c r="A11" s="763"/>
      <c r="B11" s="220"/>
      <c r="C11" s="221"/>
      <c r="D11" s="222"/>
      <c r="E11" s="224"/>
      <c r="F11" s="233"/>
      <c r="G11" s="237"/>
      <c r="H11" s="238" t="s">
        <v>435</v>
      </c>
      <c r="I11" s="766"/>
      <c r="J11" s="219">
        <f>+'2'!J11</f>
        <v>0</v>
      </c>
      <c r="K11" s="244"/>
      <c r="L11" s="244"/>
      <c r="M11" s="122">
        <f>+K11+'2'!M11+L11</f>
        <v>0</v>
      </c>
      <c r="R11" s="154">
        <f t="shared" si="1"/>
        <v>0</v>
      </c>
      <c r="S11" s="154">
        <f t="shared" si="2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+'2'!J12</f>
        <v>0</v>
      </c>
      <c r="K12" s="244"/>
      <c r="L12" s="244"/>
      <c r="M12" s="122">
        <f>+K12+'2'!M12+L12</f>
        <v>0</v>
      </c>
      <c r="R12" s="154">
        <f t="shared" si="1"/>
        <v>0</v>
      </c>
      <c r="S12" s="154">
        <f t="shared" si="2"/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+'2'!J13</f>
        <v>0</v>
      </c>
      <c r="K13" s="244"/>
      <c r="L13" s="244"/>
      <c r="M13" s="122">
        <f>+K13+'2'!M13+L13</f>
        <v>0</v>
      </c>
      <c r="P13" s="154">
        <f t="shared" ref="P13" si="3">+O13-O13*0.17</f>
        <v>0</v>
      </c>
    </row>
    <row r="14" spans="1:19" ht="13.5" thickBot="1">
      <c r="A14" s="764"/>
      <c r="B14" s="170" t="s">
        <v>2</v>
      </c>
      <c r="C14" s="104">
        <f>SUM(C7:C13)</f>
        <v>9957</v>
      </c>
      <c r="D14" s="116">
        <f>SUM(D7:D13)</f>
        <v>0</v>
      </c>
      <c r="E14" s="117">
        <f>SUM(E5:E13)</f>
        <v>0</v>
      </c>
      <c r="F14" s="121">
        <f>SUM(F7:F13)</f>
        <v>26</v>
      </c>
      <c r="G14" s="164"/>
      <c r="H14" s="171"/>
      <c r="I14" s="172"/>
      <c r="J14" s="219">
        <f>+'2'!J14</f>
        <v>0</v>
      </c>
      <c r="K14" s="244"/>
      <c r="L14" s="244"/>
      <c r="M14" s="122">
        <f>+K14+'2'!M14+L14</f>
        <v>0</v>
      </c>
      <c r="Q14" s="154">
        <f>SUM(Q6:Q12)</f>
        <v>480</v>
      </c>
      <c r="R14" s="154">
        <f>SUM(R6:R12)</f>
        <v>579800</v>
      </c>
      <c r="S14" s="154">
        <f>SUM(S6:S12)</f>
        <v>446446</v>
      </c>
    </row>
    <row r="15" spans="1:19" ht="13.5" customHeight="1" thickBot="1">
      <c r="A15" s="762"/>
      <c r="B15" s="170"/>
      <c r="C15" s="118">
        <f>C14/($C$23+$D$23+$E$23)</f>
        <v>0.71274158911954189</v>
      </c>
      <c r="D15" s="119">
        <f>D14/($C$23+$D$23+$E$23)</f>
        <v>0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427</v>
      </c>
      <c r="J15" s="219">
        <f>+'2'!J15</f>
        <v>0</v>
      </c>
      <c r="K15" s="244"/>
      <c r="L15" s="244"/>
      <c r="M15" s="122">
        <f>+K15+'2'!M15+L15</f>
        <v>0</v>
      </c>
      <c r="N15" s="154" t="s">
        <v>399</v>
      </c>
      <c r="Q15" s="154">
        <f>480-Q14</f>
        <v>0</v>
      </c>
      <c r="R15" s="154">
        <f>+R14/Q14</f>
        <v>1207.9166666666667</v>
      </c>
      <c r="S15" s="154">
        <f>+S14/Q14</f>
        <v>930.0958333333333</v>
      </c>
    </row>
    <row r="16" spans="1:19" ht="13.5" thickBot="1">
      <c r="A16" s="768"/>
      <c r="B16" s="220" t="s">
        <v>390</v>
      </c>
      <c r="C16" s="227">
        <v>13853</v>
      </c>
      <c r="D16" s="228">
        <v>117</v>
      </c>
      <c r="E16" s="229"/>
      <c r="F16" s="236">
        <v>2</v>
      </c>
      <c r="G16" s="574" t="s">
        <v>12</v>
      </c>
      <c r="H16" s="235" t="s">
        <v>442</v>
      </c>
      <c r="I16" s="766"/>
      <c r="J16" s="219">
        <f>+'2'!J16</f>
        <v>0</v>
      </c>
      <c r="K16" s="234"/>
      <c r="L16" s="234"/>
      <c r="M16" s="122">
        <f>+K16+'2'!M16+L16</f>
        <v>0</v>
      </c>
      <c r="Q16" s="181"/>
      <c r="R16" s="181"/>
    </row>
    <row r="17" spans="1:19" ht="13.5" thickBot="1">
      <c r="A17" s="768"/>
      <c r="B17" s="220"/>
      <c r="C17" s="221"/>
      <c r="D17" s="222"/>
      <c r="E17" s="230"/>
      <c r="F17" s="233">
        <v>3</v>
      </c>
      <c r="G17" s="574" t="s">
        <v>12</v>
      </c>
      <c r="H17" s="238" t="s">
        <v>429</v>
      </c>
      <c r="I17" s="766"/>
      <c r="J17" s="219">
        <f>+'2'!J17</f>
        <v>0</v>
      </c>
      <c r="K17" s="234"/>
      <c r="L17" s="234"/>
      <c r="M17" s="122">
        <f>+K17+'2'!M17+L17</f>
        <v>0</v>
      </c>
      <c r="N17" s="154" t="s">
        <v>389</v>
      </c>
      <c r="O17" s="154">
        <v>1230</v>
      </c>
      <c r="P17" s="154">
        <f>+O17-O17*0.23</f>
        <v>947.09999999999991</v>
      </c>
      <c r="Q17" s="154">
        <v>480</v>
      </c>
      <c r="R17" s="154">
        <f>+O17*Q17</f>
        <v>590400</v>
      </c>
      <c r="S17" s="154">
        <f>+P17*Q17</f>
        <v>454607.99999999994</v>
      </c>
    </row>
    <row r="18" spans="1:19" ht="26.25" thickBot="1">
      <c r="A18" s="768"/>
      <c r="B18" s="220"/>
      <c r="C18" s="221"/>
      <c r="D18" s="222"/>
      <c r="E18" s="230"/>
      <c r="F18" s="233"/>
      <c r="G18" s="242"/>
      <c r="H18" s="238" t="s">
        <v>438</v>
      </c>
      <c r="I18" s="766"/>
      <c r="J18" s="219">
        <f>+'2'!J18</f>
        <v>0</v>
      </c>
      <c r="K18" s="244"/>
      <c r="L18" s="244"/>
      <c r="M18" s="122">
        <f>+K18+'2'!M18+L18</f>
        <v>0</v>
      </c>
      <c r="P18" s="154">
        <f t="shared" ref="P18:P20" si="4">+O18-O18*0.23</f>
        <v>0</v>
      </c>
      <c r="Q18" s="154">
        <f>480-Q17</f>
        <v>0</v>
      </c>
      <c r="R18" s="154">
        <f>+O18*Q18</f>
        <v>0</v>
      </c>
      <c r="S18" s="154">
        <f>+P18*Q18</f>
        <v>0</v>
      </c>
    </row>
    <row r="19" spans="1:19" ht="26.25" thickBot="1">
      <c r="A19" s="768"/>
      <c r="B19" s="220"/>
      <c r="C19" s="221"/>
      <c r="D19" s="222"/>
      <c r="E19" s="230"/>
      <c r="F19" s="240"/>
      <c r="G19" s="237"/>
      <c r="H19" s="238" t="s">
        <v>439</v>
      </c>
      <c r="I19" s="766"/>
      <c r="J19" s="219">
        <f>+'2'!J19</f>
        <v>0</v>
      </c>
      <c r="K19" s="244"/>
      <c r="L19" s="244"/>
      <c r="M19" s="122">
        <f>+K19+'2'!M19+L19</f>
        <v>0</v>
      </c>
      <c r="P19" s="154">
        <f t="shared" si="4"/>
        <v>0</v>
      </c>
      <c r="R19" s="154">
        <f t="shared" ref="R19:R22" si="5">+O19*Q19</f>
        <v>0</v>
      </c>
      <c r="S19" s="154">
        <f t="shared" ref="S19:S22" si="6">+P19*Q19</f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+'2'!J20</f>
        <v>0</v>
      </c>
      <c r="K20" s="245"/>
      <c r="L20" s="245"/>
      <c r="M20" s="122">
        <f>+K20+'2'!M20+L20</f>
        <v>0</v>
      </c>
      <c r="P20" s="154">
        <f t="shared" si="4"/>
        <v>0</v>
      </c>
      <c r="R20" s="154">
        <f t="shared" si="5"/>
        <v>0</v>
      </c>
      <c r="S20" s="154">
        <f t="shared" si="6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+'2'!J21</f>
        <v>0</v>
      </c>
      <c r="K21" s="244"/>
      <c r="L21" s="244"/>
      <c r="M21" s="122">
        <f>+K21+'2'!M21+L21</f>
        <v>0</v>
      </c>
      <c r="R21" s="154">
        <f t="shared" si="5"/>
        <v>0</v>
      </c>
      <c r="S21" s="154">
        <f t="shared" si="6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+'2'!J22</f>
        <v>0</v>
      </c>
      <c r="K22" s="244"/>
      <c r="L22" s="244"/>
      <c r="M22" s="122">
        <f>+K22+'2'!M22+L22</f>
        <v>0</v>
      </c>
      <c r="R22" s="154">
        <f t="shared" si="5"/>
        <v>0</v>
      </c>
      <c r="S22" s="154">
        <f t="shared" si="6"/>
        <v>0</v>
      </c>
    </row>
    <row r="23" spans="1:19" ht="13.5" thickBot="1">
      <c r="A23" s="769"/>
      <c r="B23" s="173" t="s">
        <v>2</v>
      </c>
      <c r="C23" s="105">
        <f>SUM(C16:C22)</f>
        <v>13853</v>
      </c>
      <c r="D23" s="116">
        <f>SUM(D16:D22)</f>
        <v>117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19">
        <f>+'2'!J23</f>
        <v>0</v>
      </c>
      <c r="K23" s="244"/>
      <c r="L23" s="244"/>
      <c r="M23" s="122">
        <f>+K23+'2'!M23+L23</f>
        <v>0</v>
      </c>
      <c r="P23" s="154">
        <f t="shared" ref="P23" si="7">+O23-O23*0.17</f>
        <v>0</v>
      </c>
    </row>
    <row r="24" spans="1:19" ht="13.5" customHeight="1" thickBot="1">
      <c r="A24" s="762"/>
      <c r="B24" s="175"/>
      <c r="C24" s="118">
        <f>C23/($C$23+$D$23+$E$23)</f>
        <v>0.99162491052254831</v>
      </c>
      <c r="D24" s="119">
        <f>D23/($C$23+$D$23+$E$23)</f>
        <v>8.3750894774516828E-3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427</v>
      </c>
      <c r="J24" s="219">
        <f>+'2'!J24</f>
        <v>0</v>
      </c>
      <c r="K24" s="244"/>
      <c r="L24" s="244"/>
      <c r="M24" s="122">
        <f>+K24+'2'!M24+L24</f>
        <v>0</v>
      </c>
      <c r="Q24" s="154">
        <f>SUM(Q16:Q22)</f>
        <v>480</v>
      </c>
      <c r="R24" s="154">
        <f>SUM(R16:R22)</f>
        <v>590400</v>
      </c>
      <c r="S24" s="154">
        <f>SUM(S16:S22)</f>
        <v>454607.99999999994</v>
      </c>
    </row>
    <row r="25" spans="1:19" ht="13.5" thickBot="1">
      <c r="A25" s="768"/>
      <c r="B25" s="220" t="s">
        <v>390</v>
      </c>
      <c r="C25" s="231">
        <v>12673</v>
      </c>
      <c r="D25" s="222"/>
      <c r="E25" s="230"/>
      <c r="F25" s="236">
        <v>2</v>
      </c>
      <c r="G25" s="574" t="s">
        <v>12</v>
      </c>
      <c r="H25" s="235" t="s">
        <v>443</v>
      </c>
      <c r="I25" s="766"/>
      <c r="J25" s="219">
        <f>+'2'!J25</f>
        <v>0</v>
      </c>
      <c r="K25" s="244"/>
      <c r="L25" s="244"/>
      <c r="M25" s="122">
        <f>+K25+'2'!M25+L25</f>
        <v>0</v>
      </c>
      <c r="N25" s="154" t="s">
        <v>399</v>
      </c>
      <c r="Q25" s="154">
        <f>480-Q24</f>
        <v>0</v>
      </c>
      <c r="R25" s="154">
        <f>+R24/Q24</f>
        <v>1230</v>
      </c>
      <c r="S25" s="154">
        <f>+S24/Q24</f>
        <v>947.09999999999991</v>
      </c>
    </row>
    <row r="26" spans="1:19" ht="13.5" thickBot="1">
      <c r="A26" s="768"/>
      <c r="B26" s="220"/>
      <c r="C26" s="231"/>
      <c r="D26" s="222"/>
      <c r="E26" s="232"/>
      <c r="F26" s="233">
        <v>2</v>
      </c>
      <c r="G26" s="574" t="s">
        <v>12</v>
      </c>
      <c r="H26" s="238" t="s">
        <v>429</v>
      </c>
      <c r="I26" s="766"/>
      <c r="J26" s="219">
        <f>+'2'!J26</f>
        <v>0</v>
      </c>
      <c r="K26" s="244"/>
      <c r="L26" s="244"/>
      <c r="M26" s="122">
        <f>+K26+'2'!M26+L26</f>
        <v>0</v>
      </c>
    </row>
    <row r="27" spans="1:19" ht="26.25" thickBot="1">
      <c r="A27" s="768"/>
      <c r="B27" s="220"/>
      <c r="C27" s="221"/>
      <c r="D27" s="222"/>
      <c r="E27" s="230"/>
      <c r="F27" s="233"/>
      <c r="G27" s="242"/>
      <c r="H27" s="238" t="s">
        <v>436</v>
      </c>
      <c r="I27" s="766"/>
      <c r="J27" s="219">
        <f>+'2'!J27</f>
        <v>0</v>
      </c>
      <c r="K27" s="244"/>
      <c r="L27" s="244"/>
      <c r="M27" s="122">
        <f>+K27+'2'!M27+L27</f>
        <v>0</v>
      </c>
      <c r="N27" s="154" t="s">
        <v>389</v>
      </c>
      <c r="O27" s="154">
        <v>1230</v>
      </c>
      <c r="P27" s="154">
        <f>+O27-O27*0.23</f>
        <v>947.09999999999991</v>
      </c>
      <c r="Q27" s="154">
        <v>480</v>
      </c>
      <c r="R27" s="154">
        <f>+O27*Q27</f>
        <v>590400</v>
      </c>
      <c r="S27" s="154">
        <f>+P27*Q27</f>
        <v>454607.99999999994</v>
      </c>
    </row>
    <row r="28" spans="1:19" ht="13.5" thickBot="1">
      <c r="A28" s="768"/>
      <c r="B28" s="220"/>
      <c r="C28" s="221"/>
      <c r="D28" s="222"/>
      <c r="E28" s="230"/>
      <c r="F28" s="236"/>
      <c r="G28" s="237"/>
      <c r="H28" s="238" t="s">
        <v>437</v>
      </c>
      <c r="I28" s="766"/>
      <c r="J28" s="219">
        <f>+'2'!J28</f>
        <v>0</v>
      </c>
      <c r="K28" s="244"/>
      <c r="L28" s="244"/>
      <c r="M28" s="122">
        <f>+K28+'2'!M28+L28</f>
        <v>0</v>
      </c>
      <c r="P28" s="154">
        <f t="shared" ref="P28:P30" si="8">+O28-O28*0.23</f>
        <v>0</v>
      </c>
      <c r="Q28" s="154">
        <f>480-Q27</f>
        <v>0</v>
      </c>
      <c r="R28" s="154">
        <f>+O28*Q28</f>
        <v>0</v>
      </c>
      <c r="S28" s="154">
        <f>+P28*Q28</f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+'2'!J29</f>
        <v>0</v>
      </c>
      <c r="K29" s="244"/>
      <c r="L29" s="244"/>
      <c r="M29" s="122">
        <f>+K29+'2'!M29+L29</f>
        <v>0</v>
      </c>
      <c r="P29" s="154">
        <f t="shared" si="8"/>
        <v>0</v>
      </c>
      <c r="R29" s="154">
        <f t="shared" ref="R29:R32" si="9">+O29*Q29</f>
        <v>0</v>
      </c>
      <c r="S29" s="154">
        <f t="shared" ref="S29:S32" si="10">+P29*Q29</f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+'2'!J30</f>
        <v>0</v>
      </c>
      <c r="K30" s="244"/>
      <c r="L30" s="244"/>
      <c r="M30" s="122">
        <f>+K30+'2'!M30+L30</f>
        <v>0</v>
      </c>
      <c r="P30" s="154">
        <f t="shared" si="8"/>
        <v>0</v>
      </c>
      <c r="R30" s="154">
        <f t="shared" si="9"/>
        <v>0</v>
      </c>
      <c r="S30" s="154">
        <f t="shared" si="10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+'2'!J31</f>
        <v>0</v>
      </c>
      <c r="K31" s="244"/>
      <c r="L31" s="244"/>
      <c r="M31" s="122">
        <f>+K31+'2'!M31+L31</f>
        <v>0</v>
      </c>
      <c r="R31" s="154">
        <f t="shared" si="9"/>
        <v>0</v>
      </c>
      <c r="S31" s="154">
        <f t="shared" si="10"/>
        <v>0</v>
      </c>
    </row>
    <row r="32" spans="1:19" ht="13.5" thickBot="1">
      <c r="A32" s="769"/>
      <c r="B32" s="170" t="s">
        <v>2</v>
      </c>
      <c r="C32" s="104">
        <f>SUM(C25:C31)</f>
        <v>12673</v>
      </c>
      <c r="D32" s="105">
        <f>SUM(D25:D31)</f>
        <v>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+'2'!J32</f>
        <v>0</v>
      </c>
      <c r="K32" s="246"/>
      <c r="L32" s="248"/>
      <c r="M32" s="122">
        <f>+K32+'2'!M32+L32</f>
        <v>0</v>
      </c>
      <c r="R32" s="154">
        <f t="shared" si="9"/>
        <v>0</v>
      </c>
      <c r="S32" s="154">
        <f t="shared" si="10"/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P33" s="154">
        <f t="shared" ref="P33" si="11">+O33-O33*0.17</f>
        <v>0</v>
      </c>
    </row>
    <row r="34" spans="1:19" ht="13.5" thickBot="1">
      <c r="A34" s="770" t="s">
        <v>57</v>
      </c>
      <c r="B34" s="771"/>
      <c r="C34" s="112">
        <f>C14+C23+C32</f>
        <v>36483</v>
      </c>
      <c r="D34" s="112">
        <f>D14+D23+D32</f>
        <v>117</v>
      </c>
      <c r="E34" s="112">
        <f>E14+E23+E32</f>
        <v>0</v>
      </c>
      <c r="F34" s="113">
        <f>F14+F23+F32</f>
        <v>35</v>
      </c>
      <c r="H34" s="183"/>
      <c r="I34" s="183"/>
      <c r="J34" s="128" t="s">
        <v>28</v>
      </c>
      <c r="K34" s="129">
        <f>SUM(K7:K32)</f>
        <v>36483</v>
      </c>
      <c r="L34" s="217">
        <f>SUM(L7:L32)</f>
        <v>0</v>
      </c>
      <c r="M34" s="125">
        <f>SUM(M7:M32)</f>
        <v>81983</v>
      </c>
      <c r="Q34" s="154">
        <f>SUM(Q26:Q32)</f>
        <v>480</v>
      </c>
      <c r="R34" s="154">
        <f>SUM(R26:R32)</f>
        <v>590400</v>
      </c>
      <c r="S34" s="154">
        <f>SUM(S26:S32)</f>
        <v>454607.99999999994</v>
      </c>
    </row>
    <row r="35" spans="1:19" ht="13.5" thickBot="1">
      <c r="A35" s="184"/>
      <c r="B35" s="185"/>
      <c r="C35" s="109">
        <f>C34/($C$34+$D$34+$E$34)</f>
        <v>0.99680327868852459</v>
      </c>
      <c r="D35" s="109">
        <f>D34/($C$34+$D$34+$E$34)</f>
        <v>3.1967213114754097E-3</v>
      </c>
      <c r="E35" s="114">
        <f>E34/($C$34+$D$34+$E$34)</f>
        <v>0</v>
      </c>
      <c r="K35" s="160"/>
      <c r="N35" s="154" t="s">
        <v>399</v>
      </c>
      <c r="Q35" s="154">
        <f>480-Q34</f>
        <v>0</v>
      </c>
      <c r="R35" s="154">
        <f>+R34/Q34</f>
        <v>1230</v>
      </c>
      <c r="S35" s="154">
        <f>+S34/Q34</f>
        <v>947.09999999999991</v>
      </c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(12*1440)/1440*G42*2.74*1440/1000000</f>
        <v>44.574166560000002</v>
      </c>
      <c r="J37" s="130">
        <f>+I37+'2'!J37</f>
        <v>107.24560677600002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35</v>
      </c>
      <c r="D38" s="123">
        <f>+C38+'2'!D38</f>
        <v>100</v>
      </c>
      <c r="E38" s="148">
        <f t="shared" ref="E38:E51" si="12">D38/60</f>
        <v>1.6666666666666667</v>
      </c>
      <c r="F38" s="328">
        <v>1207.9166666666667</v>
      </c>
      <c r="G38" s="328">
        <v>930.0958333333333</v>
      </c>
      <c r="H38" s="192" t="s">
        <v>64</v>
      </c>
      <c r="I38" s="250">
        <f>13.784+12.132+11.779</f>
        <v>37.695</v>
      </c>
      <c r="J38" s="132">
        <f>+I38+'2'!J38</f>
        <v>94.65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+C39+'2'!D39</f>
        <v>0</v>
      </c>
      <c r="E39" s="148">
        <f t="shared" si="12"/>
        <v>0</v>
      </c>
      <c r="F39" s="328">
        <v>1230</v>
      </c>
      <c r="G39" s="328">
        <v>947.09999999999991</v>
      </c>
      <c r="H39" s="192" t="s">
        <v>65</v>
      </c>
      <c r="I39" s="147"/>
      <c r="J39" s="134">
        <f>J37/G4</f>
        <v>35.748535592000003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+C40+'2'!D40</f>
        <v>0</v>
      </c>
      <c r="E40" s="148">
        <f t="shared" si="12"/>
        <v>0</v>
      </c>
      <c r="F40" s="328">
        <v>1230</v>
      </c>
      <c r="G40" s="328">
        <v>947.09999999999991</v>
      </c>
      <c r="H40" s="192" t="s">
        <v>67</v>
      </c>
      <c r="I40" s="123">
        <f>(K34+L34)/1000</f>
        <v>36.482999999999997</v>
      </c>
      <c r="J40" s="136">
        <f>+I40+'2'!J40</f>
        <v>81.983000000000004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+C41+'2'!D41</f>
        <v>57</v>
      </c>
      <c r="E41" s="148">
        <f t="shared" si="12"/>
        <v>0.95</v>
      </c>
      <c r="F41" s="328"/>
      <c r="G41" s="328"/>
      <c r="H41" s="192" t="s">
        <v>69</v>
      </c>
      <c r="I41" s="147"/>
      <c r="J41" s="134">
        <f>J40/G4</f>
        <v>27.327666666666669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+C42+'2'!D42</f>
        <v>0</v>
      </c>
      <c r="E42" s="148">
        <f t="shared" si="12"/>
        <v>0</v>
      </c>
      <c r="F42" s="328">
        <f>+(F38*480+F39*480+F40*480)/1440</f>
        <v>1222.6388888888889</v>
      </c>
      <c r="G42" s="328">
        <f>+(G38*480+G39*480+G40*480)/1440</f>
        <v>941.43194444444441</v>
      </c>
      <c r="H42" s="192" t="s">
        <v>70</v>
      </c>
      <c r="I42" s="251" t="s">
        <v>441</v>
      </c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+C43+'2'!D43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+Report1!Z11</f>
        <v>55.7</v>
      </c>
      <c r="J43" s="138">
        <f>+I43+'2'!J43</f>
        <v>155.5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+C44+'2'!D44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1.4776495556439846</v>
      </c>
      <c r="J44" s="139">
        <f>J43/J38</f>
        <v>1.6428948758584256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+C45+'2'!D45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1.5267384809363267</v>
      </c>
      <c r="J45" s="139">
        <f>J43/J40</f>
        <v>1.8967346888989181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+C46+'2'!D46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+SUMIF(Listrik!P10,"&gt;0")</f>
        <v>39132.219999998546</v>
      </c>
      <c r="J46" s="140">
        <f>+I46+'2'!J46</f>
        <v>104443.69999999891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+C47+'2'!D47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1038.1276031303501</v>
      </c>
      <c r="J47" s="140">
        <f>J46/J38</f>
        <v>1103.4727945060633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+C48+'2'!D48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1072.6151906366952</v>
      </c>
      <c r="J48" s="140">
        <f>J46/J40</f>
        <v>1273.9677738067514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+C49+'2'!D49</f>
        <v>720</v>
      </c>
      <c r="E49" s="148">
        <f t="shared" si="12"/>
        <v>12</v>
      </c>
      <c r="F49" s="190"/>
      <c r="H49" s="193" t="s">
        <v>270</v>
      </c>
      <c r="I49" s="123">
        <f>+Report1!T11</f>
        <v>4518.347867096154</v>
      </c>
      <c r="J49" s="140">
        <f>+I49+'2'!J49</f>
        <v>11279.829314931907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+C50+'2'!D50</f>
        <v>0</v>
      </c>
      <c r="E50" s="148">
        <f t="shared" si="12"/>
        <v>0</v>
      </c>
      <c r="F50" s="190"/>
      <c r="H50" s="193" t="s">
        <v>83</v>
      </c>
      <c r="I50" s="145">
        <f>I49/I38</f>
        <v>119.86597339424735</v>
      </c>
      <c r="J50" s="138">
        <f>J49/J38</f>
        <v>119.17410792321084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+C51+'2'!D51</f>
        <v>0</v>
      </c>
      <c r="E51" s="148">
        <f t="shared" si="12"/>
        <v>0</v>
      </c>
      <c r="F51" s="190"/>
      <c r="H51" s="195" t="s">
        <v>85</v>
      </c>
      <c r="I51" s="146">
        <f>I49/I40</f>
        <v>123.8480351696997</v>
      </c>
      <c r="J51" s="141">
        <f>J49/J40</f>
        <v>137.58741830540365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35</v>
      </c>
      <c r="D52" s="149">
        <f>SUM(D38:D51)</f>
        <v>877</v>
      </c>
      <c r="E52" s="150">
        <f>SUM(E38:E51)</f>
        <v>14.616666666666667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2.4305555555555556E-2</v>
      </c>
      <c r="D53" s="151">
        <f>D52/(24*60*G4)</f>
        <v>0.20300925925925925</v>
      </c>
      <c r="E53" s="152">
        <f>E52/(G4*24)</f>
        <v>0.20300925925925928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+D34+'2'!J56</f>
        <v>2179</v>
      </c>
      <c r="K56" s="206">
        <f>J56/(J40+J56/1000)/1000</f>
        <v>2.5890544426225608E-2</v>
      </c>
    </row>
    <row r="57" spans="1:11">
      <c r="A57" s="181"/>
      <c r="I57" s="204" t="s">
        <v>88</v>
      </c>
      <c r="J57" s="205">
        <f>+E34+'2'!J57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59" firstPageNumber="4294963191" orientation="landscape" r:id="rId1"/>
  <headerFooter alignWithMargins="0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F7" zoomScale="80" zoomScaleNormal="75" zoomScaleSheetLayoutView="80" workbookViewId="0">
      <selection activeCell="N26" sqref="N26:S3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1.7109375" style="115" customWidth="1"/>
    <col min="7" max="7" width="12.7109375" style="154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2</v>
      </c>
      <c r="H4" s="159" t="str">
        <f>+'1'!H4</f>
        <v>.10.25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389</v>
      </c>
      <c r="O6" s="154">
        <v>1200</v>
      </c>
      <c r="P6" s="154">
        <f>+O6-O6*0.23</f>
        <v>924</v>
      </c>
      <c r="Q6" s="154">
        <v>30</v>
      </c>
      <c r="R6" s="154">
        <f>+O6*Q6</f>
        <v>36000</v>
      </c>
      <c r="S6" s="154">
        <f>+P6*Q6</f>
        <v>27720</v>
      </c>
    </row>
    <row r="7" spans="1:19" ht="13.5" customHeight="1" thickBot="1">
      <c r="A7" s="762"/>
      <c r="B7" s="220" t="s">
        <v>390</v>
      </c>
      <c r="C7" s="221">
        <v>11822</v>
      </c>
      <c r="D7" s="222"/>
      <c r="E7" s="223"/>
      <c r="F7" s="233">
        <v>8</v>
      </c>
      <c r="G7" s="234" t="s">
        <v>12</v>
      </c>
      <c r="H7" s="235" t="s">
        <v>413</v>
      </c>
      <c r="I7" s="765" t="s">
        <v>426</v>
      </c>
      <c r="J7" s="219" t="str">
        <f>+'1'!J7</f>
        <v>F 12 VP OW</v>
      </c>
      <c r="K7" s="243">
        <f>+C34</f>
        <v>36587</v>
      </c>
      <c r="L7" s="247"/>
      <c r="M7" s="122">
        <f>+K7+'1'!M7+L7</f>
        <v>45500</v>
      </c>
      <c r="O7" s="154">
        <v>1170</v>
      </c>
      <c r="P7" s="154">
        <f t="shared" ref="P7:P9" si="0">+O7-O7*0.23</f>
        <v>900.9</v>
      </c>
      <c r="Q7" s="154">
        <f>60-30+180+10</f>
        <v>220</v>
      </c>
      <c r="R7" s="154">
        <f>+O7*Q7</f>
        <v>257400</v>
      </c>
      <c r="S7" s="154">
        <f>+P7*Q7</f>
        <v>198198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19">
        <f>+'1'!J8</f>
        <v>0</v>
      </c>
      <c r="K8" s="244"/>
      <c r="L8" s="244"/>
      <c r="M8" s="122">
        <f>+K8+'1'!M8+L8</f>
        <v>0</v>
      </c>
      <c r="O8" s="154">
        <v>1200</v>
      </c>
      <c r="P8" s="154">
        <f t="shared" si="0"/>
        <v>924</v>
      </c>
      <c r="Q8" s="154">
        <f>60-10+55</f>
        <v>105</v>
      </c>
      <c r="R8" s="154">
        <f t="shared" ref="R8:R11" si="1">+O8*Q8</f>
        <v>126000</v>
      </c>
      <c r="S8" s="154">
        <f t="shared" ref="S8:S11" si="2">+P8*Q8</f>
        <v>97020</v>
      </c>
    </row>
    <row r="9" spans="1:19" ht="13.5" thickBot="1">
      <c r="A9" s="763"/>
      <c r="B9" s="220"/>
      <c r="C9" s="221"/>
      <c r="D9" s="222"/>
      <c r="E9" s="225"/>
      <c r="F9" s="233">
        <v>20</v>
      </c>
      <c r="G9" s="574" t="s">
        <v>12</v>
      </c>
      <c r="H9" s="238" t="s">
        <v>429</v>
      </c>
      <c r="I9" s="766"/>
      <c r="J9" s="219">
        <f>+'1'!J9</f>
        <v>0</v>
      </c>
      <c r="K9" s="244"/>
      <c r="L9" s="244"/>
      <c r="M9" s="122">
        <f>+K9+'1'!M9+L9</f>
        <v>0</v>
      </c>
      <c r="O9" s="154">
        <v>1230</v>
      </c>
      <c r="P9" s="154">
        <f t="shared" si="0"/>
        <v>947.09999999999991</v>
      </c>
      <c r="Q9" s="154">
        <f>60-55+120</f>
        <v>125</v>
      </c>
      <c r="R9" s="154">
        <f t="shared" si="1"/>
        <v>153750</v>
      </c>
      <c r="S9" s="154">
        <f t="shared" si="2"/>
        <v>118387.49999999999</v>
      </c>
    </row>
    <row r="10" spans="1:19" ht="51.75" thickBot="1">
      <c r="A10" s="763"/>
      <c r="B10" s="220"/>
      <c r="C10" s="221"/>
      <c r="D10" s="222"/>
      <c r="E10" s="224"/>
      <c r="F10" s="233"/>
      <c r="G10" s="242"/>
      <c r="H10" s="238" t="s">
        <v>421</v>
      </c>
      <c r="I10" s="766"/>
      <c r="J10" s="219">
        <f>+'1'!J10</f>
        <v>0</v>
      </c>
      <c r="K10" s="244"/>
      <c r="L10" s="244"/>
      <c r="M10" s="122">
        <f>+K10+'1'!M10+L10</f>
        <v>0</v>
      </c>
      <c r="R10" s="154">
        <f t="shared" si="1"/>
        <v>0</v>
      </c>
      <c r="S10" s="154">
        <f t="shared" si="2"/>
        <v>0</v>
      </c>
    </row>
    <row r="11" spans="1:19" ht="102.75" thickBot="1">
      <c r="A11" s="763"/>
      <c r="B11" s="220"/>
      <c r="C11" s="221"/>
      <c r="D11" s="222"/>
      <c r="E11" s="224"/>
      <c r="F11" s="233"/>
      <c r="G11" s="237"/>
      <c r="H11" s="238" t="s">
        <v>422</v>
      </c>
      <c r="I11" s="766"/>
      <c r="J11" s="219">
        <f>+'1'!J11</f>
        <v>0</v>
      </c>
      <c r="K11" s="244"/>
      <c r="L11" s="244"/>
      <c r="M11" s="122">
        <f>+K11+'1'!M11+L11</f>
        <v>0</v>
      </c>
      <c r="R11" s="154">
        <f t="shared" si="1"/>
        <v>0</v>
      </c>
      <c r="S11" s="154">
        <f t="shared" si="2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19">
        <f>+'1'!J12</f>
        <v>0</v>
      </c>
      <c r="K12" s="244"/>
      <c r="L12" s="244"/>
      <c r="M12" s="122">
        <f>+K12+'1'!M12+L12</f>
        <v>0</v>
      </c>
      <c r="P12" s="154">
        <f t="shared" ref="P12" si="3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19">
        <f>+'1'!J13</f>
        <v>0</v>
      </c>
      <c r="K13" s="244"/>
      <c r="L13" s="244"/>
      <c r="M13" s="122">
        <f>+K13+'1'!M13+L13</f>
        <v>0</v>
      </c>
      <c r="Q13" s="154">
        <f>SUM(Q5:Q11)</f>
        <v>480</v>
      </c>
      <c r="R13" s="154">
        <f>SUM(R5:R11)</f>
        <v>573150</v>
      </c>
      <c r="S13" s="154">
        <f>SUM(S5:S11)</f>
        <v>441325.5</v>
      </c>
    </row>
    <row r="14" spans="1:19" ht="13.5" thickBot="1">
      <c r="A14" s="764"/>
      <c r="B14" s="170" t="s">
        <v>2</v>
      </c>
      <c r="C14" s="104">
        <f>SUM(C7:C13)</f>
        <v>11822</v>
      </c>
      <c r="D14" s="116">
        <f>SUM(D7:D13)</f>
        <v>0</v>
      </c>
      <c r="E14" s="117">
        <f>SUM(E5:E13)</f>
        <v>0</v>
      </c>
      <c r="F14" s="121">
        <f>SUM(F7:F13)</f>
        <v>28</v>
      </c>
      <c r="G14" s="164"/>
      <c r="H14" s="171"/>
      <c r="I14" s="172"/>
      <c r="J14" s="219">
        <f>+'1'!J14</f>
        <v>0</v>
      </c>
      <c r="K14" s="244"/>
      <c r="L14" s="244"/>
      <c r="M14" s="122">
        <f>+K14+'1'!M14+L14</f>
        <v>0</v>
      </c>
      <c r="N14" s="154" t="s">
        <v>399</v>
      </c>
      <c r="Q14" s="154">
        <f>480-Q13</f>
        <v>0</v>
      </c>
      <c r="R14" s="154">
        <f>+R13/Q13</f>
        <v>1194.0625</v>
      </c>
      <c r="S14" s="154">
        <f>+S13/Q13</f>
        <v>919.42812500000002</v>
      </c>
    </row>
    <row r="15" spans="1:19" ht="13.5" customHeight="1" thickBot="1">
      <c r="A15" s="762"/>
      <c r="B15" s="170"/>
      <c r="C15" s="118">
        <f>C14/($C$23+$D$23+$E$23)</f>
        <v>1.0175589602341195</v>
      </c>
      <c r="D15" s="119">
        <f>D14/($C$23+$D$23+$E$23)</f>
        <v>0</v>
      </c>
      <c r="E15" s="120">
        <f>E14/($C$23+$D$23+$E$23)</f>
        <v>0</v>
      </c>
      <c r="F15" s="233"/>
      <c r="G15" s="234" t="s">
        <v>12</v>
      </c>
      <c r="H15" s="235" t="s">
        <v>386</v>
      </c>
      <c r="I15" s="765" t="s">
        <v>427</v>
      </c>
      <c r="J15" s="219">
        <f>+'1'!J15</f>
        <v>0</v>
      </c>
      <c r="K15" s="244"/>
      <c r="L15" s="244"/>
      <c r="M15" s="122">
        <f>+K15+'1'!M15+L15</f>
        <v>0</v>
      </c>
    </row>
    <row r="16" spans="1:19" ht="13.5" thickBot="1">
      <c r="A16" s="768"/>
      <c r="B16" s="220" t="s">
        <v>390</v>
      </c>
      <c r="C16" s="227">
        <v>11618</v>
      </c>
      <c r="D16" s="228"/>
      <c r="E16" s="229"/>
      <c r="F16" s="236">
        <v>2</v>
      </c>
      <c r="G16" s="574" t="s">
        <v>12</v>
      </c>
      <c r="H16" s="235" t="s">
        <v>430</v>
      </c>
      <c r="I16" s="766"/>
      <c r="J16" s="219">
        <f>+'1'!J16</f>
        <v>0</v>
      </c>
      <c r="K16" s="234"/>
      <c r="L16" s="234"/>
      <c r="M16" s="122">
        <f>+K16+'1'!M16+L16</f>
        <v>0</v>
      </c>
      <c r="N16" s="154" t="s">
        <v>389</v>
      </c>
      <c r="O16" s="154">
        <v>1230</v>
      </c>
      <c r="P16" s="154">
        <f>+O16-O16*0.23</f>
        <v>947.09999999999991</v>
      </c>
      <c r="Q16" s="154">
        <v>480</v>
      </c>
      <c r="R16" s="154">
        <f>+O16*Q16</f>
        <v>590400</v>
      </c>
      <c r="S16" s="154">
        <f>+P16*Q16</f>
        <v>454607.99999999994</v>
      </c>
    </row>
    <row r="17" spans="1:19" ht="13.5" thickBot="1">
      <c r="A17" s="768"/>
      <c r="B17" s="220"/>
      <c r="C17" s="221"/>
      <c r="D17" s="222"/>
      <c r="E17" s="230"/>
      <c r="F17" s="233">
        <v>3</v>
      </c>
      <c r="G17" s="574" t="s">
        <v>12</v>
      </c>
      <c r="H17" s="238" t="s">
        <v>429</v>
      </c>
      <c r="I17" s="766"/>
      <c r="J17" s="219">
        <f>+'1'!J17</f>
        <v>0</v>
      </c>
      <c r="K17" s="234"/>
      <c r="L17" s="234"/>
      <c r="M17" s="122">
        <f>+K17+'1'!M17+L17</f>
        <v>0</v>
      </c>
      <c r="P17" s="154">
        <f t="shared" ref="P17:P19" si="4">+O17-O17*0.23</f>
        <v>0</v>
      </c>
      <c r="R17" s="154">
        <f>+O17*Q17</f>
        <v>0</v>
      </c>
      <c r="S17" s="154">
        <f>+P17*Q17</f>
        <v>0</v>
      </c>
    </row>
    <row r="18" spans="1:19" ht="26.25" thickBot="1">
      <c r="A18" s="768"/>
      <c r="B18" s="220"/>
      <c r="C18" s="221"/>
      <c r="D18" s="222"/>
      <c r="E18" s="230"/>
      <c r="F18" s="233"/>
      <c r="G18" s="242"/>
      <c r="H18" s="238" t="s">
        <v>423</v>
      </c>
      <c r="I18" s="766"/>
      <c r="J18" s="219">
        <f>+'1'!J18</f>
        <v>0</v>
      </c>
      <c r="K18" s="244"/>
      <c r="L18" s="244"/>
      <c r="M18" s="122">
        <f>+K18+'1'!M18+L18</f>
        <v>0</v>
      </c>
      <c r="P18" s="154">
        <f t="shared" si="4"/>
        <v>0</v>
      </c>
      <c r="R18" s="154">
        <f t="shared" ref="R18:R21" si="5">+O18*Q18</f>
        <v>0</v>
      </c>
      <c r="S18" s="154">
        <f t="shared" ref="S18:S21" si="6">+P18*Q18</f>
        <v>0</v>
      </c>
    </row>
    <row r="19" spans="1:19" ht="13.5" thickBot="1">
      <c r="A19" s="768"/>
      <c r="B19" s="220"/>
      <c r="C19" s="221"/>
      <c r="D19" s="222"/>
      <c r="E19" s="230"/>
      <c r="F19" s="240"/>
      <c r="G19" s="237"/>
      <c r="H19" s="238" t="s">
        <v>424</v>
      </c>
      <c r="I19" s="766"/>
      <c r="J19" s="219">
        <f>+'1'!J19</f>
        <v>0</v>
      </c>
      <c r="K19" s="244"/>
      <c r="L19" s="244"/>
      <c r="M19" s="122">
        <f>+K19+'1'!M19+L19</f>
        <v>0</v>
      </c>
      <c r="P19" s="154">
        <f t="shared" si="4"/>
        <v>0</v>
      </c>
      <c r="R19" s="154">
        <f t="shared" si="5"/>
        <v>0</v>
      </c>
      <c r="S19" s="154">
        <f t="shared" si="6"/>
        <v>0</v>
      </c>
    </row>
    <row r="20" spans="1:19" ht="13.5" thickBot="1">
      <c r="A20" s="768"/>
      <c r="B20" s="220"/>
      <c r="C20" s="221"/>
      <c r="D20" s="222"/>
      <c r="E20" s="230"/>
      <c r="F20" s="233"/>
      <c r="G20" s="237"/>
      <c r="H20" s="238"/>
      <c r="I20" s="766"/>
      <c r="J20" s="219">
        <f>+'1'!J20</f>
        <v>0</v>
      </c>
      <c r="K20" s="245"/>
      <c r="L20" s="245"/>
      <c r="M20" s="122">
        <f>+K20+'1'!M20+L20</f>
        <v>0</v>
      </c>
      <c r="R20" s="154">
        <f t="shared" si="5"/>
        <v>0</v>
      </c>
      <c r="S20" s="154">
        <f t="shared" si="6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19">
        <f>+'1'!J21</f>
        <v>0</v>
      </c>
      <c r="K21" s="244"/>
      <c r="L21" s="244"/>
      <c r="M21" s="122">
        <f>+K21+'1'!M21+L21</f>
        <v>0</v>
      </c>
      <c r="R21" s="154">
        <f t="shared" si="5"/>
        <v>0</v>
      </c>
      <c r="S21" s="154">
        <f t="shared" si="6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19">
        <f>+'1'!J22</f>
        <v>0</v>
      </c>
      <c r="K22" s="244"/>
      <c r="L22" s="244"/>
      <c r="M22" s="122">
        <f>+K22+'1'!M22+L22</f>
        <v>0</v>
      </c>
      <c r="P22" s="154">
        <f t="shared" ref="P22" si="7">+O22-O22*0.17</f>
        <v>0</v>
      </c>
    </row>
    <row r="23" spans="1:19" ht="13.5" thickBot="1">
      <c r="A23" s="769"/>
      <c r="B23" s="173" t="s">
        <v>2</v>
      </c>
      <c r="C23" s="105">
        <f>SUM(C16:C22)</f>
        <v>11618</v>
      </c>
      <c r="D23" s="116">
        <f>SUM(D16:D22)</f>
        <v>0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19">
        <f>+'1'!J23</f>
        <v>0</v>
      </c>
      <c r="K23" s="244"/>
      <c r="L23" s="244"/>
      <c r="M23" s="122">
        <f>+K23+'1'!M23+L23</f>
        <v>0</v>
      </c>
      <c r="Q23" s="154">
        <f>SUM(Q15:Q21)</f>
        <v>480</v>
      </c>
      <c r="R23" s="154">
        <f>SUM(R15:R21)</f>
        <v>590400</v>
      </c>
      <c r="S23" s="154">
        <f>SUM(S15:S21)</f>
        <v>454607.99999999994</v>
      </c>
    </row>
    <row r="24" spans="1:19" ht="13.5" customHeight="1" thickBot="1">
      <c r="A24" s="762"/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12</v>
      </c>
      <c r="H24" s="235" t="s">
        <v>386</v>
      </c>
      <c r="I24" s="765" t="s">
        <v>428</v>
      </c>
      <c r="J24" s="219">
        <f>+'1'!J24</f>
        <v>0</v>
      </c>
      <c r="K24" s="244"/>
      <c r="L24" s="244"/>
      <c r="M24" s="122">
        <f>+K24+'1'!M24+L24</f>
        <v>0</v>
      </c>
      <c r="N24" s="154" t="s">
        <v>399</v>
      </c>
      <c r="Q24" s="154">
        <f>480-Q23</f>
        <v>0</v>
      </c>
      <c r="R24" s="154">
        <f>+R23/Q23</f>
        <v>1230</v>
      </c>
      <c r="S24" s="154">
        <f>+S23/Q23</f>
        <v>947.09999999999991</v>
      </c>
    </row>
    <row r="25" spans="1:19" ht="13.5" thickBot="1">
      <c r="A25" s="768"/>
      <c r="B25" s="220" t="s">
        <v>390</v>
      </c>
      <c r="C25" s="231">
        <v>13147</v>
      </c>
      <c r="D25" s="222">
        <v>0</v>
      </c>
      <c r="E25" s="230"/>
      <c r="F25" s="236">
        <v>2</v>
      </c>
      <c r="G25" s="574" t="s">
        <v>12</v>
      </c>
      <c r="H25" s="235" t="s">
        <v>431</v>
      </c>
      <c r="I25" s="766"/>
      <c r="J25" s="219">
        <f>+'1'!J25</f>
        <v>0</v>
      </c>
      <c r="K25" s="244"/>
      <c r="L25" s="244"/>
      <c r="M25" s="122">
        <f>+K25+'1'!M25+L25</f>
        <v>0</v>
      </c>
    </row>
    <row r="26" spans="1:19" ht="13.5" thickBot="1">
      <c r="A26" s="768"/>
      <c r="B26" s="220"/>
      <c r="C26" s="231"/>
      <c r="D26" s="222"/>
      <c r="E26" s="232"/>
      <c r="F26" s="233">
        <v>2</v>
      </c>
      <c r="G26" s="574" t="s">
        <v>12</v>
      </c>
      <c r="H26" s="238" t="s">
        <v>429</v>
      </c>
      <c r="I26" s="766"/>
      <c r="J26" s="219">
        <f>+'1'!J26</f>
        <v>0</v>
      </c>
      <c r="K26" s="244"/>
      <c r="L26" s="244"/>
      <c r="M26" s="122">
        <f>+K26+'1'!M26+L26</f>
        <v>0</v>
      </c>
      <c r="N26" s="154" t="s">
        <v>389</v>
      </c>
      <c r="O26" s="154">
        <v>1230</v>
      </c>
      <c r="P26" s="154">
        <f>+O26-O26*0.23</f>
        <v>947.09999999999991</v>
      </c>
      <c r="Q26" s="154">
        <v>380</v>
      </c>
      <c r="R26" s="154">
        <f>+O26*Q26</f>
        <v>467400</v>
      </c>
      <c r="S26" s="154">
        <f>+P26*Q26</f>
        <v>359897.99999999994</v>
      </c>
    </row>
    <row r="27" spans="1:19" ht="26.25" thickBot="1">
      <c r="A27" s="768"/>
      <c r="B27" s="220"/>
      <c r="C27" s="221"/>
      <c r="D27" s="222"/>
      <c r="E27" s="230"/>
      <c r="F27" s="233"/>
      <c r="G27" s="242"/>
      <c r="H27" s="238" t="s">
        <v>423</v>
      </c>
      <c r="I27" s="766"/>
      <c r="J27" s="219">
        <f>+'1'!J27</f>
        <v>0</v>
      </c>
      <c r="K27" s="244"/>
      <c r="L27" s="244"/>
      <c r="M27" s="122">
        <f>+K27+'1'!M27+L27</f>
        <v>0</v>
      </c>
      <c r="O27" s="154">
        <v>1200</v>
      </c>
      <c r="P27" s="154">
        <f t="shared" ref="P27:P29" si="8">+O27-O27*0.23</f>
        <v>924</v>
      </c>
      <c r="Q27" s="154">
        <f>60-20+60</f>
        <v>100</v>
      </c>
      <c r="R27" s="154">
        <f>+O27*Q27</f>
        <v>120000</v>
      </c>
      <c r="S27" s="154">
        <f>+P27*Q27</f>
        <v>92400</v>
      </c>
    </row>
    <row r="28" spans="1:19" ht="13.5" thickBot="1">
      <c r="A28" s="768"/>
      <c r="B28" s="220"/>
      <c r="C28" s="221"/>
      <c r="D28" s="222"/>
      <c r="E28" s="230"/>
      <c r="F28" s="236"/>
      <c r="G28" s="237"/>
      <c r="H28" s="238" t="s">
        <v>425</v>
      </c>
      <c r="I28" s="766"/>
      <c r="J28" s="219">
        <f>+'1'!J28</f>
        <v>0</v>
      </c>
      <c r="K28" s="244"/>
      <c r="L28" s="244"/>
      <c r="M28" s="122">
        <f>+K28+'1'!M28+L28</f>
        <v>0</v>
      </c>
      <c r="P28" s="154">
        <f t="shared" si="8"/>
        <v>0</v>
      </c>
      <c r="R28" s="154">
        <f t="shared" ref="R28:R31" si="9">+O28*Q28</f>
        <v>0</v>
      </c>
      <c r="S28" s="154">
        <f t="shared" ref="S28:S31" si="10">+P28*Q28</f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19">
        <f>+'1'!J29</f>
        <v>0</v>
      </c>
      <c r="K29" s="244"/>
      <c r="L29" s="244"/>
      <c r="M29" s="122">
        <f>+K29+'1'!M29+L29</f>
        <v>0</v>
      </c>
      <c r="P29" s="154">
        <f t="shared" si="8"/>
        <v>0</v>
      </c>
      <c r="R29" s="154">
        <f t="shared" si="9"/>
        <v>0</v>
      </c>
      <c r="S29" s="154">
        <f t="shared" si="10"/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19">
        <f>+'1'!J30</f>
        <v>0</v>
      </c>
      <c r="K30" s="244"/>
      <c r="L30" s="244"/>
      <c r="M30" s="122">
        <f>+K30+'1'!M30+L30</f>
        <v>0</v>
      </c>
      <c r="R30" s="154">
        <f t="shared" si="9"/>
        <v>0</v>
      </c>
      <c r="S30" s="154">
        <f t="shared" si="10"/>
        <v>0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19">
        <f>+'1'!J31</f>
        <v>0</v>
      </c>
      <c r="K31" s="244"/>
      <c r="L31" s="244"/>
      <c r="M31" s="122">
        <f>+K31+'1'!M31+L31</f>
        <v>0</v>
      </c>
      <c r="R31" s="154">
        <f t="shared" si="9"/>
        <v>0</v>
      </c>
      <c r="S31" s="154">
        <f t="shared" si="10"/>
        <v>0</v>
      </c>
    </row>
    <row r="32" spans="1:19" ht="13.5" thickBot="1">
      <c r="A32" s="769"/>
      <c r="B32" s="170" t="s">
        <v>2</v>
      </c>
      <c r="C32" s="104">
        <f>SUM(C25:C31)</f>
        <v>13147</v>
      </c>
      <c r="D32" s="105">
        <f>SUM(D25:D31)</f>
        <v>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+'1'!J32</f>
        <v>0</v>
      </c>
      <c r="K32" s="246"/>
      <c r="L32" s="248"/>
      <c r="M32" s="122">
        <f>+K32+'1'!M32+L32</f>
        <v>0</v>
      </c>
      <c r="P32" s="154">
        <f t="shared" ref="P32" si="11">+O32-O32*0.17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Q33" s="154">
        <f>SUM(Q25:Q31)</f>
        <v>480</v>
      </c>
      <c r="R33" s="154">
        <f>SUM(R25:R31)</f>
        <v>587400</v>
      </c>
      <c r="S33" s="154">
        <f>SUM(S25:S31)</f>
        <v>452297.99999999994</v>
      </c>
    </row>
    <row r="34" spans="1:19" ht="13.5" thickBot="1">
      <c r="A34" s="770" t="s">
        <v>57</v>
      </c>
      <c r="B34" s="771"/>
      <c r="C34" s="112">
        <f>C14+C23+C32</f>
        <v>36587</v>
      </c>
      <c r="D34" s="112">
        <f>D14+D23+D32</f>
        <v>0</v>
      </c>
      <c r="E34" s="112">
        <f>E14+E23+E32</f>
        <v>0</v>
      </c>
      <c r="F34" s="113">
        <f>F14+F23+F32</f>
        <v>37</v>
      </c>
      <c r="H34" s="183"/>
      <c r="I34" s="183"/>
      <c r="J34" s="128" t="s">
        <v>28</v>
      </c>
      <c r="K34" s="129">
        <f>SUM(K7:K32)</f>
        <v>36587</v>
      </c>
      <c r="L34" s="217">
        <f>SUM(L7:L32)</f>
        <v>0</v>
      </c>
      <c r="M34" s="125">
        <f>SUM(M7:M32)</f>
        <v>45500</v>
      </c>
      <c r="N34" s="154" t="s">
        <v>399</v>
      </c>
      <c r="Q34" s="154">
        <f>480-Q33</f>
        <v>0</v>
      </c>
      <c r="R34" s="154">
        <f>+R33/Q33</f>
        <v>1223.75</v>
      </c>
      <c r="S34" s="154">
        <f>+S33/Q33</f>
        <v>942.28749999999991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</row>
    <row r="37" spans="1:19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328"/>
      <c r="G37" s="330"/>
      <c r="H37" s="191" t="s">
        <v>62</v>
      </c>
      <c r="I37" s="249">
        <f>(12*1440)/1440*G42*2.74*1440/1000000</f>
        <v>44.329851720000008</v>
      </c>
      <c r="J37" s="130">
        <f>+I37+'1'!J37</f>
        <v>62.671440216000008</v>
      </c>
      <c r="K37" s="131" t="s">
        <v>63</v>
      </c>
    </row>
    <row r="38" spans="1:19" ht="17.45" customHeight="1">
      <c r="A38" s="774" t="s">
        <v>12</v>
      </c>
      <c r="B38" s="775"/>
      <c r="C38" s="169">
        <f>SUMIF($G$7:$G$31,"Process",$F$7:$F$31)</f>
        <v>37</v>
      </c>
      <c r="D38" s="123">
        <f>+C38+'1'!D38</f>
        <v>65</v>
      </c>
      <c r="E38" s="148">
        <f t="shared" ref="E38:E51" si="12">D38/60</f>
        <v>1.0833333333333333</v>
      </c>
      <c r="F38" s="328">
        <v>1194.0625</v>
      </c>
      <c r="G38" s="328">
        <v>919.42812500000002</v>
      </c>
      <c r="H38" s="192" t="s">
        <v>64</v>
      </c>
      <c r="I38" s="250">
        <f>12.643+13.643+14.003</f>
        <v>40.289000000000001</v>
      </c>
      <c r="J38" s="132">
        <f>+I38+'1'!J38</f>
        <v>56.954999999999998</v>
      </c>
      <c r="K38" s="133" t="s">
        <v>63</v>
      </c>
    </row>
    <row r="39" spans="1:19" ht="17.45" customHeight="1">
      <c r="A39" s="776" t="s">
        <v>13</v>
      </c>
      <c r="B39" s="777"/>
      <c r="C39" s="169">
        <f>SUMIF($G$7:$G$31,"Cleaning",$F$7:$F$31)</f>
        <v>0</v>
      </c>
      <c r="D39" s="123">
        <f>+C39+'1'!D39</f>
        <v>0</v>
      </c>
      <c r="E39" s="148">
        <f t="shared" si="12"/>
        <v>0</v>
      </c>
      <c r="F39" s="328">
        <v>1230</v>
      </c>
      <c r="G39" s="328">
        <v>947.09999999999991</v>
      </c>
      <c r="H39" s="192" t="s">
        <v>65</v>
      </c>
      <c r="I39" s="147"/>
      <c r="J39" s="134">
        <f>J37/G4</f>
        <v>31.335720108000004</v>
      </c>
      <c r="K39" s="135" t="s">
        <v>63</v>
      </c>
    </row>
    <row r="40" spans="1:19" ht="17.45" customHeight="1">
      <c r="A40" s="776" t="s">
        <v>66</v>
      </c>
      <c r="B40" s="777"/>
      <c r="C40" s="169">
        <f>SUMIF($G$7:$G$31,"Mechanical",$F$7:$F$31)</f>
        <v>0</v>
      </c>
      <c r="D40" s="123">
        <f>+C40+'1'!D40</f>
        <v>0</v>
      </c>
      <c r="E40" s="148">
        <f t="shared" si="12"/>
        <v>0</v>
      </c>
      <c r="F40" s="328">
        <v>1223.75</v>
      </c>
      <c r="G40" s="328">
        <v>942.28749999999991</v>
      </c>
      <c r="H40" s="192" t="s">
        <v>67</v>
      </c>
      <c r="I40" s="123">
        <f>(K34+L34)/1000</f>
        <v>36.587000000000003</v>
      </c>
      <c r="J40" s="136">
        <f>+I40+'1'!J40</f>
        <v>45.5</v>
      </c>
      <c r="K40" s="135" t="s">
        <v>63</v>
      </c>
    </row>
    <row r="41" spans="1:19" ht="17.45" customHeight="1">
      <c r="A41" s="776" t="s">
        <v>68</v>
      </c>
      <c r="B41" s="777"/>
      <c r="C41" s="169">
        <f>SUMIF($G$7:$G$31,"Electrical",$F$7:$F$31)</f>
        <v>0</v>
      </c>
      <c r="D41" s="123">
        <f>+C41+'1'!D41</f>
        <v>57</v>
      </c>
      <c r="E41" s="148">
        <f t="shared" si="12"/>
        <v>0.95</v>
      </c>
      <c r="F41" s="328"/>
      <c r="G41" s="328"/>
      <c r="H41" s="192" t="s">
        <v>69</v>
      </c>
      <c r="I41" s="147"/>
      <c r="J41" s="134">
        <f>J40/G4</f>
        <v>22.75</v>
      </c>
      <c r="K41" s="135" t="s">
        <v>63</v>
      </c>
    </row>
    <row r="42" spans="1:19" ht="17.45" customHeight="1">
      <c r="A42" s="776" t="s">
        <v>16</v>
      </c>
      <c r="B42" s="777"/>
      <c r="C42" s="169">
        <f>SUMIF($G$7:$G$31,"Instrument",$F$7:$F$31)</f>
        <v>0</v>
      </c>
      <c r="D42" s="123">
        <f>+C42+'1'!D42</f>
        <v>0</v>
      </c>
      <c r="E42" s="148">
        <f t="shared" si="12"/>
        <v>0</v>
      </c>
      <c r="F42" s="328">
        <f>+(480*F38+480*F39+480*F40)/1440</f>
        <v>1215.9375</v>
      </c>
      <c r="G42" s="328">
        <f>+(480*G38+480*G39+480*G40)/1440</f>
        <v>936.27187500000002</v>
      </c>
      <c r="H42" s="192" t="s">
        <v>70</v>
      </c>
      <c r="I42" s="251"/>
      <c r="J42" s="137"/>
      <c r="K42" s="135" t="s">
        <v>71</v>
      </c>
    </row>
    <row r="43" spans="1:19" ht="17.45" customHeight="1">
      <c r="A43" s="776" t="s">
        <v>72</v>
      </c>
      <c r="B43" s="777"/>
      <c r="C43" s="169">
        <f>SUMIF($G$7:$G$31,"Water",$F$7:$F$31)</f>
        <v>0</v>
      </c>
      <c r="D43" s="123">
        <f>+C43+'1'!D43</f>
        <v>0</v>
      </c>
      <c r="E43" s="148">
        <f t="shared" si="12"/>
        <v>0</v>
      </c>
      <c r="F43" s="328"/>
      <c r="G43" s="329"/>
      <c r="H43" s="193" t="s">
        <v>73</v>
      </c>
      <c r="I43" s="123">
        <f>+Report1!Z10</f>
        <v>60.6</v>
      </c>
      <c r="J43" s="138">
        <f>+I43+'1'!J43</f>
        <v>99.800000000000011</v>
      </c>
      <c r="K43" s="135" t="s">
        <v>63</v>
      </c>
      <c r="L43" s="194"/>
    </row>
    <row r="44" spans="1:19" ht="17.45" customHeight="1">
      <c r="A44" s="776" t="s">
        <v>17</v>
      </c>
      <c r="B44" s="777"/>
      <c r="C44" s="169">
        <f>SUMIF($G$7:$G$31,"PLN",$F$7:$F$31)</f>
        <v>0</v>
      </c>
      <c r="D44" s="123">
        <f>+C44+'1'!D44</f>
        <v>0</v>
      </c>
      <c r="E44" s="148">
        <f t="shared" si="12"/>
        <v>0</v>
      </c>
      <c r="F44" s="328"/>
      <c r="G44" s="329"/>
      <c r="H44" s="193" t="s">
        <v>74</v>
      </c>
      <c r="I44" s="123">
        <f>I43/I38</f>
        <v>1.5041326416639778</v>
      </c>
      <c r="J44" s="139">
        <f>J43/J38</f>
        <v>1.7522605565797562</v>
      </c>
      <c r="K44" s="135" t="s">
        <v>63</v>
      </c>
    </row>
    <row r="45" spans="1:19" ht="17.45" customHeight="1">
      <c r="A45" s="776" t="s">
        <v>18</v>
      </c>
      <c r="B45" s="777"/>
      <c r="C45" s="169">
        <f>SUMIF($G$7:$G$31,"Boiler",$F$7:$F$31)</f>
        <v>0</v>
      </c>
      <c r="D45" s="123">
        <f>+C45+'1'!D45</f>
        <v>0</v>
      </c>
      <c r="E45" s="148">
        <f t="shared" si="12"/>
        <v>0</v>
      </c>
      <c r="F45" s="328"/>
      <c r="G45" s="331"/>
      <c r="H45" s="193" t="s">
        <v>75</v>
      </c>
      <c r="I45" s="123">
        <f>I43/I40</f>
        <v>1.6563260174378878</v>
      </c>
      <c r="J45" s="139">
        <f>J43/J40</f>
        <v>2.1934065934065936</v>
      </c>
      <c r="K45" s="135" t="s">
        <v>63</v>
      </c>
    </row>
    <row r="46" spans="1:19" ht="17.45" customHeight="1">
      <c r="A46" s="776" t="s">
        <v>76</v>
      </c>
      <c r="B46" s="777"/>
      <c r="C46" s="169">
        <f>SUMIF($G$7:$G$31,"Gas",$F$7:$F$31)</f>
        <v>0</v>
      </c>
      <c r="D46" s="123">
        <f>+C46+'1'!D46</f>
        <v>0</v>
      </c>
      <c r="E46" s="148">
        <f t="shared" si="12"/>
        <v>0</v>
      </c>
      <c r="F46" s="328"/>
      <c r="G46" s="329"/>
      <c r="H46" s="193" t="s">
        <v>77</v>
      </c>
      <c r="I46" s="145">
        <f>+SUMIF(Listrik!P9,"&gt;0")</f>
        <v>40714.180000000364</v>
      </c>
      <c r="J46" s="140">
        <f>+I46+'1'!J46</f>
        <v>65311.480000000367</v>
      </c>
      <c r="K46" s="135" t="s">
        <v>78</v>
      </c>
    </row>
    <row r="47" spans="1:19" ht="17.45" customHeight="1">
      <c r="A47" s="776" t="s">
        <v>79</v>
      </c>
      <c r="B47" s="777"/>
      <c r="C47" s="169">
        <f>SUMIF($G$7:$G$31,"Gas",$F$7:$F$31)</f>
        <v>0</v>
      </c>
      <c r="D47" s="123">
        <f>+C47+'1'!D47</f>
        <v>0</v>
      </c>
      <c r="E47" s="148">
        <f t="shared" si="12"/>
        <v>0</v>
      </c>
      <c r="F47" s="328"/>
      <c r="G47" s="329"/>
      <c r="H47" s="193" t="s">
        <v>80</v>
      </c>
      <c r="I47" s="123">
        <f>I46/I38</f>
        <v>1010.5532527488983</v>
      </c>
      <c r="J47" s="140">
        <f>J46/J38</f>
        <v>1146.7207444473772</v>
      </c>
      <c r="K47" s="135" t="s">
        <v>24</v>
      </c>
    </row>
    <row r="48" spans="1:19" ht="17.45" customHeight="1">
      <c r="A48" s="776" t="s">
        <v>14</v>
      </c>
      <c r="B48" s="777"/>
      <c r="C48" s="169">
        <f>SUMIF($G$7:$G$31,"Start Up",$F$7:$F$31)</f>
        <v>0</v>
      </c>
      <c r="D48" s="123">
        <f>+C48+'1'!D48</f>
        <v>0</v>
      </c>
      <c r="E48" s="148">
        <f t="shared" si="12"/>
        <v>0</v>
      </c>
      <c r="F48" s="328"/>
      <c r="G48" s="329"/>
      <c r="H48" s="193" t="s">
        <v>81</v>
      </c>
      <c r="I48" s="123">
        <f>I46/I40</f>
        <v>1112.8045480635296</v>
      </c>
      <c r="J48" s="140">
        <f>J46/J40</f>
        <v>1435.417142857151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0</v>
      </c>
      <c r="D49" s="123">
        <f>+C49+'1'!D49</f>
        <v>720</v>
      </c>
      <c r="E49" s="148">
        <f t="shared" si="12"/>
        <v>12</v>
      </c>
      <c r="F49" s="190"/>
      <c r="H49" s="193" t="s">
        <v>270</v>
      </c>
      <c r="I49" s="123">
        <f>+Report1!T10</f>
        <v>4583.8841646887322</v>
      </c>
      <c r="J49" s="140">
        <f>+I49+'1'!J49</f>
        <v>6761.481447835753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>+C50+'1'!D50</f>
        <v>0</v>
      </c>
      <c r="E50" s="148">
        <f t="shared" si="12"/>
        <v>0</v>
      </c>
      <c r="F50" s="190"/>
      <c r="H50" s="193" t="s">
        <v>83</v>
      </c>
      <c r="I50" s="145">
        <v>0</v>
      </c>
      <c r="J50" s="138">
        <f>J49/J38</f>
        <v>118.71620486060492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>+C51+'1'!D51</f>
        <v>0</v>
      </c>
      <c r="E51" s="148">
        <f t="shared" si="12"/>
        <v>0</v>
      </c>
      <c r="F51" s="190"/>
      <c r="H51" s="195" t="s">
        <v>85</v>
      </c>
      <c r="I51" s="146">
        <f>I49/I40</f>
        <v>125.28723767154267</v>
      </c>
      <c r="J51" s="141">
        <f>J49/J40</f>
        <v>148.60398786452205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37</v>
      </c>
      <c r="D52" s="149">
        <f>SUM(D38:D51)</f>
        <v>842</v>
      </c>
      <c r="E52" s="150">
        <f>SUM(E38:E51)</f>
        <v>14.033333333333333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2.5694444444444443E-2</v>
      </c>
      <c r="D53" s="151">
        <f>D52/(24*60*G4)</f>
        <v>0.29236111111111113</v>
      </c>
      <c r="E53" s="152">
        <f>E52/(G4*24)</f>
        <v>0.29236111111111113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+D34+'1'!J56</f>
        <v>2062</v>
      </c>
      <c r="K56" s="206">
        <f>J56/(J40+J56/1000)/1000</f>
        <v>4.3353938017745265E-2</v>
      </c>
    </row>
    <row r="57" spans="1:11">
      <c r="A57" s="181"/>
      <c r="I57" s="204" t="s">
        <v>88</v>
      </c>
      <c r="J57" s="205">
        <f>+E34+'1'!J57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B13" zoomScale="80" zoomScaleNormal="75" zoomScaleSheetLayoutView="80" workbookViewId="0">
      <selection activeCell="H19" sqref="H1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3.5703125" style="154" customWidth="1"/>
    <col min="8" max="8" width="64.85546875" style="154" customWidth="1"/>
    <col min="9" max="9" width="14.7109375" style="154" bestFit="1" customWidth="1"/>
    <col min="10" max="10" width="14.7109375" style="154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9" ht="15.75">
      <c r="A1" s="153"/>
    </row>
    <row r="2" spans="1:19" ht="15.75">
      <c r="A2" s="153" t="s">
        <v>184</v>
      </c>
    </row>
    <row r="3" spans="1:19" ht="15">
      <c r="A3" s="155"/>
    </row>
    <row r="4" spans="1:19" ht="20.25">
      <c r="A4" s="156" t="s">
        <v>3</v>
      </c>
      <c r="B4" s="157"/>
      <c r="F4" s="158" t="s">
        <v>29</v>
      </c>
      <c r="G4" s="159">
        <v>1</v>
      </c>
      <c r="H4" s="159" t="s">
        <v>403</v>
      </c>
      <c r="J4" s="154">
        <v>999</v>
      </c>
    </row>
    <row r="5" spans="1:19" ht="13.5" thickBot="1">
      <c r="C5" s="160"/>
      <c r="D5" s="160"/>
    </row>
    <row r="6" spans="1:19" ht="26.25" thickBot="1">
      <c r="A6" s="161" t="s">
        <v>47</v>
      </c>
      <c r="B6" s="162" t="s">
        <v>9</v>
      </c>
      <c r="C6" s="162" t="s">
        <v>48</v>
      </c>
      <c r="D6" s="162" t="s">
        <v>49</v>
      </c>
      <c r="E6" s="163" t="s">
        <v>50</v>
      </c>
      <c r="F6" s="107" t="s">
        <v>51</v>
      </c>
      <c r="G6" s="162" t="s">
        <v>52</v>
      </c>
      <c r="H6" s="164" t="s">
        <v>53</v>
      </c>
      <c r="I6" s="165" t="s">
        <v>54</v>
      </c>
      <c r="J6" s="166" t="s">
        <v>9</v>
      </c>
      <c r="K6" s="167" t="s">
        <v>55</v>
      </c>
      <c r="L6" s="215" t="s">
        <v>142</v>
      </c>
      <c r="M6" s="168" t="s">
        <v>56</v>
      </c>
      <c r="N6" s="154" t="s">
        <v>389</v>
      </c>
      <c r="O6" s="154">
        <v>900</v>
      </c>
      <c r="P6" s="154">
        <f>+O6-O6*0.23</f>
        <v>693</v>
      </c>
      <c r="Q6" s="154">
        <v>27</v>
      </c>
      <c r="R6" s="154">
        <f>+O6*Q6</f>
        <v>24300</v>
      </c>
      <c r="S6" s="154">
        <f>+P6*Q6</f>
        <v>18711</v>
      </c>
    </row>
    <row r="7" spans="1:19" ht="13.5" customHeight="1" thickBot="1">
      <c r="A7" s="762"/>
      <c r="B7" s="220"/>
      <c r="C7" s="221"/>
      <c r="D7" s="222"/>
      <c r="E7" s="223"/>
      <c r="F7" s="233"/>
      <c r="G7" s="234" t="s">
        <v>12</v>
      </c>
      <c r="H7" s="235" t="s">
        <v>386</v>
      </c>
      <c r="I7" s="765" t="s">
        <v>399</v>
      </c>
      <c r="J7" s="255" t="s">
        <v>390</v>
      </c>
      <c r="K7" s="243">
        <f>+C34</f>
        <v>8913</v>
      </c>
      <c r="L7" s="247"/>
      <c r="M7" s="122">
        <f>+K7+L7</f>
        <v>8913</v>
      </c>
      <c r="O7" s="154">
        <f>900-200</f>
        <v>700</v>
      </c>
      <c r="P7" s="154">
        <f>+O7-O7*0.23</f>
        <v>539</v>
      </c>
      <c r="Q7" s="154">
        <f>60-27+120</f>
        <v>153</v>
      </c>
      <c r="R7" s="154">
        <f>+O7*Q7</f>
        <v>107100</v>
      </c>
      <c r="S7" s="154">
        <f>+P7*Q7</f>
        <v>82467</v>
      </c>
    </row>
    <row r="8" spans="1:19" ht="13.5" thickBot="1">
      <c r="A8" s="763"/>
      <c r="B8" s="220"/>
      <c r="C8" s="221"/>
      <c r="D8" s="222"/>
      <c r="E8" s="224"/>
      <c r="F8" s="236"/>
      <c r="G8" s="574" t="s">
        <v>12</v>
      </c>
      <c r="H8" s="235" t="s">
        <v>286</v>
      </c>
      <c r="I8" s="766"/>
      <c r="J8" s="256"/>
      <c r="K8" s="517"/>
      <c r="L8" s="244"/>
      <c r="M8" s="122">
        <f t="shared" ref="M8:M32" si="0">+K8+L8</f>
        <v>0</v>
      </c>
      <c r="N8" s="154" t="s">
        <v>389</v>
      </c>
      <c r="O8" s="154">
        <v>1000</v>
      </c>
      <c r="P8" s="154">
        <f>+O8-O8*0.23</f>
        <v>770</v>
      </c>
      <c r="Q8" s="154">
        <v>3</v>
      </c>
      <c r="R8" s="154">
        <f t="shared" ref="R8:R11" si="1">+O8*Q8</f>
        <v>3000</v>
      </c>
      <c r="S8" s="154">
        <f t="shared" ref="S8:S11" si="2">+P8*Q8</f>
        <v>2310</v>
      </c>
    </row>
    <row r="9" spans="1:19" ht="13.5" thickBot="1">
      <c r="A9" s="763"/>
      <c r="B9" s="220"/>
      <c r="C9" s="221"/>
      <c r="D9" s="222"/>
      <c r="E9" s="225"/>
      <c r="F9" s="233"/>
      <c r="G9" s="574" t="s">
        <v>12</v>
      </c>
      <c r="H9" s="238" t="s">
        <v>400</v>
      </c>
      <c r="I9" s="766"/>
      <c r="J9" s="256"/>
      <c r="K9" s="244"/>
      <c r="L9" s="244"/>
      <c r="M9" s="122">
        <f t="shared" si="0"/>
        <v>0</v>
      </c>
      <c r="R9" s="154">
        <f t="shared" si="1"/>
        <v>0</v>
      </c>
      <c r="S9" s="154">
        <f t="shared" si="2"/>
        <v>0</v>
      </c>
    </row>
    <row r="10" spans="1:19" ht="102.75" thickBot="1">
      <c r="A10" s="763"/>
      <c r="B10" s="220"/>
      <c r="C10" s="221"/>
      <c r="D10" s="222"/>
      <c r="E10" s="224"/>
      <c r="F10" s="233">
        <v>480</v>
      </c>
      <c r="G10" s="242" t="s">
        <v>20</v>
      </c>
      <c r="H10" s="238" t="s">
        <v>407</v>
      </c>
      <c r="I10" s="766"/>
      <c r="J10" s="255"/>
      <c r="K10" s="244"/>
      <c r="L10" s="244"/>
      <c r="M10" s="122">
        <f t="shared" si="0"/>
        <v>0</v>
      </c>
      <c r="R10" s="154">
        <f t="shared" si="1"/>
        <v>0</v>
      </c>
      <c r="S10" s="154">
        <f t="shared" si="2"/>
        <v>0</v>
      </c>
    </row>
    <row r="11" spans="1:19" ht="13.5" thickBot="1">
      <c r="A11" s="763"/>
      <c r="B11" s="220"/>
      <c r="C11" s="221"/>
      <c r="D11" s="222"/>
      <c r="E11" s="224"/>
      <c r="F11" s="233"/>
      <c r="G11" s="574"/>
      <c r="H11" s="238"/>
      <c r="I11" s="766"/>
      <c r="J11" s="255"/>
      <c r="K11" s="244"/>
      <c r="L11" s="244"/>
      <c r="M11" s="122">
        <f t="shared" si="0"/>
        <v>0</v>
      </c>
      <c r="R11" s="154">
        <f t="shared" si="1"/>
        <v>0</v>
      </c>
      <c r="S11" s="154">
        <f t="shared" si="2"/>
        <v>0</v>
      </c>
    </row>
    <row r="12" spans="1:19" ht="13.5" thickBot="1">
      <c r="A12" s="763"/>
      <c r="B12" s="220"/>
      <c r="C12" s="221"/>
      <c r="D12" s="222"/>
      <c r="E12" s="224"/>
      <c r="F12" s="233"/>
      <c r="G12" s="237"/>
      <c r="H12" s="238"/>
      <c r="I12" s="766"/>
      <c r="J12" s="255"/>
      <c r="K12" s="244"/>
      <c r="L12" s="244"/>
      <c r="M12" s="122">
        <f t="shared" si="0"/>
        <v>0</v>
      </c>
      <c r="P12" s="154">
        <f t="shared" ref="P12" si="3">+O12-O12*0.17</f>
        <v>0</v>
      </c>
    </row>
    <row r="13" spans="1:19" ht="13.5" thickBot="1">
      <c r="A13" s="763"/>
      <c r="B13" s="220"/>
      <c r="C13" s="221"/>
      <c r="D13" s="221"/>
      <c r="E13" s="224"/>
      <c r="F13" s="233"/>
      <c r="G13" s="237"/>
      <c r="H13" s="238"/>
      <c r="I13" s="767"/>
      <c r="J13" s="255"/>
      <c r="K13" s="244"/>
      <c r="L13" s="244"/>
      <c r="M13" s="122">
        <f t="shared" si="0"/>
        <v>0</v>
      </c>
      <c r="Q13" s="154">
        <f>SUM(Q5:Q11)</f>
        <v>183</v>
      </c>
      <c r="R13" s="154">
        <f>SUM(R5:R11)</f>
        <v>134400</v>
      </c>
      <c r="S13" s="154">
        <f>SUM(S5:S11)</f>
        <v>103488</v>
      </c>
    </row>
    <row r="14" spans="1:19" ht="13.5" thickBot="1">
      <c r="A14" s="764"/>
      <c r="B14" s="170" t="s">
        <v>2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55"/>
      <c r="K14" s="244"/>
      <c r="L14" s="244"/>
      <c r="M14" s="122">
        <f t="shared" si="0"/>
        <v>0</v>
      </c>
      <c r="N14" s="154" t="s">
        <v>399</v>
      </c>
      <c r="Q14" s="154">
        <f>480-Q13</f>
        <v>297</v>
      </c>
      <c r="R14" s="154">
        <f>+R13/Q13</f>
        <v>734.42622950819668</v>
      </c>
      <c r="S14" s="154">
        <f>+S13/Q13</f>
        <v>565.50819672131149</v>
      </c>
    </row>
    <row r="15" spans="1:19" ht="13.5" customHeight="1" thickBot="1">
      <c r="A15" s="76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12</v>
      </c>
      <c r="H15" s="235" t="s">
        <v>386</v>
      </c>
      <c r="I15" s="765" t="s">
        <v>408</v>
      </c>
      <c r="J15" s="255"/>
      <c r="K15" s="244"/>
      <c r="L15" s="244"/>
      <c r="M15" s="122">
        <f t="shared" si="0"/>
        <v>0</v>
      </c>
      <c r="Q15" s="181"/>
      <c r="R15" s="181"/>
    </row>
    <row r="16" spans="1:19" ht="13.5" thickBot="1">
      <c r="A16" s="768"/>
      <c r="B16" s="220"/>
      <c r="C16" s="227"/>
      <c r="D16" s="228"/>
      <c r="E16" s="229"/>
      <c r="F16" s="236"/>
      <c r="G16" s="574" t="s">
        <v>12</v>
      </c>
      <c r="H16" s="235" t="s">
        <v>286</v>
      </c>
      <c r="I16" s="766"/>
      <c r="J16" s="255"/>
      <c r="K16" s="234"/>
      <c r="L16" s="234"/>
      <c r="M16" s="122">
        <f t="shared" si="0"/>
        <v>0</v>
      </c>
    </row>
    <row r="17" spans="1:19" ht="13.5" thickBot="1">
      <c r="A17" s="768"/>
      <c r="B17" s="220"/>
      <c r="C17" s="221"/>
      <c r="D17" s="222"/>
      <c r="E17" s="230"/>
      <c r="F17" s="233"/>
      <c r="G17" s="574" t="s">
        <v>12</v>
      </c>
      <c r="H17" s="238" t="s">
        <v>411</v>
      </c>
      <c r="I17" s="766"/>
      <c r="J17" s="255"/>
      <c r="K17" s="234"/>
      <c r="L17" s="234"/>
      <c r="M17" s="122">
        <f t="shared" si="0"/>
        <v>0</v>
      </c>
    </row>
    <row r="18" spans="1:19" ht="13.5" thickBot="1">
      <c r="A18" s="768"/>
      <c r="B18" s="220"/>
      <c r="C18" s="221"/>
      <c r="D18" s="222"/>
      <c r="E18" s="230"/>
      <c r="F18" s="233"/>
      <c r="G18" s="242"/>
      <c r="H18" s="238" t="s">
        <v>401</v>
      </c>
      <c r="I18" s="766"/>
      <c r="J18" s="255"/>
      <c r="K18" s="244"/>
      <c r="L18" s="244"/>
      <c r="M18" s="122">
        <f t="shared" si="0"/>
        <v>0</v>
      </c>
    </row>
    <row r="19" spans="1:19" ht="261.75" customHeight="1" thickBot="1">
      <c r="A19" s="768"/>
      <c r="B19" s="220"/>
      <c r="C19" s="221"/>
      <c r="D19" s="222"/>
      <c r="E19" s="230"/>
      <c r="F19" s="240">
        <v>240</v>
      </c>
      <c r="G19" s="242" t="s">
        <v>20</v>
      </c>
      <c r="H19" s="238" t="s">
        <v>406</v>
      </c>
      <c r="I19" s="766"/>
      <c r="J19" s="255"/>
      <c r="K19" s="244"/>
      <c r="L19" s="244"/>
      <c r="M19" s="122">
        <f t="shared" si="0"/>
        <v>0</v>
      </c>
    </row>
    <row r="20" spans="1:19" ht="13.5" thickBot="1">
      <c r="A20" s="768"/>
      <c r="B20" s="220"/>
      <c r="C20" s="221"/>
      <c r="D20" s="222"/>
      <c r="E20" s="230"/>
      <c r="F20" s="233">
        <v>57</v>
      </c>
      <c r="G20" s="237" t="s">
        <v>68</v>
      </c>
      <c r="H20" s="238"/>
      <c r="I20" s="766"/>
      <c r="J20" s="255"/>
      <c r="K20" s="245"/>
      <c r="L20" s="245"/>
      <c r="M20" s="122">
        <f t="shared" si="0"/>
        <v>0</v>
      </c>
    </row>
    <row r="21" spans="1:19" ht="13.5" thickBot="1">
      <c r="A21" s="768"/>
      <c r="B21" s="220"/>
      <c r="C21" s="221"/>
      <c r="D21" s="222"/>
      <c r="E21" s="230"/>
      <c r="F21" s="236"/>
      <c r="G21" s="237"/>
      <c r="H21" s="238"/>
      <c r="I21" s="766"/>
      <c r="J21" s="255"/>
      <c r="K21" s="244"/>
      <c r="L21" s="244"/>
      <c r="M21" s="122">
        <f t="shared" si="0"/>
        <v>0</v>
      </c>
    </row>
    <row r="22" spans="1:19" ht="13.5" thickBot="1">
      <c r="A22" s="768"/>
      <c r="B22" s="220"/>
      <c r="C22" s="221"/>
      <c r="D22" s="222"/>
      <c r="E22" s="230"/>
      <c r="F22" s="241"/>
      <c r="G22" s="237"/>
      <c r="H22" s="238"/>
      <c r="I22" s="767"/>
      <c r="J22" s="255"/>
      <c r="K22" s="244"/>
      <c r="L22" s="244"/>
      <c r="M22" s="122">
        <f t="shared" si="0"/>
        <v>0</v>
      </c>
    </row>
    <row r="23" spans="1:19" ht="13.5" thickBot="1">
      <c r="A23" s="769"/>
      <c r="B23" s="173" t="s">
        <v>2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297</v>
      </c>
      <c r="G23" s="164"/>
      <c r="H23" s="171"/>
      <c r="I23" s="174"/>
      <c r="J23" s="255"/>
      <c r="K23" s="244"/>
      <c r="L23" s="244"/>
      <c r="M23" s="122">
        <f t="shared" si="0"/>
        <v>0</v>
      </c>
      <c r="N23" s="154" t="s">
        <v>389</v>
      </c>
      <c r="O23" s="154">
        <v>1230</v>
      </c>
      <c r="P23" s="154">
        <f>+O23-O23*0.23</f>
        <v>947.09999999999991</v>
      </c>
      <c r="Q23" s="154">
        <f>480-Q24</f>
        <v>478</v>
      </c>
      <c r="R23" s="154">
        <f>+O23*Q23</f>
        <v>587940</v>
      </c>
      <c r="S23" s="154">
        <f>+P23*Q23</f>
        <v>452713.79999999993</v>
      </c>
    </row>
    <row r="24" spans="1:19" ht="13.5" customHeight="1" thickBot="1">
      <c r="A24" s="76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>
        <v>8</v>
      </c>
      <c r="G24" s="234" t="s">
        <v>12</v>
      </c>
      <c r="H24" s="235" t="s">
        <v>413</v>
      </c>
      <c r="I24" s="765" t="s">
        <v>409</v>
      </c>
      <c r="J24" s="255"/>
      <c r="K24" s="244"/>
      <c r="L24" s="244"/>
      <c r="M24" s="122">
        <f t="shared" si="0"/>
        <v>0</v>
      </c>
      <c r="O24" s="154">
        <v>1060</v>
      </c>
      <c r="P24" s="154">
        <f>+O24-O24*0.23</f>
        <v>816.2</v>
      </c>
      <c r="Q24" s="154">
        <v>2</v>
      </c>
      <c r="R24" s="154">
        <f>+O24*Q24</f>
        <v>2120</v>
      </c>
      <c r="S24" s="154">
        <f>+P24*Q24</f>
        <v>1632.4</v>
      </c>
    </row>
    <row r="25" spans="1:19" ht="13.5" thickBot="1">
      <c r="A25" s="768"/>
      <c r="B25" s="220" t="s">
        <v>390</v>
      </c>
      <c r="C25" s="231">
        <v>8913</v>
      </c>
      <c r="D25" s="222">
        <v>2062</v>
      </c>
      <c r="E25" s="230"/>
      <c r="F25" s="236"/>
      <c r="G25" s="574" t="s">
        <v>12</v>
      </c>
      <c r="H25" s="235" t="s">
        <v>286</v>
      </c>
      <c r="I25" s="766"/>
      <c r="J25" s="255"/>
      <c r="K25" s="244"/>
      <c r="L25" s="244"/>
      <c r="M25" s="122">
        <f t="shared" si="0"/>
        <v>0</v>
      </c>
      <c r="P25" s="154">
        <f>+O25-O25*0.23</f>
        <v>0</v>
      </c>
      <c r="R25" s="154">
        <f t="shared" ref="R25:R28" si="4">+O25*Q25</f>
        <v>0</v>
      </c>
      <c r="S25" s="154">
        <f t="shared" ref="S25:S28" si="5">+P25*Q25</f>
        <v>0</v>
      </c>
    </row>
    <row r="26" spans="1:19" ht="13.5" thickBot="1">
      <c r="A26" s="768"/>
      <c r="B26" s="220"/>
      <c r="C26" s="231"/>
      <c r="D26" s="222"/>
      <c r="E26" s="232"/>
      <c r="F26" s="233">
        <v>20</v>
      </c>
      <c r="G26" s="574" t="s">
        <v>12</v>
      </c>
      <c r="H26" s="238" t="s">
        <v>412</v>
      </c>
      <c r="I26" s="766"/>
      <c r="J26" s="255"/>
      <c r="K26" s="244"/>
      <c r="L26" s="244"/>
      <c r="M26" s="122">
        <f t="shared" si="0"/>
        <v>0</v>
      </c>
      <c r="R26" s="154">
        <f t="shared" si="4"/>
        <v>0</v>
      </c>
      <c r="S26" s="154">
        <f t="shared" si="5"/>
        <v>0</v>
      </c>
    </row>
    <row r="27" spans="1:19" ht="39" thickBot="1">
      <c r="A27" s="768"/>
      <c r="B27" s="220"/>
      <c r="C27" s="221"/>
      <c r="D27" s="222"/>
      <c r="E27" s="230"/>
      <c r="F27" s="233"/>
      <c r="G27" s="242"/>
      <c r="H27" s="238" t="s">
        <v>404</v>
      </c>
      <c r="I27" s="766"/>
      <c r="J27" s="255"/>
      <c r="K27" s="244"/>
      <c r="L27" s="244"/>
      <c r="M27" s="122">
        <f t="shared" si="0"/>
        <v>0</v>
      </c>
      <c r="R27" s="154">
        <f t="shared" si="4"/>
        <v>0</v>
      </c>
      <c r="S27" s="154">
        <f t="shared" si="5"/>
        <v>0</v>
      </c>
    </row>
    <row r="28" spans="1:19" ht="81.75" customHeight="1" thickBot="1">
      <c r="A28" s="768"/>
      <c r="B28" s="220"/>
      <c r="C28" s="221"/>
      <c r="D28" s="222"/>
      <c r="E28" s="230"/>
      <c r="F28" s="236"/>
      <c r="G28" s="574"/>
      <c r="H28" s="238" t="s">
        <v>405</v>
      </c>
      <c r="I28" s="766"/>
      <c r="J28" s="255"/>
      <c r="K28" s="244"/>
      <c r="L28" s="244"/>
      <c r="M28" s="122">
        <f t="shared" si="0"/>
        <v>0</v>
      </c>
      <c r="R28" s="154">
        <f t="shared" si="4"/>
        <v>0</v>
      </c>
      <c r="S28" s="154">
        <f t="shared" si="5"/>
        <v>0</v>
      </c>
    </row>
    <row r="29" spans="1:19" ht="13.5" thickBot="1">
      <c r="A29" s="768"/>
      <c r="B29" s="220"/>
      <c r="C29" s="221"/>
      <c r="D29" s="222"/>
      <c r="E29" s="230"/>
      <c r="F29" s="241"/>
      <c r="G29" s="237"/>
      <c r="H29" s="238"/>
      <c r="I29" s="766"/>
      <c r="J29" s="255"/>
      <c r="K29" s="244"/>
      <c r="L29" s="244"/>
      <c r="M29" s="122">
        <f t="shared" si="0"/>
        <v>0</v>
      </c>
      <c r="P29" s="154">
        <f t="shared" ref="P29" si="6">+O29-O29*0.17</f>
        <v>0</v>
      </c>
    </row>
    <row r="30" spans="1:19" ht="13.5" thickBot="1">
      <c r="A30" s="768"/>
      <c r="B30" s="220"/>
      <c r="C30" s="231"/>
      <c r="D30" s="222"/>
      <c r="E30" s="230"/>
      <c r="F30" s="241"/>
      <c r="G30" s="237"/>
      <c r="H30" s="238"/>
      <c r="I30" s="766"/>
      <c r="J30" s="255"/>
      <c r="K30" s="244"/>
      <c r="L30" s="244"/>
      <c r="M30" s="122">
        <f t="shared" si="0"/>
        <v>0</v>
      </c>
      <c r="Q30" s="154">
        <f>SUM(Q22:Q28)</f>
        <v>480</v>
      </c>
      <c r="R30" s="154">
        <f>SUM(R22:R28)</f>
        <v>590060</v>
      </c>
      <c r="S30" s="154">
        <f>SUM(S22:S28)</f>
        <v>454346.19999999995</v>
      </c>
    </row>
    <row r="31" spans="1:19" ht="13.5" thickBot="1">
      <c r="A31" s="768"/>
      <c r="B31" s="220"/>
      <c r="C31" s="231"/>
      <c r="D31" s="222"/>
      <c r="E31" s="230"/>
      <c r="F31" s="241"/>
      <c r="G31" s="242"/>
      <c r="H31" s="451"/>
      <c r="I31" s="767"/>
      <c r="J31" s="255"/>
      <c r="K31" s="244"/>
      <c r="L31" s="244"/>
      <c r="M31" s="122">
        <f t="shared" si="0"/>
        <v>0</v>
      </c>
      <c r="N31" s="154" t="s">
        <v>399</v>
      </c>
      <c r="Q31" s="154">
        <f>480-Q30</f>
        <v>0</v>
      </c>
      <c r="R31" s="154">
        <f>+R30/Q30</f>
        <v>1229.2916666666667</v>
      </c>
      <c r="S31" s="154">
        <f>+S30/Q30</f>
        <v>946.5545833333332</v>
      </c>
    </row>
    <row r="32" spans="1:19" ht="13.5" thickBot="1">
      <c r="A32" s="769"/>
      <c r="B32" s="170" t="s">
        <v>2</v>
      </c>
      <c r="C32" s="104">
        <f>SUM(C25:C31)</f>
        <v>8913</v>
      </c>
      <c r="D32" s="105">
        <f>SUM(D25:D31)</f>
        <v>2062</v>
      </c>
      <c r="E32" s="106">
        <f>SUM(E25:E31)</f>
        <v>0</v>
      </c>
      <c r="F32" s="107">
        <f>SUM(F24:F31)</f>
        <v>28</v>
      </c>
      <c r="G32" s="176"/>
      <c r="H32" s="177"/>
      <c r="I32" s="174"/>
      <c r="J32" s="257"/>
      <c r="K32" s="246"/>
      <c r="L32" s="248"/>
      <c r="M32" s="122">
        <f t="shared" si="0"/>
        <v>0</v>
      </c>
    </row>
    <row r="33" spans="1:14" ht="13.5" thickBot="1">
      <c r="A33" s="178"/>
      <c r="B33" s="179"/>
      <c r="C33" s="108">
        <f>C32/($C$32+$D$32+$E$32)</f>
        <v>0.81211845102505698</v>
      </c>
      <c r="D33" s="109">
        <f>D32/($C$32+$D$32+$E$32)</f>
        <v>0.18788154897494305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70" t="s">
        <v>57</v>
      </c>
      <c r="B34" s="771"/>
      <c r="C34" s="112">
        <f>C14+C23+C32</f>
        <v>8913</v>
      </c>
      <c r="D34" s="112">
        <f>D14+D23+D32</f>
        <v>2062</v>
      </c>
      <c r="E34" s="112">
        <f>E14+E23+E32</f>
        <v>0</v>
      </c>
      <c r="F34" s="113">
        <f>F14+F23+F32</f>
        <v>805</v>
      </c>
      <c r="H34" s="183"/>
      <c r="I34" s="183"/>
      <c r="J34" s="128" t="s">
        <v>28</v>
      </c>
      <c r="K34" s="129">
        <f>SUM(K7:K32)</f>
        <v>8913</v>
      </c>
      <c r="L34" s="217">
        <f>SUM(L7:L32)</f>
        <v>0</v>
      </c>
      <c r="M34" s="125">
        <f>SUM(M7:M32)</f>
        <v>8913</v>
      </c>
    </row>
    <row r="35" spans="1:14" ht="13.5" thickBot="1">
      <c r="A35" s="184"/>
      <c r="B35" s="185"/>
      <c r="C35" s="109">
        <f>C34/($C$34+$D$34+$E$34)</f>
        <v>0.81211845102505698</v>
      </c>
      <c r="D35" s="109">
        <f>D34/($C$34+$D$34+$E$34)</f>
        <v>0.18788154897494305</v>
      </c>
      <c r="E35" s="114">
        <f>E34/($C$34+$D$34+$E$34)</f>
        <v>0</v>
      </c>
      <c r="K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37</v>
      </c>
      <c r="J36" s="167" t="s">
        <v>38</v>
      </c>
      <c r="K36" s="187"/>
      <c r="N36" s="154">
        <v>183</v>
      </c>
    </row>
    <row r="37" spans="1:14" ht="17.45" customHeight="1" thickBot="1">
      <c r="A37" s="772" t="s">
        <v>58</v>
      </c>
      <c r="B37" s="773"/>
      <c r="C37" s="167" t="s">
        <v>59</v>
      </c>
      <c r="D37" s="188" t="s">
        <v>60</v>
      </c>
      <c r="E37" s="189" t="s">
        <v>61</v>
      </c>
      <c r="F37" s="190"/>
      <c r="G37" s="160"/>
      <c r="H37" s="191" t="s">
        <v>62</v>
      </c>
      <c r="I37" s="249">
        <f>(12*663)/663*G42*2.74*663/1000000</f>
        <v>18.341588496000004</v>
      </c>
      <c r="J37" s="130">
        <f>I37</f>
        <v>18.341588496000004</v>
      </c>
      <c r="K37" s="131" t="s">
        <v>63</v>
      </c>
      <c r="N37" s="154">
        <v>480</v>
      </c>
    </row>
    <row r="38" spans="1:14" ht="17.45" customHeight="1">
      <c r="A38" s="774" t="s">
        <v>12</v>
      </c>
      <c r="B38" s="775"/>
      <c r="C38" s="169">
        <f>SUMIF($G$7:$G$31,"Process",$F$7:$F$31)</f>
        <v>28</v>
      </c>
      <c r="D38" s="123">
        <f>C38</f>
        <v>28</v>
      </c>
      <c r="E38" s="148">
        <f t="shared" ref="E38:E51" si="7">D38/60</f>
        <v>0.46666666666666667</v>
      </c>
      <c r="F38" s="190"/>
      <c r="G38" s="190"/>
      <c r="H38" s="192" t="s">
        <v>64</v>
      </c>
      <c r="I38" s="250">
        <f>4.15+12.516</f>
        <v>16.666</v>
      </c>
      <c r="J38" s="132">
        <f>I38</f>
        <v>16.666</v>
      </c>
      <c r="K38" s="133" t="s">
        <v>63</v>
      </c>
      <c r="N38" s="154">
        <f>+N36+N37</f>
        <v>663</v>
      </c>
    </row>
    <row r="39" spans="1:14" ht="17.45" customHeight="1">
      <c r="A39" s="776" t="s">
        <v>13</v>
      </c>
      <c r="B39" s="777"/>
      <c r="C39" s="169">
        <f>SUMIF($G$7:$G$31,"Cleaning",$F$7:$F$31)</f>
        <v>0</v>
      </c>
      <c r="D39" s="123">
        <f>C39</f>
        <v>0</v>
      </c>
      <c r="E39" s="148">
        <f t="shared" si="7"/>
        <v>0</v>
      </c>
      <c r="F39" s="190">
        <v>734.42622950819668</v>
      </c>
      <c r="G39" s="190">
        <v>565.50819672131149</v>
      </c>
      <c r="H39" s="192" t="s">
        <v>65</v>
      </c>
      <c r="I39" s="147"/>
      <c r="J39" s="134">
        <f>J37/G4</f>
        <v>18.341588496000004</v>
      </c>
      <c r="K39" s="135" t="s">
        <v>63</v>
      </c>
    </row>
    <row r="40" spans="1:14" ht="17.45" customHeight="1">
      <c r="A40" s="776" t="s">
        <v>66</v>
      </c>
      <c r="B40" s="777"/>
      <c r="C40" s="169">
        <f>SUMIF($G$7:$G$31,"Mechanical",$F$7:$F$31)</f>
        <v>0</v>
      </c>
      <c r="D40" s="123">
        <f t="shared" ref="D40:D51" si="8">C40</f>
        <v>0</v>
      </c>
      <c r="E40" s="148">
        <f t="shared" si="7"/>
        <v>0</v>
      </c>
      <c r="F40" s="190">
        <v>1229.2916666666667</v>
      </c>
      <c r="G40" s="190">
        <v>946.5545833333332</v>
      </c>
      <c r="H40" s="192" t="s">
        <v>67</v>
      </c>
      <c r="I40" s="123">
        <f>(K34+L34)/1000</f>
        <v>8.9130000000000003</v>
      </c>
      <c r="J40" s="136">
        <f>M34/1000</f>
        <v>8.9130000000000003</v>
      </c>
      <c r="K40" s="135" t="s">
        <v>63</v>
      </c>
    </row>
    <row r="41" spans="1:14" ht="17.45" customHeight="1">
      <c r="A41" s="776" t="s">
        <v>68</v>
      </c>
      <c r="B41" s="777"/>
      <c r="C41" s="169">
        <f>SUMIF($G$7:$G$31,"Electrical",$F$7:$F$31)</f>
        <v>57</v>
      </c>
      <c r="D41" s="123">
        <f t="shared" si="8"/>
        <v>57</v>
      </c>
      <c r="E41" s="148">
        <f t="shared" si="7"/>
        <v>0.95</v>
      </c>
      <c r="F41" s="190"/>
      <c r="G41" s="190"/>
      <c r="H41" s="192" t="s">
        <v>69</v>
      </c>
      <c r="I41" s="147"/>
      <c r="J41" s="134">
        <f>J40/G4</f>
        <v>8.9130000000000003</v>
      </c>
      <c r="K41" s="135" t="s">
        <v>63</v>
      </c>
    </row>
    <row r="42" spans="1:14" ht="17.45" customHeight="1">
      <c r="A42" s="776" t="s">
        <v>16</v>
      </c>
      <c r="B42" s="777"/>
      <c r="C42" s="169">
        <f>SUMIF($G$7:$G$31,"Instrument",$F$7:$F$31)</f>
        <v>0</v>
      </c>
      <c r="D42" s="123">
        <f t="shared" si="8"/>
        <v>0</v>
      </c>
      <c r="E42" s="148">
        <f t="shared" si="7"/>
        <v>0</v>
      </c>
      <c r="F42" s="328">
        <f>+(183*F39+480*F40)/663</f>
        <v>1092.6998491704373</v>
      </c>
      <c r="G42" s="328">
        <f>+(183*G39+480*G40)/663</f>
        <v>841.37888386123677</v>
      </c>
      <c r="H42" s="192" t="s">
        <v>70</v>
      </c>
      <c r="I42" s="251" t="s">
        <v>410</v>
      </c>
      <c r="J42" s="137"/>
      <c r="K42" s="135" t="s">
        <v>71</v>
      </c>
    </row>
    <row r="43" spans="1:14" ht="17.45" customHeight="1">
      <c r="A43" s="776" t="s">
        <v>222</v>
      </c>
      <c r="B43" s="777"/>
      <c r="C43" s="169">
        <f>SUMIF($G$7:$G$31,"Change Grade",$F$7:$F$31)</f>
        <v>0</v>
      </c>
      <c r="D43" s="123">
        <f t="shared" si="8"/>
        <v>0</v>
      </c>
      <c r="E43" s="148">
        <f t="shared" si="7"/>
        <v>0</v>
      </c>
      <c r="F43" s="190"/>
      <c r="H43" s="193" t="s">
        <v>73</v>
      </c>
      <c r="I43" s="123">
        <f>+Report1!Z9</f>
        <v>39.200000000000003</v>
      </c>
      <c r="J43" s="138">
        <f>I43</f>
        <v>39.200000000000003</v>
      </c>
      <c r="K43" s="135" t="s">
        <v>63</v>
      </c>
      <c r="L43" s="194"/>
    </row>
    <row r="44" spans="1:14" ht="17.45" customHeight="1">
      <c r="A44" s="776" t="s">
        <v>17</v>
      </c>
      <c r="B44" s="777"/>
      <c r="C44" s="169">
        <f>SUMIF($G$7:$G$31,"PLN",$F$7:$F$31)</f>
        <v>0</v>
      </c>
      <c r="D44" s="123">
        <f>C44</f>
        <v>0</v>
      </c>
      <c r="E44" s="148">
        <f t="shared" si="7"/>
        <v>0</v>
      </c>
      <c r="F44" s="190"/>
      <c r="H44" s="193" t="s">
        <v>74</v>
      </c>
      <c r="I44" s="123">
        <f>I43/I38</f>
        <v>2.3520940837633506</v>
      </c>
      <c r="J44" s="139">
        <f>J43/J38</f>
        <v>2.3520940837633506</v>
      </c>
      <c r="K44" s="135" t="s">
        <v>63</v>
      </c>
    </row>
    <row r="45" spans="1:14" ht="17.45" customHeight="1">
      <c r="A45" s="776" t="s">
        <v>18</v>
      </c>
      <c r="B45" s="777"/>
      <c r="C45" s="169">
        <f>SUMIF($G$7:$G$31,"Boiler",$F$7:$F$31)</f>
        <v>0</v>
      </c>
      <c r="D45" s="123">
        <f t="shared" si="8"/>
        <v>0</v>
      </c>
      <c r="E45" s="148">
        <f t="shared" si="7"/>
        <v>0</v>
      </c>
      <c r="F45" s="190"/>
      <c r="G45" s="181"/>
      <c r="H45" s="193" t="s">
        <v>75</v>
      </c>
      <c r="I45" s="123">
        <f>I43/I40</f>
        <v>4.3980702344889488</v>
      </c>
      <c r="J45" s="139">
        <f>J43/J40</f>
        <v>4.3980702344889488</v>
      </c>
      <c r="K45" s="135" t="s">
        <v>63</v>
      </c>
    </row>
    <row r="46" spans="1:14" ht="17.45" customHeight="1">
      <c r="A46" s="776" t="s">
        <v>76</v>
      </c>
      <c r="B46" s="777"/>
      <c r="C46" s="169">
        <f>SUMIF($G$7:$G$31,"Gas",$F$7:$F$31)</f>
        <v>0</v>
      </c>
      <c r="D46" s="123">
        <f t="shared" si="8"/>
        <v>0</v>
      </c>
      <c r="E46" s="148">
        <f t="shared" si="7"/>
        <v>0</v>
      </c>
      <c r="F46" s="190"/>
      <c r="H46" s="193" t="s">
        <v>77</v>
      </c>
      <c r="I46" s="145">
        <f>+SUMIF(Listrik!P8,"&gt;0")</f>
        <v>24597.300000000003</v>
      </c>
      <c r="J46" s="140">
        <f>I46</f>
        <v>24597.300000000003</v>
      </c>
      <c r="K46" s="135" t="s">
        <v>78</v>
      </c>
    </row>
    <row r="47" spans="1:14" ht="17.45" customHeight="1">
      <c r="A47" s="776" t="s">
        <v>79</v>
      </c>
      <c r="B47" s="777"/>
      <c r="C47" s="169">
        <f>SUMIF($G$7:$G$31,"Gas",$F$7:$F$31)</f>
        <v>0</v>
      </c>
      <c r="D47" s="123">
        <f t="shared" si="8"/>
        <v>0</v>
      </c>
      <c r="E47" s="148">
        <f t="shared" si="7"/>
        <v>0</v>
      </c>
      <c r="F47" s="190"/>
      <c r="H47" s="193" t="s">
        <v>80</v>
      </c>
      <c r="I47" s="123">
        <f>I46/I38</f>
        <v>1475.8970358814354</v>
      </c>
      <c r="J47" s="140">
        <f>J46/J38</f>
        <v>1475.8970358814354</v>
      </c>
      <c r="K47" s="135" t="s">
        <v>24</v>
      </c>
    </row>
    <row r="48" spans="1:14" ht="17.45" customHeight="1">
      <c r="A48" s="776" t="s">
        <v>14</v>
      </c>
      <c r="B48" s="777"/>
      <c r="C48" s="169">
        <f>SUMIF($G$7:$G$31,"Start Up",$F$7:$F$31)</f>
        <v>0</v>
      </c>
      <c r="D48" s="123">
        <f t="shared" si="8"/>
        <v>0</v>
      </c>
      <c r="E48" s="148">
        <f t="shared" si="7"/>
        <v>0</v>
      </c>
      <c r="F48" s="190"/>
      <c r="H48" s="193" t="s">
        <v>81</v>
      </c>
      <c r="I48" s="123">
        <f>I46/I40</f>
        <v>2759.7105351733426</v>
      </c>
      <c r="J48" s="140">
        <f>J46/J40</f>
        <v>2759.7105351733426</v>
      </c>
      <c r="K48" s="135" t="s">
        <v>24</v>
      </c>
    </row>
    <row r="49" spans="1:11" ht="17.45" customHeight="1">
      <c r="A49" s="776" t="s">
        <v>20</v>
      </c>
      <c r="B49" s="777"/>
      <c r="C49" s="169">
        <f>SUMIF($G$7:$G$31,"Others",$F$7:$F$31)</f>
        <v>720</v>
      </c>
      <c r="D49" s="123">
        <f t="shared" si="8"/>
        <v>720</v>
      </c>
      <c r="E49" s="148">
        <f t="shared" si="7"/>
        <v>12</v>
      </c>
      <c r="F49" s="190"/>
      <c r="H49" s="193" t="s">
        <v>270</v>
      </c>
      <c r="I49" s="123">
        <f>+Report1!T9</f>
        <v>2177.5972831470212</v>
      </c>
      <c r="J49" s="140">
        <f>I49</f>
        <v>2177.5972831470212</v>
      </c>
      <c r="K49" s="135" t="s">
        <v>82</v>
      </c>
    </row>
    <row r="50" spans="1:11" ht="17.45" customHeight="1">
      <c r="A50" s="776" t="s">
        <v>19</v>
      </c>
      <c r="B50" s="777"/>
      <c r="C50" s="169">
        <f>SUMIF($G$7:$G$31,"Steam",$F$7:$F$31)</f>
        <v>0</v>
      </c>
      <c r="D50" s="123">
        <f t="shared" si="8"/>
        <v>0</v>
      </c>
      <c r="E50" s="148">
        <f t="shared" si="7"/>
        <v>0</v>
      </c>
      <c r="F50" s="190"/>
      <c r="H50" s="193" t="s">
        <v>83</v>
      </c>
      <c r="I50" s="145">
        <f>I49/I38</f>
        <v>130.66106343135851</v>
      </c>
      <c r="J50" s="138">
        <f>J49/J38</f>
        <v>130.66106343135851</v>
      </c>
      <c r="K50" s="135" t="s">
        <v>82</v>
      </c>
    </row>
    <row r="51" spans="1:11" ht="17.45" customHeight="1" thickBot="1">
      <c r="A51" s="778" t="s">
        <v>84</v>
      </c>
      <c r="B51" s="779"/>
      <c r="C51" s="169">
        <f>SUMIF($G$7:$G$31,"Planned shut",$F$7:$F$31)</f>
        <v>0</v>
      </c>
      <c r="D51" s="123">
        <f t="shared" si="8"/>
        <v>0</v>
      </c>
      <c r="E51" s="148">
        <f t="shared" si="7"/>
        <v>0</v>
      </c>
      <c r="F51" s="190"/>
      <c r="H51" s="195" t="s">
        <v>85</v>
      </c>
      <c r="I51" s="146">
        <f>I49/I40</f>
        <v>244.31698453349279</v>
      </c>
      <c r="J51" s="141">
        <f>J49/J40</f>
        <v>244.31698453349279</v>
      </c>
      <c r="K51" s="142" t="s">
        <v>82</v>
      </c>
    </row>
    <row r="52" spans="1:11" ht="13.5" thickBot="1">
      <c r="A52" s="774" t="s">
        <v>28</v>
      </c>
      <c r="B52" s="775"/>
      <c r="C52" s="149">
        <f>SUM(C38:C51)</f>
        <v>805</v>
      </c>
      <c r="D52" s="149">
        <f>SUM(D38:D51)</f>
        <v>805</v>
      </c>
      <c r="E52" s="150">
        <f>SUM(E38:E51)</f>
        <v>13.416666666666666</v>
      </c>
      <c r="F52" s="190"/>
      <c r="H52" s="196"/>
      <c r="I52" s="197"/>
      <c r="J52" s="143"/>
      <c r="K52" s="144"/>
    </row>
    <row r="53" spans="1:11" ht="13.5" thickBot="1">
      <c r="A53" s="780"/>
      <c r="B53" s="781"/>
      <c r="C53" s="151">
        <f>C52/(24*60)</f>
        <v>0.55902777777777779</v>
      </c>
      <c r="D53" s="151">
        <f>D52/(24*60*G4)</f>
        <v>0.55902777777777779</v>
      </c>
      <c r="E53" s="152">
        <f>E52/(G4*24)</f>
        <v>0.55902777777777779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86</v>
      </c>
      <c r="B56" s="200"/>
      <c r="C56" s="201"/>
      <c r="D56" s="201"/>
      <c r="E56" s="201"/>
      <c r="F56" s="202"/>
      <c r="G56" s="201"/>
      <c r="H56" s="203"/>
      <c r="I56" s="204" t="s">
        <v>87</v>
      </c>
      <c r="J56" s="205">
        <f>D34</f>
        <v>2062</v>
      </c>
      <c r="K56" s="206">
        <f>J56/(J40+J56/1000)/1000</f>
        <v>0.18788154897494305</v>
      </c>
    </row>
    <row r="57" spans="1:11">
      <c r="A57" s="181"/>
      <c r="I57" s="204" t="s">
        <v>88</v>
      </c>
      <c r="J57" s="205">
        <f>+E34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37:B37"/>
    <mergeCell ref="A24:A32"/>
    <mergeCell ref="I24:I31"/>
    <mergeCell ref="A48:B48"/>
    <mergeCell ref="A49:B49"/>
    <mergeCell ref="A40:B40"/>
    <mergeCell ref="A41:B41"/>
    <mergeCell ref="A38:B38"/>
    <mergeCell ref="A39:B39"/>
    <mergeCell ref="A7:A14"/>
    <mergeCell ref="I7:I13"/>
    <mergeCell ref="A15:A23"/>
    <mergeCell ref="I15:I22"/>
    <mergeCell ref="A34:B34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35</vt:i4>
      </vt:variant>
    </vt:vector>
  </HeadingPairs>
  <TitlesOfParts>
    <vt:vector size="77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RBP</vt:lpstr>
      <vt:lpstr>BB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win10</cp:lastModifiedBy>
  <cp:revision/>
  <cp:lastPrinted>2025-11-05T04:07:00Z</cp:lastPrinted>
  <dcterms:created xsi:type="dcterms:W3CDTF">2007-07-30T03:52:39Z</dcterms:created>
  <dcterms:modified xsi:type="dcterms:W3CDTF">2025-11-06T04:49:25Z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